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hpcp-my.sharepoint.com/personal/louis_petauton_khpcp_com1/Documents/Documents - KHP Capital Partners Team Site/The Angler's Hotel - Data Room/1 - Financials/"/>
    </mc:Choice>
  </mc:AlternateContent>
  <xr:revisionPtr revIDLastSave="9" documentId="13_ncr:1_{5C157763-E2A6-462B-BE04-E3D7997FA194}" xr6:coauthVersionLast="47" xr6:coauthVersionMax="47" xr10:uidLastSave="{8841F291-F638-4ECD-B003-BCD6DD51BA21}"/>
  <bookViews>
    <workbookView xWindow="0" yWindow="800" windowWidth="19200" windowHeight="11200" xr2:uid="{7CFB4439-4DFE-48A3-8C77-FA93BEF9762A}"/>
  </bookViews>
  <sheets>
    <sheet name="P&amp;L" sheetId="3" r:id="rId1"/>
  </sheets>
  <definedNames>
    <definedName name="CY">#REF!</definedName>
    <definedName name="Month1">#REF!</definedName>
    <definedName name="_xlnm.Print_Area" localSheetId="0">'P&amp;L'!$A$1:$O$57</definedName>
    <definedName name="Room_Revenue_Factor">#REF!</definedName>
    <definedName name="RPTDATE">#REF!</definedName>
    <definedName name="RPTMONTH">#REF!</definedName>
    <definedName name="wrn.Financial._.Statements." localSheetId="0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3" l="1"/>
  <c r="O47" i="3"/>
  <c r="O46" i="3"/>
  <c r="O45" i="3"/>
  <c r="N49" i="3"/>
  <c r="M49" i="3"/>
  <c r="L49" i="3"/>
  <c r="K49" i="3"/>
  <c r="J49" i="3"/>
  <c r="I49" i="3"/>
  <c r="H49" i="3"/>
  <c r="F49" i="3"/>
  <c r="E49" i="3"/>
  <c r="D49" i="3"/>
  <c r="O44" i="3"/>
  <c r="O41" i="3"/>
  <c r="O36" i="3"/>
  <c r="O35" i="3"/>
  <c r="L37" i="3"/>
  <c r="D37" i="3"/>
  <c r="O34" i="3"/>
  <c r="O33" i="3"/>
  <c r="N37" i="3"/>
  <c r="M37" i="3"/>
  <c r="K37" i="3"/>
  <c r="J37" i="3"/>
  <c r="I37" i="3"/>
  <c r="H37" i="3"/>
  <c r="G37" i="3"/>
  <c r="F37" i="3"/>
  <c r="E37" i="3"/>
  <c r="C37" i="3"/>
  <c r="H27" i="3"/>
  <c r="O26" i="3"/>
  <c r="O25" i="3"/>
  <c r="N27" i="3"/>
  <c r="M27" i="3"/>
  <c r="L27" i="3"/>
  <c r="K27" i="3"/>
  <c r="J27" i="3"/>
  <c r="I27" i="3"/>
  <c r="O24" i="3"/>
  <c r="F27" i="3"/>
  <c r="E27" i="3"/>
  <c r="D27" i="3"/>
  <c r="C27" i="3"/>
  <c r="L21" i="3"/>
  <c r="L53" i="3" s="1"/>
  <c r="D21" i="3"/>
  <c r="D53" i="3" s="1"/>
  <c r="O20" i="3"/>
  <c r="O19" i="3"/>
  <c r="K21" i="3"/>
  <c r="O18" i="3"/>
  <c r="N21" i="3"/>
  <c r="M21" i="3"/>
  <c r="J21" i="3"/>
  <c r="I21" i="3"/>
  <c r="H21" i="3"/>
  <c r="G21" i="3"/>
  <c r="F21" i="3"/>
  <c r="E21" i="3"/>
  <c r="O10" i="3"/>
  <c r="O9" i="3"/>
  <c r="F29" i="3" l="1"/>
  <c r="F39" i="3" s="1"/>
  <c r="F42" i="3" s="1"/>
  <c r="F51" i="3" s="1"/>
  <c r="F53" i="3"/>
  <c r="N29" i="3"/>
  <c r="N39" i="3" s="1"/>
  <c r="N42" i="3" s="1"/>
  <c r="N51" i="3" s="1"/>
  <c r="N53" i="3"/>
  <c r="H29" i="3"/>
  <c r="H39" i="3" s="1"/>
  <c r="H42" i="3" s="1"/>
  <c r="H51" i="3" s="1"/>
  <c r="H54" i="3" s="1"/>
  <c r="H53" i="3"/>
  <c r="I29" i="3"/>
  <c r="I39" i="3" s="1"/>
  <c r="I42" i="3" s="1"/>
  <c r="I51" i="3" s="1"/>
  <c r="I53" i="3"/>
  <c r="J53" i="3"/>
  <c r="J29" i="3"/>
  <c r="J39" i="3" s="1"/>
  <c r="J42" i="3" s="1"/>
  <c r="J51" i="3" s="1"/>
  <c r="J54" i="3" s="1"/>
  <c r="O37" i="3"/>
  <c r="O49" i="3"/>
  <c r="K53" i="3"/>
  <c r="K29" i="3"/>
  <c r="K39" i="3" s="1"/>
  <c r="K42" i="3" s="1"/>
  <c r="K51" i="3" s="1"/>
  <c r="K54" i="3" s="1"/>
  <c r="O11" i="3"/>
  <c r="G29" i="3"/>
  <c r="G39" i="3" s="1"/>
  <c r="G42" i="3" s="1"/>
  <c r="G51" i="3" s="1"/>
  <c r="G54" i="3" s="1"/>
  <c r="G53" i="3"/>
  <c r="E29" i="3"/>
  <c r="E39" i="3" s="1"/>
  <c r="E42" i="3" s="1"/>
  <c r="E51" i="3" s="1"/>
  <c r="E53" i="3"/>
  <c r="M29" i="3"/>
  <c r="M39" i="3" s="1"/>
  <c r="M42" i="3" s="1"/>
  <c r="M51" i="3" s="1"/>
  <c r="M54" i="3" s="1"/>
  <c r="M53" i="3"/>
  <c r="O27" i="3"/>
  <c r="O17" i="3"/>
  <c r="O12" i="3" s="1"/>
  <c r="C21" i="3"/>
  <c r="G27" i="3"/>
  <c r="G49" i="3"/>
  <c r="D29" i="3"/>
  <c r="D39" i="3" s="1"/>
  <c r="D42" i="3" s="1"/>
  <c r="D51" i="3" s="1"/>
  <c r="D54" i="3" s="1"/>
  <c r="L29" i="3"/>
  <c r="L39" i="3" s="1"/>
  <c r="L42" i="3" s="1"/>
  <c r="L51" i="3" s="1"/>
  <c r="L54" i="3" s="1"/>
  <c r="O32" i="3"/>
  <c r="C49" i="3"/>
  <c r="C53" i="3" l="1"/>
  <c r="O53" i="3" s="1"/>
  <c r="O21" i="3"/>
  <c r="C29" i="3"/>
  <c r="I54" i="3"/>
  <c r="N54" i="3"/>
  <c r="O13" i="3"/>
  <c r="E54" i="3"/>
  <c r="F54" i="3"/>
  <c r="O29" i="3" l="1"/>
  <c r="C39" i="3"/>
  <c r="C42" i="3" l="1"/>
  <c r="O39" i="3"/>
  <c r="O42" i="3" l="1"/>
  <c r="C51" i="3"/>
  <c r="O51" i="3" l="1"/>
  <c r="C54" i="3"/>
  <c r="O54" i="3" s="1"/>
</calcChain>
</file>

<file path=xl/sharedStrings.xml><?xml version="1.0" encoding="utf-8"?>
<sst xmlns="http://schemas.openxmlformats.org/spreadsheetml/2006/main" count="62" uniqueCount="39">
  <si>
    <t>Actual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</si>
  <si>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</si>
  <si>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</si>
  <si>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</si>
  <si>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</si>
  <si>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</si>
  <si>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</si>
  <si>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</si>
  <si>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</si>
  <si>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</si>
  <si>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</si>
  <si>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</si>
  <si>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</si>
  <si>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</si>
  <si>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</si>
  <si>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</si>
  <si>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</si>
  <si>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</si>
  <si>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</si>
  <si>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</si>
  <si>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 &amp; Maintenan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</si>
  <si>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</si>
  <si>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</si>
  <si>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</si>
  <si>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</si>
  <si>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</si>
  <si>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</si>
  <si>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</si>
  <si>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</si>
  <si>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</si>
  <si>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</si>
  <si>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</si>
  <si>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</si>
  <si>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</si>
  <si>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Angler's</t>
  </si>
  <si>
    <t xml:space="preserve">FORECASTED STATEMENT OF INCOME </t>
  </si>
  <si>
    <t>TOTAL</t>
  </si>
  <si>
    <t xml:space="preserve">    Income </t>
  </si>
  <si>
    <t>FOR THE PERIOD ENDING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</si>
</sst>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sz val="11"/>
      <color rgb="FF5F554D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4" tint="0.59993285927915285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7">
    <xf numFmtId="0" fontId="0" fillId="0" borderId="0" xfId="0"/>
    <xf numFmtId="0" fontId="4" fillId="2" borderId="0" xfId="1" applyFont="1" applyFill="1" applyAlignment="1">
      <alignment horizontal="left"/>
    </xf>
    <xf numFmtId="0" fontId="5" fillId="0" borderId="0" xfId="1" applyFont="1" applyAlignment="1">
      <alignment horizontal="center" wrapText="1"/>
    </xf>
    <xf numFmtId="0" fontId="3" fillId="0" borderId="0" xfId="1"/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14" fontId="8" fillId="0" borderId="0" xfId="1" applyNumberFormat="1" applyFont="1"/>
    <xf numFmtId="39" fontId="3" fillId="0" borderId="0" xfId="1" applyNumberFormat="1"/>
    <xf numFmtId="39" fontId="3" fillId="0" borderId="0" xfId="1" applyNumberFormat="1" applyAlignment="1">
      <alignment horizontal="center"/>
    </xf>
    <xf numFmtId="43" fontId="3" fillId="0" borderId="0" xfId="1" applyNumberFormat="1"/>
    <xf numFmtId="0" fontId="10" fillId="0" borderId="0" xfId="1" applyFont="1"/>
    <xf numFmtId="37" fontId="10" fillId="0" borderId="0" xfId="2" applyNumberFormat="1" applyFont="1" applyFill="1" applyBorder="1" applyAlignment="1">
      <alignment horizontal="right"/>
    </xf>
    <xf numFmtId="37" fontId="10" fillId="0" borderId="0" xfId="2" applyNumberFormat="1" applyFont="1" applyBorder="1" applyAlignment="1">
      <alignment horizontal="right"/>
    </xf>
    <xf numFmtId="0" fontId="11" fillId="0" borderId="0" xfId="1" applyFont="1"/>
    <xf numFmtId="164" fontId="10" fillId="0" borderId="0" xfId="3" applyNumberFormat="1" applyFont="1" applyFill="1" applyBorder="1" applyAlignment="1">
      <alignment horizontal="right"/>
    </xf>
    <xf numFmtId="39" fontId="10" fillId="0" borderId="0" xfId="2" applyNumberFormat="1" applyFont="1" applyFill="1" applyBorder="1" applyAlignment="1">
      <alignment horizontal="right"/>
    </xf>
    <xf numFmtId="0" fontId="12" fillId="0" borderId="0" xfId="1" applyFont="1"/>
    <xf numFmtId="37" fontId="12" fillId="0" borderId="1" xfId="2" applyNumberFormat="1" applyFont="1" applyFill="1" applyBorder="1" applyAlignment="1">
      <alignment horizontal="right"/>
    </xf>
    <xf numFmtId="0" fontId="13" fillId="0" borderId="0" xfId="1" applyFont="1"/>
    <xf numFmtId="37" fontId="12" fillId="0" borderId="2" xfId="2" applyNumberFormat="1" applyFont="1" applyFill="1" applyBorder="1" applyAlignment="1">
      <alignment horizontal="right"/>
    </xf>
    <xf numFmtId="43" fontId="10" fillId="0" borderId="0" xfId="2" applyFont="1" applyFill="1" applyBorder="1" applyAlignment="1">
      <alignment horizontal="right"/>
    </xf>
    <xf numFmtId="39" fontId="10" fillId="0" borderId="0" xfId="1" applyNumberFormat="1" applyFont="1"/>
    <xf numFmtId="43" fontId="10" fillId="0" borderId="0" xfId="1" applyNumberFormat="1" applyFont="1"/>
    <xf numFmtId="0" fontId="3" fillId="0" borderId="0" xfId="1" quotePrefix="1" applyAlignment="1">
      <alignment horizontal="left"/>
    </xf>
    <xf numFmtId="40" fontId="3" fillId="0" borderId="0" xfId="1" applyNumberFormat="1"/>
    <xf numFmtId="0" fontId="14" fillId="0" borderId="0" xfId="1" applyFont="1"/>
    <xf numFmtId="0" fontId="3" fillId="0" borderId="0" xfId="1" applyAlignment="1">
      <alignment horizontal="left"/>
    </xf>
    <xf numFmtId="0" fontId="15" fillId="0" borderId="0" xfId="1" quotePrefix="1" applyFont="1" applyAlignment="1">
      <alignment horizontal="left"/>
    </xf>
    <xf numFmtId="0" fontId="5" fillId="0" borderId="0" xfId="1" applyFont="1"/>
    <xf numFmtId="0" fontId="5" fillId="0" borderId="0" xfId="1" quotePrefix="1" applyFont="1" applyAlignment="1">
      <alignment horizontal="left"/>
    </xf>
    <xf numFmtId="39" fontId="5" fillId="0" borderId="0" xfId="1" applyNumberFormat="1" applyFont="1"/>
    <xf numFmtId="40" fontId="5" fillId="0" borderId="0" xfId="1" applyNumberFormat="1" applyFont="1"/>
    <xf numFmtId="39" fontId="3" fillId="0" borderId="0" xfId="1" quotePrefix="1" applyNumberFormat="1" applyAlignment="1">
      <alignment horizontal="left"/>
    </xf>
    <xf numFmtId="10" fontId="3" fillId="0" borderId="0" xfId="1" applyNumberFormat="1"/>
    <xf numFmtId="0" fontId="15" fillId="0" borderId="0" xfId="1" applyFont="1"/>
    <xf numFmtId="37" fontId="3" fillId="0" borderId="0" xfId="1" applyNumberFormat="1"/>
    <xf numFmtId="0" fontId="15" fillId="0" borderId="0" xfId="1" applyFont="1" applyAlignment="1">
      <alignment horizontal="left"/>
    </xf>
    <xf numFmtId="40" fontId="15" fillId="0" borderId="0" xfId="1" applyNumberFormat="1" applyFont="1"/>
    <xf numFmtId="10" fontId="15" fillId="0" borderId="0" xfId="1" applyNumberFormat="1" applyFont="1"/>
    <xf numFmtId="39" fontId="15" fillId="0" borderId="0" xfId="1" applyNumberFormat="1" applyFont="1"/>
    <xf numFmtId="0" fontId="5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39" fontId="3" fillId="0" borderId="0" xfId="1" applyNumberFormat="1" applyAlignment="1">
      <alignment horizontal="centerContinuous"/>
    </xf>
    <xf numFmtId="10" fontId="3" fillId="0" borderId="0" xfId="1" applyNumberFormat="1" applyAlignment="1">
      <alignment horizontal="centerContinuous"/>
    </xf>
    <xf numFmtId="0" fontId="15" fillId="0" borderId="0" xfId="1" applyFont="1" applyAlignment="1">
      <alignment horizontal="centerContinuous"/>
    </xf>
    <xf numFmtId="0" fontId="3" fillId="0" borderId="0" xfId="1" applyAlignment="1">
      <alignment horizontal="center"/>
    </xf>
    <xf numFmtId="43" fontId="3" fillId="0" borderId="0" xfId="1" applyNumberFormat="1" applyAlignment="1">
      <alignment horizontal="center"/>
    </xf>
    <xf numFmtId="0" fontId="3" fillId="0" borderId="0" xfId="1" applyAlignment="1">
      <alignment horizontal="center" vertical="center"/>
    </xf>
    <xf numFmtId="4" fontId="3" fillId="0" borderId="0" xfId="1" applyNumberFormat="1"/>
    <xf numFmtId="0" fontId="3" fillId="0" borderId="0" xfId="1" quotePrefix="1"/>
    <xf numFmtId="2" fontId="3" fillId="0" borderId="0" xfId="1" applyNumberFormat="1"/>
    <xf numFmtId="0" fontId="3" fillId="0" borderId="0" xfId="1" applyAlignment="1">
      <alignment horizontal="right"/>
    </xf>
    <xf numFmtId="0" fontId="1" fillId="3" borderId="3" xfId="1" applyFont="1" applyFill="1" applyBorder="1"/>
    <xf numFmtId="0" fontId="1" fillId="3" borderId="0" xfId="1" applyFont="1" applyFill="1"/>
    <xf numFmtId="165" fontId="9" fillId="4" borderId="0" xfId="1" applyNumberFormat="1" applyFont="1" applyFill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16" fillId="4" borderId="0" xfId="1" applyFont="1" applyFill="1" applyAlignment="1">
      <alignment horizontal="center"/>
    </xf>
    <xf numFmtId="0" fontId="2" fillId="0" borderId="0" xfId="1" applyFont="1"/>
    <xf numFmtId="37" fontId="10" fillId="0" borderId="4" xfId="2" applyNumberFormat="1" applyFont="1" applyBorder="1" applyAlignment="1">
      <alignment horizontal="right"/>
    </xf>
    <xf numFmtId="164" fontId="10" fillId="0" borderId="4" xfId="3" applyNumberFormat="1" applyFont="1" applyBorder="1" applyAlignment="1">
      <alignment horizontal="right"/>
    </xf>
    <xf numFmtId="39" fontId="10" fillId="0" borderId="4" xfId="2" applyNumberFormat="1" applyFont="1" applyBorder="1" applyAlignment="1">
      <alignment horizontal="right"/>
    </xf>
    <xf numFmtId="0" fontId="1" fillId="0" borderId="0" xfId="1" applyFont="1"/>
    <xf numFmtId="37" fontId="12" fillId="0" borderId="0" xfId="2" applyNumberFormat="1" applyFont="1" applyFill="1" applyBorder="1" applyAlignment="1">
      <alignment horizontal="right"/>
    </xf>
    <xf numFmtId="37" fontId="12" fillId="0" borderId="4" xfId="2" applyNumberFormat="1" applyFont="1" applyBorder="1" applyAlignment="1">
      <alignment horizontal="right"/>
    </xf>
    <xf numFmtId="37" fontId="12" fillId="0" borderId="5" xfId="2" applyNumberFormat="1" applyFont="1" applyBorder="1" applyAlignment="1">
      <alignment horizontal="right"/>
    </xf>
    <xf numFmtId="0" fontId="12" fillId="0" borderId="2" xfId="1" applyFont="1" applyBorder="1"/>
    <xf numFmtId="37" fontId="12" fillId="0" borderId="6" xfId="2" applyNumberFormat="1" applyFont="1" applyBorder="1" applyAlignment="1">
      <alignment horizontal="right"/>
    </xf>
    <xf numFmtId="39" fontId="3" fillId="0" borderId="0" xfId="1" applyNumberFormat="1" applyAlignment="1">
      <alignment horizontal="right"/>
    </xf>
    <xf numFmtId="39" fontId="3" fillId="5" borderId="0" xfId="1" applyNumberFormat="1" applyFill="1" applyAlignment="1">
      <alignment horizontal="left"/>
    </xf>
    <xf numFmtId="37" fontId="10" fillId="5" borderId="0" xfId="2" applyNumberFormat="1" applyFont="1" applyFill="1" applyBorder="1" applyAlignment="1">
      <alignment horizontal="right"/>
    </xf>
    <xf numFmtId="37" fontId="3" fillId="5" borderId="0" xfId="1" applyNumberFormat="1" applyFill="1" applyAlignment="1">
      <alignment horizontal="right"/>
    </xf>
    <xf numFmtId="37" fontId="3" fillId="0" borderId="0" xfId="1" applyNumberFormat="1" applyAlignment="1">
      <alignment horizontal="right"/>
    </xf>
    <xf numFmtId="0" fontId="3" fillId="0" borderId="0" xfId="1" applyFont="1"/>
    <xf numFmtId="0" fontId="3" fillId="0" borderId="4" xfId="1" applyFont="1" applyBorder="1"/>
    <xf numFmtId="37" fontId="3" fillId="0" borderId="0" xfId="1" applyNumberFormat="1" applyFont="1" applyAlignment="1">
      <alignment horizontal="right"/>
    </xf>
    <xf numFmtId="0" fontId="3" fillId="0" borderId="0" xfId="1" applyFont="1" applyAlignment="1">
      <alignment horizontal="right"/>
    </xf>
    <xf numFmtId="39" fontId="3" fillId="0" borderId="0" xfId="1" applyNumberFormat="1" applyFont="1"/>
  </cellXfs>
  <cellStyles count="4">
    <cellStyle name="Comma 2" xfId="2" xr:uid="{E5E7B3E2-C6AA-42D7-9FA5-95DE7945CC55}"/>
    <cellStyle name="Normal" xfId="0" builtinId="0"/>
    <cellStyle name="Normal 2" xfId="1" xr:uid="{DA42A03E-B09A-491D-AD37-731D6724D6DE}"/>
    <cellStyle name="Percent 2" xfId="3" xr:uid="{8ACE5E1A-83E4-44C8-8405-5815D9C707A5}"/>
  </cellStyles>
  <dxfs count="6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AF93-01A7-461D-98AF-8EC3EA4A3B74}">
  <sheetPr codeName="Sheet56">
    <pageSetUpPr fitToPage="1"/>
  </sheetPr>
  <dimension ref="A1:X248"/>
  <sheetViews>
    <sheetView showGridLines="0" tabSelected="1" view="pageBreakPreview" topLeftCell="D1" zoomScale="70" zoomScaleNormal="85" zoomScaleSheetLayoutView="70" workbookViewId="0">
      <selection activeCell="S31" sqref="S31"/>
    </sheetView>
  </sheetViews>
  <sheetFormatPr defaultColWidth="8.54296875" defaultRowHeight="12.5" x14ac:dyDescent="0.25"/>
  <cols>
    <col min="1" max="1" width="2.54296875" style="3" customWidth="1"/>
    <col min="2" max="2" width="38.54296875" style="3" customWidth="1"/>
    <col min="3" max="4" width="14.54296875" style="3" customWidth="1"/>
    <col min="5" max="7" width="14.54296875" style="7" customWidth="1"/>
    <col min="8" max="14" width="14.54296875" style="3" customWidth="1"/>
    <col min="15" max="15" width="15.453125" style="72" customWidth="1"/>
    <col min="16" max="23" width="8.54296875" style="72" customWidth="1"/>
    <col min="24" max="24" width="8.54296875" style="72"/>
    <col min="25" max="25" width="9" style="3" bestFit="1" customWidth="1"/>
    <col min="26" max="16384" width="8.54296875" style="3"/>
  </cols>
  <sheetData>
    <row r="1" spans="1:20" ht="23" x14ac:dyDescent="0.45">
      <c r="A1" s="1" t="s">
        <v>34</v>
      </c>
      <c r="B1" s="1"/>
      <c r="C1" s="1"/>
      <c r="D1" s="1"/>
      <c r="E1" s="1"/>
      <c r="F1" s="1"/>
      <c r="G1" s="1"/>
      <c r="H1" s="2"/>
    </row>
    <row r="2" spans="1:20" ht="15" customHeight="1" x14ac:dyDescent="0.35">
      <c r="A2" s="4" t="s">
        <v>35</v>
      </c>
      <c r="B2" s="4"/>
      <c r="C2" s="4"/>
      <c r="D2" s="4"/>
      <c r="E2" s="4"/>
      <c r="F2" s="4"/>
      <c r="G2" s="4"/>
      <c r="H2" s="2"/>
    </row>
    <row r="3" spans="1:20" ht="15" x14ac:dyDescent="0.3">
      <c r="A3" s="5" t="s">
        <v>38</v>
      </c>
      <c r="B3" s="5"/>
      <c r="C3" s="5"/>
      <c r="D3" s="5"/>
      <c r="E3" s="5"/>
      <c r="F3" s="5"/>
      <c r="G3" s="5"/>
      <c r="H3" s="2"/>
    </row>
    <row r="4" spans="1:20" ht="15" customHeight="1" x14ac:dyDescent="0.3">
      <c r="A4" s="6"/>
      <c r="B4" s="2"/>
      <c r="C4" s="2"/>
      <c r="D4" s="2"/>
      <c r="E4" s="2"/>
      <c r="F4" s="2"/>
      <c r="G4" s="2"/>
      <c r="H4" s="2"/>
    </row>
    <row r="5" spans="1:20" ht="14.5" x14ac:dyDescent="0.35">
      <c r="C5" s="52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20" ht="14.5" x14ac:dyDescent="0.35">
      <c r="C6" s="54">
        <v>44957</v>
      </c>
      <c r="D6" s="54">
        <v>44985</v>
      </c>
      <c r="E6" s="54">
        <v>45016</v>
      </c>
      <c r="F6" s="54">
        <v>45046</v>
      </c>
      <c r="G6" s="54">
        <v>45077</v>
      </c>
      <c r="H6" s="54">
        <v>45107</v>
      </c>
      <c r="I6" s="54">
        <v>45138</v>
      </c>
      <c r="J6" s="54">
        <v>45169</v>
      </c>
      <c r="K6" s="54">
        <v>45199</v>
      </c>
      <c r="L6" s="54">
        <v>45230</v>
      </c>
      <c r="M6" s="54">
        <v>45260</v>
      </c>
      <c r="N6" s="54">
        <v>45291</v>
      </c>
      <c r="O6" s="55" t="s">
        <v>36</v>
      </c>
    </row>
    <row r="7" spans="1:20" ht="14.5" x14ac:dyDescent="0.35">
      <c r="C7" s="56" t="s">
        <v>0</v>
      </c>
      <c r="D7" s="56" t="s">
        <v>0</v>
      </c>
      <c r="E7" s="56" t="s">
        <v>0</v>
      </c>
      <c r="F7" s="56" t="s">
        <v>0</v>
      </c>
      <c r="G7" s="56" t="s">
        <v>0</v>
      </c>
      <c r="H7" s="56" t="s">
        <v>0</v>
      </c>
      <c r="I7" s="56" t="s">
        <v>0</v>
      </c>
      <c r="J7" s="56" t="s">
        <v>0</v>
      </c>
      <c r="K7" s="56" t="s">
        <v>0</v>
      </c>
      <c r="L7" s="56" t="s">
        <v>0</v>
      </c>
      <c r="M7" s="56" t="s">
        <v>0</v>
      </c>
      <c r="N7" s="56" t="s">
        <v>0</v>
      </c>
      <c r="O7" s="55"/>
    </row>
    <row r="8" spans="1:20" ht="3" customHeight="1" x14ac:dyDescent="0.25">
      <c r="C8" s="7"/>
      <c r="D8" s="7"/>
      <c r="H8" s="9"/>
      <c r="O8" s="73"/>
    </row>
    <row r="9" spans="1:20" s="13" customFormat="1" ht="14.5" x14ac:dyDescent="0.35">
      <c r="A9" s="57"/>
      <c r="B9" s="10" t="s">
        <v>1</v>
      </c>
      <c r="C9" s="11">
        <v>4092</v>
      </c>
      <c r="D9" s="11">
        <v>3696</v>
      </c>
      <c r="E9" s="11">
        <v>4092</v>
      </c>
      <c r="F9" s="11">
        <v>3960</v>
      </c>
      <c r="G9" s="11">
        <v>4092</v>
      </c>
      <c r="H9" s="11">
        <v>3960</v>
      </c>
      <c r="I9" s="11">
        <v>4092</v>
      </c>
      <c r="J9" s="11">
        <v>4092</v>
      </c>
      <c r="K9" s="11">
        <v>3960</v>
      </c>
      <c r="L9" s="11">
        <v>4092</v>
      </c>
      <c r="M9" s="11">
        <v>3960</v>
      </c>
      <c r="N9" s="11">
        <v>4092</v>
      </c>
      <c r="O9" s="58">
        <f>SUM(C9:N9)</f>
        <v>48180</v>
      </c>
      <c r="P9" s="72"/>
      <c r="Q9" s="72"/>
      <c r="R9" s="72"/>
      <c r="S9" s="72"/>
      <c r="T9" s="72"/>
    </row>
    <row r="10" spans="1:20" s="13" customFormat="1" ht="14.5" x14ac:dyDescent="0.35">
      <c r="A10" s="57"/>
      <c r="B10" s="10" t="s">
        <v>2</v>
      </c>
      <c r="C10" s="11">
        <v>3863</v>
      </c>
      <c r="D10" s="11">
        <v>3471</v>
      </c>
      <c r="E10" s="11">
        <v>3750</v>
      </c>
      <c r="F10" s="11">
        <v>3450</v>
      </c>
      <c r="G10" s="11">
        <v>3162</v>
      </c>
      <c r="H10" s="11">
        <v>3403</v>
      </c>
      <c r="I10" s="11">
        <v>3372</v>
      </c>
      <c r="J10" s="11">
        <v>2982</v>
      </c>
      <c r="K10" s="11">
        <v>2676</v>
      </c>
      <c r="L10" s="11">
        <v>3180</v>
      </c>
      <c r="M10" s="11">
        <v>2944</v>
      </c>
      <c r="N10" s="11">
        <v>3443</v>
      </c>
      <c r="O10" s="58">
        <f>SUM(C10:N10)</f>
        <v>39696</v>
      </c>
      <c r="P10" s="72"/>
      <c r="Q10" s="72"/>
      <c r="R10" s="72"/>
      <c r="S10" s="72"/>
      <c r="T10" s="72"/>
    </row>
    <row r="11" spans="1:20" s="13" customFormat="1" ht="14.5" x14ac:dyDescent="0.35">
      <c r="A11" s="57"/>
      <c r="B11" s="10" t="s">
        <v>3</v>
      </c>
      <c r="C11" s="14">
        <v>0.94399999999999995</v>
      </c>
      <c r="D11" s="14">
        <v>0.93910000000000005</v>
      </c>
      <c r="E11" s="14">
        <v>0.91639999999999999</v>
      </c>
      <c r="F11" s="14">
        <v>0.87119999999999997</v>
      </c>
      <c r="G11" s="14">
        <v>0.77270000000000005</v>
      </c>
      <c r="H11" s="14">
        <v>0.85929999999999995</v>
      </c>
      <c r="I11" s="14">
        <v>0.82399999999999995</v>
      </c>
      <c r="J11" s="14">
        <v>0.72870000000000001</v>
      </c>
      <c r="K11" s="14">
        <v>0.67579999999999996</v>
      </c>
      <c r="L11" s="14">
        <v>0.77710000000000001</v>
      </c>
      <c r="M11" s="14">
        <v>0.74339999999999995</v>
      </c>
      <c r="N11" s="14">
        <v>0.84140000000000004</v>
      </c>
      <c r="O11" s="59">
        <f>O10/O9</f>
        <v>0.82391033623910337</v>
      </c>
      <c r="P11" s="72"/>
      <c r="Q11" s="72"/>
      <c r="R11" s="72"/>
      <c r="S11" s="72"/>
      <c r="T11" s="72"/>
    </row>
    <row r="12" spans="1:20" s="13" customFormat="1" ht="14.5" x14ac:dyDescent="0.35">
      <c r="A12" s="57"/>
      <c r="B12" s="10" t="s">
        <v>4</v>
      </c>
      <c r="C12" s="15">
        <v>281.22550000000001</v>
      </c>
      <c r="D12" s="15">
        <v>346.86279999999999</v>
      </c>
      <c r="E12" s="15">
        <v>314.57100000000003</v>
      </c>
      <c r="F12" s="15">
        <v>263.63150000000002</v>
      </c>
      <c r="G12" s="15">
        <v>262.25670000000002</v>
      </c>
      <c r="H12" s="15">
        <v>185.44800000000001</v>
      </c>
      <c r="I12" s="15">
        <v>185.4726</v>
      </c>
      <c r="J12" s="15">
        <v>169.1165</v>
      </c>
      <c r="K12" s="15">
        <v>162.19319999999999</v>
      </c>
      <c r="L12" s="15">
        <v>185.1063</v>
      </c>
      <c r="M12" s="15">
        <v>228.61940000000001</v>
      </c>
      <c r="N12" s="15">
        <v>331.89420000000001</v>
      </c>
      <c r="O12" s="60">
        <f>O17/O10</f>
        <v>247.07762318621525</v>
      </c>
      <c r="P12" s="72"/>
      <c r="Q12" s="72"/>
      <c r="R12" s="72"/>
      <c r="S12" s="72"/>
      <c r="T12" s="72"/>
    </row>
    <row r="13" spans="1:20" s="13" customFormat="1" ht="14.5" x14ac:dyDescent="0.35">
      <c r="A13" s="57"/>
      <c r="B13" s="10" t="s">
        <v>5</v>
      </c>
      <c r="C13" s="15">
        <v>265.4873</v>
      </c>
      <c r="D13" s="15">
        <v>325.74700000000001</v>
      </c>
      <c r="E13" s="15">
        <v>288.2799</v>
      </c>
      <c r="F13" s="15">
        <v>229.6789</v>
      </c>
      <c r="G13" s="15">
        <v>202.65289999999999</v>
      </c>
      <c r="H13" s="15">
        <v>159.36359999999999</v>
      </c>
      <c r="I13" s="15">
        <v>152.8381</v>
      </c>
      <c r="J13" s="15">
        <v>123.2418</v>
      </c>
      <c r="K13" s="15">
        <v>109.6033</v>
      </c>
      <c r="L13" s="15">
        <v>143.8509</v>
      </c>
      <c r="M13" s="15">
        <v>169.96350000000001</v>
      </c>
      <c r="N13" s="15">
        <v>279.255</v>
      </c>
      <c r="O13" s="60">
        <f>O11*O12</f>
        <v>203.5698075965131</v>
      </c>
      <c r="P13" s="72"/>
      <c r="Q13" s="72"/>
      <c r="R13" s="72"/>
      <c r="S13" s="72"/>
      <c r="T13" s="72"/>
    </row>
    <row r="14" spans="1:20" s="13" customFormat="1" ht="14.5" x14ac:dyDescent="0.35">
      <c r="A14" s="57"/>
      <c r="B14" s="10" t="s">
        <v>6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58"/>
      <c r="P14" s="72"/>
      <c r="Q14" s="72"/>
      <c r="R14" s="72"/>
      <c r="S14" s="72"/>
      <c r="T14" s="72"/>
    </row>
    <row r="15" spans="1:20" s="13" customFormat="1" ht="14.5" x14ac:dyDescent="0.35">
      <c r="A15" s="57"/>
      <c r="B15" s="10" t="s">
        <v>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58"/>
      <c r="P15" s="72"/>
      <c r="Q15" s="72"/>
      <c r="R15" s="72"/>
      <c r="S15" s="72"/>
      <c r="T15" s="72"/>
    </row>
    <row r="16" spans="1:20" s="18" customFormat="1" ht="14.5" x14ac:dyDescent="0.35">
      <c r="A16" s="61"/>
      <c r="B16" s="16" t="s">
        <v>7</v>
      </c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3"/>
      <c r="P16" s="72"/>
      <c r="Q16" s="72"/>
      <c r="R16" s="72"/>
      <c r="S16" s="72"/>
      <c r="T16" s="72"/>
    </row>
    <row r="17" spans="1:20" s="13" customFormat="1" ht="14.5" x14ac:dyDescent="0.35">
      <c r="A17" s="57"/>
      <c r="B17" s="10" t="s">
        <v>8</v>
      </c>
      <c r="C17" s="11">
        <v>1086374.17</v>
      </c>
      <c r="D17" s="11">
        <v>1203960.9099999999</v>
      </c>
      <c r="E17" s="11">
        <v>1179641.29</v>
      </c>
      <c r="F17" s="11">
        <v>909528.51</v>
      </c>
      <c r="G17" s="11">
        <v>829255.54</v>
      </c>
      <c r="H17" s="11">
        <v>631079.71</v>
      </c>
      <c r="I17" s="11">
        <v>625413.62</v>
      </c>
      <c r="J17" s="11">
        <v>504305.52</v>
      </c>
      <c r="K17" s="11">
        <v>434028.99</v>
      </c>
      <c r="L17" s="11">
        <v>588638.07999999996</v>
      </c>
      <c r="M17" s="11">
        <v>673055.43</v>
      </c>
      <c r="N17" s="11">
        <v>1142711.56</v>
      </c>
      <c r="O17" s="58">
        <f>SUM(C17:N17)</f>
        <v>9807993.3300000001</v>
      </c>
      <c r="P17" s="72"/>
      <c r="Q17" s="72"/>
      <c r="R17" s="72"/>
      <c r="S17" s="72"/>
      <c r="T17" s="72"/>
    </row>
    <row r="18" spans="1:20" s="13" customFormat="1" ht="14.5" x14ac:dyDescent="0.35">
      <c r="A18" s="57"/>
      <c r="B18" s="10" t="s">
        <v>9</v>
      </c>
      <c r="C18" s="11">
        <v>271648.17</v>
      </c>
      <c r="D18" s="11">
        <v>243116.66</v>
      </c>
      <c r="E18" s="11">
        <v>262610.3</v>
      </c>
      <c r="F18" s="11">
        <v>178741.51</v>
      </c>
      <c r="G18" s="11">
        <v>174452.86</v>
      </c>
      <c r="H18" s="11">
        <v>153035.34</v>
      </c>
      <c r="I18" s="11">
        <v>137140.69</v>
      </c>
      <c r="J18" s="11">
        <v>119985.83</v>
      </c>
      <c r="K18" s="11">
        <v>111020.89</v>
      </c>
      <c r="L18" s="11">
        <v>115318.67</v>
      </c>
      <c r="M18" s="11">
        <v>125378.51</v>
      </c>
      <c r="N18" s="11">
        <v>219086.52</v>
      </c>
      <c r="O18" s="58">
        <f>SUM(C18:N18)</f>
        <v>2111535.9499999997</v>
      </c>
      <c r="P18" s="72"/>
      <c r="Q18" s="72"/>
      <c r="R18" s="72"/>
      <c r="S18" s="72"/>
      <c r="T18" s="72"/>
    </row>
    <row r="19" spans="1:20" s="13" customFormat="1" ht="14.5" x14ac:dyDescent="0.35">
      <c r="A19" s="57"/>
      <c r="B19" s="10" t="s">
        <v>10</v>
      </c>
      <c r="C19" s="11">
        <v>1876.85</v>
      </c>
      <c r="D19" s="11">
        <v>2263.09</v>
      </c>
      <c r="E19" s="11">
        <v>1369.74</v>
      </c>
      <c r="F19" s="11">
        <v>2075.38</v>
      </c>
      <c r="G19" s="11">
        <v>1530.85</v>
      </c>
      <c r="H19" s="11">
        <v>1673.12</v>
      </c>
      <c r="I19" s="11">
        <v>1042.0899999999999</v>
      </c>
      <c r="J19" s="11">
        <v>785.26</v>
      </c>
      <c r="K19" s="11">
        <v>851.92</v>
      </c>
      <c r="L19" s="11">
        <v>1215.53</v>
      </c>
      <c r="M19" s="11">
        <v>1538.01</v>
      </c>
      <c r="N19" s="11">
        <v>-336.23</v>
      </c>
      <c r="O19" s="58">
        <f>SUM(C19:N19)</f>
        <v>15885.61</v>
      </c>
    </row>
    <row r="20" spans="1:20" s="13" customFormat="1" ht="14.5" x14ac:dyDescent="0.35">
      <c r="A20" s="57"/>
      <c r="B20" s="10" t="s">
        <v>11</v>
      </c>
      <c r="C20" s="11">
        <v>102264.58</v>
      </c>
      <c r="D20" s="11">
        <v>87266.78</v>
      </c>
      <c r="E20" s="11">
        <v>90782.74</v>
      </c>
      <c r="F20" s="11">
        <v>79960</v>
      </c>
      <c r="G20" s="11">
        <v>78295.22</v>
      </c>
      <c r="H20" s="11">
        <v>88953.9</v>
      </c>
      <c r="I20" s="11">
        <v>80347.039999999994</v>
      </c>
      <c r="J20" s="11">
        <v>95026.06</v>
      </c>
      <c r="K20" s="11">
        <v>71927.7</v>
      </c>
      <c r="L20" s="11">
        <v>73559.12</v>
      </c>
      <c r="M20" s="11">
        <v>79584.23</v>
      </c>
      <c r="N20" s="11">
        <v>76824.899999999994</v>
      </c>
      <c r="O20" s="58">
        <f>SUM(C20:N20)</f>
        <v>1004792.27</v>
      </c>
    </row>
    <row r="21" spans="1:20" s="18" customFormat="1" ht="14.5" x14ac:dyDescent="0.35">
      <c r="A21" s="61"/>
      <c r="B21" s="16" t="s">
        <v>12</v>
      </c>
      <c r="C21" s="17">
        <f t="shared" ref="C21:N21" si="0">SUM(C17:C20)</f>
        <v>1462163.77</v>
      </c>
      <c r="D21" s="17">
        <f t="shared" si="0"/>
        <v>1536607.44</v>
      </c>
      <c r="E21" s="17">
        <f t="shared" si="0"/>
        <v>1534404.07</v>
      </c>
      <c r="F21" s="17">
        <f t="shared" si="0"/>
        <v>1170305.3999999999</v>
      </c>
      <c r="G21" s="17">
        <f t="shared" si="0"/>
        <v>1083534.47</v>
      </c>
      <c r="H21" s="17">
        <f t="shared" si="0"/>
        <v>874742.07</v>
      </c>
      <c r="I21" s="17">
        <f t="shared" si="0"/>
        <v>843943.44000000006</v>
      </c>
      <c r="J21" s="17">
        <f t="shared" si="0"/>
        <v>720102.66999999993</v>
      </c>
      <c r="K21" s="17">
        <f t="shared" si="0"/>
        <v>617829.5</v>
      </c>
      <c r="L21" s="17">
        <f t="shared" si="0"/>
        <v>778731.4</v>
      </c>
      <c r="M21" s="17">
        <f t="shared" si="0"/>
        <v>879556.18</v>
      </c>
      <c r="N21" s="17">
        <f t="shared" si="0"/>
        <v>1438286.75</v>
      </c>
      <c r="O21" s="64">
        <f>SUM(C21:N21)</f>
        <v>12940207.16</v>
      </c>
    </row>
    <row r="22" spans="1:20" s="13" customFormat="1" ht="14.5" x14ac:dyDescent="0.35">
      <c r="A22" s="57"/>
      <c r="B22" s="10" t="s">
        <v>6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58"/>
    </row>
    <row r="23" spans="1:20" s="18" customFormat="1" ht="14.5" x14ac:dyDescent="0.35">
      <c r="A23" s="61"/>
      <c r="B23" s="16" t="s">
        <v>13</v>
      </c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/>
    </row>
    <row r="24" spans="1:20" s="13" customFormat="1" ht="14.5" x14ac:dyDescent="0.35">
      <c r="A24" s="57"/>
      <c r="B24" s="10" t="s">
        <v>8</v>
      </c>
      <c r="C24" s="11">
        <v>237562.78</v>
      </c>
      <c r="D24" s="11">
        <v>222323.8</v>
      </c>
      <c r="E24" s="11">
        <v>240431.83</v>
      </c>
      <c r="F24" s="11">
        <v>244110.22</v>
      </c>
      <c r="G24" s="11">
        <v>208185.68</v>
      </c>
      <c r="H24" s="11">
        <v>199280.41</v>
      </c>
      <c r="I24" s="11">
        <v>214887.5</v>
      </c>
      <c r="J24" s="11">
        <v>200317.04</v>
      </c>
      <c r="K24" s="11">
        <v>181970.93</v>
      </c>
      <c r="L24" s="11">
        <v>204640.28</v>
      </c>
      <c r="M24" s="11">
        <v>204793.19</v>
      </c>
      <c r="N24" s="11">
        <v>234336.46</v>
      </c>
      <c r="O24" s="58">
        <f>SUM(C24:N24)</f>
        <v>2592840.1199999996</v>
      </c>
    </row>
    <row r="25" spans="1:20" s="13" customFormat="1" ht="14.5" x14ac:dyDescent="0.35">
      <c r="A25" s="57"/>
      <c r="B25" s="10" t="s">
        <v>9</v>
      </c>
      <c r="C25" s="11">
        <v>205138.81</v>
      </c>
      <c r="D25" s="11">
        <v>193373.28</v>
      </c>
      <c r="E25" s="11">
        <v>214745.14</v>
      </c>
      <c r="F25" s="11">
        <v>188933.91</v>
      </c>
      <c r="G25" s="11">
        <v>178110.53</v>
      </c>
      <c r="H25" s="11">
        <v>150465.09</v>
      </c>
      <c r="I25" s="11">
        <v>155783.07</v>
      </c>
      <c r="J25" s="11">
        <v>161441.03</v>
      </c>
      <c r="K25" s="11">
        <v>125622.76</v>
      </c>
      <c r="L25" s="11">
        <v>135880.32999999999</v>
      </c>
      <c r="M25" s="11">
        <v>131989.10999999999</v>
      </c>
      <c r="N25" s="11">
        <v>198861.98</v>
      </c>
      <c r="O25" s="58">
        <f>SUM(C25:N25)</f>
        <v>2040345.04</v>
      </c>
    </row>
    <row r="26" spans="1:20" s="13" customFormat="1" ht="14.5" x14ac:dyDescent="0.35">
      <c r="A26" s="57"/>
      <c r="B26" s="10" t="s">
        <v>10</v>
      </c>
      <c r="C26" s="11">
        <v>605.01</v>
      </c>
      <c r="D26" s="11">
        <v>1037.3499999999999</v>
      </c>
      <c r="E26" s="11">
        <v>1213.1099999999999</v>
      </c>
      <c r="F26" s="11">
        <v>1094.22</v>
      </c>
      <c r="G26" s="11">
        <v>717.65</v>
      </c>
      <c r="H26" s="11">
        <v>701.04</v>
      </c>
      <c r="I26" s="11">
        <v>456.03</v>
      </c>
      <c r="J26" s="11">
        <v>170.54</v>
      </c>
      <c r="K26" s="11">
        <v>424.49</v>
      </c>
      <c r="L26" s="11">
        <v>182.82</v>
      </c>
      <c r="M26" s="11">
        <v>547.54999999999995</v>
      </c>
      <c r="N26" s="11">
        <v>58.91</v>
      </c>
      <c r="O26" s="58">
        <f>SUM(C26:N26)</f>
        <v>7208.7199999999984</v>
      </c>
    </row>
    <row r="27" spans="1:20" s="18" customFormat="1" ht="14.5" x14ac:dyDescent="0.35">
      <c r="A27" s="61"/>
      <c r="B27" s="16" t="s">
        <v>14</v>
      </c>
      <c r="C27" s="17">
        <f t="shared" ref="C27:N27" si="1">SUM(C24:C26)</f>
        <v>443306.6</v>
      </c>
      <c r="D27" s="17">
        <f t="shared" si="1"/>
        <v>416734.42999999993</v>
      </c>
      <c r="E27" s="17">
        <f t="shared" si="1"/>
        <v>456390.07999999996</v>
      </c>
      <c r="F27" s="17">
        <f t="shared" si="1"/>
        <v>434138.35</v>
      </c>
      <c r="G27" s="17">
        <f t="shared" si="1"/>
        <v>387013.86</v>
      </c>
      <c r="H27" s="17">
        <f t="shared" si="1"/>
        <v>350446.54</v>
      </c>
      <c r="I27" s="17">
        <f t="shared" si="1"/>
        <v>371126.60000000003</v>
      </c>
      <c r="J27" s="17">
        <f t="shared" si="1"/>
        <v>361928.61</v>
      </c>
      <c r="K27" s="17">
        <f t="shared" si="1"/>
        <v>308018.18</v>
      </c>
      <c r="L27" s="17">
        <f t="shared" si="1"/>
        <v>340703.43</v>
      </c>
      <c r="M27" s="17">
        <f t="shared" si="1"/>
        <v>337329.85</v>
      </c>
      <c r="N27" s="17">
        <f t="shared" si="1"/>
        <v>433257.35</v>
      </c>
      <c r="O27" s="64">
        <f>SUM(C27:N27)</f>
        <v>4640393.88</v>
      </c>
    </row>
    <row r="28" spans="1:20" s="13" customFormat="1" ht="14.5" x14ac:dyDescent="0.35">
      <c r="A28" s="57"/>
      <c r="B28" s="10" t="s">
        <v>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58"/>
    </row>
    <row r="29" spans="1:20" s="18" customFormat="1" ht="14.5" x14ac:dyDescent="0.35">
      <c r="A29" s="61"/>
      <c r="B29" s="16" t="s">
        <v>15</v>
      </c>
      <c r="C29" s="62">
        <f t="shared" ref="C29:N29" si="2">C21-C27</f>
        <v>1018857.17</v>
      </c>
      <c r="D29" s="62">
        <f t="shared" si="2"/>
        <v>1119873.01</v>
      </c>
      <c r="E29" s="62">
        <f t="shared" si="2"/>
        <v>1078013.9900000002</v>
      </c>
      <c r="F29" s="62">
        <f t="shared" si="2"/>
        <v>736167.04999999993</v>
      </c>
      <c r="G29" s="62">
        <f t="shared" si="2"/>
        <v>696520.61</v>
      </c>
      <c r="H29" s="62">
        <f t="shared" si="2"/>
        <v>524295.53</v>
      </c>
      <c r="I29" s="62">
        <f t="shared" si="2"/>
        <v>472816.84</v>
      </c>
      <c r="J29" s="62">
        <f t="shared" si="2"/>
        <v>358174.05999999994</v>
      </c>
      <c r="K29" s="62">
        <f t="shared" si="2"/>
        <v>309811.32</v>
      </c>
      <c r="L29" s="62">
        <f t="shared" si="2"/>
        <v>438027.97000000003</v>
      </c>
      <c r="M29" s="62">
        <f t="shared" si="2"/>
        <v>542226.33000000007</v>
      </c>
      <c r="N29" s="62">
        <f t="shared" si="2"/>
        <v>1005029.4</v>
      </c>
      <c r="O29" s="63">
        <f>SUM(C29:N29)</f>
        <v>8299813.2800000003</v>
      </c>
    </row>
    <row r="30" spans="1:20" s="13" customFormat="1" ht="14.5" x14ac:dyDescent="0.35">
      <c r="A30" s="57"/>
      <c r="B30" s="10" t="s">
        <v>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58"/>
    </row>
    <row r="31" spans="1:20" s="18" customFormat="1" ht="14.5" x14ac:dyDescent="0.35">
      <c r="A31" s="61"/>
      <c r="B31" s="16" t="s">
        <v>16</v>
      </c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3"/>
    </row>
    <row r="32" spans="1:20" s="13" customFormat="1" ht="14.5" x14ac:dyDescent="0.35">
      <c r="A32" s="57"/>
      <c r="B32" s="10" t="s">
        <v>17</v>
      </c>
      <c r="C32" s="11">
        <v>116023.79</v>
      </c>
      <c r="D32" s="11">
        <v>107350.02</v>
      </c>
      <c r="E32" s="11">
        <v>104808.18</v>
      </c>
      <c r="F32" s="11">
        <v>94276</v>
      </c>
      <c r="G32" s="11">
        <v>98753.44</v>
      </c>
      <c r="H32" s="11">
        <v>93729.97</v>
      </c>
      <c r="I32" s="11">
        <v>83133.279999999999</v>
      </c>
      <c r="J32" s="11">
        <v>83972.47</v>
      </c>
      <c r="K32" s="11">
        <v>101152.05</v>
      </c>
      <c r="L32" s="11">
        <v>106097.44</v>
      </c>
      <c r="M32" s="11">
        <v>106068.75</v>
      </c>
      <c r="N32" s="11">
        <v>109731.36</v>
      </c>
      <c r="O32" s="58">
        <f t="shared" ref="O32:O37" si="3">SUM(C32:N32)</f>
        <v>1205096.7500000002</v>
      </c>
    </row>
    <row r="33" spans="1:15" s="13" customFormat="1" ht="14.5" x14ac:dyDescent="0.35">
      <c r="A33" s="57"/>
      <c r="B33" s="10" t="s">
        <v>18</v>
      </c>
      <c r="C33" s="11">
        <v>19394.36</v>
      </c>
      <c r="D33" s="11">
        <v>18142.16</v>
      </c>
      <c r="E33" s="11">
        <v>16595.599999999999</v>
      </c>
      <c r="F33" s="11">
        <v>21435.61</v>
      </c>
      <c r="G33" s="11">
        <v>24853.26</v>
      </c>
      <c r="H33" s="11">
        <v>16534.830000000002</v>
      </c>
      <c r="I33" s="11">
        <v>18872.71</v>
      </c>
      <c r="J33" s="11">
        <v>15451.6</v>
      </c>
      <c r="K33" s="11">
        <v>11924.04</v>
      </c>
      <c r="L33" s="11">
        <v>12640.45</v>
      </c>
      <c r="M33" s="11">
        <v>15845</v>
      </c>
      <c r="N33" s="11">
        <v>18807.7</v>
      </c>
      <c r="O33" s="58">
        <f t="shared" si="3"/>
        <v>210497.32000000004</v>
      </c>
    </row>
    <row r="34" spans="1:15" s="13" customFormat="1" ht="14.5" x14ac:dyDescent="0.35">
      <c r="A34" s="57"/>
      <c r="B34" s="10" t="s">
        <v>19</v>
      </c>
      <c r="C34" s="11">
        <v>96911.83</v>
      </c>
      <c r="D34" s="11">
        <v>100822.98</v>
      </c>
      <c r="E34" s="11">
        <v>117163.84</v>
      </c>
      <c r="F34" s="11">
        <v>110587.55</v>
      </c>
      <c r="G34" s="11">
        <v>102044.08</v>
      </c>
      <c r="H34" s="11">
        <v>107479.52</v>
      </c>
      <c r="I34" s="11">
        <v>86703.54</v>
      </c>
      <c r="J34" s="11">
        <v>86089.7</v>
      </c>
      <c r="K34" s="11">
        <v>87934.38</v>
      </c>
      <c r="L34" s="11">
        <v>90430.13</v>
      </c>
      <c r="M34" s="11">
        <v>78008.490000000005</v>
      </c>
      <c r="N34" s="11">
        <v>118170.36</v>
      </c>
      <c r="O34" s="58">
        <f t="shared" si="3"/>
        <v>1182346.4000000001</v>
      </c>
    </row>
    <row r="35" spans="1:15" s="13" customFormat="1" ht="14.5" x14ac:dyDescent="0.35">
      <c r="A35" s="57"/>
      <c r="B35" s="10" t="s">
        <v>20</v>
      </c>
      <c r="C35" s="11">
        <v>42991.76</v>
      </c>
      <c r="D35" s="11">
        <v>55685.14</v>
      </c>
      <c r="E35" s="11">
        <v>57325.17</v>
      </c>
      <c r="F35" s="11">
        <v>62439.23</v>
      </c>
      <c r="G35" s="11">
        <v>73285.52</v>
      </c>
      <c r="H35" s="11">
        <v>59617.88</v>
      </c>
      <c r="I35" s="11">
        <v>61751.43</v>
      </c>
      <c r="J35" s="11">
        <v>61428.18</v>
      </c>
      <c r="K35" s="11">
        <v>59050.16</v>
      </c>
      <c r="L35" s="11">
        <v>59083.99</v>
      </c>
      <c r="M35" s="11">
        <v>72131.02</v>
      </c>
      <c r="N35" s="11">
        <v>64254.13</v>
      </c>
      <c r="O35" s="58">
        <f t="shared" si="3"/>
        <v>729043.61</v>
      </c>
    </row>
    <row r="36" spans="1:15" s="13" customFormat="1" ht="14.5" x14ac:dyDescent="0.35">
      <c r="A36" s="57"/>
      <c r="B36" s="10" t="s">
        <v>21</v>
      </c>
      <c r="C36" s="11">
        <v>15384.68</v>
      </c>
      <c r="D36" s="11">
        <v>15456.89</v>
      </c>
      <c r="E36" s="11">
        <v>21209.37</v>
      </c>
      <c r="F36" s="11">
        <v>18254.88</v>
      </c>
      <c r="G36" s="11">
        <v>19150.810000000001</v>
      </c>
      <c r="H36" s="11">
        <v>19916.36</v>
      </c>
      <c r="I36" s="11">
        <v>21419.83</v>
      </c>
      <c r="J36" s="11">
        <v>19755.580000000002</v>
      </c>
      <c r="K36" s="11">
        <v>22000.959999999999</v>
      </c>
      <c r="L36" s="11">
        <v>17967.62</v>
      </c>
      <c r="M36" s="11">
        <v>23434.55</v>
      </c>
      <c r="N36" s="11">
        <v>22404.11</v>
      </c>
      <c r="O36" s="58">
        <f t="shared" si="3"/>
        <v>236355.64</v>
      </c>
    </row>
    <row r="37" spans="1:15" s="18" customFormat="1" ht="14.5" x14ac:dyDescent="0.35">
      <c r="A37" s="61"/>
      <c r="B37" s="16" t="s">
        <v>22</v>
      </c>
      <c r="C37" s="17">
        <f t="shared" ref="C37:N37" si="4">SUM(C32:C36)</f>
        <v>290706.42</v>
      </c>
      <c r="D37" s="17">
        <f t="shared" si="4"/>
        <v>297457.19</v>
      </c>
      <c r="E37" s="17">
        <f t="shared" si="4"/>
        <v>317102.15999999997</v>
      </c>
      <c r="F37" s="17">
        <f t="shared" si="4"/>
        <v>306993.27</v>
      </c>
      <c r="G37" s="17">
        <f t="shared" si="4"/>
        <v>318087.11</v>
      </c>
      <c r="H37" s="17">
        <f t="shared" si="4"/>
        <v>297278.56</v>
      </c>
      <c r="I37" s="17">
        <f t="shared" si="4"/>
        <v>271880.78999999998</v>
      </c>
      <c r="J37" s="17">
        <f t="shared" si="4"/>
        <v>266697.53000000003</v>
      </c>
      <c r="K37" s="17">
        <f t="shared" si="4"/>
        <v>282061.59000000003</v>
      </c>
      <c r="L37" s="17">
        <f t="shared" si="4"/>
        <v>286219.63</v>
      </c>
      <c r="M37" s="17">
        <f t="shared" si="4"/>
        <v>295487.81</v>
      </c>
      <c r="N37" s="17">
        <f t="shared" si="4"/>
        <v>333367.65999999997</v>
      </c>
      <c r="O37" s="64">
        <f t="shared" si="3"/>
        <v>3563339.72</v>
      </c>
    </row>
    <row r="38" spans="1:15" s="13" customFormat="1" ht="14.5" x14ac:dyDescent="0.35">
      <c r="A38" s="57"/>
      <c r="B38" s="10" t="s">
        <v>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58"/>
    </row>
    <row r="39" spans="1:15" s="18" customFormat="1" ht="14.5" x14ac:dyDescent="0.35">
      <c r="A39" s="61"/>
      <c r="B39" s="16" t="s">
        <v>23</v>
      </c>
      <c r="C39" s="62">
        <f t="shared" ref="C39:N39" si="5">C29-C37</f>
        <v>728150.75</v>
      </c>
      <c r="D39" s="62">
        <f t="shared" si="5"/>
        <v>822415.82000000007</v>
      </c>
      <c r="E39" s="62">
        <f t="shared" si="5"/>
        <v>760911.83000000031</v>
      </c>
      <c r="F39" s="62">
        <f t="shared" si="5"/>
        <v>429173.77999999991</v>
      </c>
      <c r="G39" s="62">
        <f t="shared" si="5"/>
        <v>378433.5</v>
      </c>
      <c r="H39" s="62">
        <f t="shared" si="5"/>
        <v>227016.97000000003</v>
      </c>
      <c r="I39" s="62">
        <f t="shared" si="5"/>
        <v>200936.05000000005</v>
      </c>
      <c r="J39" s="62">
        <f t="shared" si="5"/>
        <v>91476.529999999912</v>
      </c>
      <c r="K39" s="62">
        <f t="shared" si="5"/>
        <v>27749.729999999981</v>
      </c>
      <c r="L39" s="62">
        <f t="shared" si="5"/>
        <v>151808.34000000003</v>
      </c>
      <c r="M39" s="62">
        <f t="shared" si="5"/>
        <v>246738.52000000008</v>
      </c>
      <c r="N39" s="62">
        <f t="shared" si="5"/>
        <v>671661.74</v>
      </c>
      <c r="O39" s="63">
        <f>SUM(C39:N39)</f>
        <v>4736473.5599999996</v>
      </c>
    </row>
    <row r="40" spans="1:15" s="13" customFormat="1" ht="14.5" x14ac:dyDescent="0.35">
      <c r="A40" s="57"/>
      <c r="B40" s="10" t="s">
        <v>6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58"/>
    </row>
    <row r="41" spans="1:15" s="13" customFormat="1" ht="14.5" x14ac:dyDescent="0.35">
      <c r="A41" s="57"/>
      <c r="B41" s="10" t="s">
        <v>24</v>
      </c>
      <c r="C41" s="11">
        <v>40697.01</v>
      </c>
      <c r="D41" s="11">
        <v>48837.3</v>
      </c>
      <c r="E41" s="11">
        <v>48600.81</v>
      </c>
      <c r="F41" s="11">
        <v>37083.230000000003</v>
      </c>
      <c r="G41" s="11">
        <v>34687.99</v>
      </c>
      <c r="H41" s="11">
        <v>29381.38</v>
      </c>
      <c r="I41" s="11">
        <v>27488.91</v>
      </c>
      <c r="J41" s="11">
        <v>23092</v>
      </c>
      <c r="K41" s="11">
        <v>19439.59</v>
      </c>
      <c r="L41" s="11">
        <v>24731.06</v>
      </c>
      <c r="M41" s="11">
        <v>28126.04</v>
      </c>
      <c r="N41" s="11">
        <v>42438.29</v>
      </c>
      <c r="O41" s="58">
        <f>SUM(C41:N41)</f>
        <v>404603.61</v>
      </c>
    </row>
    <row r="42" spans="1:15" s="18" customFormat="1" ht="14.5" x14ac:dyDescent="0.35">
      <c r="A42" s="61"/>
      <c r="B42" s="16" t="s">
        <v>25</v>
      </c>
      <c r="C42" s="17">
        <f t="shared" ref="C42:N42" si="6">C39-C41</f>
        <v>687453.74</v>
      </c>
      <c r="D42" s="17">
        <f t="shared" si="6"/>
        <v>773578.52</v>
      </c>
      <c r="E42" s="17">
        <f t="shared" si="6"/>
        <v>712311.02000000025</v>
      </c>
      <c r="F42" s="17">
        <f t="shared" si="6"/>
        <v>392090.54999999993</v>
      </c>
      <c r="G42" s="17">
        <f t="shared" si="6"/>
        <v>343745.51</v>
      </c>
      <c r="H42" s="17">
        <f t="shared" si="6"/>
        <v>197635.59000000003</v>
      </c>
      <c r="I42" s="17">
        <f t="shared" si="6"/>
        <v>173447.14000000004</v>
      </c>
      <c r="J42" s="17">
        <f t="shared" si="6"/>
        <v>68384.529999999912</v>
      </c>
      <c r="K42" s="17">
        <f t="shared" si="6"/>
        <v>8310.1399999999812</v>
      </c>
      <c r="L42" s="17">
        <f t="shared" si="6"/>
        <v>127077.28000000003</v>
      </c>
      <c r="M42" s="17">
        <f t="shared" si="6"/>
        <v>218612.48000000007</v>
      </c>
      <c r="N42" s="17">
        <f t="shared" si="6"/>
        <v>629223.44999999995</v>
      </c>
      <c r="O42" s="64">
        <f>SUM(C42:N42)</f>
        <v>4331869.9499999993</v>
      </c>
    </row>
    <row r="43" spans="1:15" s="13" customFormat="1" ht="14.5" x14ac:dyDescent="0.35">
      <c r="A43" s="57"/>
      <c r="B43" s="10" t="s">
        <v>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58"/>
    </row>
    <row r="44" spans="1:15" s="13" customFormat="1" ht="14.5" x14ac:dyDescent="0.35">
      <c r="A44" s="57"/>
      <c r="B44" s="10" t="s">
        <v>37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-9638.44</v>
      </c>
      <c r="O44" s="58">
        <f>SUM(C44:N44)</f>
        <v>-9638.44</v>
      </c>
    </row>
    <row r="45" spans="1:15" s="13" customFormat="1" ht="14.5" x14ac:dyDescent="0.35">
      <c r="A45" s="57"/>
      <c r="B45" s="10" t="s">
        <v>26</v>
      </c>
      <c r="C45" s="11">
        <v>1153.82</v>
      </c>
      <c r="D45" s="11">
        <v>1468.28</v>
      </c>
      <c r="E45" s="11">
        <v>1238.0899999999999</v>
      </c>
      <c r="F45" s="11">
        <v>1840.54</v>
      </c>
      <c r="G45" s="11">
        <v>1332.2</v>
      </c>
      <c r="H45" s="11">
        <v>1055.81</v>
      </c>
      <c r="I45" s="11">
        <v>1204.47</v>
      </c>
      <c r="J45" s="11">
        <v>1805.23</v>
      </c>
      <c r="K45" s="11">
        <v>1823.21</v>
      </c>
      <c r="L45" s="11">
        <v>1089.72</v>
      </c>
      <c r="M45" s="11">
        <v>2440.4899999999998</v>
      </c>
      <c r="N45" s="11">
        <v>1465.88</v>
      </c>
      <c r="O45" s="58">
        <f>SUM(C45:N45)</f>
        <v>17917.739999999998</v>
      </c>
    </row>
    <row r="46" spans="1:15" s="13" customFormat="1" ht="14.5" x14ac:dyDescent="0.35">
      <c r="A46" s="57"/>
      <c r="B46" s="10" t="s">
        <v>27</v>
      </c>
      <c r="C46" s="11">
        <v>40030</v>
      </c>
      <c r="D46" s="11">
        <v>40030</v>
      </c>
      <c r="E46" s="11">
        <v>40030</v>
      </c>
      <c r="F46" s="11">
        <v>56619</v>
      </c>
      <c r="G46" s="11">
        <v>40030</v>
      </c>
      <c r="H46" s="11">
        <v>40030</v>
      </c>
      <c r="I46" s="11">
        <v>40030</v>
      </c>
      <c r="J46" s="11">
        <v>40030</v>
      </c>
      <c r="K46" s="11">
        <v>40030.199999999997</v>
      </c>
      <c r="L46" s="11">
        <v>40030</v>
      </c>
      <c r="M46" s="11">
        <v>40030</v>
      </c>
      <c r="N46" s="11">
        <v>40030</v>
      </c>
      <c r="O46" s="58">
        <f>SUM(C46:N46)</f>
        <v>496949.2</v>
      </c>
    </row>
    <row r="47" spans="1:15" s="13" customFormat="1" ht="14.5" x14ac:dyDescent="0.35">
      <c r="A47" s="57"/>
      <c r="B47" s="10" t="s">
        <v>28</v>
      </c>
      <c r="C47" s="11">
        <v>104943.08</v>
      </c>
      <c r="D47" s="11">
        <v>104943.08</v>
      </c>
      <c r="E47" s="11">
        <v>104943.08</v>
      </c>
      <c r="F47" s="11">
        <v>103456.71</v>
      </c>
      <c r="G47" s="11">
        <v>104199.89</v>
      </c>
      <c r="H47" s="11">
        <v>105129.9</v>
      </c>
      <c r="I47" s="11">
        <v>103839.22</v>
      </c>
      <c r="J47" s="11">
        <v>124706.47</v>
      </c>
      <c r="K47" s="11">
        <v>123613.98</v>
      </c>
      <c r="L47" s="11">
        <v>124724.96</v>
      </c>
      <c r="M47" s="11">
        <v>123613.87</v>
      </c>
      <c r="N47" s="11">
        <v>123613.87</v>
      </c>
      <c r="O47" s="58">
        <f>SUM(C47:N47)</f>
        <v>1351728.1099999999</v>
      </c>
    </row>
    <row r="48" spans="1:15" s="13" customFormat="1" ht="14.5" x14ac:dyDescent="0.35">
      <c r="A48" s="57"/>
      <c r="B48" s="10" t="s">
        <v>29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58">
        <f>SUM(C48:N48)</f>
        <v>0</v>
      </c>
    </row>
    <row r="49" spans="1:24" s="18" customFormat="1" ht="14.5" x14ac:dyDescent="0.35">
      <c r="A49" s="61"/>
      <c r="B49" s="16" t="s">
        <v>30</v>
      </c>
      <c r="C49" s="17">
        <f t="shared" ref="C49:O49" si="7">SUM(C44:C48)</f>
        <v>146126.9</v>
      </c>
      <c r="D49" s="17">
        <f t="shared" si="7"/>
        <v>146441.35999999999</v>
      </c>
      <c r="E49" s="17">
        <f t="shared" si="7"/>
        <v>146211.16999999998</v>
      </c>
      <c r="F49" s="17">
        <f t="shared" si="7"/>
        <v>161916.25</v>
      </c>
      <c r="G49" s="17">
        <f t="shared" si="7"/>
        <v>145562.09</v>
      </c>
      <c r="H49" s="17">
        <f t="shared" si="7"/>
        <v>146215.71</v>
      </c>
      <c r="I49" s="17">
        <f t="shared" si="7"/>
        <v>145073.69</v>
      </c>
      <c r="J49" s="17">
        <f t="shared" si="7"/>
        <v>166541.70000000001</v>
      </c>
      <c r="K49" s="17">
        <f t="shared" si="7"/>
        <v>165467.38999999998</v>
      </c>
      <c r="L49" s="17">
        <f t="shared" si="7"/>
        <v>165844.68</v>
      </c>
      <c r="M49" s="17">
        <f t="shared" si="7"/>
        <v>166084.35999999999</v>
      </c>
      <c r="N49" s="17">
        <f t="shared" si="7"/>
        <v>155471.31</v>
      </c>
      <c r="O49" s="64">
        <f t="shared" si="7"/>
        <v>1856956.6099999999</v>
      </c>
    </row>
    <row r="50" spans="1:24" s="13" customFormat="1" ht="14.5" x14ac:dyDescent="0.35">
      <c r="A50" s="57"/>
      <c r="B50" s="10" t="s">
        <v>6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58"/>
    </row>
    <row r="51" spans="1:24" s="18" customFormat="1" ht="14.5" x14ac:dyDescent="0.35">
      <c r="A51" s="61"/>
      <c r="B51" s="16" t="s">
        <v>31</v>
      </c>
      <c r="C51" s="62">
        <f t="shared" ref="C51:N51" si="8">C42-C49</f>
        <v>541326.84</v>
      </c>
      <c r="D51" s="62">
        <f t="shared" si="8"/>
        <v>627137.16</v>
      </c>
      <c r="E51" s="62">
        <f t="shared" si="8"/>
        <v>566099.85000000033</v>
      </c>
      <c r="F51" s="62">
        <f t="shared" si="8"/>
        <v>230174.29999999993</v>
      </c>
      <c r="G51" s="62">
        <f t="shared" si="8"/>
        <v>198183.42</v>
      </c>
      <c r="H51" s="62">
        <f t="shared" si="8"/>
        <v>51419.880000000034</v>
      </c>
      <c r="I51" s="62">
        <f t="shared" si="8"/>
        <v>28373.450000000041</v>
      </c>
      <c r="J51" s="62">
        <f t="shared" si="8"/>
        <v>-98157.1700000001</v>
      </c>
      <c r="K51" s="62">
        <f t="shared" si="8"/>
        <v>-157157.25</v>
      </c>
      <c r="L51" s="62">
        <f t="shared" si="8"/>
        <v>-38767.399999999965</v>
      </c>
      <c r="M51" s="62">
        <f t="shared" si="8"/>
        <v>52528.120000000083</v>
      </c>
      <c r="N51" s="62">
        <f t="shared" si="8"/>
        <v>473752.13999999996</v>
      </c>
      <c r="O51" s="63">
        <f>SUM(C51:N51)</f>
        <v>2474913.3400000008</v>
      </c>
    </row>
    <row r="52" spans="1:24" s="13" customFormat="1" ht="14.5" x14ac:dyDescent="0.35">
      <c r="A52" s="57"/>
      <c r="B52" s="10" t="s">
        <v>6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58"/>
    </row>
    <row r="53" spans="1:24" s="13" customFormat="1" ht="14.5" x14ac:dyDescent="0.35">
      <c r="A53" s="57"/>
      <c r="B53" s="10" t="s">
        <v>32</v>
      </c>
      <c r="C53" s="11">
        <f t="shared" ref="C53:N53" si="9">C21*0.04</f>
        <v>58486.550800000005</v>
      </c>
      <c r="D53" s="11">
        <f t="shared" si="9"/>
        <v>61464.297599999998</v>
      </c>
      <c r="E53" s="11">
        <f t="shared" si="9"/>
        <v>61376.162800000006</v>
      </c>
      <c r="F53" s="11">
        <f t="shared" si="9"/>
        <v>46812.216</v>
      </c>
      <c r="G53" s="11">
        <f t="shared" si="9"/>
        <v>43341.378799999999</v>
      </c>
      <c r="H53" s="11">
        <f t="shared" si="9"/>
        <v>34989.682799999995</v>
      </c>
      <c r="I53" s="11">
        <f t="shared" si="9"/>
        <v>33757.7376</v>
      </c>
      <c r="J53" s="11">
        <f t="shared" si="9"/>
        <v>28804.106799999998</v>
      </c>
      <c r="K53" s="11">
        <f t="shared" si="9"/>
        <v>24713.18</v>
      </c>
      <c r="L53" s="11">
        <f t="shared" si="9"/>
        <v>31149.256000000001</v>
      </c>
      <c r="M53" s="11">
        <f t="shared" si="9"/>
        <v>35182.247200000005</v>
      </c>
      <c r="N53" s="11">
        <f t="shared" si="9"/>
        <v>57531.47</v>
      </c>
      <c r="O53" s="58">
        <f>SUM(C53:N53)</f>
        <v>517608.28639999998</v>
      </c>
    </row>
    <row r="54" spans="1:24" s="18" customFormat="1" ht="15" thickBot="1" x14ac:dyDescent="0.4">
      <c r="A54" s="61"/>
      <c r="B54" s="65" t="s">
        <v>33</v>
      </c>
      <c r="C54" s="19">
        <f t="shared" ref="C54:N54" si="10">C51-C53</f>
        <v>482840.28919999994</v>
      </c>
      <c r="D54" s="19">
        <f t="shared" si="10"/>
        <v>565672.86239999998</v>
      </c>
      <c r="E54" s="19">
        <f t="shared" si="10"/>
        <v>504723.68720000033</v>
      </c>
      <c r="F54" s="19">
        <f t="shared" si="10"/>
        <v>183362.08399999992</v>
      </c>
      <c r="G54" s="19">
        <f t="shared" si="10"/>
        <v>154842.04120000001</v>
      </c>
      <c r="H54" s="19">
        <f t="shared" si="10"/>
        <v>16430.197200000039</v>
      </c>
      <c r="I54" s="19">
        <f t="shared" si="10"/>
        <v>-5384.2875999999596</v>
      </c>
      <c r="J54" s="19">
        <f t="shared" si="10"/>
        <v>-126961.27680000009</v>
      </c>
      <c r="K54" s="19">
        <f t="shared" si="10"/>
        <v>-181870.43</v>
      </c>
      <c r="L54" s="19">
        <f t="shared" si="10"/>
        <v>-69916.655999999959</v>
      </c>
      <c r="M54" s="19">
        <f t="shared" si="10"/>
        <v>17345.872800000077</v>
      </c>
      <c r="N54" s="19">
        <f t="shared" si="10"/>
        <v>416220.66999999993</v>
      </c>
      <c r="O54" s="66">
        <f>SUM(C54:N54)</f>
        <v>1957305.0536000005</v>
      </c>
    </row>
    <row r="55" spans="1:24" s="13" customFormat="1" ht="15" thickTop="1" x14ac:dyDescent="0.35">
      <c r="A55" s="57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2"/>
    </row>
    <row r="56" spans="1:24" s="13" customFormat="1" ht="14.5" x14ac:dyDescent="0.35">
      <c r="A56" s="57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2"/>
    </row>
    <row r="57" spans="1:24" ht="14.5" x14ac:dyDescent="0.35">
      <c r="A57" s="7"/>
      <c r="B57" s="7"/>
      <c r="C57" s="21"/>
      <c r="D57" s="21"/>
      <c r="E57" s="21"/>
      <c r="F57" s="21"/>
      <c r="G57" s="21"/>
      <c r="H57" s="22"/>
      <c r="I57" s="10"/>
      <c r="J57" s="10"/>
    </row>
    <row r="58" spans="1:24" s="51" customFormat="1" ht="14.5" x14ac:dyDescent="0.35">
      <c r="A58" s="67"/>
      <c r="B58" s="68"/>
      <c r="C58" s="69"/>
      <c r="D58" s="70"/>
      <c r="E58" s="69"/>
      <c r="F58" s="69"/>
      <c r="G58" s="70"/>
      <c r="H58" s="69"/>
      <c r="I58" s="69"/>
      <c r="J58" s="71"/>
      <c r="K58" s="71"/>
      <c r="L58" s="71"/>
      <c r="M58" s="71"/>
      <c r="N58" s="71"/>
      <c r="O58" s="74"/>
      <c r="P58" s="75"/>
      <c r="Q58" s="75"/>
      <c r="R58" s="75"/>
      <c r="S58" s="75"/>
      <c r="T58" s="75"/>
      <c r="U58" s="75"/>
      <c r="V58" s="75"/>
      <c r="W58" s="75"/>
      <c r="X58" s="75"/>
    </row>
    <row r="59" spans="1:24" x14ac:dyDescent="0.25">
      <c r="A59" s="7"/>
      <c r="B59" s="7"/>
      <c r="C59" s="7"/>
      <c r="D59" s="7"/>
      <c r="H59" s="9"/>
    </row>
    <row r="60" spans="1:24" x14ac:dyDescent="0.25">
      <c r="B60" s="23"/>
      <c r="C60" s="7"/>
      <c r="D60" s="7"/>
      <c r="H60" s="24"/>
    </row>
    <row r="61" spans="1:24" x14ac:dyDescent="0.25">
      <c r="C61" s="7"/>
      <c r="D61" s="7"/>
      <c r="H61" s="9"/>
    </row>
    <row r="62" spans="1:24" x14ac:dyDescent="0.25">
      <c r="C62" s="7"/>
      <c r="D62" s="7"/>
      <c r="H62" s="9"/>
    </row>
    <row r="63" spans="1:24" x14ac:dyDescent="0.25">
      <c r="C63" s="7"/>
      <c r="D63" s="7"/>
      <c r="H63" s="9"/>
    </row>
    <row r="64" spans="1:24" x14ac:dyDescent="0.25">
      <c r="C64" s="7"/>
      <c r="D64" s="7"/>
      <c r="H64" s="9"/>
    </row>
    <row r="65" spans="1:8" x14ac:dyDescent="0.25">
      <c r="C65" s="7"/>
      <c r="D65" s="7"/>
      <c r="H65" s="9"/>
    </row>
    <row r="66" spans="1:8" x14ac:dyDescent="0.25">
      <c r="C66" s="7"/>
      <c r="D66" s="7"/>
      <c r="H66" s="9"/>
    </row>
    <row r="67" spans="1:8" x14ac:dyDescent="0.25">
      <c r="B67" s="23"/>
      <c r="C67" s="7"/>
      <c r="D67" s="7"/>
      <c r="H67" s="9"/>
    </row>
    <row r="68" spans="1:8" x14ac:dyDescent="0.25">
      <c r="C68" s="7"/>
      <c r="D68" s="7"/>
      <c r="H68" s="9"/>
    </row>
    <row r="69" spans="1:8" x14ac:dyDescent="0.25">
      <c r="B69" s="23"/>
      <c r="C69" s="7"/>
      <c r="D69" s="7"/>
      <c r="H69" s="7"/>
    </row>
    <row r="70" spans="1:8" x14ac:dyDescent="0.25">
      <c r="B70" s="23"/>
      <c r="C70" s="7"/>
      <c r="D70" s="7"/>
      <c r="H70" s="7"/>
    </row>
    <row r="71" spans="1:8" x14ac:dyDescent="0.25">
      <c r="C71" s="7"/>
      <c r="D71" s="7"/>
    </row>
    <row r="72" spans="1:8" ht="15.5" x14ac:dyDescent="0.35">
      <c r="A72" s="25"/>
      <c r="C72" s="7"/>
      <c r="D72" s="7"/>
    </row>
    <row r="73" spans="1:8" x14ac:dyDescent="0.25">
      <c r="C73" s="7"/>
      <c r="D73" s="7"/>
      <c r="H73" s="9"/>
    </row>
    <row r="74" spans="1:8" x14ac:dyDescent="0.25">
      <c r="C74" s="24"/>
      <c r="D74" s="24"/>
      <c r="F74" s="24"/>
      <c r="G74" s="24"/>
      <c r="H74" s="9"/>
    </row>
    <row r="75" spans="1:8" x14ac:dyDescent="0.25">
      <c r="C75" s="7"/>
      <c r="D75" s="7"/>
      <c r="H75" s="9"/>
    </row>
    <row r="76" spans="1:8" x14ac:dyDescent="0.25">
      <c r="C76" s="7"/>
      <c r="D76" s="7"/>
      <c r="H76" s="9"/>
    </row>
    <row r="77" spans="1:8" x14ac:dyDescent="0.25">
      <c r="C77" s="7"/>
      <c r="D77" s="7"/>
      <c r="H77" s="9"/>
    </row>
    <row r="78" spans="1:8" x14ac:dyDescent="0.25">
      <c r="C78" s="7"/>
      <c r="D78" s="7"/>
      <c r="H78" s="9"/>
    </row>
    <row r="79" spans="1:8" x14ac:dyDescent="0.25">
      <c r="C79" s="7"/>
      <c r="D79" s="7"/>
      <c r="H79" s="9"/>
    </row>
    <row r="80" spans="1:8" x14ac:dyDescent="0.25">
      <c r="C80" s="7"/>
      <c r="D80" s="7"/>
      <c r="H80" s="9"/>
    </row>
    <row r="81" spans="2:8" x14ac:dyDescent="0.25">
      <c r="C81" s="7"/>
      <c r="D81" s="7"/>
      <c r="H81" s="9"/>
    </row>
    <row r="82" spans="2:8" x14ac:dyDescent="0.25">
      <c r="C82" s="7"/>
      <c r="D82" s="7"/>
      <c r="H82" s="9"/>
    </row>
    <row r="83" spans="2:8" x14ac:dyDescent="0.25">
      <c r="C83" s="7"/>
      <c r="D83" s="7"/>
      <c r="H83" s="9"/>
    </row>
    <row r="84" spans="2:8" x14ac:dyDescent="0.25">
      <c r="C84" s="7"/>
      <c r="D84" s="7"/>
      <c r="H84" s="9"/>
    </row>
    <row r="85" spans="2:8" x14ac:dyDescent="0.25">
      <c r="C85" s="7"/>
      <c r="D85" s="7"/>
      <c r="H85" s="9"/>
    </row>
    <row r="86" spans="2:8" x14ac:dyDescent="0.25">
      <c r="C86" s="7"/>
      <c r="D86" s="7"/>
      <c r="H86" s="9"/>
    </row>
    <row r="87" spans="2:8" x14ac:dyDescent="0.25">
      <c r="C87" s="7"/>
      <c r="D87" s="7"/>
      <c r="H87" s="9"/>
    </row>
    <row r="88" spans="2:8" x14ac:dyDescent="0.25">
      <c r="C88" s="7"/>
      <c r="D88" s="7"/>
      <c r="H88" s="9"/>
    </row>
    <row r="89" spans="2:8" x14ac:dyDescent="0.25">
      <c r="C89" s="7"/>
      <c r="D89" s="7"/>
      <c r="H89" s="9"/>
    </row>
    <row r="90" spans="2:8" x14ac:dyDescent="0.25">
      <c r="C90" s="7"/>
      <c r="D90" s="7"/>
      <c r="H90" s="9"/>
    </row>
    <row r="91" spans="2:8" x14ac:dyDescent="0.25">
      <c r="C91" s="7"/>
      <c r="D91" s="7"/>
      <c r="H91" s="9"/>
    </row>
    <row r="92" spans="2:8" x14ac:dyDescent="0.25">
      <c r="B92" s="26"/>
      <c r="C92" s="7"/>
      <c r="D92" s="7"/>
      <c r="H92" s="9"/>
    </row>
    <row r="93" spans="2:8" x14ac:dyDescent="0.25">
      <c r="C93" s="7"/>
      <c r="D93" s="7"/>
      <c r="H93" s="9"/>
    </row>
    <row r="94" spans="2:8" x14ac:dyDescent="0.25">
      <c r="C94" s="7"/>
      <c r="D94" s="7"/>
      <c r="H94" s="9"/>
    </row>
    <row r="95" spans="2:8" x14ac:dyDescent="0.25">
      <c r="C95" s="7"/>
      <c r="D95" s="7"/>
      <c r="H95" s="9"/>
    </row>
    <row r="96" spans="2:8" x14ac:dyDescent="0.25">
      <c r="C96" s="7"/>
      <c r="D96" s="7"/>
      <c r="H96" s="9"/>
    </row>
    <row r="97" spans="1:8" x14ac:dyDescent="0.25">
      <c r="C97" s="7"/>
      <c r="D97" s="7"/>
      <c r="H97" s="9"/>
    </row>
    <row r="98" spans="1:8" x14ac:dyDescent="0.25">
      <c r="B98" s="23"/>
      <c r="C98" s="7"/>
      <c r="D98" s="7"/>
      <c r="H98" s="7"/>
    </row>
    <row r="99" spans="1:8" ht="13" x14ac:dyDescent="0.3">
      <c r="B99" s="27"/>
      <c r="C99" s="7"/>
      <c r="D99" s="7"/>
      <c r="H99" s="7"/>
    </row>
    <row r="100" spans="1:8" x14ac:dyDescent="0.25">
      <c r="C100" s="7"/>
      <c r="D100" s="7"/>
    </row>
    <row r="101" spans="1:8" x14ac:dyDescent="0.25">
      <c r="C101" s="7"/>
      <c r="D101" s="7"/>
      <c r="H101" s="9"/>
    </row>
    <row r="102" spans="1:8" x14ac:dyDescent="0.25">
      <c r="C102" s="7"/>
      <c r="D102" s="7"/>
      <c r="H102" s="9"/>
    </row>
    <row r="103" spans="1:8" x14ac:dyDescent="0.25">
      <c r="C103" s="7"/>
      <c r="D103" s="7"/>
      <c r="H103" s="9"/>
    </row>
    <row r="104" spans="1:8" x14ac:dyDescent="0.25">
      <c r="C104" s="7"/>
      <c r="D104" s="7"/>
      <c r="H104" s="9"/>
    </row>
    <row r="105" spans="1:8" x14ac:dyDescent="0.25">
      <c r="C105" s="7"/>
      <c r="D105" s="7"/>
      <c r="H105" s="9"/>
    </row>
    <row r="106" spans="1:8" x14ac:dyDescent="0.25">
      <c r="C106" s="7"/>
      <c r="D106" s="24"/>
      <c r="G106" s="24"/>
      <c r="H106" s="9"/>
    </row>
    <row r="107" spans="1:8" x14ac:dyDescent="0.25">
      <c r="C107" s="7"/>
      <c r="D107" s="7"/>
      <c r="H107" s="9"/>
    </row>
    <row r="108" spans="1:8" ht="14" x14ac:dyDescent="0.3">
      <c r="A108" s="28"/>
      <c r="B108" s="29"/>
      <c r="C108" s="30"/>
      <c r="D108" s="30"/>
      <c r="E108" s="30"/>
      <c r="F108" s="30"/>
      <c r="G108" s="30"/>
      <c r="H108" s="31"/>
    </row>
    <row r="109" spans="1:8" x14ac:dyDescent="0.25">
      <c r="C109" s="32"/>
      <c r="D109" s="32"/>
      <c r="E109" s="32"/>
      <c r="F109" s="32"/>
      <c r="G109" s="32"/>
    </row>
    <row r="110" spans="1:8" x14ac:dyDescent="0.25">
      <c r="B110" s="23"/>
      <c r="C110" s="7"/>
      <c r="D110" s="7"/>
      <c r="H110" s="9"/>
    </row>
    <row r="111" spans="1:8" x14ac:dyDescent="0.25">
      <c r="C111" s="7"/>
      <c r="D111" s="7"/>
      <c r="H111" s="9"/>
    </row>
    <row r="112" spans="1:8" x14ac:dyDescent="0.25">
      <c r="C112" s="7"/>
      <c r="D112" s="33"/>
      <c r="F112" s="33"/>
    </row>
    <row r="113" spans="1:24" s="7" customFormat="1" x14ac:dyDescent="0.25">
      <c r="A113" s="3"/>
      <c r="B113" s="3"/>
      <c r="D113" s="33"/>
      <c r="F113" s="33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 spans="1:24" s="7" customFormat="1" x14ac:dyDescent="0.25">
      <c r="A114" s="3"/>
      <c r="B114" s="3"/>
      <c r="D114" s="33"/>
      <c r="F114" s="33"/>
      <c r="O114" s="76"/>
      <c r="P114" s="76"/>
      <c r="Q114" s="76"/>
      <c r="R114" s="76"/>
      <c r="S114" s="76"/>
      <c r="T114" s="76"/>
      <c r="U114" s="76"/>
      <c r="V114" s="76"/>
      <c r="W114" s="76"/>
      <c r="X114" s="76"/>
    </row>
    <row r="115" spans="1:24" s="7" customFormat="1" x14ac:dyDescent="0.25">
      <c r="A115" s="3"/>
      <c r="B115" s="3"/>
      <c r="D115" s="33"/>
      <c r="F115" s="33"/>
      <c r="O115" s="76"/>
      <c r="P115" s="76"/>
      <c r="Q115" s="76"/>
      <c r="R115" s="76"/>
      <c r="S115" s="76"/>
      <c r="T115" s="76"/>
      <c r="U115" s="76"/>
      <c r="V115" s="76"/>
      <c r="W115" s="76"/>
      <c r="X115" s="76"/>
    </row>
    <row r="116" spans="1:24" s="7" customFormat="1" x14ac:dyDescent="0.25">
      <c r="A116" s="3"/>
      <c r="B116" s="3"/>
      <c r="D116" s="33"/>
      <c r="F116" s="33"/>
      <c r="O116" s="76"/>
      <c r="P116" s="76"/>
      <c r="Q116" s="76"/>
      <c r="R116" s="76"/>
      <c r="S116" s="76"/>
      <c r="T116" s="76"/>
      <c r="U116" s="76"/>
      <c r="V116" s="76"/>
      <c r="W116" s="76"/>
      <c r="X116" s="76"/>
    </row>
    <row r="117" spans="1:24" s="7" customFormat="1" x14ac:dyDescent="0.25">
      <c r="A117" s="3"/>
      <c r="B117" s="3"/>
      <c r="D117" s="33"/>
      <c r="F117" s="33"/>
      <c r="O117" s="76"/>
      <c r="P117" s="76"/>
      <c r="Q117" s="76"/>
      <c r="R117" s="76"/>
      <c r="S117" s="76"/>
      <c r="T117" s="76"/>
      <c r="U117" s="76"/>
      <c r="V117" s="76"/>
      <c r="W117" s="76"/>
      <c r="X117" s="76"/>
    </row>
    <row r="118" spans="1:24" s="7" customFormat="1" x14ac:dyDescent="0.25">
      <c r="A118" s="3"/>
      <c r="B118" s="3"/>
      <c r="D118" s="33"/>
      <c r="F118" s="33"/>
      <c r="O118" s="76"/>
      <c r="P118" s="76"/>
      <c r="Q118" s="76"/>
      <c r="R118" s="76"/>
      <c r="S118" s="76"/>
      <c r="T118" s="76"/>
      <c r="U118" s="76"/>
      <c r="V118" s="76"/>
      <c r="W118" s="76"/>
      <c r="X118" s="76"/>
    </row>
    <row r="119" spans="1:24" s="7" customFormat="1" ht="13" x14ac:dyDescent="0.3">
      <c r="A119" s="34"/>
      <c r="B119" s="3"/>
      <c r="D119" s="33"/>
      <c r="F119" s="33"/>
      <c r="O119" s="76"/>
      <c r="P119" s="76"/>
      <c r="Q119" s="76"/>
      <c r="R119" s="76"/>
      <c r="S119" s="76"/>
      <c r="T119" s="76"/>
      <c r="U119" s="76"/>
      <c r="V119" s="76"/>
      <c r="W119" s="76"/>
      <c r="X119" s="76"/>
    </row>
    <row r="120" spans="1:24" s="7" customFormat="1" ht="13" x14ac:dyDescent="0.3">
      <c r="A120" s="34"/>
      <c r="B120" s="3"/>
      <c r="D120" s="33"/>
      <c r="F120" s="33"/>
      <c r="O120" s="76"/>
      <c r="P120" s="76"/>
      <c r="Q120" s="76"/>
      <c r="R120" s="76"/>
      <c r="S120" s="76"/>
      <c r="T120" s="76"/>
      <c r="U120" s="76"/>
      <c r="V120" s="76"/>
      <c r="W120" s="76"/>
      <c r="X120" s="76"/>
    </row>
    <row r="121" spans="1:24" s="7" customFormat="1" x14ac:dyDescent="0.25">
      <c r="A121" s="3"/>
      <c r="B121" s="3"/>
      <c r="D121" s="33"/>
      <c r="F121" s="33"/>
      <c r="O121" s="76"/>
      <c r="P121" s="76"/>
      <c r="Q121" s="76"/>
      <c r="R121" s="76"/>
      <c r="S121" s="76"/>
      <c r="T121" s="76"/>
      <c r="U121" s="76"/>
      <c r="V121" s="76"/>
      <c r="W121" s="76"/>
      <c r="X121" s="76"/>
    </row>
    <row r="122" spans="1:24" s="7" customFormat="1" ht="13" x14ac:dyDescent="0.3">
      <c r="A122" s="34"/>
      <c r="B122" s="3"/>
      <c r="D122" s="33"/>
      <c r="F122" s="33"/>
      <c r="O122" s="76"/>
      <c r="P122" s="76"/>
      <c r="Q122" s="76"/>
      <c r="R122" s="76"/>
      <c r="S122" s="76"/>
      <c r="T122" s="76"/>
      <c r="U122" s="76"/>
      <c r="V122" s="76"/>
      <c r="W122" s="76"/>
      <c r="X122" s="76"/>
    </row>
    <row r="123" spans="1:24" s="7" customFormat="1" x14ac:dyDescent="0.25">
      <c r="A123" s="3"/>
      <c r="B123" s="23"/>
      <c r="D123" s="35"/>
      <c r="F123" s="33"/>
      <c r="O123" s="76"/>
      <c r="P123" s="76"/>
      <c r="Q123" s="76"/>
      <c r="R123" s="76"/>
      <c r="S123" s="76"/>
      <c r="T123" s="76"/>
      <c r="U123" s="76"/>
      <c r="V123" s="76"/>
      <c r="W123" s="76"/>
      <c r="X123" s="76"/>
    </row>
    <row r="124" spans="1:24" s="7" customFormat="1" x14ac:dyDescent="0.25">
      <c r="A124" s="3"/>
      <c r="B124" s="23"/>
      <c r="D124" s="33"/>
      <c r="F124" s="33"/>
      <c r="O124" s="76"/>
      <c r="P124" s="76"/>
      <c r="Q124" s="76"/>
      <c r="R124" s="76"/>
      <c r="S124" s="76"/>
      <c r="T124" s="76"/>
      <c r="U124" s="76"/>
      <c r="V124" s="76"/>
      <c r="W124" s="76"/>
      <c r="X124" s="76"/>
    </row>
    <row r="125" spans="1:24" s="7" customFormat="1" x14ac:dyDescent="0.25">
      <c r="A125" s="3"/>
      <c r="B125" s="23"/>
      <c r="D125" s="33"/>
      <c r="F125" s="33"/>
      <c r="O125" s="76"/>
      <c r="P125" s="76"/>
      <c r="Q125" s="76"/>
      <c r="R125" s="76"/>
      <c r="S125" s="76"/>
      <c r="T125" s="76"/>
      <c r="U125" s="76"/>
      <c r="V125" s="76"/>
      <c r="W125" s="76"/>
      <c r="X125" s="76"/>
    </row>
    <row r="126" spans="1:24" s="7" customFormat="1" x14ac:dyDescent="0.25">
      <c r="A126" s="3"/>
      <c r="B126" s="23"/>
      <c r="D126" s="33"/>
      <c r="F126" s="33"/>
      <c r="O126" s="76"/>
      <c r="P126" s="76"/>
      <c r="Q126" s="76"/>
      <c r="R126" s="76"/>
      <c r="S126" s="76"/>
      <c r="T126" s="76"/>
      <c r="U126" s="76"/>
      <c r="V126" s="76"/>
      <c r="W126" s="76"/>
      <c r="X126" s="76"/>
    </row>
    <row r="137" spans="1:24" s="7" customFormat="1" ht="13" x14ac:dyDescent="0.3">
      <c r="A137" s="3"/>
      <c r="B137" s="36"/>
      <c r="C137" s="37"/>
      <c r="D137" s="38"/>
      <c r="E137" s="39"/>
      <c r="F137" s="38"/>
      <c r="O137" s="76"/>
      <c r="P137" s="76"/>
      <c r="Q137" s="76"/>
      <c r="R137" s="76"/>
      <c r="S137" s="76"/>
      <c r="T137" s="76"/>
      <c r="U137" s="76"/>
      <c r="V137" s="76"/>
      <c r="W137" s="76"/>
      <c r="X137" s="76"/>
    </row>
    <row r="138" spans="1:24" s="7" customFormat="1" ht="13" x14ac:dyDescent="0.3">
      <c r="A138" s="3"/>
      <c r="B138" s="36"/>
      <c r="C138" s="37"/>
      <c r="D138" s="38"/>
      <c r="E138" s="39"/>
      <c r="F138" s="38"/>
      <c r="O138" s="76"/>
      <c r="P138" s="76"/>
      <c r="Q138" s="76"/>
      <c r="R138" s="76"/>
      <c r="S138" s="76"/>
      <c r="T138" s="76"/>
      <c r="U138" s="76"/>
      <c r="V138" s="76"/>
      <c r="W138" s="76"/>
      <c r="X138" s="76"/>
    </row>
    <row r="139" spans="1:24" s="7" customFormat="1" ht="13" x14ac:dyDescent="0.3">
      <c r="A139" s="3"/>
      <c r="B139" s="36"/>
      <c r="C139" s="37"/>
      <c r="D139" s="38"/>
      <c r="E139" s="39"/>
      <c r="F139" s="38"/>
      <c r="O139" s="76"/>
      <c r="P139" s="76"/>
      <c r="Q139" s="76"/>
      <c r="R139" s="76"/>
      <c r="S139" s="76"/>
      <c r="T139" s="76"/>
      <c r="U139" s="76"/>
      <c r="V139" s="76"/>
      <c r="W139" s="76"/>
      <c r="X139" s="76"/>
    </row>
    <row r="140" spans="1:24" s="7" customFormat="1" ht="13" x14ac:dyDescent="0.3">
      <c r="A140" s="3"/>
      <c r="B140" s="36"/>
      <c r="C140" s="37"/>
      <c r="D140" s="38"/>
      <c r="E140" s="39"/>
      <c r="F140" s="38"/>
      <c r="O140" s="76"/>
      <c r="P140" s="76"/>
      <c r="Q140" s="76"/>
      <c r="R140" s="76"/>
      <c r="S140" s="76"/>
      <c r="T140" s="76"/>
      <c r="U140" s="76"/>
      <c r="V140" s="76"/>
      <c r="W140" s="76"/>
      <c r="X140" s="76"/>
    </row>
    <row r="141" spans="1:24" s="7" customFormat="1" ht="13" x14ac:dyDescent="0.3">
      <c r="A141" s="3"/>
      <c r="B141" s="36"/>
      <c r="C141" s="37"/>
      <c r="D141" s="38"/>
      <c r="E141" s="39"/>
      <c r="F141" s="38"/>
      <c r="O141" s="76"/>
      <c r="P141" s="76"/>
      <c r="Q141" s="76"/>
      <c r="R141" s="76"/>
      <c r="S141" s="76"/>
      <c r="T141" s="76"/>
      <c r="U141" s="76"/>
      <c r="V141" s="76"/>
      <c r="W141" s="76"/>
      <c r="X141" s="76"/>
    </row>
    <row r="142" spans="1:24" s="7" customFormat="1" ht="14" x14ac:dyDescent="0.3">
      <c r="A142" s="40"/>
      <c r="B142" s="41"/>
      <c r="C142" s="42"/>
      <c r="D142" s="43"/>
      <c r="E142" s="42"/>
      <c r="F142" s="41"/>
      <c r="O142" s="76"/>
      <c r="P142" s="76"/>
      <c r="Q142" s="76"/>
      <c r="R142" s="76"/>
      <c r="S142" s="76"/>
      <c r="T142" s="76"/>
      <c r="U142" s="76"/>
      <c r="V142" s="76"/>
      <c r="W142" s="76"/>
      <c r="X142" s="76"/>
    </row>
    <row r="143" spans="1:24" s="7" customFormat="1" ht="13" x14ac:dyDescent="0.3">
      <c r="A143" s="44"/>
      <c r="B143" s="41"/>
      <c r="C143" s="42"/>
      <c r="D143" s="43"/>
      <c r="E143" s="42"/>
      <c r="F143" s="41"/>
      <c r="O143" s="76"/>
      <c r="P143" s="76"/>
      <c r="Q143" s="76"/>
      <c r="R143" s="76"/>
      <c r="S143" s="76"/>
      <c r="T143" s="76"/>
      <c r="U143" s="76"/>
      <c r="V143" s="76"/>
      <c r="W143" s="76"/>
      <c r="X143" s="76"/>
    </row>
    <row r="144" spans="1:24" s="7" customFormat="1" x14ac:dyDescent="0.25">
      <c r="A144" s="3"/>
      <c r="B144" s="3"/>
      <c r="D144" s="33"/>
      <c r="F144" s="3"/>
      <c r="O144" s="76"/>
      <c r="P144" s="76"/>
      <c r="Q144" s="76"/>
      <c r="R144" s="76"/>
      <c r="S144" s="76"/>
      <c r="T144" s="76"/>
      <c r="U144" s="76"/>
      <c r="V144" s="76"/>
      <c r="W144" s="76"/>
      <c r="X144" s="76"/>
    </row>
    <row r="145" spans="1:8" x14ac:dyDescent="0.25">
      <c r="C145" s="45"/>
      <c r="D145" s="46"/>
      <c r="E145" s="8"/>
      <c r="F145" s="45"/>
      <c r="G145" s="46"/>
      <c r="H145" s="46"/>
    </row>
    <row r="146" spans="1:8" x14ac:dyDescent="0.25">
      <c r="C146" s="47"/>
      <c r="D146" s="46"/>
      <c r="E146" s="8"/>
      <c r="F146" s="45"/>
      <c r="G146" s="46"/>
      <c r="H146" s="46"/>
    </row>
    <row r="147" spans="1:8" x14ac:dyDescent="0.25">
      <c r="D147" s="9"/>
      <c r="F147" s="3"/>
      <c r="G147" s="9"/>
      <c r="H147" s="9"/>
    </row>
    <row r="148" spans="1:8" ht="13" x14ac:dyDescent="0.3">
      <c r="A148" s="27"/>
      <c r="C148" s="7"/>
      <c r="D148" s="7"/>
      <c r="H148" s="9"/>
    </row>
    <row r="149" spans="1:8" ht="13" x14ac:dyDescent="0.3">
      <c r="A149" s="27"/>
      <c r="C149" s="7"/>
      <c r="D149" s="7"/>
      <c r="H149" s="9"/>
    </row>
    <row r="150" spans="1:8" ht="13" x14ac:dyDescent="0.3">
      <c r="A150" s="27"/>
      <c r="C150" s="7"/>
      <c r="D150" s="7"/>
      <c r="H150" s="9"/>
    </row>
    <row r="151" spans="1:8" ht="13" x14ac:dyDescent="0.3">
      <c r="A151" s="27"/>
      <c r="C151" s="7"/>
      <c r="D151" s="7"/>
      <c r="H151" s="9"/>
    </row>
    <row r="152" spans="1:8" ht="13" x14ac:dyDescent="0.3">
      <c r="A152" s="27"/>
      <c r="C152" s="7"/>
      <c r="D152" s="7"/>
      <c r="H152" s="9"/>
    </row>
    <row r="153" spans="1:8" x14ac:dyDescent="0.25">
      <c r="C153" s="7"/>
      <c r="D153" s="7"/>
      <c r="H153" s="7"/>
    </row>
    <row r="155" spans="1:8" ht="13" x14ac:dyDescent="0.3">
      <c r="A155" s="27"/>
      <c r="C155" s="7"/>
      <c r="D155" s="7"/>
      <c r="F155" s="3"/>
      <c r="G155" s="3"/>
    </row>
    <row r="156" spans="1:8" x14ac:dyDescent="0.25">
      <c r="C156" s="7"/>
      <c r="D156" s="7"/>
      <c r="H156" s="9"/>
    </row>
    <row r="157" spans="1:8" x14ac:dyDescent="0.25">
      <c r="C157" s="7"/>
      <c r="D157" s="7"/>
      <c r="H157" s="9"/>
    </row>
    <row r="158" spans="1:8" x14ac:dyDescent="0.25">
      <c r="C158" s="7"/>
      <c r="D158" s="7"/>
      <c r="H158" s="9"/>
    </row>
    <row r="159" spans="1:8" x14ac:dyDescent="0.25">
      <c r="C159" s="7"/>
      <c r="D159" s="7"/>
      <c r="H159" s="9"/>
    </row>
    <row r="160" spans="1:8" x14ac:dyDescent="0.25">
      <c r="C160" s="7"/>
      <c r="D160" s="7"/>
      <c r="H160" s="9"/>
    </row>
    <row r="161" spans="1:8" x14ac:dyDescent="0.25">
      <c r="C161" s="7"/>
      <c r="D161" s="7"/>
      <c r="H161" s="9"/>
    </row>
    <row r="162" spans="1:8" x14ac:dyDescent="0.25">
      <c r="C162" s="7"/>
      <c r="D162" s="7"/>
      <c r="H162" s="9"/>
    </row>
    <row r="163" spans="1:8" x14ac:dyDescent="0.25">
      <c r="C163" s="7"/>
      <c r="D163" s="7"/>
      <c r="H163" s="9"/>
    </row>
    <row r="164" spans="1:8" x14ac:dyDescent="0.25">
      <c r="C164" s="7"/>
      <c r="D164" s="7"/>
      <c r="H164" s="9"/>
    </row>
    <row r="165" spans="1:8" x14ac:dyDescent="0.25">
      <c r="C165" s="7"/>
      <c r="D165" s="7"/>
      <c r="H165" s="9"/>
    </row>
    <row r="166" spans="1:8" x14ac:dyDescent="0.25">
      <c r="C166" s="7"/>
      <c r="D166" s="7"/>
      <c r="H166" s="9"/>
    </row>
    <row r="167" spans="1:8" x14ac:dyDescent="0.25">
      <c r="C167" s="7"/>
      <c r="D167" s="7"/>
      <c r="H167" s="9"/>
    </row>
    <row r="168" spans="1:8" x14ac:dyDescent="0.25">
      <c r="C168" s="7"/>
      <c r="D168" s="7"/>
      <c r="H168" s="9"/>
    </row>
    <row r="169" spans="1:8" ht="13" x14ac:dyDescent="0.3">
      <c r="A169" s="27"/>
      <c r="C169" s="7"/>
      <c r="D169" s="7"/>
      <c r="H169" s="7"/>
    </row>
    <row r="170" spans="1:8" ht="13" x14ac:dyDescent="0.3">
      <c r="A170" s="34"/>
      <c r="C170" s="7"/>
      <c r="D170" s="33"/>
      <c r="F170" s="33"/>
    </row>
    <row r="171" spans="1:8" ht="13" x14ac:dyDescent="0.3">
      <c r="A171" s="34"/>
      <c r="C171" s="7"/>
      <c r="D171" s="7"/>
      <c r="H171" s="7"/>
    </row>
    <row r="172" spans="1:8" ht="13" x14ac:dyDescent="0.3">
      <c r="B172" s="36"/>
      <c r="C172" s="37"/>
      <c r="D172" s="38"/>
      <c r="E172" s="39"/>
      <c r="F172" s="38"/>
    </row>
    <row r="173" spans="1:8" x14ac:dyDescent="0.25">
      <c r="C173" s="7"/>
      <c r="D173" s="7"/>
      <c r="H173" s="9"/>
    </row>
    <row r="174" spans="1:8" x14ac:dyDescent="0.25">
      <c r="C174" s="7"/>
      <c r="D174" s="7"/>
      <c r="H174" s="9"/>
    </row>
    <row r="175" spans="1:8" x14ac:dyDescent="0.25">
      <c r="C175" s="7"/>
      <c r="D175" s="7"/>
      <c r="H175" s="9"/>
    </row>
    <row r="176" spans="1:8" x14ac:dyDescent="0.25">
      <c r="C176" s="7"/>
      <c r="D176" s="7"/>
      <c r="H176" s="9"/>
    </row>
    <row r="177" spans="2:8" ht="13" x14ac:dyDescent="0.3">
      <c r="C177" s="7"/>
      <c r="D177" s="7"/>
      <c r="F177" s="38"/>
      <c r="G177" s="38"/>
    </row>
    <row r="178" spans="2:8" x14ac:dyDescent="0.25">
      <c r="C178" s="7"/>
      <c r="D178" s="7"/>
      <c r="H178" s="9"/>
    </row>
    <row r="179" spans="2:8" ht="13" x14ac:dyDescent="0.3">
      <c r="B179" s="36"/>
      <c r="C179" s="37"/>
      <c r="D179" s="38"/>
      <c r="E179" s="39"/>
      <c r="F179" s="38"/>
    </row>
    <row r="180" spans="2:8" ht="13" x14ac:dyDescent="0.3">
      <c r="B180" s="36"/>
      <c r="C180" s="37"/>
      <c r="D180" s="38"/>
      <c r="E180" s="39"/>
      <c r="F180" s="38"/>
    </row>
    <row r="181" spans="2:8" ht="13" x14ac:dyDescent="0.3">
      <c r="B181" s="36"/>
      <c r="C181" s="37"/>
      <c r="D181" s="38"/>
      <c r="E181" s="39"/>
      <c r="F181" s="38"/>
    </row>
    <row r="182" spans="2:8" ht="13" x14ac:dyDescent="0.3">
      <c r="B182" s="36"/>
      <c r="C182" s="37"/>
      <c r="D182" s="38"/>
      <c r="E182" s="39"/>
      <c r="F182" s="38"/>
    </row>
    <row r="183" spans="2:8" ht="13" x14ac:dyDescent="0.3">
      <c r="B183" s="36"/>
      <c r="C183" s="37"/>
      <c r="D183" s="38"/>
      <c r="E183" s="39"/>
      <c r="F183" s="38"/>
    </row>
    <row r="184" spans="2:8" x14ac:dyDescent="0.25">
      <c r="C184" s="48"/>
      <c r="F184" s="33"/>
    </row>
    <row r="185" spans="2:8" x14ac:dyDescent="0.25">
      <c r="C185" s="7"/>
      <c r="D185" s="33"/>
      <c r="F185" s="33"/>
    </row>
    <row r="186" spans="2:8" x14ac:dyDescent="0.25">
      <c r="C186" s="7"/>
      <c r="D186" s="33"/>
      <c r="F186" s="33"/>
    </row>
    <row r="187" spans="2:8" x14ac:dyDescent="0.25">
      <c r="C187" s="7"/>
      <c r="D187" s="33"/>
      <c r="F187" s="33"/>
    </row>
    <row r="188" spans="2:8" x14ac:dyDescent="0.25">
      <c r="C188" s="7"/>
      <c r="D188" s="33"/>
      <c r="F188" s="33"/>
    </row>
    <row r="190" spans="2:8" x14ac:dyDescent="0.25">
      <c r="C190" s="24"/>
    </row>
    <row r="191" spans="2:8" x14ac:dyDescent="0.25">
      <c r="C191" s="24"/>
    </row>
    <row r="192" spans="2:8" x14ac:dyDescent="0.25">
      <c r="C192" s="24"/>
    </row>
    <row r="193" spans="2:3" x14ac:dyDescent="0.25">
      <c r="C193" s="24"/>
    </row>
    <row r="194" spans="2:3" x14ac:dyDescent="0.25">
      <c r="C194" s="24"/>
    </row>
    <row r="196" spans="2:3" x14ac:dyDescent="0.25">
      <c r="C196" s="24"/>
    </row>
    <row r="197" spans="2:3" x14ac:dyDescent="0.25">
      <c r="C197" s="24"/>
    </row>
    <row r="198" spans="2:3" x14ac:dyDescent="0.25">
      <c r="B198" s="49"/>
      <c r="C198" s="50"/>
    </row>
    <row r="201" spans="2:3" x14ac:dyDescent="0.25">
      <c r="B201" s="51"/>
      <c r="C201" s="7"/>
    </row>
    <row r="202" spans="2:3" x14ac:dyDescent="0.25">
      <c r="C202" s="7"/>
    </row>
    <row r="203" spans="2:3" x14ac:dyDescent="0.25">
      <c r="C203" s="7"/>
    </row>
    <row r="215" spans="2:24" s="7" customFormat="1" ht="13" x14ac:dyDescent="0.3">
      <c r="B215" s="36"/>
      <c r="D215" s="33"/>
      <c r="F215" s="33"/>
      <c r="O215" s="76"/>
      <c r="P215" s="76"/>
      <c r="Q215" s="76"/>
      <c r="R215" s="76"/>
      <c r="S215" s="76"/>
      <c r="T215" s="76"/>
      <c r="U215" s="76"/>
      <c r="V215" s="76"/>
      <c r="W215" s="76"/>
      <c r="X215" s="76"/>
    </row>
    <row r="216" spans="2:24" s="7" customFormat="1" x14ac:dyDescent="0.25">
      <c r="B216" s="26"/>
      <c r="D216" s="33"/>
      <c r="F216" s="33"/>
      <c r="O216" s="76"/>
      <c r="P216" s="76"/>
      <c r="Q216" s="76"/>
      <c r="R216" s="76"/>
      <c r="S216" s="76"/>
      <c r="T216" s="76"/>
      <c r="U216" s="76"/>
      <c r="V216" s="76"/>
      <c r="W216" s="76"/>
      <c r="X216" s="76"/>
    </row>
    <row r="217" spans="2:24" s="7" customFormat="1" x14ac:dyDescent="0.25">
      <c r="B217" s="26"/>
      <c r="D217" s="33"/>
      <c r="F217" s="33"/>
      <c r="O217" s="76"/>
      <c r="P217" s="76"/>
      <c r="Q217" s="76"/>
      <c r="R217" s="76"/>
      <c r="S217" s="76"/>
      <c r="T217" s="76"/>
      <c r="U217" s="76"/>
      <c r="V217" s="76"/>
      <c r="W217" s="76"/>
      <c r="X217" s="76"/>
    </row>
    <row r="218" spans="2:24" s="7" customFormat="1" x14ac:dyDescent="0.25">
      <c r="B218" s="26"/>
      <c r="D218" s="33"/>
      <c r="F218" s="33"/>
      <c r="O218" s="76"/>
      <c r="P218" s="76"/>
      <c r="Q218" s="76"/>
      <c r="R218" s="76"/>
      <c r="S218" s="76"/>
      <c r="T218" s="76"/>
      <c r="U218" s="76"/>
      <c r="V218" s="76"/>
      <c r="W218" s="76"/>
      <c r="X218" s="76"/>
    </row>
    <row r="219" spans="2:24" s="7" customFormat="1" x14ac:dyDescent="0.25">
      <c r="B219" s="26"/>
      <c r="D219" s="33"/>
      <c r="F219" s="33"/>
      <c r="O219" s="76"/>
      <c r="P219" s="76"/>
      <c r="Q219" s="76"/>
      <c r="R219" s="76"/>
      <c r="S219" s="76"/>
      <c r="T219" s="76"/>
      <c r="U219" s="76"/>
      <c r="V219" s="76"/>
      <c r="W219" s="76"/>
      <c r="X219" s="76"/>
    </row>
    <row r="220" spans="2:24" s="7" customFormat="1" x14ac:dyDescent="0.25">
      <c r="B220" s="26"/>
      <c r="D220" s="33"/>
      <c r="F220" s="33"/>
      <c r="O220" s="76"/>
      <c r="P220" s="76"/>
      <c r="Q220" s="76"/>
      <c r="R220" s="76"/>
      <c r="S220" s="76"/>
      <c r="T220" s="76"/>
      <c r="U220" s="76"/>
      <c r="V220" s="76"/>
      <c r="W220" s="76"/>
      <c r="X220" s="76"/>
    </row>
    <row r="221" spans="2:24" s="7" customFormat="1" x14ac:dyDescent="0.25">
      <c r="B221" s="26"/>
      <c r="D221" s="33"/>
      <c r="F221" s="33"/>
      <c r="O221" s="76"/>
      <c r="P221" s="76"/>
      <c r="Q221" s="76"/>
      <c r="R221" s="76"/>
      <c r="S221" s="76"/>
      <c r="T221" s="76"/>
      <c r="U221" s="76"/>
      <c r="V221" s="76"/>
      <c r="W221" s="76"/>
      <c r="X221" s="76"/>
    </row>
    <row r="222" spans="2:24" s="7" customFormat="1" x14ac:dyDescent="0.25">
      <c r="B222" s="26"/>
      <c r="D222" s="33"/>
      <c r="F222" s="33"/>
      <c r="O222" s="76"/>
      <c r="P222" s="76"/>
      <c r="Q222" s="76"/>
      <c r="R222" s="76"/>
      <c r="S222" s="76"/>
      <c r="T222" s="76"/>
      <c r="U222" s="76"/>
      <c r="V222" s="76"/>
      <c r="W222" s="76"/>
      <c r="X222" s="76"/>
    </row>
    <row r="223" spans="2:24" s="7" customFormat="1" x14ac:dyDescent="0.25">
      <c r="B223" s="26"/>
      <c r="D223" s="33"/>
      <c r="F223" s="33"/>
      <c r="O223" s="76"/>
      <c r="P223" s="76"/>
      <c r="Q223" s="76"/>
      <c r="R223" s="76"/>
      <c r="S223" s="76"/>
      <c r="T223" s="76"/>
      <c r="U223" s="76"/>
      <c r="V223" s="76"/>
      <c r="W223" s="76"/>
      <c r="X223" s="76"/>
    </row>
    <row r="224" spans="2:24" s="7" customFormat="1" x14ac:dyDescent="0.25">
      <c r="B224" s="26"/>
      <c r="D224" s="33"/>
      <c r="F224" s="33"/>
      <c r="O224" s="76"/>
      <c r="P224" s="76"/>
      <c r="Q224" s="76"/>
      <c r="R224" s="76"/>
      <c r="S224" s="76"/>
      <c r="T224" s="76"/>
      <c r="U224" s="76"/>
      <c r="V224" s="76"/>
      <c r="W224" s="76"/>
      <c r="X224" s="76"/>
    </row>
    <row r="225" spans="2:24" s="7" customFormat="1" x14ac:dyDescent="0.25">
      <c r="B225" s="26"/>
      <c r="D225" s="33"/>
      <c r="F225" s="33"/>
      <c r="O225" s="76"/>
      <c r="P225" s="76"/>
      <c r="Q225" s="76"/>
      <c r="R225" s="76"/>
      <c r="S225" s="76"/>
      <c r="T225" s="76"/>
      <c r="U225" s="76"/>
      <c r="V225" s="76"/>
      <c r="W225" s="76"/>
      <c r="X225" s="76"/>
    </row>
    <row r="226" spans="2:24" s="7" customFormat="1" x14ac:dyDescent="0.25">
      <c r="B226" s="26"/>
      <c r="D226" s="33"/>
      <c r="F226" s="33"/>
      <c r="O226" s="76"/>
      <c r="P226" s="76"/>
      <c r="Q226" s="76"/>
      <c r="R226" s="76"/>
      <c r="S226" s="76"/>
      <c r="T226" s="76"/>
      <c r="U226" s="76"/>
      <c r="V226" s="76"/>
      <c r="W226" s="76"/>
      <c r="X226" s="76"/>
    </row>
    <row r="227" spans="2:24" s="7" customFormat="1" x14ac:dyDescent="0.25">
      <c r="B227" s="26"/>
      <c r="D227" s="33"/>
      <c r="F227" s="33"/>
      <c r="O227" s="76"/>
      <c r="P227" s="76"/>
      <c r="Q227" s="76"/>
      <c r="R227" s="76"/>
      <c r="S227" s="76"/>
      <c r="T227" s="76"/>
      <c r="U227" s="76"/>
      <c r="V227" s="76"/>
      <c r="W227" s="76"/>
      <c r="X227" s="76"/>
    </row>
    <row r="228" spans="2:24" s="7" customFormat="1" x14ac:dyDescent="0.25">
      <c r="B228" s="26"/>
      <c r="D228" s="33"/>
      <c r="F228" s="33"/>
      <c r="O228" s="76"/>
      <c r="P228" s="76"/>
      <c r="Q228" s="76"/>
      <c r="R228" s="76"/>
      <c r="S228" s="76"/>
      <c r="T228" s="76"/>
      <c r="U228" s="76"/>
      <c r="V228" s="76"/>
      <c r="W228" s="76"/>
      <c r="X228" s="76"/>
    </row>
    <row r="229" spans="2:24" s="7" customFormat="1" x14ac:dyDescent="0.25">
      <c r="B229" s="26"/>
      <c r="D229" s="33"/>
      <c r="F229" s="33"/>
      <c r="O229" s="76"/>
      <c r="P229" s="76"/>
      <c r="Q229" s="76"/>
      <c r="R229" s="76"/>
      <c r="S229" s="76"/>
      <c r="T229" s="76"/>
      <c r="U229" s="76"/>
      <c r="V229" s="76"/>
      <c r="W229" s="76"/>
      <c r="X229" s="76"/>
    </row>
    <row r="230" spans="2:24" s="7" customFormat="1" x14ac:dyDescent="0.25">
      <c r="B230" s="26"/>
      <c r="D230" s="33"/>
      <c r="F230" s="33"/>
      <c r="O230" s="76"/>
      <c r="P230" s="76"/>
      <c r="Q230" s="76"/>
      <c r="R230" s="76"/>
      <c r="S230" s="76"/>
      <c r="T230" s="76"/>
      <c r="U230" s="76"/>
      <c r="V230" s="76"/>
      <c r="W230" s="76"/>
      <c r="X230" s="76"/>
    </row>
    <row r="231" spans="2:24" s="7" customFormat="1" x14ac:dyDescent="0.25">
      <c r="B231" s="26"/>
      <c r="D231" s="33"/>
      <c r="F231" s="33"/>
      <c r="O231" s="76"/>
      <c r="P231" s="76"/>
      <c r="Q231" s="76"/>
      <c r="R231" s="76"/>
      <c r="S231" s="76"/>
      <c r="T231" s="76"/>
      <c r="U231" s="76"/>
      <c r="V231" s="76"/>
      <c r="W231" s="76"/>
      <c r="X231" s="76"/>
    </row>
    <row r="232" spans="2:24" s="7" customFormat="1" x14ac:dyDescent="0.25">
      <c r="B232" s="26"/>
      <c r="D232" s="33"/>
      <c r="F232" s="33"/>
      <c r="O232" s="76"/>
      <c r="P232" s="76"/>
      <c r="Q232" s="76"/>
      <c r="R232" s="76"/>
      <c r="S232" s="76"/>
      <c r="T232" s="76"/>
      <c r="U232" s="76"/>
      <c r="V232" s="76"/>
      <c r="W232" s="76"/>
      <c r="X232" s="76"/>
    </row>
    <row r="233" spans="2:24" s="7" customFormat="1" x14ac:dyDescent="0.25">
      <c r="B233" s="26"/>
      <c r="D233" s="33"/>
      <c r="F233" s="33"/>
      <c r="O233" s="76"/>
      <c r="P233" s="76"/>
      <c r="Q233" s="76"/>
      <c r="R233" s="76"/>
      <c r="S233" s="76"/>
      <c r="T233" s="76"/>
      <c r="U233" s="76"/>
      <c r="V233" s="76"/>
      <c r="W233" s="76"/>
      <c r="X233" s="76"/>
    </row>
    <row r="234" spans="2:24" s="7" customFormat="1" x14ac:dyDescent="0.25">
      <c r="B234" s="26"/>
      <c r="D234" s="33"/>
      <c r="F234" s="33"/>
      <c r="O234" s="76"/>
      <c r="P234" s="76"/>
      <c r="Q234" s="76"/>
      <c r="R234" s="76"/>
      <c r="S234" s="76"/>
      <c r="T234" s="76"/>
      <c r="U234" s="76"/>
      <c r="V234" s="76"/>
      <c r="W234" s="76"/>
      <c r="X234" s="76"/>
    </row>
    <row r="235" spans="2:24" s="7" customFormat="1" x14ac:dyDescent="0.25">
      <c r="B235" s="26"/>
      <c r="D235" s="33"/>
      <c r="F235" s="33"/>
      <c r="O235" s="76"/>
      <c r="P235" s="76"/>
      <c r="Q235" s="76"/>
      <c r="R235" s="76"/>
      <c r="S235" s="76"/>
      <c r="T235" s="76"/>
      <c r="U235" s="76"/>
      <c r="V235" s="76"/>
      <c r="W235" s="76"/>
      <c r="X235" s="76"/>
    </row>
    <row r="236" spans="2:24" s="7" customFormat="1" x14ac:dyDescent="0.25">
      <c r="B236" s="26"/>
      <c r="D236" s="33"/>
      <c r="F236" s="33"/>
      <c r="O236" s="76"/>
      <c r="P236" s="76"/>
      <c r="Q236" s="76"/>
      <c r="R236" s="76"/>
      <c r="S236" s="76"/>
      <c r="T236" s="76"/>
      <c r="U236" s="76"/>
      <c r="V236" s="76"/>
      <c r="W236" s="76"/>
      <c r="X236" s="76"/>
    </row>
    <row r="237" spans="2:24" s="7" customFormat="1" x14ac:dyDescent="0.25">
      <c r="B237" s="26"/>
      <c r="D237" s="33"/>
      <c r="F237" s="33"/>
      <c r="O237" s="76"/>
      <c r="P237" s="76"/>
      <c r="Q237" s="76"/>
      <c r="R237" s="76"/>
      <c r="S237" s="76"/>
      <c r="T237" s="76"/>
      <c r="U237" s="76"/>
      <c r="V237" s="76"/>
      <c r="W237" s="76"/>
      <c r="X237" s="76"/>
    </row>
    <row r="238" spans="2:24" s="7" customFormat="1" x14ac:dyDescent="0.25">
      <c r="B238" s="26"/>
      <c r="D238" s="33"/>
      <c r="F238" s="33"/>
      <c r="O238" s="76"/>
      <c r="P238" s="76"/>
      <c r="Q238" s="76"/>
      <c r="R238" s="76"/>
      <c r="S238" s="76"/>
      <c r="T238" s="76"/>
      <c r="U238" s="76"/>
      <c r="V238" s="76"/>
      <c r="W238" s="76"/>
      <c r="X238" s="76"/>
    </row>
    <row r="239" spans="2:24" s="7" customFormat="1" x14ac:dyDescent="0.25">
      <c r="B239" s="26"/>
      <c r="D239" s="33"/>
      <c r="F239" s="33"/>
      <c r="O239" s="76"/>
      <c r="P239" s="76"/>
      <c r="Q239" s="76"/>
      <c r="R239" s="76"/>
      <c r="S239" s="76"/>
      <c r="T239" s="76"/>
      <c r="U239" s="76"/>
      <c r="V239" s="76"/>
      <c r="W239" s="76"/>
      <c r="X239" s="76"/>
    </row>
    <row r="240" spans="2:24" s="7" customFormat="1" x14ac:dyDescent="0.25">
      <c r="B240" s="26"/>
      <c r="D240" s="33"/>
      <c r="F240" s="33"/>
      <c r="O240" s="76"/>
      <c r="P240" s="76"/>
      <c r="Q240" s="76"/>
      <c r="R240" s="76"/>
      <c r="S240" s="76"/>
      <c r="T240" s="76"/>
      <c r="U240" s="76"/>
      <c r="V240" s="76"/>
      <c r="W240" s="76"/>
      <c r="X240" s="76"/>
    </row>
    <row r="241" spans="1:24" s="7" customFormat="1" x14ac:dyDescent="0.25">
      <c r="B241" s="26"/>
      <c r="D241" s="33"/>
      <c r="F241" s="33"/>
      <c r="O241" s="76"/>
      <c r="P241" s="76"/>
      <c r="Q241" s="76"/>
      <c r="R241" s="76"/>
      <c r="S241" s="76"/>
      <c r="T241" s="76"/>
      <c r="U241" s="76"/>
      <c r="V241" s="76"/>
      <c r="W241" s="76"/>
      <c r="X241" s="76"/>
    </row>
    <row r="242" spans="1:24" s="7" customFormat="1" x14ac:dyDescent="0.25">
      <c r="B242" s="26"/>
      <c r="D242" s="33"/>
      <c r="F242" s="33"/>
      <c r="O242" s="76"/>
      <c r="P242" s="76"/>
      <c r="Q242" s="76"/>
      <c r="R242" s="76"/>
      <c r="S242" s="76"/>
      <c r="T242" s="76"/>
      <c r="U242" s="76"/>
      <c r="V242" s="76"/>
      <c r="W242" s="76"/>
      <c r="X242" s="76"/>
    </row>
    <row r="243" spans="1:24" s="7" customFormat="1" x14ac:dyDescent="0.25">
      <c r="B243" s="26"/>
      <c r="D243" s="33"/>
      <c r="F243" s="33"/>
      <c r="O243" s="76"/>
      <c r="P243" s="76"/>
      <c r="Q243" s="76"/>
      <c r="R243" s="76"/>
      <c r="S243" s="76"/>
      <c r="T243" s="76"/>
      <c r="U243" s="76"/>
      <c r="V243" s="76"/>
      <c r="W243" s="76"/>
      <c r="X243" s="76"/>
    </row>
    <row r="244" spans="1:24" s="7" customFormat="1" x14ac:dyDescent="0.25">
      <c r="B244" s="26"/>
      <c r="D244" s="33"/>
      <c r="F244" s="33"/>
      <c r="O244" s="76"/>
      <c r="P244" s="76"/>
      <c r="Q244" s="76"/>
      <c r="R244" s="76"/>
      <c r="S244" s="76"/>
      <c r="T244" s="76"/>
      <c r="U244" s="76"/>
      <c r="V244" s="76"/>
      <c r="W244" s="76"/>
      <c r="X244" s="76"/>
    </row>
    <row r="245" spans="1:24" s="7" customFormat="1" x14ac:dyDescent="0.25">
      <c r="B245" s="26"/>
      <c r="D245" s="33"/>
      <c r="F245" s="33"/>
      <c r="O245" s="76"/>
      <c r="P245" s="76"/>
      <c r="Q245" s="76"/>
      <c r="R245" s="76"/>
      <c r="S245" s="76"/>
      <c r="T245" s="76"/>
      <c r="U245" s="76"/>
      <c r="V245" s="76"/>
      <c r="W245" s="76"/>
      <c r="X245" s="76"/>
    </row>
    <row r="246" spans="1:24" s="7" customFormat="1" x14ac:dyDescent="0.25">
      <c r="B246" s="3"/>
      <c r="D246" s="33"/>
      <c r="F246" s="33"/>
      <c r="O246" s="76"/>
      <c r="P246" s="76"/>
      <c r="Q246" s="76"/>
      <c r="R246" s="76"/>
      <c r="S246" s="76"/>
      <c r="T246" s="76"/>
      <c r="U246" s="76"/>
      <c r="V246" s="76"/>
      <c r="W246" s="76"/>
      <c r="X246" s="76"/>
    </row>
    <row r="247" spans="1:24" s="7" customFormat="1" ht="13" x14ac:dyDescent="0.3">
      <c r="B247" s="36"/>
      <c r="D247" s="33"/>
      <c r="F247" s="33"/>
      <c r="O247" s="76"/>
      <c r="P247" s="76"/>
      <c r="Q247" s="76"/>
      <c r="R247" s="76"/>
      <c r="S247" s="76"/>
      <c r="T247" s="76"/>
      <c r="U247" s="76"/>
      <c r="V247" s="76"/>
      <c r="W247" s="76"/>
      <c r="X247" s="76"/>
    </row>
    <row r="248" spans="1:24" s="7" customFormat="1" x14ac:dyDescent="0.25">
      <c r="A248" s="3"/>
      <c r="B248" s="3"/>
      <c r="D248" s="3"/>
      <c r="O248" s="76"/>
      <c r="P248" s="76"/>
      <c r="Q248" s="76"/>
      <c r="R248" s="76"/>
      <c r="S248" s="76"/>
      <c r="T248" s="76"/>
      <c r="U248" s="76"/>
      <c r="V248" s="76"/>
      <c r="W248" s="76"/>
      <c r="X248" s="76"/>
    </row>
  </sheetData>
  <conditionalFormatting sqref="C58">
    <cfRule type="expression" dxfId="5" priority="6">
      <formula>$K58=0</formula>
    </cfRule>
  </conditionalFormatting>
  <conditionalFormatting sqref="C56: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5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</vt:lpstr>
      <vt:lpstr>'P&amp;L'!Print_Area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Petauton</dc:creator>
  <cp:lastModifiedBy>Louis Petauton</cp:lastModifiedBy>
  <dcterms:created xsi:type="dcterms:W3CDTF">2024-01-31T21:48:41Z</dcterms:created>
  <dcterms:modified xsi:type="dcterms:W3CDTF">2024-09-27T19:23:43Z</dcterms:modified>
</cp:coreProperties>
</file>