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Summary (3 Mo)" sheetId="1" state="visible" r:id="rId3"/>
    <sheet name="Per-Deal LLM (model)" sheetId="2" state="visible" r:id="rId4"/>
    <sheet name="Estimate vs Actu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<sst xmlns="http://schemas.openxmlformats.org/spreadsheetml/2006/main" count="121" uniqueCount="111">
  <si>
    <t xml:space="preserve">Fondok — Cloud &amp; AI Spend</t>
  </si>
  <si>
    <t xml:space="preserve">Actuals for last 3 months (Apr–Jun 2026) · pulled live from each provider dashboard · USD</t>
  </si>
  <si>
    <t xml:space="preserve">Prepared 30 Jun 2026 · account: aprem01 / Prem</t>
  </si>
  <si>
    <t xml:space="preserve">Service / Item</t>
  </si>
  <si>
    <t xml:space="preserve">Plan</t>
  </si>
  <si>
    <t xml:space="preserve">Apr 2026</t>
  </si>
  <si>
    <t xml:space="preserve">May 2026</t>
  </si>
  <si>
    <t xml:space="preserve">Jun 2026</t>
  </si>
  <si>
    <t xml:space="preserve">3-Mo Total</t>
  </si>
  <si>
    <t xml:space="preserve">Monthly Avg</t>
  </si>
  <si>
    <t xml:space="preserve">Status / Source</t>
  </si>
  <si>
    <t xml:space="preserve">FONDOK OPERATING — Infrastructure</t>
  </si>
  <si>
    <t xml:space="preserve">Vercel (web app)</t>
  </si>
  <si>
    <t xml:space="preserve">Hobby (free)</t>
  </si>
  <si>
    <t xml:space="preserve">Measured · Hobby plan, usage within free limits</t>
  </si>
  <si>
    <t xml:space="preserve">Railway (fondok-worker)</t>
  </si>
  <si>
    <t xml:space="preserve">Hobby</t>
  </si>
  <si>
    <t xml:space="preserve">Jun measured (net bill ~$2.48; fondok raw $7.12, Jun infl. by QA tests); Apr/May est.</t>
  </si>
  <si>
    <t xml:space="preserve">Neon (Postgres+pgvector)</t>
  </si>
  <si>
    <t xml:space="preserve">Free</t>
  </si>
  <si>
    <t xml:space="preserve">Measured · Free tier (0.16 CU-hrs, 0.06 GB)</t>
  </si>
  <si>
    <t xml:space="preserve">AWS S3 (fondok-raw-prod)</t>
  </si>
  <si>
    <t xml:space="preserve">usage</t>
  </si>
  <si>
    <t xml:space="preserve">Jun measured $1.03 (+1% MoM); Apr/May derived</t>
  </si>
  <si>
    <t xml:space="preserve">Sentry (errors)</t>
  </si>
  <si>
    <t xml:space="preserve">Developer (free)</t>
  </si>
  <si>
    <t xml:space="preserve">Measured · $0, no payment method on file</t>
  </si>
  <si>
    <t xml:space="preserve">Clerk (auth)</t>
  </si>
  <si>
    <t xml:space="preserve">Free tier (&lt;10K MAU)</t>
  </si>
  <si>
    <t xml:space="preserve">GitHub (repo/CI)</t>
  </si>
  <si>
    <t xml:space="preserve">Free tier</t>
  </si>
  <si>
    <t xml:space="preserve">FONDOK OPERATING — AI / LLM (API)</t>
  </si>
  <si>
    <t xml:space="preserve">Anthropic API — Claude (Sonnet/Opus/Haiku)</t>
  </si>
  <si>
    <t xml:space="preserve">Measured · platform.claude.com/cost (org-wide; Jun infl. by QA tests)</t>
  </si>
  <si>
    <t xml:space="preserve">LlamaParse (PDF parsing)</t>
  </si>
  <si>
    <t xml:space="preserve">free tier</t>
  </si>
  <si>
    <t xml:space="preserve">Not separately billed (within free tier)</t>
  </si>
  <si>
    <t xml:space="preserve">Voyage AI (embeddings)</t>
  </si>
  <si>
    <t xml:space="preserve">Negligible / not separately pulled</t>
  </si>
  <si>
    <t xml:space="preserve">SUBSCRIPTIONS (personal / dev tools)</t>
  </si>
  <si>
    <t xml:space="preserve">Claude Max plan (claude.ai + Code)</t>
  </si>
  <si>
    <t xml:space="preserve">Max</t>
  </si>
  <si>
    <t xml:space="preserve">Measured · invoices Apr 27 / May 27 / Jun 27, Paid</t>
  </si>
  <si>
    <t xml:space="preserve">OpenAI Platform</t>
  </si>
  <si>
    <t xml:space="preserve">—</t>
  </si>
  <si>
    <t xml:space="preserve">PENDING — login wall (not signed in); fill once available</t>
  </si>
  <si>
    <t xml:space="preserve">TOTAL — ALL SPEND</t>
  </si>
  <si>
    <t xml:space="preserve">   of which: Fondok run-cost (infra + API only)</t>
  </si>
  <si>
    <t xml:space="preserve">Notes:</t>
  </si>
  <si>
    <t xml:space="preserve">• "Measured" = read live from the provider dashboard on 30 Jun 2026. Apr/May cells marked "est./derived" were not separately pulled.</t>
  </si>
  <si>
    <t xml:space="preserve">• Jun figures for Railway (fondok-worker) and Anthropic API are inflated by this session's QA testing (many extractions, engine runs, OM parses). A normal month is lower.</t>
  </si>
  <si>
    <t xml:space="preserve">• Anthropic API total is org-wide (Prem's Individual Org), not Fondok-only. To isolate Fondok, filter the cost page by the worker API key / agent_name tags.</t>
  </si>
  <si>
    <t xml:space="preserve">• Claude Max ($212/mo) and the Anthropic API are billed separately (different credit pools). Claude usage-credit balance on claude.ai was $205.50.</t>
  </si>
  <si>
    <t xml:space="preserve">• OpenAI pending: not logged in. Fondok's worker does not use OpenAI (Anthropic + LlamaParse + Voyage), so this is likely personal/other spend.</t>
  </si>
  <si>
    <t xml:space="preserve">• Vercel/Neon/Sentry/Clerk/GitHub are all on free tiers ($0).</t>
  </si>
  <si>
    <t xml:space="preserve">Per-Deal LLM Cost — 16-doc data room (Anglers shape)</t>
  </si>
  <si>
    <t xml:space="preserve">Modeled from observed token volumes; replace with model_calls query for exact per-deal actuals</t>
  </si>
  <si>
    <t xml:space="preserve">Stage</t>
  </si>
  <si>
    <t xml:space="preserve">LLM calls</t>
  </si>
  <si>
    <t xml:space="preserve">Cost low ($)</t>
  </si>
  <si>
    <t xml:space="preserve">Cost high ($)</t>
  </si>
  <si>
    <t xml:space="preserve">Parse (16 docs, LlamaParse only)</t>
  </si>
  <si>
    <t xml:space="preserve">0</t>
  </si>
  <si>
    <t xml:space="preserve">Router classify (16 docs, Haiku)</t>
  </si>
  <si>
    <t xml:space="preserve">16</t>
  </si>
  <si>
    <t xml:space="preserve">Extractor (16 docs x ~3 chunks, Sonnet + retries)</t>
  </si>
  <si>
    <t xml:space="preserve">50-80</t>
  </si>
  <si>
    <t xml:space="preserve">USALI scoring (deterministic)</t>
  </si>
  <si>
    <t xml:space="preserve">Variance / broker questions</t>
  </si>
  <si>
    <t xml:space="preserve">0-1</t>
  </si>
  <si>
    <t xml:space="preserve">Engine run-all (8 engines + Opus rationale)</t>
  </si>
  <si>
    <t xml:space="preserve">4-8</t>
  </si>
  <si>
    <t xml:space="preserve">IC memo draft (Opus)</t>
  </si>
  <si>
    <t xml:space="preserve">1</t>
  </si>
  <si>
    <t xml:space="preserve">Total per deal</t>
  </si>
  <si>
    <t xml:space="preserve">Original estimate vs measured actual (monthly)</t>
  </si>
  <si>
    <t xml:space="preserve">Service</t>
  </si>
  <si>
    <t xml:space="preserve">Estimate / mo</t>
  </si>
  <si>
    <t xml:space="preserve">Actual / mo</t>
  </si>
  <si>
    <t xml:space="preserve">Comment</t>
  </si>
  <si>
    <t xml:space="preserve">Vercel</t>
  </si>
  <si>
    <t xml:space="preserve">$20</t>
  </si>
  <si>
    <t xml:space="preserve">$0</t>
  </si>
  <si>
    <t xml:space="preserve">On Hobby free, not Pro</t>
  </si>
  <si>
    <t xml:space="preserve">Railway</t>
  </si>
  <si>
    <t xml:space="preserve">$30–60</t>
  </si>
  <si>
    <t xml:space="preserve">~$2.48</t>
  </si>
  <si>
    <t xml:space="preserve">Hobby tier; tiny at this volume</t>
  </si>
  <si>
    <t xml:space="preserve">Neon</t>
  </si>
  <si>
    <t xml:space="preserve">$19</t>
  </si>
  <si>
    <t xml:space="preserve">AWS S3</t>
  </si>
  <si>
    <t xml:space="preserve">$2–5</t>
  </si>
  <si>
    <t xml:space="preserve">~$1.03</t>
  </si>
  <si>
    <t xml:space="preserve">Steady</t>
  </si>
  <si>
    <t xml:space="preserve">Sentry</t>
  </si>
  <si>
    <t xml:space="preserve">$0–26</t>
  </si>
  <si>
    <t xml:space="preserve">Developer free</t>
  </si>
  <si>
    <t xml:space="preserve">Clerk / GitHub / Domain</t>
  </si>
  <si>
    <t xml:space="preserve">$1–4</t>
  </si>
  <si>
    <t xml:space="preserve">Infra subtotal</t>
  </si>
  <si>
    <t xml:space="preserve">$72–135</t>
  </si>
  <si>
    <t xml:space="preserve">~$3.50</t>
  </si>
  <si>
    <t xml:space="preserve">~20–40x lower than estimate</t>
  </si>
  <si>
    <t xml:space="preserve">Anthropic API (LLM)</t>
  </si>
  <si>
    <t xml:space="preserve">$63–176</t>
  </si>
  <si>
    <t xml:space="preserve">$110–168</t>
  </si>
  <si>
    <t xml:space="preserve">In range; Jun test-inflated</t>
  </si>
  <si>
    <t xml:space="preserve">Claude Max subscription</t>
  </si>
  <si>
    <t xml:space="preserve">(not in est.)</t>
  </si>
  <si>
    <t xml:space="preserve">$212</t>
  </si>
  <si>
    <t xml:space="preserve">Personal/dev tool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</si>
</sst>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i val="true"/>
      <sz val="11"/>
      <name val="Arial"/>
      <family val="0"/>
      <charset val="1"/>
    </font>
    <font>
      <b val="true"/>
      <sz val="1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7" min="3" style="0" width="13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6"/>
      <c r="C6" s="6"/>
      <c r="D6" s="6"/>
      <c r="E6" s="6"/>
      <c r="F6" s="6"/>
      <c r="G6" s="6"/>
      <c r="H6" s="6"/>
    </row>
    <row r="7" customFormat="false" ht="22.35" hidden="false" customHeight="false" outlineLevel="0" collapsed="false">
      <c r="A7" s="7" t="s">
        <v>12</v>
      </c>
      <c r="B7" s="8" t="s">
        <v>13</v>
      </c>
      <c r="C7" s="9" t="n">
        <v>0</v>
      </c>
      <c r="D7" s="9" t="n">
        <v>0</v>
      </c>
      <c r="E7" s="9" t="n">
        <v>0</v>
      </c>
      <c r="F7" s="10" t="n">
        <f aca="false">SUM(C7:E7)</f>
        <v>0</v>
      </c>
      <c r="G7" s="11" t="n">
        <f aca="false">AVERAGE(C7:E7)</f>
        <v>0</v>
      </c>
      <c r="H7" s="12" t="s">
        <v>14</v>
      </c>
    </row>
    <row r="8" customFormat="false" ht="32.8" hidden="false" customHeight="false" outlineLevel="0" collapsed="false">
      <c r="A8" s="7" t="s">
        <v>15</v>
      </c>
      <c r="B8" s="8" t="s">
        <v>16</v>
      </c>
      <c r="C8" s="9" t="n">
        <v>2.48</v>
      </c>
      <c r="D8" s="9" t="n">
        <v>2.48</v>
      </c>
      <c r="E8" s="9" t="n">
        <v>2.48</v>
      </c>
      <c r="F8" s="10" t="n">
        <f aca="false">SUM(C8:E8)</f>
        <v>7.44</v>
      </c>
      <c r="G8" s="11" t="n">
        <f aca="false">AVERAGE(C8:E8)</f>
        <v>2.48</v>
      </c>
      <c r="H8" s="12" t="s">
        <v>17</v>
      </c>
    </row>
    <row r="9" customFormat="false" ht="22.35" hidden="false" customHeight="false" outlineLevel="0" collapsed="false">
      <c r="A9" s="7" t="s">
        <v>18</v>
      </c>
      <c r="B9" s="8" t="s">
        <v>19</v>
      </c>
      <c r="C9" s="9" t="n">
        <v>0</v>
      </c>
      <c r="D9" s="9" t="n">
        <v>0</v>
      </c>
      <c r="E9" s="9" t="n">
        <v>0</v>
      </c>
      <c r="F9" s="10" t="n">
        <f aca="false">SUM(C9:E9)</f>
        <v>0</v>
      </c>
      <c r="G9" s="11" t="n">
        <f aca="false">AVERAGE(C9:E9)</f>
        <v>0</v>
      </c>
      <c r="H9" s="12" t="s">
        <v>20</v>
      </c>
    </row>
    <row r="10" customFormat="false" ht="22.35" hidden="false" customHeight="false" outlineLevel="0" collapsed="false">
      <c r="A10" s="7" t="s">
        <v>21</v>
      </c>
      <c r="B10" s="8" t="s">
        <v>22</v>
      </c>
      <c r="C10" s="9" t="n">
        <v>1</v>
      </c>
      <c r="D10" s="9" t="n">
        <v>1.02</v>
      </c>
      <c r="E10" s="9" t="n">
        <v>1.03</v>
      </c>
      <c r="F10" s="10" t="n">
        <f aca="false">SUM(C10:E10)</f>
        <v>3.05</v>
      </c>
      <c r="G10" s="11" t="n">
        <f aca="false">AVERAGE(C10:E10)</f>
        <v>1.01666666666667</v>
      </c>
      <c r="H10" s="12" t="s">
        <v>23</v>
      </c>
    </row>
    <row r="11" customFormat="false" ht="22.35" hidden="false" customHeight="false" outlineLevel="0" collapsed="false">
      <c r="A11" s="7" t="s">
        <v>24</v>
      </c>
      <c r="B11" s="8" t="s">
        <v>25</v>
      </c>
      <c r="C11" s="9" t="n">
        <v>0</v>
      </c>
      <c r="D11" s="9" t="n">
        <v>0</v>
      </c>
      <c r="E11" s="9" t="n">
        <v>0</v>
      </c>
      <c r="F11" s="10" t="n">
        <f aca="false">SUM(C11:E11)</f>
        <v>0</v>
      </c>
      <c r="G11" s="11" t="n">
        <f aca="false">AVERAGE(C11:E11)</f>
        <v>0</v>
      </c>
      <c r="H11" s="12" t="s">
        <v>26</v>
      </c>
    </row>
    <row r="12" customFormat="false" ht="15" hidden="false" customHeight="false" outlineLevel="0" collapsed="false">
      <c r="A12" s="7" t="s">
        <v>27</v>
      </c>
      <c r="B12" s="8" t="s">
        <v>19</v>
      </c>
      <c r="C12" s="9" t="n">
        <v>0</v>
      </c>
      <c r="D12" s="9" t="n">
        <v>0</v>
      </c>
      <c r="E12" s="9" t="n">
        <v>0</v>
      </c>
      <c r="F12" s="10" t="n">
        <f aca="false">SUM(C12:E12)</f>
        <v>0</v>
      </c>
      <c r="G12" s="11" t="n">
        <f aca="false">AVERAGE(C12:E12)</f>
        <v>0</v>
      </c>
      <c r="H12" s="12" t="s">
        <v>28</v>
      </c>
    </row>
    <row r="13" customFormat="false" ht="15" hidden="false" customHeight="false" outlineLevel="0" collapsed="false">
      <c r="A13" s="7" t="s">
        <v>29</v>
      </c>
      <c r="B13" s="8" t="s">
        <v>19</v>
      </c>
      <c r="C13" s="9" t="n">
        <v>0</v>
      </c>
      <c r="D13" s="9" t="n">
        <v>0</v>
      </c>
      <c r="E13" s="9" t="n">
        <v>0</v>
      </c>
      <c r="F13" s="10" t="n">
        <f aca="false">SUM(C13:E13)</f>
        <v>0</v>
      </c>
      <c r="G13" s="11" t="n">
        <f aca="false">AVERAGE(C13:E13)</f>
        <v>0</v>
      </c>
      <c r="H13" s="12" t="s">
        <v>30</v>
      </c>
    </row>
    <row r="14" customFormat="false" ht="15" hidden="false" customHeight="false" outlineLevel="0" collapsed="false">
      <c r="A14" s="5" t="s">
        <v>31</v>
      </c>
      <c r="B14" s="6"/>
      <c r="C14" s="6"/>
      <c r="D14" s="6"/>
      <c r="E14" s="6"/>
      <c r="F14" s="6"/>
      <c r="G14" s="6"/>
      <c r="H14" s="6"/>
    </row>
    <row r="15" customFormat="false" ht="26.85" hidden="false" customHeight="false" outlineLevel="0" collapsed="false">
      <c r="A15" s="7" t="s">
        <v>32</v>
      </c>
      <c r="B15" s="8" t="s">
        <v>22</v>
      </c>
      <c r="C15" s="9" t="n">
        <v>110.14</v>
      </c>
      <c r="D15" s="9" t="n">
        <v>167.78</v>
      </c>
      <c r="E15" s="9" t="n">
        <v>142.73</v>
      </c>
      <c r="F15" s="10" t="n">
        <f aca="false">SUM(C15:E15)</f>
        <v>420.65</v>
      </c>
      <c r="G15" s="11" t="n">
        <f aca="false">AVERAGE(C15:E15)</f>
        <v>140.216666666667</v>
      </c>
      <c r="H15" s="12" t="s">
        <v>33</v>
      </c>
    </row>
    <row r="16" customFormat="false" ht="15" hidden="false" customHeight="false" outlineLevel="0" collapsed="false">
      <c r="A16" s="7" t="s">
        <v>34</v>
      </c>
      <c r="B16" s="8" t="s">
        <v>35</v>
      </c>
      <c r="C16" s="9" t="n">
        <v>0</v>
      </c>
      <c r="D16" s="9" t="n">
        <v>0</v>
      </c>
      <c r="E16" s="9" t="n">
        <v>0</v>
      </c>
      <c r="F16" s="10" t="n">
        <f aca="false">SUM(C16:E16)</f>
        <v>0</v>
      </c>
      <c r="G16" s="11" t="n">
        <f aca="false">AVERAGE(C16:E16)</f>
        <v>0</v>
      </c>
      <c r="H16" s="12" t="s">
        <v>36</v>
      </c>
    </row>
    <row r="17" customFormat="false" ht="15" hidden="false" customHeight="false" outlineLevel="0" collapsed="false">
      <c r="A17" s="7" t="s">
        <v>37</v>
      </c>
      <c r="B17" s="8" t="s">
        <v>22</v>
      </c>
      <c r="C17" s="9" t="n">
        <v>0</v>
      </c>
      <c r="D17" s="9" t="n">
        <v>0</v>
      </c>
      <c r="E17" s="9" t="n">
        <v>0</v>
      </c>
      <c r="F17" s="10" t="n">
        <f aca="false">SUM(C17:E17)</f>
        <v>0</v>
      </c>
      <c r="G17" s="11" t="n">
        <f aca="false">AVERAGE(C17:E17)</f>
        <v>0</v>
      </c>
      <c r="H17" s="12" t="s">
        <v>38</v>
      </c>
    </row>
    <row r="18" customFormat="false" ht="15" hidden="false" customHeight="false" outlineLevel="0" collapsed="false">
      <c r="A18" s="5" t="s">
        <v>39</v>
      </c>
      <c r="B18" s="6"/>
      <c r="C18" s="6"/>
      <c r="D18" s="6"/>
      <c r="E18" s="6"/>
      <c r="F18" s="6"/>
      <c r="G18" s="6"/>
      <c r="H18" s="6"/>
    </row>
    <row r="19" customFormat="false" ht="22.35" hidden="false" customHeight="false" outlineLevel="0" collapsed="false">
      <c r="A19" s="7" t="s">
        <v>40</v>
      </c>
      <c r="B19" s="8" t="s">
        <v>41</v>
      </c>
      <c r="C19" s="9" t="n">
        <v>212</v>
      </c>
      <c r="D19" s="9" t="n">
        <v>212</v>
      </c>
      <c r="E19" s="9" t="n">
        <v>212</v>
      </c>
      <c r="F19" s="10" t="n">
        <f aca="false">SUM(C19:E19)</f>
        <v>636</v>
      </c>
      <c r="G19" s="11" t="n">
        <f aca="false">AVERAGE(C19:E19)</f>
        <v>212</v>
      </c>
      <c r="H19" s="12" t="s">
        <v>42</v>
      </c>
    </row>
    <row r="20" customFormat="false" ht="22.35" hidden="false" customHeight="false" outlineLevel="0" collapsed="false">
      <c r="A20" s="7" t="s">
        <v>43</v>
      </c>
      <c r="B20" s="8" t="s">
        <v>44</v>
      </c>
      <c r="C20" s="9" t="n">
        <v>0</v>
      </c>
      <c r="D20" s="9" t="n">
        <v>0</v>
      </c>
      <c r="E20" s="9" t="n">
        <v>0</v>
      </c>
      <c r="F20" s="10" t="n">
        <f aca="false">SUM(C20:E20)</f>
        <v>0</v>
      </c>
      <c r="G20" s="11" t="n">
        <f aca="false">AVERAGE(C20:E20)</f>
        <v>0</v>
      </c>
      <c r="H20" s="12" t="s">
        <v>45</v>
      </c>
    </row>
    <row r="21" customFormat="false" ht="15" hidden="false" customHeight="false" outlineLevel="0" collapsed="false">
      <c r="A21" s="13" t="s">
        <v>46</v>
      </c>
      <c r="B21" s="14"/>
      <c r="C21" s="15" t="n">
        <f aca="false">C7+C8+C9+C10+C11+C12+C13+C15+C16+C17+C19+C20</f>
        <v>325.62</v>
      </c>
      <c r="D21" s="15" t="n">
        <f aca="false">D7+D8+D9+D10+D11+D12+D13+D15+D16+D17+D19+D20</f>
        <v>383.28</v>
      </c>
      <c r="E21" s="15" t="n">
        <f aca="false">E7+E8+E9+E10+E11+E12+E13+E15+E16+E17+E19+E20</f>
        <v>358.24</v>
      </c>
      <c r="F21" s="15" t="n">
        <f aca="false">SUM(C21:E21)</f>
        <v>1067.14</v>
      </c>
      <c r="G21" s="15" t="n">
        <f aca="false">AVERAGE(C21:E21)</f>
        <v>355.713333333333</v>
      </c>
      <c r="H21" s="14"/>
    </row>
    <row r="22" customFormat="false" ht="15" hidden="false" customHeight="false" outlineLevel="0" collapsed="false">
      <c r="A22" s="16" t="s">
        <v>47</v>
      </c>
      <c r="C22" s="17" t="n">
        <f aca="false">C7+C8+C9+C10+C11+C12+C13+C15+C16+C17</f>
        <v>113.62</v>
      </c>
      <c r="D22" s="17" t="n">
        <f aca="false">D7+D8+D9+D10+D11+D12+D13+D15+D16+D17</f>
        <v>171.28</v>
      </c>
      <c r="E22" s="17" t="n">
        <f aca="false">E7+E8+E9+E10+E11+E12+E13+E15+E16+E17</f>
        <v>146.24</v>
      </c>
      <c r="F22" s="17" t="n">
        <f aca="false">SUM(C22:E22)</f>
        <v>431.14</v>
      </c>
      <c r="G22" s="17" t="n">
        <f aca="false">AVERAGE(C22:E22)</f>
        <v>143.713333333333</v>
      </c>
    </row>
    <row r="24" customFormat="false" ht="15" hidden="false" customHeight="false" outlineLevel="0" collapsed="false">
      <c r="A24" s="18" t="s">
        <v>48</v>
      </c>
    </row>
    <row r="25" customFormat="false" ht="43.25" hidden="false" customHeight="false" outlineLevel="0" collapsed="false">
      <c r="A25" s="19" t="s">
        <v>49</v>
      </c>
    </row>
    <row r="26" customFormat="false" ht="43.25" hidden="false" customHeight="false" outlineLevel="0" collapsed="false">
      <c r="A26" s="19" t="s">
        <v>50</v>
      </c>
    </row>
    <row r="27" customFormat="false" ht="43.25" hidden="false" customHeight="false" outlineLevel="0" collapsed="false">
      <c r="A27" s="19" t="s">
        <v>51</v>
      </c>
    </row>
    <row r="28" customFormat="false" ht="43.25" hidden="false" customHeight="false" outlineLevel="0" collapsed="false">
      <c r="A28" s="19" t="s">
        <v>52</v>
      </c>
    </row>
    <row r="29" customFormat="false" ht="43.25" hidden="false" customHeight="false" outlineLevel="0" collapsed="false">
      <c r="A29" s="19" t="s">
        <v>53</v>
      </c>
    </row>
    <row r="30" customFormat="false" ht="22.35" hidden="false" customHeight="false" outlineLevel="0" collapsed="false">
      <c r="A30" s="19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20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3" t="s">
        <v>57</v>
      </c>
      <c r="B4" s="4" t="s">
        <v>58</v>
      </c>
      <c r="C4" s="4" t="s">
        <v>59</v>
      </c>
      <c r="D4" s="4" t="s">
        <v>60</v>
      </c>
    </row>
    <row r="5" customFormat="false" ht="15" hidden="false" customHeight="false" outlineLevel="0" collapsed="false">
      <c r="A5" s="7" t="s">
        <v>61</v>
      </c>
      <c r="B5" s="8" t="s">
        <v>62</v>
      </c>
      <c r="C5" s="11" t="n">
        <v>0.75</v>
      </c>
      <c r="D5" s="11" t="n">
        <v>0.75</v>
      </c>
    </row>
    <row r="6" customFormat="false" ht="15" hidden="false" customHeight="false" outlineLevel="0" collapsed="false">
      <c r="A6" s="7" t="s">
        <v>63</v>
      </c>
      <c r="B6" s="8" t="s">
        <v>64</v>
      </c>
      <c r="C6" s="11" t="n">
        <v>0.05</v>
      </c>
      <c r="D6" s="11" t="n">
        <v>0.05</v>
      </c>
    </row>
    <row r="7" customFormat="false" ht="26.85" hidden="false" customHeight="false" outlineLevel="0" collapsed="false">
      <c r="A7" s="7" t="s">
        <v>65</v>
      </c>
      <c r="B7" s="8" t="s">
        <v>66</v>
      </c>
      <c r="C7" s="11" t="n">
        <v>3.5</v>
      </c>
      <c r="D7" s="11" t="n">
        <v>6</v>
      </c>
    </row>
    <row r="8" customFormat="false" ht="15" hidden="false" customHeight="false" outlineLevel="0" collapsed="false">
      <c r="A8" s="7" t="s">
        <v>67</v>
      </c>
      <c r="B8" s="8" t="s">
        <v>62</v>
      </c>
      <c r="C8" s="11" t="n">
        <v>0</v>
      </c>
      <c r="D8" s="11" t="n">
        <v>0</v>
      </c>
    </row>
    <row r="9" customFormat="false" ht="15" hidden="false" customHeight="false" outlineLevel="0" collapsed="false">
      <c r="A9" s="7" t="s">
        <v>68</v>
      </c>
      <c r="B9" s="8" t="s">
        <v>69</v>
      </c>
      <c r="C9" s="11" t="n">
        <v>0.05</v>
      </c>
      <c r="D9" s="11" t="n">
        <v>0.05</v>
      </c>
    </row>
    <row r="10" customFormat="false" ht="26.85" hidden="false" customHeight="false" outlineLevel="0" collapsed="false">
      <c r="A10" s="7" t="s">
        <v>70</v>
      </c>
      <c r="B10" s="8" t="s">
        <v>71</v>
      </c>
      <c r="C10" s="11" t="n">
        <v>1.5</v>
      </c>
      <c r="D10" s="11" t="n">
        <v>3</v>
      </c>
    </row>
    <row r="11" customFormat="false" ht="15" hidden="false" customHeight="false" outlineLevel="0" collapsed="false">
      <c r="A11" s="7" t="s">
        <v>72</v>
      </c>
      <c r="B11" s="8" t="s">
        <v>73</v>
      </c>
      <c r="C11" s="11" t="n">
        <v>0.9</v>
      </c>
      <c r="D11" s="11" t="n">
        <v>0.9</v>
      </c>
    </row>
    <row r="12" customFormat="false" ht="15" hidden="false" customHeight="false" outlineLevel="0" collapsed="false">
      <c r="A12" s="21" t="s">
        <v>74</v>
      </c>
      <c r="B12" s="14"/>
      <c r="C12" s="22" t="n">
        <f aca="false">SUM(C5:C11)</f>
        <v>6.75</v>
      </c>
      <c r="D12" s="22" t="n">
        <f aca="false">SUM(D5:D11)</f>
        <v>10.75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20" t="s">
        <v>75</v>
      </c>
    </row>
    <row r="3" customFormat="false" ht="15" hidden="false" customHeight="false" outlineLevel="0" collapsed="false">
      <c r="A3" s="3" t="s">
        <v>76</v>
      </c>
      <c r="B3" s="4" t="s">
        <v>77</v>
      </c>
      <c r="C3" s="4" t="s">
        <v>78</v>
      </c>
      <c r="D3" s="3" t="s">
        <v>79</v>
      </c>
    </row>
    <row r="4" customFormat="false" ht="15" hidden="false" customHeight="false" outlineLevel="0" collapsed="false">
      <c r="A4" s="7" t="s">
        <v>80</v>
      </c>
      <c r="B4" s="8" t="s">
        <v>81</v>
      </c>
      <c r="C4" s="8" t="s">
        <v>82</v>
      </c>
      <c r="D4" s="12" t="s">
        <v>83</v>
      </c>
    </row>
    <row r="5" customFormat="false" ht="15" hidden="false" customHeight="false" outlineLevel="0" collapsed="false">
      <c r="A5" s="7" t="s">
        <v>84</v>
      </c>
      <c r="B5" s="8" t="s">
        <v>85</v>
      </c>
      <c r="C5" s="8" t="s">
        <v>86</v>
      </c>
      <c r="D5" s="12" t="s">
        <v>87</v>
      </c>
    </row>
    <row r="6" customFormat="false" ht="15" hidden="false" customHeight="false" outlineLevel="0" collapsed="false">
      <c r="A6" s="7" t="s">
        <v>88</v>
      </c>
      <c r="B6" s="8" t="s">
        <v>89</v>
      </c>
      <c r="C6" s="8" t="s">
        <v>82</v>
      </c>
      <c r="D6" s="12" t="s">
        <v>30</v>
      </c>
    </row>
    <row r="7" customFormat="false" ht="15" hidden="false" customHeight="false" outlineLevel="0" collapsed="false">
      <c r="A7" s="7" t="s">
        <v>90</v>
      </c>
      <c r="B7" s="8" t="s">
        <v>91</v>
      </c>
      <c r="C7" s="8" t="s">
        <v>92</v>
      </c>
      <c r="D7" s="12" t="s">
        <v>93</v>
      </c>
    </row>
    <row r="8" customFormat="false" ht="15" hidden="false" customHeight="false" outlineLevel="0" collapsed="false">
      <c r="A8" s="7" t="s">
        <v>94</v>
      </c>
      <c r="B8" s="8" t="s">
        <v>95</v>
      </c>
      <c r="C8" s="8" t="s">
        <v>82</v>
      </c>
      <c r="D8" s="12" t="s">
        <v>96</v>
      </c>
    </row>
    <row r="9" customFormat="false" ht="15" hidden="false" customHeight="false" outlineLevel="0" collapsed="false">
      <c r="A9" s="7" t="s">
        <v>97</v>
      </c>
      <c r="B9" s="8" t="s">
        <v>98</v>
      </c>
      <c r="C9" s="8" t="s">
        <v>82</v>
      </c>
      <c r="D9" s="12" t="s">
        <v>19</v>
      </c>
    </row>
    <row r="10" customFormat="false" ht="15" hidden="false" customHeight="false" outlineLevel="0" collapsed="false">
      <c r="A10" s="23" t="s">
        <v>99</v>
      </c>
      <c r="B10" s="24" t="s">
        <v>100</v>
      </c>
      <c r="C10" s="24" t="s">
        <v>101</v>
      </c>
      <c r="D10" s="12" t="s">
        <v>102</v>
      </c>
    </row>
    <row r="11" customFormat="false" ht="15" hidden="false" customHeight="false" outlineLevel="0" collapsed="false">
      <c r="A11" s="7" t="s">
        <v>103</v>
      </c>
      <c r="B11" s="8" t="s">
        <v>104</v>
      </c>
      <c r="C11" s="8" t="s">
        <v>105</v>
      </c>
      <c r="D11" s="12" t="s">
        <v>106</v>
      </c>
    </row>
    <row r="12" customFormat="false" ht="15" hidden="false" customHeight="false" outlineLevel="0" collapsed="false">
      <c r="A12" s="7" t="s">
        <v>107</v>
      </c>
      <c r="B12" s="8" t="s">
        <v>108</v>
      </c>
      <c r="C12" s="8" t="s">
        <v>109</v>
      </c>
      <c r="D12" s="1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2026-06-30T21:27:42Z</dcterms:created>
  <dc:creator>openpyxl</dc:creator>
  <dc:description/>
  <dc:language>en-US</dc:language>
  <cp:lastModifiedBy/>
  <dcterms:modified xsi:type="dcterms:W3CDTF">2026-06-30T21:27:42Z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