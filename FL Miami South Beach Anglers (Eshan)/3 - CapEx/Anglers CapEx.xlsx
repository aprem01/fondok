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pcp-my.sharepoint.com/personal/josefina_radcliffe_khpcp_com/Documents/Desktop/"/>
    </mc:Choice>
  </mc:AlternateContent>
  <xr:revisionPtr revIDLastSave="81" documentId="8_{4A17A0BB-FE0D-4644-90AA-9B0CDE0C3C5C}" xr6:coauthVersionLast="47" xr6:coauthVersionMax="47" xr10:uidLastSave="{D1892170-8EB4-4947-98C7-8E4137638618}"/>
  <bookViews>
    <workbookView xWindow="-38520" yWindow="-3675" windowWidth="38640" windowHeight="21120" xr2:uid="{8FF8C88C-AD71-46AB-A0A9-6A71828BDC0A}"/>
  </bookViews>
  <sheets>
    <sheet name="5-Year" sheetId="6" r:id="rId1"/>
    <sheet name="2024" sheetId="4" r:id="rId2"/>
    <sheet name="2023" sheetId="1" r:id="rId3"/>
    <sheet name="2022" sheetId="2" r:id="rId4"/>
    <sheet name="2021" sheetId="3" r:id="rId5"/>
  </sheets>
  <externalReferences>
    <externalReference r:id="rId6"/>
    <externalReference r:id="rId7"/>
  </externalReferences>
  <definedNames>
    <definedName name="Consolidated_Analysis">#REF!</definedName>
    <definedName name="EV__LASTREFTIME__" localSheetId="0" hidden="1">40077.6862037037</definedName>
    <definedName name="EV__LASTREFTIME__" hidden="1">41737.6476736111</definedName>
    <definedName name="Hotel_Reserve_Current_Year">#REF!</definedName>
    <definedName name="Hotel_Reserve_Last_Year">#REF!</definedName>
    <definedName name="Page_1" localSheetId="0">'5-Year'!$A$5:$H$11</definedName>
    <definedName name="Page_1">#REF!</definedName>
    <definedName name="Page_2" localSheetId="0">'5-Year'!$A$13:$H$93</definedName>
    <definedName name="Page_2">#REF!</definedName>
    <definedName name="Page_3" localSheetId="0">'5-Year'!$A$95:$H$125</definedName>
    <definedName name="Page_3">#REF!</definedName>
    <definedName name="Page_4" localSheetId="0">'5-Year'!$A$127:$H$131</definedName>
    <definedName name="Page_4">#REF!</definedName>
    <definedName name="_xlnm.Print_Area" localSheetId="0">'5-Year'!$A$1:$H$130</definedName>
    <definedName name="_xlnm.Print_Titles" localSheetId="0">'5-Year'!$1:$4</definedName>
    <definedName name="Restaurant_Reserve_Current_Year">#REF!</definedName>
    <definedName name="Restaurant_Reserve_Last_Year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6" l="1"/>
  <c r="A1" i="6"/>
  <c r="A2" i="6"/>
  <c r="C4" i="6"/>
  <c r="D4" i="6" s="1"/>
  <c r="C6" i="6"/>
  <c r="H6" i="6" s="1"/>
  <c r="D6" i="6"/>
  <c r="E6" i="6"/>
  <c r="F6" i="6"/>
  <c r="G6" i="6"/>
  <c r="D8" i="6"/>
  <c r="E8" i="6"/>
  <c r="F8" i="6"/>
  <c r="G8" i="6"/>
  <c r="C13" i="6"/>
  <c r="H13" i="6"/>
  <c r="H14" i="6"/>
  <c r="H15" i="6"/>
  <c r="H16" i="6"/>
  <c r="H17" i="6"/>
  <c r="H18" i="6"/>
  <c r="C19" i="6"/>
  <c r="D19" i="6"/>
  <c r="E19" i="6"/>
  <c r="F19" i="6"/>
  <c r="G19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C32" i="6"/>
  <c r="D32" i="6"/>
  <c r="D7" i="6" s="1"/>
  <c r="E32" i="6"/>
  <c r="E7" i="6" s="1"/>
  <c r="F32" i="6"/>
  <c r="F7" i="6" s="1"/>
  <c r="G32" i="6"/>
  <c r="G7" i="6" s="1"/>
  <c r="H33" i="6"/>
  <c r="H34" i="6"/>
  <c r="H35" i="6"/>
  <c r="H36" i="6"/>
  <c r="C37" i="6"/>
  <c r="H37" i="6" s="1"/>
  <c r="D37" i="6"/>
  <c r="E37" i="6"/>
  <c r="F37" i="6"/>
  <c r="G37" i="6"/>
  <c r="H38" i="6"/>
  <c r="H39" i="6"/>
  <c r="H40" i="6"/>
  <c r="H41" i="6"/>
  <c r="H42" i="6"/>
  <c r="C43" i="6"/>
  <c r="H43" i="6" s="1"/>
  <c r="D43" i="6"/>
  <c r="E43" i="6"/>
  <c r="F43" i="6"/>
  <c r="G43" i="6"/>
  <c r="H44" i="6"/>
  <c r="H45" i="6"/>
  <c r="H46" i="6"/>
  <c r="C47" i="6"/>
  <c r="D47" i="6"/>
  <c r="E47" i="6"/>
  <c r="F47" i="6"/>
  <c r="G47" i="6"/>
  <c r="H47" i="6"/>
  <c r="H48" i="6"/>
  <c r="H50" i="6"/>
  <c r="H51" i="6"/>
  <c r="H52" i="6"/>
  <c r="C53" i="6"/>
  <c r="D53" i="6"/>
  <c r="E53" i="6"/>
  <c r="F53" i="6"/>
  <c r="G53" i="6"/>
  <c r="H53" i="6"/>
  <c r="H54" i="6"/>
  <c r="H55" i="6"/>
  <c r="H56" i="6"/>
  <c r="H57" i="6"/>
  <c r="H58" i="6"/>
  <c r="H59" i="6"/>
  <c r="H60" i="6"/>
  <c r="H61" i="6"/>
  <c r="H62" i="6"/>
  <c r="H63" i="6"/>
  <c r="C64" i="6"/>
  <c r="H64" i="6" s="1"/>
  <c r="D64" i="6"/>
  <c r="E64" i="6"/>
  <c r="F64" i="6"/>
  <c r="G64" i="6"/>
  <c r="C65" i="6"/>
  <c r="H65" i="6" s="1"/>
  <c r="H66" i="6"/>
  <c r="H67" i="6"/>
  <c r="D68" i="6"/>
  <c r="E68" i="6"/>
  <c r="F68" i="6"/>
  <c r="G68" i="6"/>
  <c r="H69" i="6"/>
  <c r="H70" i="6"/>
  <c r="H71" i="6"/>
  <c r="C72" i="6"/>
  <c r="D72" i="6"/>
  <c r="E72" i="6"/>
  <c r="F72" i="6"/>
  <c r="G72" i="6"/>
  <c r="H72" i="6"/>
  <c r="H74" i="6"/>
  <c r="H75" i="6"/>
  <c r="C76" i="6"/>
  <c r="H76" i="6" s="1"/>
  <c r="D76" i="6"/>
  <c r="E76" i="6"/>
  <c r="F76" i="6"/>
  <c r="G76" i="6"/>
  <c r="H77" i="6"/>
  <c r="H78" i="6"/>
  <c r="H79" i="6"/>
  <c r="H80" i="6"/>
  <c r="H81" i="6"/>
  <c r="H82" i="6"/>
  <c r="H83" i="6"/>
  <c r="H84" i="6"/>
  <c r="H85" i="6"/>
  <c r="C86" i="6"/>
  <c r="D86" i="6"/>
  <c r="E86" i="6"/>
  <c r="F86" i="6"/>
  <c r="G86" i="6"/>
  <c r="H86" i="6"/>
  <c r="H87" i="6"/>
  <c r="H88" i="6"/>
  <c r="H89" i="6"/>
  <c r="H90" i="6"/>
  <c r="H91" i="6"/>
  <c r="H92" i="6"/>
  <c r="C93" i="6"/>
  <c r="D93" i="6"/>
  <c r="E93" i="6"/>
  <c r="F93" i="6"/>
  <c r="G93" i="6"/>
  <c r="H93" i="6"/>
  <c r="H95" i="6"/>
  <c r="H96" i="6"/>
  <c r="C97" i="6"/>
  <c r="C9" i="6" s="1"/>
  <c r="D97" i="6"/>
  <c r="D9" i="6" s="1"/>
  <c r="E97" i="6"/>
  <c r="E9" i="6" s="1"/>
  <c r="F97" i="6"/>
  <c r="F9" i="6" s="1"/>
  <c r="G97" i="6"/>
  <c r="G9" i="6" s="1"/>
  <c r="H98" i="6"/>
  <c r="H99" i="6"/>
  <c r="C100" i="6"/>
  <c r="D100" i="6"/>
  <c r="E100" i="6"/>
  <c r="F100" i="6"/>
  <c r="G100" i="6"/>
  <c r="H100" i="6"/>
  <c r="H101" i="6"/>
  <c r="H102" i="6"/>
  <c r="H103" i="6"/>
  <c r="H105" i="6"/>
  <c r="C106" i="6"/>
  <c r="D106" i="6"/>
  <c r="E106" i="6"/>
  <c r="F106" i="6"/>
  <c r="G106" i="6"/>
  <c r="H106" i="6"/>
  <c r="H107" i="6"/>
  <c r="H108" i="6"/>
  <c r="H111" i="6"/>
  <c r="C112" i="6"/>
  <c r="H112" i="6" s="1"/>
  <c r="D112" i="6"/>
  <c r="E112" i="6"/>
  <c r="F112" i="6"/>
  <c r="G112" i="6"/>
  <c r="H113" i="6"/>
  <c r="H114" i="6"/>
  <c r="H115" i="6"/>
  <c r="C116" i="6"/>
  <c r="H116" i="6" s="1"/>
  <c r="D116" i="6"/>
  <c r="E116" i="6"/>
  <c r="F116" i="6"/>
  <c r="G116" i="6"/>
  <c r="H117" i="6"/>
  <c r="H118" i="6"/>
  <c r="C119" i="6"/>
  <c r="D119" i="6"/>
  <c r="E119" i="6"/>
  <c r="F119" i="6"/>
  <c r="G119" i="6"/>
  <c r="H119" i="6"/>
  <c r="H120" i="6"/>
  <c r="H121" i="6"/>
  <c r="C122" i="6"/>
  <c r="D122" i="6"/>
  <c r="E122" i="6"/>
  <c r="F122" i="6"/>
  <c r="G122" i="6"/>
  <c r="H122" i="6"/>
  <c r="H123" i="6"/>
  <c r="H124" i="6"/>
  <c r="C125" i="6"/>
  <c r="H125" i="6" s="1"/>
  <c r="D125" i="6"/>
  <c r="E125" i="6"/>
  <c r="F125" i="6"/>
  <c r="G125" i="6"/>
  <c r="H127" i="6"/>
  <c r="H128" i="6"/>
  <c r="H129" i="6"/>
  <c r="C130" i="6"/>
  <c r="D130" i="6"/>
  <c r="D10" i="6" s="1"/>
  <c r="E130" i="6"/>
  <c r="E10" i="6" s="1"/>
  <c r="F130" i="6"/>
  <c r="F10" i="6" s="1"/>
  <c r="G130" i="6"/>
  <c r="G10" i="6" s="1"/>
  <c r="H130" i="6" l="1"/>
  <c r="E11" i="6"/>
  <c r="G11" i="6"/>
  <c r="F11" i="6"/>
  <c r="D11" i="6"/>
  <c r="H9" i="6"/>
  <c r="D13" i="6"/>
  <c r="E4" i="6"/>
  <c r="C7" i="6"/>
  <c r="H7" i="6" s="1"/>
  <c r="C68" i="6"/>
  <c r="H68" i="6" s="1"/>
  <c r="C10" i="6"/>
  <c r="H10" i="6" s="1"/>
  <c r="H32" i="6"/>
  <c r="C8" i="6"/>
  <c r="H8" i="6" s="1"/>
  <c r="H97" i="6"/>
  <c r="H11" i="6" l="1"/>
  <c r="F4" i="6"/>
  <c r="E13" i="6"/>
  <c r="C11" i="6"/>
  <c r="G4" i="6" l="1"/>
  <c r="G13" i="6" s="1"/>
  <c r="F13" i="6"/>
  <c r="E2" i="4" l="1"/>
  <c r="E2" i="3" l="1"/>
  <c r="E2" i="2"/>
  <c r="E2" i="1"/>
</calcChain>
</file>

<file path=xl/sharedStrings.xml><?xml version="1.0" encoding="utf-8"?>
<sst xmlns="http://schemas.openxmlformats.org/spreadsheetml/2006/main" count="195" uniqueCount="129">
  <si>
    <t>Public Bike Program</t>
  </si>
  <si>
    <t>AC Units</t>
  </si>
  <si>
    <t>Rooms FF&amp;E</t>
  </si>
  <si>
    <t>Radios</t>
  </si>
  <si>
    <t>Amplifier</t>
  </si>
  <si>
    <t>Loft Building Rooftop Maintenance</t>
  </si>
  <si>
    <t>Rooftop Sails</t>
  </si>
  <si>
    <t>Employee Safety Devices</t>
  </si>
  <si>
    <t>PCs &amp; Printers</t>
  </si>
  <si>
    <t>Shunt Trip Breaker</t>
  </si>
  <si>
    <t>Vacuums</t>
  </si>
  <si>
    <t>Housekeeping carts</t>
  </si>
  <si>
    <t>Water Fountain Dispensers</t>
  </si>
  <si>
    <t>Rooftop Electrical Subpanel &amp; Fans</t>
  </si>
  <si>
    <t>CCTV Cameras &amp; Systems</t>
  </si>
  <si>
    <t>Seawell Awning</t>
  </si>
  <si>
    <t>Kitchen Doors</t>
  </si>
  <si>
    <t>Restaurant and Rooftop FF&amp;E</t>
  </si>
  <si>
    <t>Amplifiers</t>
  </si>
  <si>
    <t>Bamboo Floor Covering/Resanding Project</t>
  </si>
  <si>
    <t>Breezeway Accordion Doors</t>
  </si>
  <si>
    <t>Ground Pool Pipe Replacement</t>
  </si>
  <si>
    <t>Elevators</t>
  </si>
  <si>
    <t>Tandem Compressor for Modine Air Fesh Unit</t>
  </si>
  <si>
    <t xml:space="preserve">Hotel Computer And Switch Replacement </t>
  </si>
  <si>
    <t>Pool Deck Repairs</t>
  </si>
  <si>
    <t>Connecting Doors between Main and Loft Building</t>
  </si>
  <si>
    <t xml:space="preserve">Main water Supply distribution for sprinklers </t>
  </si>
  <si>
    <t>Murals</t>
  </si>
  <si>
    <t>Meeting Room Enhancements</t>
  </si>
  <si>
    <t>Next Gen Payments</t>
  </si>
  <si>
    <t>Kitchen Enhancements</t>
  </si>
  <si>
    <t>Restaurant Doors</t>
  </si>
  <si>
    <t>Pool towel stand and FF&amp;E</t>
  </si>
  <si>
    <t>Liquor storage remediation</t>
  </si>
  <si>
    <t>EV charger installation</t>
  </si>
  <si>
    <t>Roll-in Refrigeration</t>
  </si>
  <si>
    <t>Amount</t>
  </si>
  <si>
    <t>Project</t>
  </si>
  <si>
    <t>Water remediation equipment</t>
  </si>
  <si>
    <t>Bikes</t>
  </si>
  <si>
    <t>Pool Lights</t>
  </si>
  <si>
    <t>Wood Work</t>
  </si>
  <si>
    <t>Bar on Wheels</t>
  </si>
  <si>
    <t>Angler's Sign</t>
  </si>
  <si>
    <t>Pool Pump</t>
  </si>
  <si>
    <t>Elevator Security</t>
  </si>
  <si>
    <t>Elevator Detector Edges</t>
  </si>
  <si>
    <t>Mitsubishi VRF System</t>
  </si>
  <si>
    <t>FF&amp;E</t>
  </si>
  <si>
    <t>Rooftop gutters</t>
  </si>
  <si>
    <t>Retail Space Carpet</t>
  </si>
  <si>
    <t>PUBLIC Bicycle Program</t>
  </si>
  <si>
    <t>Emergency lights replacement</t>
  </si>
  <si>
    <t>Retail Space Curtain</t>
  </si>
  <si>
    <t xml:space="preserve">Backflow valve / Line - Domestic Water </t>
  </si>
  <si>
    <t>Historic Roof Repairs</t>
  </si>
  <si>
    <t>Bamboo flooring LVT replacement</t>
  </si>
  <si>
    <t>Retail Space Drywall</t>
  </si>
  <si>
    <t>F&amp;B relaunch - FF&amp;E and OS&amp;E</t>
  </si>
  <si>
    <t>Retail Space HVAC</t>
  </si>
  <si>
    <t>Completed Projects</t>
  </si>
  <si>
    <t>In Process</t>
  </si>
  <si>
    <t>Potential Projects</t>
  </si>
  <si>
    <t xml:space="preserve">Breakroom Washer &amp; Dryer </t>
  </si>
  <si>
    <t>40-year electrical and structural recertification</t>
  </si>
  <si>
    <t>Fire Panel updates</t>
  </si>
  <si>
    <t>Pool Filter and Heaters</t>
  </si>
  <si>
    <t>-----------&gt;</t>
  </si>
  <si>
    <t>Total</t>
  </si>
  <si>
    <t>Current computer is not working (Manual process)</t>
  </si>
  <si>
    <t>Historic pool chemical computer</t>
  </si>
  <si>
    <t>Upgrade filter system</t>
  </si>
  <si>
    <t>Rooftop pool filter system upgrade</t>
  </si>
  <si>
    <t>Major R&amp;M</t>
  </si>
  <si>
    <t>Sprinklers &amp; Fire Alarm</t>
  </si>
  <si>
    <t>Energy Devices</t>
  </si>
  <si>
    <t>Roof</t>
  </si>
  <si>
    <t>Exterior/ Windows</t>
  </si>
  <si>
    <t>Historic, Loft, and Villas buildings (Showerheads and fixtures)</t>
  </si>
  <si>
    <t>Plumbing &amp; Electrical</t>
  </si>
  <si>
    <t>Bathroom hardware</t>
  </si>
  <si>
    <t xml:space="preserve"> </t>
  </si>
  <si>
    <t xml:space="preserve">2024 we installed new tandem condenser unit - 2025 we need to repair the computer </t>
  </si>
  <si>
    <t>Rooftop RTU Computer Repair</t>
  </si>
  <si>
    <t>Yearly amount to replace 7 to 8 units - depending on condenser or machine - with $8K per year to maintain</t>
  </si>
  <si>
    <t>HVAC</t>
  </si>
  <si>
    <t>AC Replacements</t>
  </si>
  <si>
    <t>4K cost to repair two ADA pool lifts</t>
  </si>
  <si>
    <t>A.D.A.</t>
  </si>
  <si>
    <t>ADA pool lift repairs</t>
  </si>
  <si>
    <t>Building Systems</t>
  </si>
  <si>
    <t>Computer Hardware</t>
  </si>
  <si>
    <t>Other Systems</t>
  </si>
  <si>
    <t>PMS System</t>
  </si>
  <si>
    <t>IT Detail</t>
  </si>
  <si>
    <t>Fitness Center</t>
  </si>
  <si>
    <t>Outdoor/ Pool Area</t>
  </si>
  <si>
    <t>Pool deck furniture and cushions</t>
  </si>
  <si>
    <t>Back of the House</t>
  </si>
  <si>
    <t>Public Area</t>
  </si>
  <si>
    <t>Meeting Rooms</t>
  </si>
  <si>
    <t>Lobby</t>
  </si>
  <si>
    <t xml:space="preserve">Replace emergency lights as they reach end of useful life </t>
  </si>
  <si>
    <t>Corridors</t>
  </si>
  <si>
    <t>Replace as needed</t>
  </si>
  <si>
    <t>Room carpets &amp; accent pillows</t>
  </si>
  <si>
    <t>Replace or reupholster</t>
  </si>
  <si>
    <t xml:space="preserve">Accent Chairs in suites </t>
  </si>
  <si>
    <t>$100,000 project started 2024 ~$2,200 per unit in historic building</t>
  </si>
  <si>
    <t>Bamboo flooring replacement - LVT (PVC) option</t>
  </si>
  <si>
    <t>Reupholster 30 chairs per year at ~$250 each</t>
  </si>
  <si>
    <t xml:space="preserve">Desk Chairs </t>
  </si>
  <si>
    <t>9-10 rooms per year at ~$750 each</t>
  </si>
  <si>
    <t>TV replacement</t>
  </si>
  <si>
    <t>Guestrooms</t>
  </si>
  <si>
    <t>2nd floor Room terrace couches</t>
  </si>
  <si>
    <t>Refresh</t>
  </si>
  <si>
    <t>Comments</t>
  </si>
  <si>
    <t>CATEGORY</t>
  </si>
  <si>
    <t>ITEM DESCRIPTION</t>
  </si>
  <si>
    <t>FFE Detail</t>
  </si>
  <si>
    <t>Major Repair &amp; Maintenance</t>
  </si>
  <si>
    <t>Building Systems/Life Safety</t>
  </si>
  <si>
    <t>Technology</t>
  </si>
  <si>
    <t>F.F.&amp;E.</t>
  </si>
  <si>
    <t>5-Year Total</t>
  </si>
  <si>
    <t>2025  / 2026- Historic, Loft, Villas, and Bungalows</t>
  </si>
  <si>
    <t>Exterior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</si>
</sst>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0"/>
      <color theme="3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0070C0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</cellStyleXfs>
  <cellXfs count="70">
    <xf numFmtId="0" fontId="0" fillId="0" borderId="0" xfId="0"/>
    <xf numFmtId="164" fontId="0" fillId="0" borderId="0" xfId="1" applyNumberFormat="1" applyFont="1"/>
    <xf numFmtId="0" fontId="3" fillId="0" borderId="0" xfId="0" applyFont="1"/>
    <xf numFmtId="164" fontId="2" fillId="0" borderId="0" xfId="0" applyNumberFormat="1" applyFont="1"/>
    <xf numFmtId="0" fontId="5" fillId="0" borderId="0" xfId="2" applyFont="1"/>
    <xf numFmtId="0" fontId="6" fillId="0" borderId="0" xfId="2" applyFont="1"/>
    <xf numFmtId="0" fontId="5" fillId="0" borderId="0" xfId="2" applyFont="1" applyAlignment="1">
      <alignment vertical="top" wrapText="1"/>
    </xf>
    <xf numFmtId="0" fontId="5" fillId="0" borderId="0" xfId="2" applyFont="1" applyAlignment="1">
      <alignment horizontal="center"/>
    </xf>
    <xf numFmtId="164" fontId="7" fillId="0" borderId="0" xfId="3" applyNumberFormat="1" applyFont="1" applyFill="1" applyBorder="1" applyProtection="1">
      <protection locked="0"/>
    </xf>
    <xf numFmtId="0" fontId="8" fillId="0" borderId="1" xfId="2" applyFont="1" applyBorder="1" applyAlignment="1">
      <alignment vertical="top" wrapText="1"/>
    </xf>
    <xf numFmtId="164" fontId="5" fillId="0" borderId="2" xfId="3" applyNumberFormat="1" applyFont="1" applyBorder="1"/>
    <xf numFmtId="164" fontId="7" fillId="0" borderId="3" xfId="3" applyNumberFormat="1" applyFont="1" applyFill="1" applyBorder="1" applyProtection="1">
      <protection locked="0"/>
    </xf>
    <xf numFmtId="0" fontId="7" fillId="0" borderId="1" xfId="2" quotePrefix="1" applyFont="1" applyBorder="1" applyAlignment="1" applyProtection="1">
      <alignment horizontal="center"/>
      <protection locked="0"/>
    </xf>
    <xf numFmtId="0" fontId="7" fillId="0" borderId="1" xfId="2" applyFont="1" applyBorder="1" applyAlignment="1" applyProtection="1">
      <alignment horizontal="right" wrapText="1"/>
      <protection locked="0"/>
    </xf>
    <xf numFmtId="164" fontId="8" fillId="2" borderId="1" xfId="3" applyNumberFormat="1" applyFont="1" applyFill="1" applyBorder="1" applyAlignment="1" applyProtection="1">
      <alignment wrapText="1"/>
      <protection locked="0"/>
    </xf>
    <xf numFmtId="164" fontId="8" fillId="2" borderId="1" xfId="3" applyNumberFormat="1" applyFont="1" applyFill="1" applyBorder="1" applyProtection="1">
      <protection locked="0"/>
    </xf>
    <xf numFmtId="0" fontId="7" fillId="0" borderId="3" xfId="2" applyFont="1" applyBorder="1" applyAlignment="1" applyProtection="1">
      <alignment horizontal="center" vertical="center" wrapText="1"/>
      <protection locked="0"/>
    </xf>
    <xf numFmtId="0" fontId="7" fillId="0" borderId="4" xfId="2" applyFont="1" applyBorder="1" applyAlignment="1" applyProtection="1">
      <alignment horizontal="center" vertical="center" wrapText="1"/>
      <protection locked="0"/>
    </xf>
    <xf numFmtId="49" fontId="8" fillId="2" borderId="1" xfId="3" applyNumberFormat="1" applyFont="1" applyFill="1" applyBorder="1" applyAlignment="1" applyProtection="1">
      <alignment wrapText="1"/>
      <protection locked="0"/>
    </xf>
    <xf numFmtId="0" fontId="7" fillId="0" borderId="5" xfId="2" applyFont="1" applyBorder="1" applyAlignment="1" applyProtection="1">
      <alignment horizontal="center" vertical="center" wrapText="1"/>
      <protection locked="0"/>
    </xf>
    <xf numFmtId="164" fontId="9" fillId="0" borderId="6" xfId="3" applyNumberFormat="1" applyFont="1" applyBorder="1" applyAlignment="1"/>
    <xf numFmtId="0" fontId="9" fillId="0" borderId="7" xfId="2" applyFont="1" applyBorder="1" applyAlignment="1">
      <alignment horizontal="center"/>
    </xf>
    <xf numFmtId="0" fontId="9" fillId="0" borderId="7" xfId="2" applyFont="1" applyBorder="1" applyAlignment="1">
      <alignment horizontal="center" wrapText="1"/>
    </xf>
    <xf numFmtId="164" fontId="8" fillId="3" borderId="1" xfId="3" applyNumberFormat="1" applyFont="1" applyFill="1" applyBorder="1" applyAlignment="1" applyProtection="1">
      <alignment wrapText="1"/>
      <protection locked="0"/>
    </xf>
    <xf numFmtId="49" fontId="8" fillId="2" borderId="1" xfId="3" applyNumberFormat="1" applyFont="1" applyFill="1" applyBorder="1" applyAlignment="1" applyProtection="1">
      <alignment horizontal="left" vertical="center" wrapText="1"/>
      <protection locked="0"/>
    </xf>
    <xf numFmtId="164" fontId="8" fillId="2" borderId="1" xfId="3" applyNumberFormat="1" applyFont="1" applyFill="1" applyBorder="1" applyAlignment="1" applyProtection="1">
      <alignment vertical="center"/>
      <protection locked="0"/>
    </xf>
    <xf numFmtId="164" fontId="8" fillId="3" borderId="1" xfId="3" applyNumberFormat="1" applyFont="1" applyFill="1" applyBorder="1" applyAlignment="1" applyProtection="1">
      <alignment horizontal="left" vertical="center" wrapText="1"/>
      <protection locked="0"/>
    </xf>
    <xf numFmtId="0" fontId="10" fillId="0" borderId="0" xfId="2" applyFont="1"/>
    <xf numFmtId="49" fontId="8" fillId="3" borderId="1" xfId="3" applyNumberFormat="1" applyFont="1" applyFill="1" applyBorder="1" applyAlignment="1" applyProtection="1">
      <alignment wrapText="1"/>
      <protection locked="0"/>
    </xf>
    <xf numFmtId="164" fontId="8" fillId="2" borderId="3" xfId="3" applyNumberFormat="1" applyFont="1" applyFill="1" applyBorder="1" applyProtection="1">
      <protection locked="0"/>
    </xf>
    <xf numFmtId="0" fontId="11" fillId="0" borderId="1" xfId="2" applyFont="1" applyBorder="1" applyAlignment="1" applyProtection="1">
      <alignment horizontal="center"/>
      <protection locked="0"/>
    </xf>
    <xf numFmtId="0" fontId="5" fillId="0" borderId="4" xfId="2" applyFont="1" applyBorder="1" applyAlignment="1">
      <alignment horizontal="center" vertical="center" wrapText="1"/>
    </xf>
    <xf numFmtId="164" fontId="8" fillId="2" borderId="5" xfId="3" applyNumberFormat="1" applyFont="1" applyFill="1" applyBorder="1" applyProtection="1">
      <protection locked="0"/>
    </xf>
    <xf numFmtId="164" fontId="5" fillId="0" borderId="0" xfId="3" applyNumberFormat="1" applyFont="1" applyBorder="1"/>
    <xf numFmtId="0" fontId="11" fillId="0" borderId="0" xfId="2" applyFont="1" applyAlignment="1" applyProtection="1">
      <alignment horizontal="center"/>
      <protection locked="0"/>
    </xf>
    <xf numFmtId="0" fontId="7" fillId="0" borderId="0" xfId="2" applyFont="1" applyAlignment="1" applyProtection="1">
      <alignment horizontal="right" wrapText="1"/>
      <protection locked="0"/>
    </xf>
    <xf numFmtId="164" fontId="7" fillId="0" borderId="1" xfId="3" applyNumberFormat="1" applyFont="1" applyFill="1" applyBorder="1" applyProtection="1">
      <protection locked="0"/>
    </xf>
    <xf numFmtId="164" fontId="8" fillId="3" borderId="1" xfId="3" applyNumberFormat="1" applyFont="1" applyFill="1" applyBorder="1" applyProtection="1">
      <protection locked="0"/>
    </xf>
    <xf numFmtId="164" fontId="8" fillId="3" borderId="5" xfId="3" applyNumberFormat="1" applyFont="1" applyFill="1" applyBorder="1" applyProtection="1">
      <protection locked="0"/>
    </xf>
    <xf numFmtId="49" fontId="8" fillId="2" borderId="1" xfId="3" applyNumberFormat="1" applyFont="1" applyFill="1" applyBorder="1" applyAlignment="1" applyProtection="1">
      <alignment horizontal="left" wrapText="1"/>
      <protection locked="0"/>
    </xf>
    <xf numFmtId="0" fontId="8" fillId="2" borderId="1" xfId="3" applyNumberFormat="1" applyFont="1" applyFill="1" applyBorder="1" applyAlignment="1" applyProtection="1">
      <alignment wrapText="1"/>
      <protection locked="0"/>
    </xf>
    <xf numFmtId="0" fontId="9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9" fillId="0" borderId="1" xfId="2" applyFont="1" applyBorder="1" applyAlignment="1">
      <alignment horizontal="center" wrapText="1"/>
    </xf>
    <xf numFmtId="0" fontId="9" fillId="0" borderId="1" xfId="2" applyFont="1" applyBorder="1" applyAlignment="1">
      <alignment horizontal="center"/>
    </xf>
    <xf numFmtId="164" fontId="9" fillId="4" borderId="8" xfId="3" applyNumberFormat="1" applyFont="1" applyFill="1" applyBorder="1" applyAlignment="1">
      <alignment horizontal="right"/>
    </xf>
    <xf numFmtId="164" fontId="9" fillId="4" borderId="9" xfId="3" applyNumberFormat="1" applyFont="1" applyFill="1" applyBorder="1" applyAlignment="1">
      <alignment horizontal="right"/>
    </xf>
    <xf numFmtId="0" fontId="5" fillId="4" borderId="9" xfId="2" applyFont="1" applyFill="1" applyBorder="1" applyAlignment="1">
      <alignment horizontal="center"/>
    </xf>
    <xf numFmtId="0" fontId="5" fillId="4" borderId="10" xfId="2" applyFont="1" applyFill="1" applyBorder="1" applyAlignment="1">
      <alignment horizontal="right"/>
    </xf>
    <xf numFmtId="164" fontId="9" fillId="4" borderId="11" xfId="3" applyNumberFormat="1" applyFont="1" applyFill="1" applyBorder="1" applyAlignment="1">
      <alignment horizontal="right"/>
    </xf>
    <xf numFmtId="164" fontId="5" fillId="4" borderId="3" xfId="3" applyNumberFormat="1" applyFont="1" applyFill="1" applyBorder="1" applyAlignment="1">
      <alignment horizontal="right"/>
    </xf>
    <xf numFmtId="0" fontId="5" fillId="4" borderId="4" xfId="2" applyFont="1" applyFill="1" applyBorder="1" applyAlignment="1">
      <alignment horizontal="center"/>
    </xf>
    <xf numFmtId="0" fontId="5" fillId="4" borderId="12" xfId="2" applyFont="1" applyFill="1" applyBorder="1" applyAlignment="1">
      <alignment horizontal="left"/>
    </xf>
    <xf numFmtId="164" fontId="5" fillId="4" borderId="4" xfId="3" applyNumberFormat="1" applyFont="1" applyFill="1" applyBorder="1" applyAlignment="1">
      <alignment horizontal="right"/>
    </xf>
    <xf numFmtId="164" fontId="5" fillId="4" borderId="4" xfId="2" applyNumberFormat="1" applyFont="1" applyFill="1" applyBorder="1"/>
    <xf numFmtId="0" fontId="5" fillId="4" borderId="13" xfId="2" applyFont="1" applyFill="1" applyBorder="1" applyAlignment="1">
      <alignment horizontal="center"/>
    </xf>
    <xf numFmtId="0" fontId="5" fillId="4" borderId="14" xfId="2" applyFont="1" applyFill="1" applyBorder="1"/>
    <xf numFmtId="0" fontId="5" fillId="4" borderId="15" xfId="2" applyFont="1" applyFill="1" applyBorder="1"/>
    <xf numFmtId="0" fontId="5" fillId="4" borderId="16" xfId="2" applyFont="1" applyFill="1" applyBorder="1"/>
    <xf numFmtId="0" fontId="5" fillId="4" borderId="17" xfId="2" applyFont="1" applyFill="1" applyBorder="1" applyAlignment="1">
      <alignment horizontal="center"/>
    </xf>
    <xf numFmtId="0" fontId="9" fillId="4" borderId="18" xfId="2" applyFont="1" applyFill="1" applyBorder="1" applyAlignment="1">
      <alignment horizontal="left"/>
    </xf>
    <xf numFmtId="0" fontId="9" fillId="5" borderId="19" xfId="2" applyFont="1" applyFill="1" applyBorder="1" applyAlignment="1">
      <alignment horizontal="center"/>
    </xf>
    <xf numFmtId="0" fontId="9" fillId="5" borderId="20" xfId="2" applyFont="1" applyFill="1" applyBorder="1" applyAlignment="1">
      <alignment horizontal="center"/>
    </xf>
    <xf numFmtId="0" fontId="9" fillId="5" borderId="21" xfId="2" applyFont="1" applyFill="1" applyBorder="1" applyAlignment="1">
      <alignment horizontal="center"/>
    </xf>
    <xf numFmtId="0" fontId="5" fillId="0" borderId="0" xfId="2" applyFont="1" applyAlignment="1">
      <alignment horizontal="centerContinuous"/>
    </xf>
    <xf numFmtId="14" fontId="9" fillId="0" borderId="0" xfId="2" applyNumberFormat="1" applyFont="1" applyAlignment="1">
      <alignment horizontal="centerContinuous"/>
    </xf>
    <xf numFmtId="0" fontId="13" fillId="0" borderId="0" xfId="2" applyFont="1" applyAlignment="1">
      <alignment horizontal="centerContinuous"/>
    </xf>
    <xf numFmtId="14" fontId="13" fillId="0" borderId="0" xfId="2" applyNumberFormat="1" applyFont="1" applyAlignment="1">
      <alignment horizontal="centerContinuous"/>
    </xf>
    <xf numFmtId="0" fontId="14" fillId="0" borderId="0" xfId="2" applyFont="1" applyAlignment="1">
      <alignment horizontal="centerContinuous"/>
    </xf>
    <xf numFmtId="0" fontId="13" fillId="0" borderId="0" xfId="2" applyFont="1" applyAlignment="1">
      <alignment horizontal="center"/>
    </xf>
  </cellXfs>
  <cellStyles count="4">
    <cellStyle name="Comma" xfId="1" builtinId="3"/>
    <cellStyle name="Comma 3" xfId="3" xr:uid="{B35B036C-0F52-4B69-8208-FADF360B0A76}"/>
    <cellStyle name="Normal" xfId="0" builtinId="0"/>
    <cellStyle name="Normal 3" xfId="2" xr:uid="{C11CEA70-2265-4736-9A9C-66F719361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fina.Radcliffe\AppData\Local\Microsoft\Windows\INetCache\Content.Outlook\6A8G6SNV\MIAAG%202025%205%20Year%20Capital%20Budget.xlsx" TargetMode="External"/><Relationship Id="rId1" Type="http://schemas.openxmlformats.org/officeDocument/2006/relationships/externalLinkPath" Target="file:///C:\Users\Josefina.Radcliffe\AppData\Local\Microsoft\Windows\INetCache\Content.Outlook\6A8G6SNV\MIAAG%202025%205%20Year%20Capital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hpcp-my.sharepoint.com/personal/josefina_radcliffe_khpcp_com/Documents/Desktop/INTERNAL%20CAPEX.xlsx" TargetMode="External"/><Relationship Id="rId1" Type="http://schemas.openxmlformats.org/officeDocument/2006/relationships/externalLinkPath" Target="INTERNAL%20CAP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Combined 5-Year"/>
      <sheetName val="Hotel 5-Year"/>
      <sheetName val="Restaurant 5-Year"/>
      <sheetName val="Refresh-Reconcept"/>
      <sheetName val="Hotel ABC Review"/>
      <sheetName val="Restaurant ABC Review"/>
      <sheetName val="Sample Prop Review"/>
    </sheetNames>
    <sheetDataSet>
      <sheetData sheetId="0">
        <row r="5">
          <cell r="E5" t="str">
            <v>Angler's Hotel</v>
          </cell>
        </row>
      </sheetData>
      <sheetData sheetId="1">
        <row r="3">
          <cell r="A3" t="str">
            <v>2025 5-YEAR CAPITAL EXPENDITURE PLAN</v>
          </cell>
        </row>
        <row r="5">
          <cell r="C5">
            <v>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3"/>
      <sheetName val="2022"/>
      <sheetName val="202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98DC-58A5-4096-A459-3C81F0C0F66E}">
  <sheetPr>
    <tabColor theme="7" tint="0.39997558519241921"/>
  </sheetPr>
  <dimension ref="A1:Q131"/>
  <sheetViews>
    <sheetView showGridLines="0" tabSelected="1" zoomScale="85" zoomScaleNormal="85" workbookViewId="0">
      <pane ySplit="11" topLeftCell="A12" activePane="bottomLeft" state="frozen"/>
      <selection activeCell="A23" sqref="A23"/>
      <selection pane="bottomLeft" activeCell="K61" sqref="K61"/>
    </sheetView>
  </sheetViews>
  <sheetFormatPr defaultColWidth="9.140625" defaultRowHeight="12.75" x14ac:dyDescent="0.2"/>
  <cols>
    <col min="1" max="1" width="43.7109375" style="4" customWidth="1"/>
    <col min="2" max="2" width="13.7109375" style="7" customWidth="1"/>
    <col min="3" max="6" width="12.7109375" style="4" customWidth="1"/>
    <col min="7" max="7" width="12.42578125" style="4" customWidth="1"/>
    <col min="8" max="8" width="13.7109375" style="4" customWidth="1"/>
    <col min="9" max="9" width="72.7109375" style="6" customWidth="1"/>
    <col min="10" max="10" width="12.42578125" style="5" customWidth="1"/>
    <col min="11" max="16384" width="9.140625" style="4"/>
  </cols>
  <sheetData>
    <row r="1" spans="1:10" ht="18" x14ac:dyDescent="0.25">
      <c r="A1" s="69" t="str">
        <f>+[1]Instructions!E5</f>
        <v>Angler's Hotel</v>
      </c>
      <c r="B1" s="69"/>
      <c r="C1" s="69"/>
      <c r="D1" s="69"/>
      <c r="E1" s="69"/>
      <c r="F1" s="69"/>
      <c r="G1" s="69"/>
      <c r="H1" s="69"/>
    </row>
    <row r="2" spans="1:10" ht="18" x14ac:dyDescent="0.25">
      <c r="A2" s="66" t="str">
        <f>+'[1]Combined 5-Year'!A3</f>
        <v>2025 5-YEAR CAPITAL EXPENDITURE PLAN</v>
      </c>
      <c r="B2" s="68"/>
      <c r="C2" s="68"/>
      <c r="D2" s="68"/>
      <c r="E2" s="68"/>
      <c r="F2" s="68"/>
      <c r="G2" s="68"/>
      <c r="H2" s="67"/>
    </row>
    <row r="3" spans="1:10" ht="7.5" customHeight="1" thickBot="1" x14ac:dyDescent="0.3">
      <c r="A3" s="66"/>
      <c r="B3" s="64"/>
      <c r="C3" s="64"/>
      <c r="D3" s="64"/>
      <c r="E3" s="64"/>
      <c r="F3" s="64"/>
      <c r="G3" s="64"/>
      <c r="H3" s="65"/>
    </row>
    <row r="4" spans="1:10" ht="13.5" thickBot="1" x14ac:dyDescent="0.25">
      <c r="A4" s="64"/>
      <c r="B4" s="64"/>
      <c r="C4" s="63">
        <f>'[1]Combined 5-Year'!C5</f>
        <v>2025</v>
      </c>
      <c r="D4" s="63">
        <f>+C4+1</f>
        <v>2026</v>
      </c>
      <c r="E4" s="63">
        <f>+D4+1</f>
        <v>2027</v>
      </c>
      <c r="F4" s="63">
        <f>+E4+1</f>
        <v>2028</v>
      </c>
      <c r="G4" s="62">
        <f>+F4+1</f>
        <v>2029</v>
      </c>
      <c r="H4" s="61" t="s">
        <v>126</v>
      </c>
    </row>
    <row r="5" spans="1:10" x14ac:dyDescent="0.2">
      <c r="A5" s="60" t="s">
        <v>119</v>
      </c>
      <c r="B5" s="59"/>
      <c r="C5" s="58"/>
      <c r="D5" s="58"/>
      <c r="E5" s="58"/>
      <c r="F5" s="58"/>
      <c r="G5" s="57"/>
      <c r="H5" s="56"/>
    </row>
    <row r="6" spans="1:10" x14ac:dyDescent="0.2">
      <c r="A6" s="52" t="s">
        <v>117</v>
      </c>
      <c r="B6" s="55"/>
      <c r="C6" s="54">
        <f>C19</f>
        <v>0</v>
      </c>
      <c r="D6" s="54">
        <f>D19</f>
        <v>0</v>
      </c>
      <c r="E6" s="54">
        <f>E19</f>
        <v>0</v>
      </c>
      <c r="F6" s="54">
        <f>F19</f>
        <v>0</v>
      </c>
      <c r="G6" s="54">
        <f>G19</f>
        <v>0</v>
      </c>
      <c r="H6" s="49">
        <f>SUM(C6:G6)</f>
        <v>0</v>
      </c>
      <c r="J6" s="5" t="s">
        <v>82</v>
      </c>
    </row>
    <row r="7" spans="1:10" x14ac:dyDescent="0.2">
      <c r="A7" s="52" t="s">
        <v>125</v>
      </c>
      <c r="B7" s="51"/>
      <c r="C7" s="53">
        <f>SUM(C32,C37,C43,C47,C53,C64,C72,C68)</f>
        <v>113000</v>
      </c>
      <c r="D7" s="53">
        <f>SUM(D32,D37,D43,D47,D53,D64,D72,D68)</f>
        <v>55000</v>
      </c>
      <c r="E7" s="53">
        <f>SUM(E32,E37,E43,E47,E53,E64,E72,E68)</f>
        <v>29000</v>
      </c>
      <c r="F7" s="53">
        <f>SUM(F32,F37,F43,F47,F53,F64,F72,F68)</f>
        <v>8000</v>
      </c>
      <c r="G7" s="53">
        <f>SUM(G32,G37,G43,G47,G53,G64,G72,G68)</f>
        <v>8000</v>
      </c>
      <c r="H7" s="49">
        <f>SUM(C7:G7)</f>
        <v>213000</v>
      </c>
      <c r="J7" s="5" t="s">
        <v>82</v>
      </c>
    </row>
    <row r="8" spans="1:10" x14ac:dyDescent="0.2">
      <c r="A8" s="52" t="s">
        <v>124</v>
      </c>
      <c r="B8" s="51"/>
      <c r="C8" s="53">
        <f>SUM(C76,C86,C93)</f>
        <v>0</v>
      </c>
      <c r="D8" s="53">
        <f>SUM(D76,D86,D93)</f>
        <v>0</v>
      </c>
      <c r="E8" s="53">
        <f>SUM(E76,E86,E93)</f>
        <v>0</v>
      </c>
      <c r="F8" s="53">
        <f>SUM(F76,F86,F93)</f>
        <v>0</v>
      </c>
      <c r="G8" s="53">
        <f>SUM(G76,G86,G93)</f>
        <v>0</v>
      </c>
      <c r="H8" s="49">
        <f>SUM(C8:G8)</f>
        <v>0</v>
      </c>
      <c r="I8" s="6" t="s">
        <v>82</v>
      </c>
    </row>
    <row r="9" spans="1:10" x14ac:dyDescent="0.2">
      <c r="A9" s="52" t="s">
        <v>123</v>
      </c>
      <c r="B9" s="51"/>
      <c r="C9" s="53">
        <f>SUM(C97,C100,C106,C112,C116,C119,C122,C125)</f>
        <v>70000</v>
      </c>
      <c r="D9" s="53">
        <f>SUM(D97,D100,D106,D112,D116,D119,D122,D125)</f>
        <v>40000</v>
      </c>
      <c r="E9" s="53">
        <f>SUM(E97,E100,E106,E112,E116,E119,E122,E125)</f>
        <v>20000</v>
      </c>
      <c r="F9" s="53">
        <f>SUM(F97,F100,F106,F112,F116,F119,F122,F125)</f>
        <v>8000</v>
      </c>
      <c r="G9" s="53">
        <f>SUM(G97,G100,G106,G112,G116,G119,G122,G125)</f>
        <v>8000</v>
      </c>
      <c r="H9" s="49">
        <f>SUM(C9:G9)</f>
        <v>146000</v>
      </c>
    </row>
    <row r="10" spans="1:10" ht="13.5" thickBot="1" x14ac:dyDescent="0.25">
      <c r="A10" s="52" t="s">
        <v>122</v>
      </c>
      <c r="B10" s="51"/>
      <c r="C10" s="50">
        <f>C130</f>
        <v>68000</v>
      </c>
      <c r="D10" s="50">
        <f>D130</f>
        <v>50000</v>
      </c>
      <c r="E10" s="50">
        <f>E130</f>
        <v>0</v>
      </c>
      <c r="F10" s="50">
        <f>F130</f>
        <v>0</v>
      </c>
      <c r="G10" s="50">
        <f>G130</f>
        <v>0</v>
      </c>
      <c r="H10" s="49">
        <f>SUM(C10:G10)</f>
        <v>118000</v>
      </c>
    </row>
    <row r="11" spans="1:10" ht="13.5" thickBot="1" x14ac:dyDescent="0.25">
      <c r="A11" s="48" t="s">
        <v>69</v>
      </c>
      <c r="B11" s="47"/>
      <c r="C11" s="46">
        <f>SUM(C6:C10)</f>
        <v>251000</v>
      </c>
      <c r="D11" s="46">
        <f>SUM(D6:D10)</f>
        <v>145000</v>
      </c>
      <c r="E11" s="46">
        <f>SUM(E6:E10)</f>
        <v>49000</v>
      </c>
      <c r="F11" s="46">
        <f>SUM(F6:F10)</f>
        <v>16000</v>
      </c>
      <c r="G11" s="46">
        <f>SUM(G6:G10)</f>
        <v>16000</v>
      </c>
      <c r="H11" s="45">
        <f>SUM(H6:H10)</f>
        <v>477000</v>
      </c>
    </row>
    <row r="12" spans="1:10" x14ac:dyDescent="0.2">
      <c r="B12" s="41" t="s">
        <v>121</v>
      </c>
    </row>
    <row r="13" spans="1:10" s="41" customFormat="1" x14ac:dyDescent="0.2">
      <c r="A13" s="44" t="s">
        <v>120</v>
      </c>
      <c r="B13" s="44" t="s">
        <v>119</v>
      </c>
      <c r="C13" s="44">
        <f>+C4</f>
        <v>2025</v>
      </c>
      <c r="D13" s="44">
        <f>+D4</f>
        <v>2026</v>
      </c>
      <c r="E13" s="44">
        <f>+E4</f>
        <v>2027</v>
      </c>
      <c r="F13" s="44">
        <f>+F4</f>
        <v>2028</v>
      </c>
      <c r="G13" s="44">
        <f>+G4</f>
        <v>2029</v>
      </c>
      <c r="H13" s="44" t="str">
        <f>+H4</f>
        <v>5-Year Total</v>
      </c>
      <c r="I13" s="43" t="s">
        <v>118</v>
      </c>
      <c r="J13" s="42"/>
    </row>
    <row r="14" spans="1:10" x14ac:dyDescent="0.2">
      <c r="A14" s="14"/>
      <c r="B14" s="19" t="s">
        <v>117</v>
      </c>
      <c r="C14" s="15"/>
      <c r="D14" s="15"/>
      <c r="E14" s="15"/>
      <c r="F14" s="15"/>
      <c r="G14" s="15"/>
      <c r="H14" s="10">
        <f>SUM(C14:G14)</f>
        <v>0</v>
      </c>
      <c r="I14" s="40"/>
    </row>
    <row r="15" spans="1:10" x14ac:dyDescent="0.2">
      <c r="A15" s="14"/>
      <c r="B15" s="17"/>
      <c r="C15" s="15"/>
      <c r="D15" s="15"/>
      <c r="E15" s="15"/>
      <c r="F15" s="15"/>
      <c r="G15" s="15"/>
      <c r="H15" s="10">
        <f>SUM(C15:G15)</f>
        <v>0</v>
      </c>
      <c r="I15" s="14"/>
    </row>
    <row r="16" spans="1:10" x14ac:dyDescent="0.2">
      <c r="A16" s="14"/>
      <c r="B16" s="17"/>
      <c r="C16" s="15"/>
      <c r="D16" s="15"/>
      <c r="E16" s="15"/>
      <c r="F16" s="15"/>
      <c r="G16" s="15"/>
      <c r="H16" s="10">
        <f>SUM(C16:G16)</f>
        <v>0</v>
      </c>
      <c r="I16" s="18"/>
    </row>
    <row r="17" spans="1:9" x14ac:dyDescent="0.2">
      <c r="A17" s="14"/>
      <c r="B17" s="17"/>
      <c r="C17" s="15"/>
      <c r="D17" s="15"/>
      <c r="E17" s="15"/>
      <c r="F17" s="15"/>
      <c r="G17" s="15"/>
      <c r="H17" s="10">
        <f>SUM(C17:G17)</f>
        <v>0</v>
      </c>
      <c r="I17" s="18"/>
    </row>
    <row r="18" spans="1:9" x14ac:dyDescent="0.2">
      <c r="A18" s="14"/>
      <c r="B18" s="16"/>
      <c r="C18" s="15"/>
      <c r="D18" s="15"/>
      <c r="E18" s="15"/>
      <c r="F18" s="15"/>
      <c r="G18" s="15"/>
      <c r="H18" s="10">
        <f>SUM(C18:G18)</f>
        <v>0</v>
      </c>
      <c r="I18" s="14"/>
    </row>
    <row r="19" spans="1:9" x14ac:dyDescent="0.2">
      <c r="A19" s="13" t="s">
        <v>69</v>
      </c>
      <c r="B19" s="12" t="s">
        <v>68</v>
      </c>
      <c r="C19" s="11">
        <f>SUM(C14:C17)</f>
        <v>0</v>
      </c>
      <c r="D19" s="11">
        <f>SUM(D14:D17)</f>
        <v>0</v>
      </c>
      <c r="E19" s="11">
        <f>SUM(E14:E17)</f>
        <v>0</v>
      </c>
      <c r="F19" s="11">
        <f>SUM(F14:F17)</f>
        <v>0</v>
      </c>
      <c r="G19" s="11">
        <f>SUM(G14:G17)</f>
        <v>0</v>
      </c>
      <c r="H19" s="10">
        <f>SUM(C19:G19)</f>
        <v>0</v>
      </c>
      <c r="I19" s="9"/>
    </row>
    <row r="20" spans="1:9" x14ac:dyDescent="0.2">
      <c r="A20" s="14" t="s">
        <v>116</v>
      </c>
      <c r="B20" s="19" t="s">
        <v>115</v>
      </c>
      <c r="C20" s="15">
        <v>7000</v>
      </c>
      <c r="D20" s="15"/>
      <c r="E20" s="15"/>
      <c r="F20" s="15"/>
      <c r="G20" s="15"/>
      <c r="H20" s="10">
        <f>SUM(C20:G20)</f>
        <v>7000</v>
      </c>
      <c r="I20" s="18" t="s">
        <v>107</v>
      </c>
    </row>
    <row r="21" spans="1:9" x14ac:dyDescent="0.2">
      <c r="A21" s="23" t="s">
        <v>114</v>
      </c>
      <c r="B21" s="17"/>
      <c r="C21" s="15">
        <v>8000</v>
      </c>
      <c r="D21" s="15">
        <v>8000</v>
      </c>
      <c r="E21" s="15">
        <v>8000</v>
      </c>
      <c r="F21" s="15">
        <v>8000</v>
      </c>
      <c r="G21" s="15">
        <v>8000</v>
      </c>
      <c r="H21" s="10">
        <f>SUM(C21:G21)</f>
        <v>40000</v>
      </c>
      <c r="I21" s="39" t="s">
        <v>113</v>
      </c>
    </row>
    <row r="22" spans="1:9" x14ac:dyDescent="0.2">
      <c r="A22" s="14" t="s">
        <v>112</v>
      </c>
      <c r="B22" s="17"/>
      <c r="C22" s="15">
        <v>8000</v>
      </c>
      <c r="D22" s="15">
        <v>8000</v>
      </c>
      <c r="E22" s="15">
        <v>8000</v>
      </c>
      <c r="F22" s="15"/>
      <c r="G22" s="15"/>
      <c r="H22" s="10">
        <f>SUM(C22:G22)</f>
        <v>24000</v>
      </c>
      <c r="I22" s="18" t="s">
        <v>111</v>
      </c>
    </row>
    <row r="23" spans="1:9" x14ac:dyDescent="0.2">
      <c r="A23" s="14" t="s">
        <v>110</v>
      </c>
      <c r="B23" s="17"/>
      <c r="C23" s="15">
        <v>33000</v>
      </c>
      <c r="D23" s="15">
        <v>33000</v>
      </c>
      <c r="E23" s="15"/>
      <c r="F23" s="15"/>
      <c r="G23" s="15"/>
      <c r="H23" s="10">
        <f>SUM(C23:G23)</f>
        <v>66000</v>
      </c>
      <c r="I23" s="18" t="s">
        <v>109</v>
      </c>
    </row>
    <row r="24" spans="1:9" x14ac:dyDescent="0.2">
      <c r="A24" s="14" t="s">
        <v>108</v>
      </c>
      <c r="B24" s="17"/>
      <c r="C24" s="15">
        <v>4000</v>
      </c>
      <c r="D24" s="15">
        <v>3000</v>
      </c>
      <c r="E24" s="15">
        <v>3000</v>
      </c>
      <c r="F24" s="15"/>
      <c r="G24" s="15"/>
      <c r="H24" s="10">
        <f>SUM(C24:G24)</f>
        <v>10000</v>
      </c>
      <c r="I24" s="18" t="s">
        <v>107</v>
      </c>
    </row>
    <row r="25" spans="1:9" x14ac:dyDescent="0.2">
      <c r="A25" s="23" t="s">
        <v>106</v>
      </c>
      <c r="B25" s="17"/>
      <c r="C25" s="29">
        <v>6000</v>
      </c>
      <c r="D25" s="15">
        <v>3000</v>
      </c>
      <c r="E25" s="15"/>
      <c r="F25" s="15"/>
      <c r="G25" s="15"/>
      <c r="H25" s="10">
        <f>SUM(C25:G25)</f>
        <v>9000</v>
      </c>
      <c r="I25" s="18" t="s">
        <v>105</v>
      </c>
    </row>
    <row r="26" spans="1:9" x14ac:dyDescent="0.2">
      <c r="A26" s="23"/>
      <c r="B26" s="17"/>
      <c r="C26" s="29"/>
      <c r="D26" s="15"/>
      <c r="E26" s="15"/>
      <c r="F26" s="15"/>
      <c r="G26" s="15"/>
      <c r="H26" s="10">
        <f>SUM(C26:G26)</f>
        <v>0</v>
      </c>
      <c r="I26" s="18"/>
    </row>
    <row r="27" spans="1:9" x14ac:dyDescent="0.2">
      <c r="A27" s="23"/>
      <c r="B27" s="17"/>
      <c r="C27" s="15"/>
      <c r="D27" s="15"/>
      <c r="E27" s="15"/>
      <c r="F27" s="15"/>
      <c r="G27" s="15"/>
      <c r="H27" s="10">
        <f>SUM(C27:G27)</f>
        <v>0</v>
      </c>
      <c r="I27" s="18"/>
    </row>
    <row r="28" spans="1:9" x14ac:dyDescent="0.2">
      <c r="A28" s="23"/>
      <c r="B28" s="17"/>
      <c r="C28" s="15"/>
      <c r="D28" s="15"/>
      <c r="E28" s="15"/>
      <c r="F28" s="15"/>
      <c r="G28" s="15"/>
      <c r="H28" s="10">
        <f>SUM(C28:G28)</f>
        <v>0</v>
      </c>
      <c r="I28" s="18"/>
    </row>
    <row r="29" spans="1:9" x14ac:dyDescent="0.2">
      <c r="A29" s="23"/>
      <c r="B29" s="17"/>
      <c r="C29" s="15"/>
      <c r="D29" s="15"/>
      <c r="E29" s="15"/>
      <c r="F29" s="15"/>
      <c r="G29" s="15"/>
      <c r="H29" s="10">
        <f>SUM(C29:G29)</f>
        <v>0</v>
      </c>
      <c r="I29" s="18"/>
    </row>
    <row r="30" spans="1:9" x14ac:dyDescent="0.2">
      <c r="A30" s="14"/>
      <c r="B30" s="17"/>
      <c r="C30" s="15"/>
      <c r="D30" s="15"/>
      <c r="E30" s="15"/>
      <c r="F30" s="15"/>
      <c r="G30" s="15"/>
      <c r="H30" s="10">
        <f>SUM(C30:G30)</f>
        <v>0</v>
      </c>
      <c r="I30" s="14"/>
    </row>
    <row r="31" spans="1:9" x14ac:dyDescent="0.2">
      <c r="A31" s="14"/>
      <c r="B31" s="16"/>
      <c r="C31" s="15"/>
      <c r="D31" s="15"/>
      <c r="E31" s="15"/>
      <c r="F31" s="15"/>
      <c r="G31" s="15"/>
      <c r="H31" s="10">
        <f>SUM(C31:G31)</f>
        <v>0</v>
      </c>
      <c r="I31" s="14"/>
    </row>
    <row r="32" spans="1:9" x14ac:dyDescent="0.2">
      <c r="A32" s="13" t="s">
        <v>69</v>
      </c>
      <c r="B32" s="12" t="s">
        <v>68</v>
      </c>
      <c r="C32" s="11">
        <f>SUM(C20:C31)</f>
        <v>66000</v>
      </c>
      <c r="D32" s="11">
        <f>SUM(D20:D31)</f>
        <v>55000</v>
      </c>
      <c r="E32" s="11">
        <f>SUM(E20:E31)</f>
        <v>19000</v>
      </c>
      <c r="F32" s="11">
        <f>SUM(F20:F31)</f>
        <v>8000</v>
      </c>
      <c r="G32" s="11">
        <f>SUM(G20:G31)</f>
        <v>8000</v>
      </c>
      <c r="H32" s="10">
        <f>SUM(C32:G32)</f>
        <v>156000</v>
      </c>
      <c r="I32" s="9"/>
    </row>
    <row r="33" spans="1:17" ht="12.75" customHeight="1" x14ac:dyDescent="0.2">
      <c r="A33" s="23" t="s">
        <v>53</v>
      </c>
      <c r="B33" s="19" t="s">
        <v>104</v>
      </c>
      <c r="C33" s="15">
        <v>7000</v>
      </c>
      <c r="D33" s="15"/>
      <c r="E33" s="15"/>
      <c r="F33" s="15"/>
      <c r="G33" s="15"/>
      <c r="H33" s="10">
        <f>SUM(C33:G33)</f>
        <v>7000</v>
      </c>
      <c r="I33" s="18" t="s">
        <v>103</v>
      </c>
    </row>
    <row r="34" spans="1:17" x14ac:dyDescent="0.2">
      <c r="A34" s="23"/>
      <c r="B34" s="17"/>
      <c r="C34" s="15"/>
      <c r="D34" s="15"/>
      <c r="E34" s="15"/>
      <c r="F34" s="15"/>
      <c r="G34" s="15"/>
      <c r="H34" s="10">
        <f>SUM(C34:G34)</f>
        <v>0</v>
      </c>
      <c r="I34" s="18"/>
    </row>
    <row r="35" spans="1:17" x14ac:dyDescent="0.2">
      <c r="A35" s="14"/>
      <c r="B35" s="17"/>
      <c r="C35" s="15"/>
      <c r="D35" s="15"/>
      <c r="E35" s="15"/>
      <c r="F35" s="15"/>
      <c r="G35" s="15"/>
      <c r="H35" s="10">
        <f>SUM(C35:G35)</f>
        <v>0</v>
      </c>
      <c r="I35" s="18"/>
    </row>
    <row r="36" spans="1:17" x14ac:dyDescent="0.2">
      <c r="A36" s="14"/>
      <c r="B36" s="16"/>
      <c r="C36" s="15"/>
      <c r="D36" s="15"/>
      <c r="E36" s="15"/>
      <c r="F36" s="15"/>
      <c r="G36" s="15"/>
      <c r="H36" s="10">
        <f>SUM(C36:G36)</f>
        <v>0</v>
      </c>
      <c r="I36" s="14"/>
    </row>
    <row r="37" spans="1:17" x14ac:dyDescent="0.2">
      <c r="A37" s="13" t="s">
        <v>69</v>
      </c>
      <c r="B37" s="12" t="s">
        <v>68</v>
      </c>
      <c r="C37" s="11">
        <f>SUM(C33:C35)</f>
        <v>7000</v>
      </c>
      <c r="D37" s="11">
        <f>SUM(D33:D35)</f>
        <v>0</v>
      </c>
      <c r="E37" s="11">
        <f>SUM(E33:E35)</f>
        <v>0</v>
      </c>
      <c r="F37" s="11">
        <f>SUM(F33:F35)</f>
        <v>0</v>
      </c>
      <c r="G37" s="11">
        <f>SUM(G33:G35)</f>
        <v>0</v>
      </c>
      <c r="H37" s="10">
        <f>SUM(C37:G37)</f>
        <v>7000</v>
      </c>
      <c r="I37" s="9"/>
    </row>
    <row r="38" spans="1:17" x14ac:dyDescent="0.2">
      <c r="A38" s="23"/>
      <c r="B38" s="19" t="s">
        <v>102</v>
      </c>
      <c r="C38" s="15"/>
      <c r="D38" s="15"/>
      <c r="E38" s="15"/>
      <c r="F38" s="15"/>
      <c r="G38" s="15"/>
      <c r="H38" s="10">
        <f>SUM(C38:G38)</f>
        <v>0</v>
      </c>
      <c r="I38" s="18"/>
    </row>
    <row r="39" spans="1:17" x14ac:dyDescent="0.2">
      <c r="A39" s="23"/>
      <c r="B39" s="17"/>
      <c r="C39" s="15"/>
      <c r="D39" s="15"/>
      <c r="E39" s="15"/>
      <c r="F39" s="15"/>
      <c r="G39" s="15"/>
      <c r="H39" s="10">
        <f>SUM(C39:G39)</f>
        <v>0</v>
      </c>
      <c r="I39" s="18"/>
    </row>
    <row r="40" spans="1:17" s="5" customFormat="1" x14ac:dyDescent="0.2">
      <c r="A40" s="23"/>
      <c r="B40" s="17"/>
      <c r="C40" s="38"/>
      <c r="D40" s="32"/>
      <c r="E40" s="32"/>
      <c r="F40" s="32"/>
      <c r="G40" s="15"/>
      <c r="H40" s="10">
        <f>SUM(C40:G40)</f>
        <v>0</v>
      </c>
      <c r="I40" s="18"/>
      <c r="K40" s="4"/>
      <c r="L40" s="4"/>
      <c r="M40" s="4"/>
      <c r="N40" s="4"/>
      <c r="O40" s="4"/>
      <c r="P40" s="4"/>
      <c r="Q40" s="4"/>
    </row>
    <row r="41" spans="1:17" s="5" customFormat="1" x14ac:dyDescent="0.2">
      <c r="A41" s="14"/>
      <c r="B41" s="17"/>
      <c r="C41" s="15"/>
      <c r="D41" s="15"/>
      <c r="E41" s="15"/>
      <c r="F41" s="15"/>
      <c r="G41" s="15"/>
      <c r="H41" s="10">
        <f>SUM(C41:G41)</f>
        <v>0</v>
      </c>
      <c r="I41" s="14"/>
      <c r="K41" s="4"/>
      <c r="L41" s="4"/>
      <c r="M41" s="4"/>
      <c r="N41" s="4"/>
      <c r="O41" s="4"/>
      <c r="P41" s="4"/>
      <c r="Q41" s="4"/>
    </row>
    <row r="42" spans="1:17" s="5" customFormat="1" x14ac:dyDescent="0.2">
      <c r="A42" s="14"/>
      <c r="B42" s="16"/>
      <c r="C42" s="32"/>
      <c r="D42" s="32"/>
      <c r="E42" s="32"/>
      <c r="F42" s="32"/>
      <c r="G42" s="32"/>
      <c r="H42" s="10">
        <f>SUM(C42:G42)</f>
        <v>0</v>
      </c>
      <c r="I42" s="14"/>
      <c r="K42" s="4"/>
      <c r="L42" s="4"/>
      <c r="M42" s="4"/>
      <c r="N42" s="4"/>
      <c r="O42" s="4"/>
      <c r="P42" s="4"/>
      <c r="Q42" s="4"/>
    </row>
    <row r="43" spans="1:17" s="5" customFormat="1" x14ac:dyDescent="0.2">
      <c r="A43" s="13" t="s">
        <v>69</v>
      </c>
      <c r="B43" s="12" t="s">
        <v>68</v>
      </c>
      <c r="C43" s="36">
        <f>SUM(C38:C42)</f>
        <v>0</v>
      </c>
      <c r="D43" s="36">
        <f>SUM(D38:D42)</f>
        <v>0</v>
      </c>
      <c r="E43" s="36">
        <f>SUM(E38:E42)</f>
        <v>0</v>
      </c>
      <c r="F43" s="36">
        <f>SUM(F38:F42)</f>
        <v>0</v>
      </c>
      <c r="G43" s="36">
        <f>SUM(G38:G42)</f>
        <v>0</v>
      </c>
      <c r="H43" s="10">
        <f>SUM(C43:G43)</f>
        <v>0</v>
      </c>
      <c r="I43" s="9"/>
      <c r="K43" s="4"/>
      <c r="L43" s="4"/>
      <c r="M43" s="4"/>
      <c r="N43" s="4"/>
      <c r="O43" s="4"/>
      <c r="P43" s="4"/>
      <c r="Q43" s="4"/>
    </row>
    <row r="44" spans="1:17" s="5" customFormat="1" x14ac:dyDescent="0.2">
      <c r="A44" s="23"/>
      <c r="B44" s="19" t="s">
        <v>101</v>
      </c>
      <c r="C44" s="15"/>
      <c r="D44" s="15"/>
      <c r="E44" s="15"/>
      <c r="F44" s="15"/>
      <c r="G44" s="15"/>
      <c r="H44" s="10">
        <f>SUM(C44:G44)</f>
        <v>0</v>
      </c>
      <c r="I44" s="18"/>
      <c r="K44" s="4"/>
      <c r="L44" s="4"/>
      <c r="M44" s="4"/>
      <c r="N44" s="4"/>
      <c r="O44" s="4"/>
      <c r="P44" s="4"/>
      <c r="Q44" s="4"/>
    </row>
    <row r="45" spans="1:17" s="5" customFormat="1" x14ac:dyDescent="0.2">
      <c r="A45" s="23"/>
      <c r="B45" s="17"/>
      <c r="C45" s="29"/>
      <c r="D45" s="15"/>
      <c r="E45" s="15"/>
      <c r="F45" s="15"/>
      <c r="G45" s="15"/>
      <c r="H45" s="10">
        <f>SUM(C45:G45)</f>
        <v>0</v>
      </c>
      <c r="I45" s="18"/>
      <c r="K45" s="4"/>
      <c r="L45" s="4"/>
      <c r="M45" s="4"/>
      <c r="N45" s="4"/>
      <c r="O45" s="4"/>
      <c r="P45" s="4"/>
      <c r="Q45" s="4"/>
    </row>
    <row r="46" spans="1:17" s="5" customFormat="1" x14ac:dyDescent="0.2">
      <c r="A46" s="14"/>
      <c r="B46" s="16"/>
      <c r="C46" s="15"/>
      <c r="D46" s="15"/>
      <c r="E46" s="15"/>
      <c r="F46" s="15"/>
      <c r="G46" s="15"/>
      <c r="H46" s="10">
        <f>SUM(C46:G46)</f>
        <v>0</v>
      </c>
      <c r="I46" s="14"/>
      <c r="K46" s="4"/>
      <c r="L46" s="4"/>
      <c r="M46" s="4"/>
      <c r="N46" s="4"/>
      <c r="O46" s="4"/>
      <c r="P46" s="4"/>
      <c r="Q46" s="4"/>
    </row>
    <row r="47" spans="1:17" s="5" customFormat="1" x14ac:dyDescent="0.2">
      <c r="A47" s="13" t="s">
        <v>69</v>
      </c>
      <c r="B47" s="12" t="s">
        <v>68</v>
      </c>
      <c r="C47" s="11">
        <f>SUM(C44:C46)</f>
        <v>0</v>
      </c>
      <c r="D47" s="11">
        <f>SUM(D44:D46)</f>
        <v>0</v>
      </c>
      <c r="E47" s="11">
        <f>SUM(E44:E46)</f>
        <v>0</v>
      </c>
      <c r="F47" s="11">
        <f>SUM(F44:F46)</f>
        <v>0</v>
      </c>
      <c r="G47" s="11">
        <f>SUM(G44:G46)</f>
        <v>0</v>
      </c>
      <c r="H47" s="10">
        <f>SUM(C47:G47)</f>
        <v>0</v>
      </c>
      <c r="I47" s="9"/>
      <c r="K47" s="4"/>
      <c r="L47" s="4"/>
      <c r="M47" s="4"/>
      <c r="N47" s="4"/>
      <c r="O47" s="4"/>
      <c r="P47" s="4"/>
      <c r="Q47" s="4"/>
    </row>
    <row r="48" spans="1:17" s="5" customFormat="1" x14ac:dyDescent="0.2">
      <c r="A48" s="23"/>
      <c r="B48" s="19" t="s">
        <v>100</v>
      </c>
      <c r="C48" s="15"/>
      <c r="D48" s="15"/>
      <c r="E48" s="15"/>
      <c r="F48" s="15"/>
      <c r="G48" s="15"/>
      <c r="H48" s="10">
        <f>SUM(C48:G48)</f>
        <v>0</v>
      </c>
      <c r="I48" s="18"/>
      <c r="K48" s="4"/>
      <c r="L48" s="4"/>
      <c r="M48" s="4"/>
      <c r="N48" s="4"/>
      <c r="O48" s="4"/>
      <c r="P48" s="4"/>
      <c r="Q48" s="4"/>
    </row>
    <row r="49" spans="1:17" s="5" customFormat="1" x14ac:dyDescent="0.2">
      <c r="A49" s="23"/>
      <c r="B49" s="17"/>
      <c r="C49" s="15"/>
      <c r="D49" s="15"/>
      <c r="E49" s="15"/>
      <c r="F49" s="15"/>
      <c r="G49" s="15"/>
      <c r="H49" s="10"/>
      <c r="I49" s="18"/>
      <c r="K49" s="4"/>
      <c r="L49" s="4"/>
      <c r="M49" s="4"/>
      <c r="N49" s="4"/>
      <c r="O49" s="4"/>
      <c r="P49" s="4"/>
      <c r="Q49" s="4"/>
    </row>
    <row r="50" spans="1:17" s="5" customFormat="1" x14ac:dyDescent="0.2">
      <c r="A50" s="14"/>
      <c r="B50" s="17"/>
      <c r="C50" s="15"/>
      <c r="D50" s="15"/>
      <c r="E50" s="15"/>
      <c r="F50" s="15"/>
      <c r="G50" s="15"/>
      <c r="H50" s="10">
        <f>SUM(C50:G50)</f>
        <v>0</v>
      </c>
      <c r="I50" s="18"/>
      <c r="K50" s="4"/>
      <c r="L50" s="4"/>
      <c r="M50" s="4"/>
      <c r="N50" s="4"/>
      <c r="O50" s="4"/>
      <c r="P50" s="4"/>
      <c r="Q50" s="4"/>
    </row>
    <row r="51" spans="1:17" s="5" customFormat="1" x14ac:dyDescent="0.2">
      <c r="A51" s="14"/>
      <c r="B51" s="17"/>
      <c r="C51" s="29"/>
      <c r="D51" s="29"/>
      <c r="E51" s="29"/>
      <c r="F51" s="29"/>
      <c r="G51" s="15"/>
      <c r="H51" s="10">
        <f>SUM(C51:G51)</f>
        <v>0</v>
      </c>
      <c r="I51" s="18"/>
      <c r="K51" s="4"/>
      <c r="L51" s="4"/>
      <c r="M51" s="4"/>
      <c r="N51" s="4"/>
      <c r="O51" s="4"/>
      <c r="P51" s="4"/>
      <c r="Q51" s="4"/>
    </row>
    <row r="52" spans="1:17" s="5" customFormat="1" x14ac:dyDescent="0.2">
      <c r="A52" s="14"/>
      <c r="B52" s="16"/>
      <c r="C52" s="15"/>
      <c r="D52" s="15"/>
      <c r="E52" s="15"/>
      <c r="F52" s="15"/>
      <c r="G52" s="15"/>
      <c r="H52" s="10">
        <f>SUM(C52:G52)</f>
        <v>0</v>
      </c>
      <c r="I52" s="14"/>
      <c r="K52" s="4"/>
      <c r="L52" s="4"/>
      <c r="M52" s="4"/>
      <c r="N52" s="4"/>
      <c r="O52" s="4"/>
      <c r="P52" s="4"/>
      <c r="Q52" s="4"/>
    </row>
    <row r="53" spans="1:17" s="5" customFormat="1" x14ac:dyDescent="0.2">
      <c r="A53" s="13" t="s">
        <v>69</v>
      </c>
      <c r="B53" s="12" t="s">
        <v>68</v>
      </c>
      <c r="C53" s="11">
        <f>SUM(C48:C52)</f>
        <v>0</v>
      </c>
      <c r="D53" s="11">
        <f>SUM(D48:D52)</f>
        <v>0</v>
      </c>
      <c r="E53" s="11">
        <f>SUM(E48:E52)</f>
        <v>0</v>
      </c>
      <c r="F53" s="11">
        <f>SUM(F48:F52)</f>
        <v>0</v>
      </c>
      <c r="G53" s="11">
        <f>SUM(G48:G52)</f>
        <v>0</v>
      </c>
      <c r="H53" s="10">
        <f>SUM(C53:G53)</f>
        <v>0</v>
      </c>
      <c r="I53" s="9"/>
      <c r="K53" s="4"/>
      <c r="L53" s="4"/>
      <c r="M53" s="4"/>
      <c r="N53" s="4"/>
      <c r="O53" s="4"/>
      <c r="P53" s="4"/>
      <c r="Q53" s="4"/>
    </row>
    <row r="54" spans="1:17" s="5" customFormat="1" x14ac:dyDescent="0.2">
      <c r="A54" s="14"/>
      <c r="B54" s="19" t="s">
        <v>99</v>
      </c>
      <c r="C54" s="15"/>
      <c r="D54" s="15"/>
      <c r="E54" s="15"/>
      <c r="F54" s="15"/>
      <c r="G54" s="15"/>
      <c r="H54" s="10">
        <f>SUM(C54:G54)</f>
        <v>0</v>
      </c>
      <c r="I54" s="18"/>
      <c r="K54" s="4"/>
      <c r="L54" s="4"/>
      <c r="M54" s="4"/>
      <c r="N54" s="4"/>
      <c r="O54" s="4"/>
      <c r="P54" s="4"/>
      <c r="Q54" s="4"/>
    </row>
    <row r="55" spans="1:17" s="5" customFormat="1" x14ac:dyDescent="0.2">
      <c r="A55" s="23"/>
      <c r="B55" s="17"/>
      <c r="C55" s="15"/>
      <c r="D55" s="15"/>
      <c r="E55" s="15"/>
      <c r="F55" s="15"/>
      <c r="G55" s="15"/>
      <c r="H55" s="10">
        <f>SUM(C55:G55)</f>
        <v>0</v>
      </c>
      <c r="I55" s="18"/>
      <c r="K55" s="4"/>
      <c r="L55" s="4"/>
      <c r="M55" s="4"/>
      <c r="N55" s="4"/>
      <c r="O55" s="4"/>
      <c r="P55" s="4"/>
      <c r="Q55" s="4"/>
    </row>
    <row r="56" spans="1:17" s="5" customFormat="1" x14ac:dyDescent="0.2">
      <c r="A56" s="23"/>
      <c r="B56" s="17"/>
      <c r="C56" s="15"/>
      <c r="D56" s="15"/>
      <c r="E56" s="15"/>
      <c r="F56" s="15"/>
      <c r="G56" s="15"/>
      <c r="H56" s="10">
        <f>SUM(C56:G56)</f>
        <v>0</v>
      </c>
      <c r="I56" s="18"/>
      <c r="K56" s="4"/>
      <c r="L56" s="4"/>
      <c r="M56" s="4"/>
      <c r="N56" s="4"/>
      <c r="O56" s="4"/>
      <c r="P56" s="4"/>
      <c r="Q56" s="4"/>
    </row>
    <row r="57" spans="1:17" s="5" customFormat="1" x14ac:dyDescent="0.2">
      <c r="A57" s="23"/>
      <c r="B57" s="17"/>
      <c r="C57" s="15"/>
      <c r="D57" s="15"/>
      <c r="E57" s="15"/>
      <c r="F57" s="15"/>
      <c r="G57" s="15"/>
      <c r="H57" s="10">
        <f>SUM(C57:G57)</f>
        <v>0</v>
      </c>
      <c r="I57" s="18"/>
      <c r="K57" s="4"/>
      <c r="L57" s="4"/>
      <c r="M57" s="4"/>
      <c r="N57" s="4"/>
      <c r="O57" s="4"/>
      <c r="P57" s="4"/>
      <c r="Q57" s="4"/>
    </row>
    <row r="58" spans="1:17" s="5" customFormat="1" x14ac:dyDescent="0.2">
      <c r="A58" s="14"/>
      <c r="B58" s="17"/>
      <c r="C58" s="15"/>
      <c r="D58" s="15"/>
      <c r="E58" s="15"/>
      <c r="F58" s="15"/>
      <c r="G58" s="15"/>
      <c r="H58" s="10">
        <f>SUM(C58:G58)</f>
        <v>0</v>
      </c>
      <c r="I58" s="18"/>
      <c r="K58" s="4"/>
      <c r="L58" s="4"/>
      <c r="M58" s="4"/>
      <c r="N58" s="4"/>
      <c r="O58" s="4"/>
      <c r="P58" s="4"/>
      <c r="Q58" s="4"/>
    </row>
    <row r="59" spans="1:17" s="5" customFormat="1" x14ac:dyDescent="0.2">
      <c r="A59" s="14"/>
      <c r="B59" s="17"/>
      <c r="C59" s="15"/>
      <c r="D59" s="15"/>
      <c r="E59" s="15"/>
      <c r="F59" s="15"/>
      <c r="G59" s="15"/>
      <c r="H59" s="10">
        <f>SUM(C59:G59)</f>
        <v>0</v>
      </c>
      <c r="I59" s="18"/>
      <c r="K59" s="4"/>
      <c r="L59" s="4"/>
      <c r="M59" s="4"/>
      <c r="N59" s="4"/>
      <c r="O59" s="4"/>
      <c r="P59" s="4"/>
      <c r="Q59" s="4"/>
    </row>
    <row r="60" spans="1:17" s="5" customFormat="1" x14ac:dyDescent="0.2">
      <c r="A60" s="23"/>
      <c r="B60" s="17"/>
      <c r="C60" s="15"/>
      <c r="D60" s="37"/>
      <c r="E60" s="37"/>
      <c r="F60" s="15"/>
      <c r="G60" s="15"/>
      <c r="H60" s="10">
        <f>SUM(C60:G60)</f>
        <v>0</v>
      </c>
      <c r="I60" s="18"/>
      <c r="K60" s="4"/>
      <c r="L60" s="4"/>
      <c r="M60" s="4"/>
      <c r="N60" s="4"/>
      <c r="O60" s="4"/>
      <c r="P60" s="4"/>
      <c r="Q60" s="4"/>
    </row>
    <row r="61" spans="1:17" s="5" customFormat="1" x14ac:dyDescent="0.2">
      <c r="A61" s="14"/>
      <c r="B61" s="17"/>
      <c r="C61" s="15"/>
      <c r="D61" s="15"/>
      <c r="E61" s="15"/>
      <c r="F61" s="15"/>
      <c r="G61" s="15"/>
      <c r="H61" s="10">
        <f>SUM(C61:G61)</f>
        <v>0</v>
      </c>
      <c r="I61" s="18"/>
      <c r="K61" s="4"/>
      <c r="L61" s="4"/>
      <c r="M61" s="4"/>
      <c r="N61" s="4"/>
      <c r="O61" s="4"/>
      <c r="P61" s="4"/>
      <c r="Q61" s="4"/>
    </row>
    <row r="62" spans="1:17" s="5" customFormat="1" x14ac:dyDescent="0.2">
      <c r="A62" s="23"/>
      <c r="B62" s="17"/>
      <c r="C62" s="15"/>
      <c r="D62" s="15"/>
      <c r="E62" s="15"/>
      <c r="F62" s="15"/>
      <c r="G62" s="15"/>
      <c r="H62" s="10">
        <f>SUM(C62:G62)</f>
        <v>0</v>
      </c>
      <c r="I62" s="18"/>
      <c r="K62" s="4"/>
      <c r="L62" s="4"/>
      <c r="M62" s="4"/>
      <c r="N62" s="4"/>
      <c r="O62" s="4"/>
      <c r="P62" s="4"/>
      <c r="Q62" s="4"/>
    </row>
    <row r="63" spans="1:17" s="5" customFormat="1" x14ac:dyDescent="0.2">
      <c r="A63" s="14"/>
      <c r="B63" s="16"/>
      <c r="C63" s="15"/>
      <c r="D63" s="15"/>
      <c r="E63" s="15"/>
      <c r="F63" s="15"/>
      <c r="G63" s="15"/>
      <c r="H63" s="10">
        <f>SUM(C63:G63)</f>
        <v>0</v>
      </c>
      <c r="I63" s="14"/>
      <c r="K63" s="4"/>
      <c r="L63" s="4"/>
      <c r="M63" s="4"/>
      <c r="N63" s="4"/>
      <c r="O63" s="4"/>
      <c r="P63" s="4"/>
      <c r="Q63" s="4"/>
    </row>
    <row r="64" spans="1:17" s="5" customFormat="1" x14ac:dyDescent="0.2">
      <c r="A64" s="13" t="s">
        <v>69</v>
      </c>
      <c r="B64" s="12" t="s">
        <v>68</v>
      </c>
      <c r="C64" s="11">
        <f>SUM(C54:C63)</f>
        <v>0</v>
      </c>
      <c r="D64" s="11">
        <f>SUM(D54:D63)</f>
        <v>0</v>
      </c>
      <c r="E64" s="11">
        <f>SUM(E54:E63)</f>
        <v>0</v>
      </c>
      <c r="F64" s="11">
        <f>SUM(F54:F63)</f>
        <v>0</v>
      </c>
      <c r="G64" s="11">
        <f>SUM(G54:G63)</f>
        <v>0</v>
      </c>
      <c r="H64" s="10">
        <f>SUM(C64:G64)</f>
        <v>0</v>
      </c>
      <c r="I64" s="9"/>
      <c r="K64" s="4"/>
      <c r="L64" s="4"/>
      <c r="M64" s="4"/>
      <c r="N64" s="4"/>
      <c r="O64" s="4"/>
      <c r="P64" s="4"/>
      <c r="Q64" s="4"/>
    </row>
    <row r="65" spans="1:17" s="5" customFormat="1" x14ac:dyDescent="0.2">
      <c r="A65" s="23" t="s">
        <v>98</v>
      </c>
      <c r="B65" s="19" t="s">
        <v>97</v>
      </c>
      <c r="C65" s="15">
        <f>500*80</f>
        <v>40000</v>
      </c>
      <c r="D65" s="15"/>
      <c r="E65" s="15">
        <v>10000</v>
      </c>
      <c r="F65" s="15"/>
      <c r="G65" s="15"/>
      <c r="H65" s="10">
        <f>SUM(C65:G65)</f>
        <v>50000</v>
      </c>
      <c r="I65" s="14"/>
      <c r="K65" s="4"/>
      <c r="L65" s="4"/>
      <c r="M65" s="4"/>
      <c r="N65" s="4"/>
      <c r="O65" s="4"/>
      <c r="P65" s="4"/>
      <c r="Q65" s="4"/>
    </row>
    <row r="66" spans="1:17" s="5" customFormat="1" x14ac:dyDescent="0.2">
      <c r="A66" s="23"/>
      <c r="B66" s="17"/>
      <c r="C66" s="15"/>
      <c r="D66" s="15"/>
      <c r="E66" s="15"/>
      <c r="F66" s="15"/>
      <c r="G66" s="15"/>
      <c r="H66" s="10">
        <f>SUM(C66:G66)</f>
        <v>0</v>
      </c>
      <c r="I66" s="18"/>
      <c r="K66" s="4"/>
      <c r="L66" s="4"/>
      <c r="M66" s="4"/>
      <c r="N66" s="4"/>
      <c r="O66" s="4"/>
      <c r="P66" s="4"/>
      <c r="Q66" s="4"/>
    </row>
    <row r="67" spans="1:17" s="5" customFormat="1" x14ac:dyDescent="0.2">
      <c r="A67" s="14"/>
      <c r="B67" s="16"/>
      <c r="C67" s="15"/>
      <c r="D67" s="15"/>
      <c r="E67" s="15"/>
      <c r="F67" s="15"/>
      <c r="G67" s="15"/>
      <c r="H67" s="10">
        <f>SUM(C67:G67)</f>
        <v>0</v>
      </c>
      <c r="I67" s="14"/>
      <c r="K67" s="4"/>
      <c r="L67" s="4"/>
      <c r="M67" s="4"/>
      <c r="N67" s="4"/>
      <c r="O67" s="4"/>
      <c r="P67" s="4"/>
      <c r="Q67" s="4"/>
    </row>
    <row r="68" spans="1:17" x14ac:dyDescent="0.2">
      <c r="A68" s="13" t="s">
        <v>69</v>
      </c>
      <c r="B68" s="12" t="s">
        <v>68</v>
      </c>
      <c r="C68" s="36">
        <f>SUM(C65:C67)</f>
        <v>40000</v>
      </c>
      <c r="D68" s="36">
        <f>SUM(D65:D67)</f>
        <v>0</v>
      </c>
      <c r="E68" s="36">
        <f>SUM(E65:E67)</f>
        <v>10000</v>
      </c>
      <c r="F68" s="36">
        <f>SUM(F65:F67)</f>
        <v>0</v>
      </c>
      <c r="G68" s="36">
        <f>SUM(G65:G67)</f>
        <v>0</v>
      </c>
      <c r="H68" s="10">
        <f>SUM(C68:G68)</f>
        <v>50000</v>
      </c>
      <c r="I68" s="9"/>
    </row>
    <row r="69" spans="1:17" x14ac:dyDescent="0.2">
      <c r="A69" s="23"/>
      <c r="B69" s="19" t="s">
        <v>96</v>
      </c>
      <c r="C69" s="15"/>
      <c r="D69" s="15"/>
      <c r="E69" s="15"/>
      <c r="F69" s="15"/>
      <c r="G69" s="15"/>
      <c r="H69" s="10">
        <f>SUM(C69:G69)</f>
        <v>0</v>
      </c>
      <c r="I69" s="18"/>
    </row>
    <row r="70" spans="1:17" x14ac:dyDescent="0.2">
      <c r="A70" s="23"/>
      <c r="B70" s="17"/>
      <c r="C70" s="15"/>
      <c r="D70" s="15"/>
      <c r="E70" s="15"/>
      <c r="F70" s="15"/>
      <c r="G70" s="15"/>
      <c r="H70" s="10">
        <f>SUM(C70:G70)</f>
        <v>0</v>
      </c>
      <c r="I70" s="18"/>
    </row>
    <row r="71" spans="1:17" x14ac:dyDescent="0.2">
      <c r="A71" s="14"/>
      <c r="B71" s="16"/>
      <c r="C71" s="15"/>
      <c r="D71" s="15"/>
      <c r="E71" s="15"/>
      <c r="F71" s="15"/>
      <c r="G71" s="15"/>
      <c r="H71" s="10">
        <f>SUM(C71:G71)</f>
        <v>0</v>
      </c>
      <c r="I71" s="14"/>
    </row>
    <row r="72" spans="1:17" x14ac:dyDescent="0.2">
      <c r="A72" s="13" t="s">
        <v>69</v>
      </c>
      <c r="B72" s="12" t="s">
        <v>68</v>
      </c>
      <c r="C72" s="36">
        <f>SUM(C69:C71)</f>
        <v>0</v>
      </c>
      <c r="D72" s="36">
        <f>SUM(D69:D71)</f>
        <v>0</v>
      </c>
      <c r="E72" s="36">
        <f>SUM(E69:E71)</f>
        <v>0</v>
      </c>
      <c r="F72" s="36">
        <f>SUM(F69:F71)</f>
        <v>0</v>
      </c>
      <c r="G72" s="36">
        <f>SUM(G69:G71)</f>
        <v>0</v>
      </c>
      <c r="H72" s="10">
        <f>SUM(C72:G72)</f>
        <v>0</v>
      </c>
      <c r="I72" s="9"/>
    </row>
    <row r="73" spans="1:17" x14ac:dyDescent="0.2">
      <c r="A73" s="35"/>
      <c r="B73" s="34" t="s">
        <v>95</v>
      </c>
      <c r="C73" s="8"/>
      <c r="D73" s="8"/>
      <c r="E73" s="8"/>
      <c r="F73" s="8"/>
      <c r="G73" s="8"/>
      <c r="H73" s="33"/>
      <c r="I73" s="9"/>
    </row>
    <row r="74" spans="1:17" x14ac:dyDescent="0.2">
      <c r="A74" s="14"/>
      <c r="B74" s="19" t="s">
        <v>94</v>
      </c>
      <c r="C74" s="15"/>
      <c r="D74" s="15"/>
      <c r="E74" s="15"/>
      <c r="F74" s="15"/>
      <c r="G74" s="15"/>
      <c r="H74" s="10">
        <f>SUM(C74:G74)</f>
        <v>0</v>
      </c>
      <c r="I74" s="14"/>
    </row>
    <row r="75" spans="1:17" x14ac:dyDescent="0.2">
      <c r="A75" s="14"/>
      <c r="B75" s="16"/>
      <c r="C75" s="15"/>
      <c r="D75" s="15"/>
      <c r="E75" s="15"/>
      <c r="F75" s="15"/>
      <c r="G75" s="15"/>
      <c r="H75" s="10">
        <f>SUM(C75:G75)</f>
        <v>0</v>
      </c>
      <c r="I75" s="14"/>
    </row>
    <row r="76" spans="1:17" x14ac:dyDescent="0.2">
      <c r="A76" s="13" t="s">
        <v>69</v>
      </c>
      <c r="B76" s="12" t="s">
        <v>68</v>
      </c>
      <c r="C76" s="11">
        <f>SUM(C74:C75)</f>
        <v>0</v>
      </c>
      <c r="D76" s="11">
        <f>SUM(D74:D75)</f>
        <v>0</v>
      </c>
      <c r="E76" s="11">
        <f>SUM(E74:E75)</f>
        <v>0</v>
      </c>
      <c r="F76" s="11">
        <f>SUM(F74:F75)</f>
        <v>0</v>
      </c>
      <c r="G76" s="11">
        <f>SUM(G74:G75)</f>
        <v>0</v>
      </c>
      <c r="H76" s="10">
        <f>SUM(C76:G76)</f>
        <v>0</v>
      </c>
      <c r="I76" s="9"/>
    </row>
    <row r="77" spans="1:17" x14ac:dyDescent="0.2">
      <c r="A77" s="23"/>
      <c r="B77" s="19" t="s">
        <v>93</v>
      </c>
      <c r="C77" s="15"/>
      <c r="D77" s="15"/>
      <c r="E77" s="15"/>
      <c r="F77" s="15"/>
      <c r="G77" s="15"/>
      <c r="H77" s="10">
        <f>SUM(C77:G77)</f>
        <v>0</v>
      </c>
      <c r="I77" s="18"/>
    </row>
    <row r="78" spans="1:17" x14ac:dyDescent="0.2">
      <c r="A78" s="23"/>
      <c r="B78" s="17"/>
      <c r="C78" s="15"/>
      <c r="D78" s="15"/>
      <c r="E78" s="15"/>
      <c r="F78" s="15"/>
      <c r="G78" s="15"/>
      <c r="H78" s="10">
        <f>SUM(C78:G78)</f>
        <v>0</v>
      </c>
      <c r="I78" s="18"/>
    </row>
    <row r="79" spans="1:17" ht="16.149999999999999" customHeight="1" x14ac:dyDescent="0.2">
      <c r="A79" s="23"/>
      <c r="B79" s="17"/>
      <c r="C79" s="15"/>
      <c r="D79" s="15"/>
      <c r="E79" s="32"/>
      <c r="F79" s="32"/>
      <c r="G79" s="32"/>
      <c r="H79" s="10">
        <f>SUM(C79:G79)</f>
        <v>0</v>
      </c>
      <c r="I79" s="18"/>
    </row>
    <row r="80" spans="1:17" x14ac:dyDescent="0.2">
      <c r="A80" s="23"/>
      <c r="B80" s="17"/>
      <c r="C80" s="29"/>
      <c r="D80" s="29"/>
      <c r="E80" s="15"/>
      <c r="F80" s="15"/>
      <c r="G80" s="32"/>
      <c r="H80" s="10">
        <f>SUM(C80:G80)</f>
        <v>0</v>
      </c>
      <c r="I80" s="28"/>
    </row>
    <row r="81" spans="1:9" x14ac:dyDescent="0.2">
      <c r="A81" s="23"/>
      <c r="B81" s="17"/>
      <c r="C81" s="15"/>
      <c r="D81" s="29"/>
      <c r="E81" s="32"/>
      <c r="F81" s="32"/>
      <c r="G81" s="32"/>
      <c r="H81" s="10">
        <f>SUM(C81:G81)</f>
        <v>0</v>
      </c>
      <c r="I81" s="14"/>
    </row>
    <row r="82" spans="1:9" x14ac:dyDescent="0.2">
      <c r="A82" s="14"/>
      <c r="B82" s="17"/>
      <c r="C82" s="15"/>
      <c r="D82" s="32"/>
      <c r="E82" s="32"/>
      <c r="F82" s="32"/>
      <c r="G82" s="32"/>
      <c r="H82" s="10">
        <f>SUM(C82:G82)</f>
        <v>0</v>
      </c>
      <c r="I82" s="14"/>
    </row>
    <row r="83" spans="1:9" x14ac:dyDescent="0.2">
      <c r="A83" s="14"/>
      <c r="B83" s="17"/>
      <c r="C83" s="15"/>
      <c r="D83" s="32"/>
      <c r="E83" s="32"/>
      <c r="F83" s="32"/>
      <c r="G83" s="32"/>
      <c r="H83" s="10">
        <f>SUM(C83:G83)</f>
        <v>0</v>
      </c>
      <c r="I83" s="14"/>
    </row>
    <row r="84" spans="1:9" x14ac:dyDescent="0.2">
      <c r="A84" s="14"/>
      <c r="B84" s="17"/>
      <c r="C84" s="15"/>
      <c r="D84" s="15"/>
      <c r="E84" s="15"/>
      <c r="F84" s="15"/>
      <c r="G84" s="15"/>
      <c r="H84" s="10">
        <f>SUM(C84:G84)</f>
        <v>0</v>
      </c>
      <c r="I84" s="14"/>
    </row>
    <row r="85" spans="1:9" x14ac:dyDescent="0.2">
      <c r="A85" s="23"/>
      <c r="B85" s="16"/>
      <c r="C85" s="15"/>
      <c r="D85" s="29"/>
      <c r="E85" s="29"/>
      <c r="F85" s="15"/>
      <c r="G85" s="15"/>
      <c r="H85" s="10">
        <f>SUM(C85:G85)</f>
        <v>0</v>
      </c>
      <c r="I85" s="28"/>
    </row>
    <row r="86" spans="1:9" x14ac:dyDescent="0.2">
      <c r="A86" s="13" t="s">
        <v>69</v>
      </c>
      <c r="B86" s="12" t="s">
        <v>68</v>
      </c>
      <c r="C86" s="11">
        <f>SUM(C77:C84)</f>
        <v>0</v>
      </c>
      <c r="D86" s="11">
        <f>SUM(D77:D84)</f>
        <v>0</v>
      </c>
      <c r="E86" s="11">
        <f>SUM(E77:E84)</f>
        <v>0</v>
      </c>
      <c r="F86" s="11">
        <f>SUM(F77:F84)</f>
        <v>0</v>
      </c>
      <c r="G86" s="11">
        <f>SUM(G77:G84)</f>
        <v>0</v>
      </c>
      <c r="H86" s="10">
        <f>SUM(C86:G86)</f>
        <v>0</v>
      </c>
      <c r="I86" s="9"/>
    </row>
    <row r="87" spans="1:9" x14ac:dyDescent="0.2">
      <c r="A87" s="23"/>
      <c r="B87" s="19" t="s">
        <v>92</v>
      </c>
      <c r="C87" s="15"/>
      <c r="D87" s="15"/>
      <c r="E87" s="15"/>
      <c r="F87" s="15"/>
      <c r="G87" s="15"/>
      <c r="H87" s="10">
        <f>SUM(C87:G87)</f>
        <v>0</v>
      </c>
      <c r="I87" s="18"/>
    </row>
    <row r="88" spans="1:9" x14ac:dyDescent="0.2">
      <c r="A88" s="23"/>
      <c r="B88" s="17"/>
      <c r="C88" s="15"/>
      <c r="D88" s="15"/>
      <c r="E88" s="15"/>
      <c r="F88" s="15"/>
      <c r="G88" s="15"/>
      <c r="H88" s="10">
        <f>SUM(C88:G88)</f>
        <v>0</v>
      </c>
      <c r="I88" s="18"/>
    </row>
    <row r="89" spans="1:9" x14ac:dyDescent="0.2">
      <c r="A89" s="23"/>
      <c r="B89" s="17"/>
      <c r="C89" s="15"/>
      <c r="D89" s="15"/>
      <c r="E89" s="15"/>
      <c r="F89" s="15"/>
      <c r="G89" s="15"/>
      <c r="H89" s="10">
        <f>SUM(C89:G89)</f>
        <v>0</v>
      </c>
      <c r="I89" s="28"/>
    </row>
    <row r="90" spans="1:9" x14ac:dyDescent="0.2">
      <c r="A90" s="23"/>
      <c r="B90" s="17"/>
      <c r="C90" s="15"/>
      <c r="D90" s="15"/>
      <c r="E90" s="15"/>
      <c r="F90" s="15"/>
      <c r="G90" s="15"/>
      <c r="H90" s="10">
        <f>SUM(C90:G90)</f>
        <v>0</v>
      </c>
      <c r="I90" s="28"/>
    </row>
    <row r="91" spans="1:9" x14ac:dyDescent="0.2">
      <c r="A91" s="23"/>
      <c r="B91" s="17"/>
      <c r="C91" s="15"/>
      <c r="D91" s="15"/>
      <c r="E91" s="15"/>
      <c r="F91" s="15"/>
      <c r="G91" s="15"/>
      <c r="H91" s="10">
        <f>SUM(C91:G91)</f>
        <v>0</v>
      </c>
      <c r="I91" s="28"/>
    </row>
    <row r="92" spans="1:9" x14ac:dyDescent="0.2">
      <c r="A92" s="23"/>
      <c r="B92" s="31"/>
      <c r="C92" s="15"/>
      <c r="D92" s="29"/>
      <c r="E92" s="29"/>
      <c r="F92" s="15"/>
      <c r="G92" s="15"/>
      <c r="H92" s="10">
        <f>SUM(C92:G92)</f>
        <v>0</v>
      </c>
      <c r="I92" s="28"/>
    </row>
    <row r="93" spans="1:9" x14ac:dyDescent="0.2">
      <c r="A93" s="13" t="s">
        <v>69</v>
      </c>
      <c r="B93" s="12" t="s">
        <v>68</v>
      </c>
      <c r="C93" s="11">
        <f>SUM(C87:C92)</f>
        <v>0</v>
      </c>
      <c r="D93" s="11">
        <f>SUM(D87:D92)</f>
        <v>0</v>
      </c>
      <c r="E93" s="11">
        <f>SUM(E87:E92)</f>
        <v>0</v>
      </c>
      <c r="F93" s="11">
        <f>SUM(F87:F92)</f>
        <v>0</v>
      </c>
      <c r="G93" s="11">
        <f>SUM(G87:G92)</f>
        <v>0</v>
      </c>
      <c r="H93" s="10">
        <f>SUM(C93:G93)</f>
        <v>0</v>
      </c>
      <c r="I93" s="9"/>
    </row>
    <row r="94" spans="1:9" x14ac:dyDescent="0.2">
      <c r="A94" s="13"/>
      <c r="B94" s="30" t="s">
        <v>91</v>
      </c>
      <c r="C94" s="11"/>
      <c r="D94" s="11"/>
      <c r="E94" s="11"/>
      <c r="F94" s="11"/>
      <c r="G94" s="11"/>
      <c r="H94" s="10"/>
      <c r="I94" s="9"/>
    </row>
    <row r="95" spans="1:9" x14ac:dyDescent="0.2">
      <c r="A95" s="14"/>
      <c r="B95" s="19" t="s">
        <v>22</v>
      </c>
      <c r="C95" s="15"/>
      <c r="D95" s="15"/>
      <c r="E95" s="15"/>
      <c r="F95" s="15"/>
      <c r="G95" s="15"/>
      <c r="H95" s="10">
        <f>SUM(C95:G95)</f>
        <v>0</v>
      </c>
      <c r="I95" s="14"/>
    </row>
    <row r="96" spans="1:9" x14ac:dyDescent="0.2">
      <c r="A96" s="23"/>
      <c r="B96" s="16"/>
      <c r="C96" s="15"/>
      <c r="D96" s="29"/>
      <c r="E96" s="29"/>
      <c r="F96" s="15"/>
      <c r="G96" s="15"/>
      <c r="H96" s="10">
        <f>SUM(C96:G96)</f>
        <v>0</v>
      </c>
      <c r="I96" s="28"/>
    </row>
    <row r="97" spans="1:17" x14ac:dyDescent="0.2">
      <c r="A97" s="13" t="s">
        <v>69</v>
      </c>
      <c r="B97" s="12" t="s">
        <v>68</v>
      </c>
      <c r="C97" s="11">
        <f>SUM(C95:C95)</f>
        <v>0</v>
      </c>
      <c r="D97" s="11">
        <f>SUM(D95:D95)</f>
        <v>0</v>
      </c>
      <c r="E97" s="11">
        <f>SUM(E95:E95)</f>
        <v>0</v>
      </c>
      <c r="F97" s="11">
        <f>SUM(F95:F95)</f>
        <v>0</v>
      </c>
      <c r="G97" s="11">
        <f>SUM(G95:G95)</f>
        <v>0</v>
      </c>
      <c r="H97" s="10">
        <f>SUM(C97:G97)</f>
        <v>0</v>
      </c>
      <c r="I97" s="9"/>
    </row>
    <row r="98" spans="1:17" x14ac:dyDescent="0.2">
      <c r="A98" s="14" t="s">
        <v>90</v>
      </c>
      <c r="B98" s="19" t="s">
        <v>89</v>
      </c>
      <c r="C98" s="15">
        <v>8000</v>
      </c>
      <c r="D98" s="15"/>
      <c r="E98" s="15"/>
      <c r="F98" s="15"/>
      <c r="G98" s="15"/>
      <c r="H98" s="10">
        <f>SUM(C98:G98)</f>
        <v>8000</v>
      </c>
      <c r="I98" s="14" t="s">
        <v>88</v>
      </c>
      <c r="J98" s="27"/>
    </row>
    <row r="99" spans="1:17" x14ac:dyDescent="0.2">
      <c r="A99" s="14"/>
      <c r="B99" s="17"/>
      <c r="C99" s="15"/>
      <c r="D99" s="15"/>
      <c r="E99" s="15"/>
      <c r="F99" s="15"/>
      <c r="G99" s="15"/>
      <c r="H99" s="10">
        <f>SUM(C99:G99)</f>
        <v>0</v>
      </c>
      <c r="I99" s="14"/>
    </row>
    <row r="100" spans="1:17" x14ac:dyDescent="0.2">
      <c r="A100" s="13" t="s">
        <v>69</v>
      </c>
      <c r="B100" s="12" t="s">
        <v>68</v>
      </c>
      <c r="C100" s="11">
        <f>SUM(C98:C99)</f>
        <v>8000</v>
      </c>
      <c r="D100" s="11">
        <f>SUM(D98:D99)</f>
        <v>0</v>
      </c>
      <c r="E100" s="11">
        <f>SUM(E98:E99)</f>
        <v>0</v>
      </c>
      <c r="F100" s="11">
        <f>SUM(F98:F99)</f>
        <v>0</v>
      </c>
      <c r="G100" s="11">
        <f>SUM(G98:G99)</f>
        <v>0</v>
      </c>
      <c r="H100" s="10">
        <f>SUM(C100:G100)</f>
        <v>8000</v>
      </c>
      <c r="I100" s="9"/>
    </row>
    <row r="101" spans="1:17" ht="25.5" x14ac:dyDescent="0.2">
      <c r="A101" s="26" t="s">
        <v>87</v>
      </c>
      <c r="B101" s="19" t="s">
        <v>86</v>
      </c>
      <c r="C101" s="25">
        <v>40000</v>
      </c>
      <c r="D101" s="25">
        <v>40000</v>
      </c>
      <c r="E101" s="25">
        <v>20000</v>
      </c>
      <c r="F101" s="25">
        <v>8000</v>
      </c>
      <c r="G101" s="25">
        <v>8000</v>
      </c>
      <c r="H101" s="10">
        <f>SUM(C101:G101)</f>
        <v>116000</v>
      </c>
      <c r="I101" s="24" t="s">
        <v>85</v>
      </c>
    </row>
    <row r="102" spans="1:17" x14ac:dyDescent="0.2">
      <c r="A102" s="23" t="s">
        <v>84</v>
      </c>
      <c r="B102" s="17"/>
      <c r="C102" s="15">
        <v>10000</v>
      </c>
      <c r="D102" s="15"/>
      <c r="E102" s="15"/>
      <c r="F102" s="15"/>
      <c r="G102" s="15"/>
      <c r="H102" s="10">
        <f>SUM(C102:G102)</f>
        <v>10000</v>
      </c>
      <c r="I102" s="18" t="s">
        <v>83</v>
      </c>
    </row>
    <row r="103" spans="1:17" x14ac:dyDescent="0.2">
      <c r="A103" s="23"/>
      <c r="B103" s="17"/>
      <c r="C103" s="15"/>
      <c r="D103" s="15"/>
      <c r="E103" s="15"/>
      <c r="F103" s="15"/>
      <c r="G103" s="15"/>
      <c r="H103" s="10">
        <f>SUM(C103:G103)</f>
        <v>0</v>
      </c>
      <c r="I103" s="18"/>
    </row>
    <row r="104" spans="1:17" x14ac:dyDescent="0.2">
      <c r="A104" s="23"/>
      <c r="B104" s="17"/>
      <c r="C104" s="15"/>
      <c r="D104" s="15"/>
      <c r="E104" s="15"/>
      <c r="F104" s="15"/>
      <c r="G104" s="15"/>
      <c r="H104" s="10"/>
      <c r="I104" s="18"/>
    </row>
    <row r="105" spans="1:17" x14ac:dyDescent="0.2">
      <c r="A105" s="14"/>
      <c r="B105" s="16"/>
      <c r="C105" s="15"/>
      <c r="D105" s="15"/>
      <c r="E105" s="15"/>
      <c r="F105" s="15"/>
      <c r="G105" s="15"/>
      <c r="H105" s="10">
        <f>SUM(C105:G105)</f>
        <v>0</v>
      </c>
      <c r="I105" s="14"/>
    </row>
    <row r="106" spans="1:17" x14ac:dyDescent="0.2">
      <c r="A106" s="13" t="s">
        <v>69</v>
      </c>
      <c r="B106" s="12" t="s">
        <v>68</v>
      </c>
      <c r="C106" s="11">
        <f>SUM(C101:C104)</f>
        <v>50000</v>
      </c>
      <c r="D106" s="11">
        <f>SUM(D101:D104)</f>
        <v>40000</v>
      </c>
      <c r="E106" s="11">
        <f>SUM(E101:E104)</f>
        <v>20000</v>
      </c>
      <c r="F106" s="11">
        <f>SUM(F101:F104)</f>
        <v>8000</v>
      </c>
      <c r="G106" s="11">
        <f>SUM(G101:G104)</f>
        <v>8000</v>
      </c>
      <c r="H106" s="10">
        <f>SUM(C106:G106)</f>
        <v>126000</v>
      </c>
      <c r="I106" s="9"/>
      <c r="Q106" s="4" t="s">
        <v>82</v>
      </c>
    </row>
    <row r="107" spans="1:17" x14ac:dyDescent="0.2">
      <c r="A107" s="14" t="s">
        <v>81</v>
      </c>
      <c r="B107" s="19" t="s">
        <v>80</v>
      </c>
      <c r="C107" s="15">
        <v>12000</v>
      </c>
      <c r="D107" s="15"/>
      <c r="E107" s="15"/>
      <c r="F107" s="15"/>
      <c r="G107" s="15"/>
      <c r="H107" s="10">
        <f>SUM(C107:G107)</f>
        <v>12000</v>
      </c>
      <c r="I107" s="18" t="s">
        <v>79</v>
      </c>
    </row>
    <row r="108" spans="1:17" x14ac:dyDescent="0.2">
      <c r="A108" s="23"/>
      <c r="B108" s="17"/>
      <c r="C108" s="15"/>
      <c r="D108" s="15"/>
      <c r="E108" s="15"/>
      <c r="F108" s="15"/>
      <c r="G108" s="15"/>
      <c r="H108" s="10">
        <f>SUM(C108:G108)</f>
        <v>0</v>
      </c>
      <c r="I108" s="18"/>
    </row>
    <row r="109" spans="1:17" x14ac:dyDescent="0.2">
      <c r="A109" s="23"/>
      <c r="B109" s="17"/>
      <c r="C109" s="15"/>
      <c r="D109" s="15"/>
      <c r="E109" s="15"/>
      <c r="F109" s="15"/>
      <c r="G109" s="15"/>
      <c r="H109" s="10"/>
      <c r="I109" s="18"/>
    </row>
    <row r="110" spans="1:17" x14ac:dyDescent="0.2">
      <c r="A110" s="23"/>
      <c r="B110" s="17"/>
      <c r="C110" s="15"/>
      <c r="D110" s="15"/>
      <c r="E110" s="15"/>
      <c r="F110" s="15"/>
      <c r="G110" s="15"/>
      <c r="H110" s="10"/>
      <c r="I110" s="18"/>
    </row>
    <row r="111" spans="1:17" x14ac:dyDescent="0.2">
      <c r="A111" s="23"/>
      <c r="B111" s="17"/>
      <c r="C111" s="15"/>
      <c r="D111" s="15"/>
      <c r="E111" s="15"/>
      <c r="F111" s="15"/>
      <c r="G111" s="15"/>
      <c r="H111" s="10">
        <f>SUM(C111:G111)</f>
        <v>0</v>
      </c>
      <c r="I111" s="18"/>
    </row>
    <row r="112" spans="1:17" x14ac:dyDescent="0.2">
      <c r="A112" s="13" t="s">
        <v>69</v>
      </c>
      <c r="B112" s="12" t="s">
        <v>68</v>
      </c>
      <c r="C112" s="11">
        <f>SUM(C107:C111)</f>
        <v>12000</v>
      </c>
      <c r="D112" s="11">
        <f>SUM(D107:D111)</f>
        <v>0</v>
      </c>
      <c r="E112" s="11">
        <f>SUM(E107:E111)</f>
        <v>0</v>
      </c>
      <c r="F112" s="11">
        <f>SUM(F107:F111)</f>
        <v>0</v>
      </c>
      <c r="G112" s="11">
        <f>SUM(G107:G111)</f>
        <v>0</v>
      </c>
      <c r="H112" s="10">
        <f>SUM(C112:G112)</f>
        <v>12000</v>
      </c>
      <c r="I112" s="9"/>
    </row>
    <row r="113" spans="1:17" ht="12.75" customHeight="1" x14ac:dyDescent="0.2">
      <c r="A113" s="14"/>
      <c r="B113" s="19" t="s">
        <v>78</v>
      </c>
      <c r="C113" s="15"/>
      <c r="D113" s="15"/>
      <c r="E113" s="15"/>
      <c r="F113" s="15"/>
      <c r="G113" s="15"/>
      <c r="H113" s="10">
        <f>SUM(C113:G113)</f>
        <v>0</v>
      </c>
      <c r="I113" s="18"/>
    </row>
    <row r="114" spans="1:17" x14ac:dyDescent="0.2">
      <c r="A114" s="14"/>
      <c r="B114" s="17"/>
      <c r="C114" s="15"/>
      <c r="D114" s="15"/>
      <c r="E114" s="15"/>
      <c r="F114" s="15"/>
      <c r="G114" s="15"/>
      <c r="H114" s="10">
        <f>SUM(C114:G114)</f>
        <v>0</v>
      </c>
      <c r="I114" s="14"/>
    </row>
    <row r="115" spans="1:17" x14ac:dyDescent="0.2">
      <c r="A115" s="23"/>
      <c r="B115" s="16"/>
      <c r="C115" s="15"/>
      <c r="D115" s="15"/>
      <c r="E115" s="15"/>
      <c r="F115" s="15"/>
      <c r="G115" s="15"/>
      <c r="H115" s="10">
        <f>SUM(C115:G115)</f>
        <v>0</v>
      </c>
      <c r="I115" s="18"/>
    </row>
    <row r="116" spans="1:17" s="5" customFormat="1" x14ac:dyDescent="0.2">
      <c r="A116" s="13" t="s">
        <v>69</v>
      </c>
      <c r="B116" s="12" t="s">
        <v>68</v>
      </c>
      <c r="C116" s="11">
        <f>SUM(C113:C114)</f>
        <v>0</v>
      </c>
      <c r="D116" s="11">
        <f>SUM(D113:D114)</f>
        <v>0</v>
      </c>
      <c r="E116" s="11">
        <f>SUM(E113:E114)</f>
        <v>0</v>
      </c>
      <c r="F116" s="11">
        <f>SUM(F113:F114)</f>
        <v>0</v>
      </c>
      <c r="G116" s="11">
        <f>SUM(G113:G114)</f>
        <v>0</v>
      </c>
      <c r="H116" s="10">
        <f>SUM(C116:G116)</f>
        <v>0</v>
      </c>
      <c r="I116" s="9"/>
      <c r="K116" s="4"/>
      <c r="L116" s="4"/>
      <c r="M116" s="4"/>
      <c r="N116" s="4"/>
      <c r="O116" s="4"/>
      <c r="P116" s="4"/>
      <c r="Q116" s="4"/>
    </row>
    <row r="117" spans="1:17" s="5" customFormat="1" x14ac:dyDescent="0.2">
      <c r="A117" s="23"/>
      <c r="B117" s="19" t="s">
        <v>77</v>
      </c>
      <c r="C117" s="15"/>
      <c r="D117" s="15"/>
      <c r="E117" s="15"/>
      <c r="F117" s="15"/>
      <c r="G117" s="15"/>
      <c r="H117" s="10">
        <f>SUM(C117:G117)</f>
        <v>0</v>
      </c>
      <c r="I117" s="18"/>
      <c r="K117" s="4"/>
      <c r="L117" s="4"/>
      <c r="M117" s="4"/>
      <c r="N117" s="4"/>
      <c r="O117" s="4"/>
      <c r="P117" s="4"/>
      <c r="Q117" s="4"/>
    </row>
    <row r="118" spans="1:17" s="5" customFormat="1" x14ac:dyDescent="0.2">
      <c r="A118" s="14"/>
      <c r="B118" s="17"/>
      <c r="C118" s="15"/>
      <c r="D118" s="15"/>
      <c r="E118" s="15"/>
      <c r="F118" s="15"/>
      <c r="G118" s="15"/>
      <c r="H118" s="10">
        <f>SUM(C118:G118)</f>
        <v>0</v>
      </c>
      <c r="I118" s="14"/>
      <c r="K118" s="4"/>
      <c r="L118" s="4"/>
      <c r="M118" s="4"/>
      <c r="N118" s="4"/>
      <c r="O118" s="4"/>
      <c r="P118" s="4"/>
      <c r="Q118" s="4"/>
    </row>
    <row r="119" spans="1:17" s="5" customFormat="1" x14ac:dyDescent="0.2">
      <c r="A119" s="13" t="s">
        <v>69</v>
      </c>
      <c r="B119" s="12" t="s">
        <v>68</v>
      </c>
      <c r="C119" s="11">
        <f>SUM(C117:C118)</f>
        <v>0</v>
      </c>
      <c r="D119" s="11">
        <f>SUM(D117:D118)</f>
        <v>0</v>
      </c>
      <c r="E119" s="11">
        <f>SUM(E117:E118)</f>
        <v>0</v>
      </c>
      <c r="F119" s="11">
        <f>SUM(F117:F118)</f>
        <v>0</v>
      </c>
      <c r="G119" s="11">
        <f>SUM(G117:G118)</f>
        <v>0</v>
      </c>
      <c r="H119" s="10">
        <f>SUM(C119:G119)</f>
        <v>0</v>
      </c>
      <c r="I119" s="9"/>
      <c r="K119" s="4"/>
      <c r="L119" s="4"/>
      <c r="M119" s="4"/>
      <c r="N119" s="4"/>
      <c r="O119" s="4"/>
      <c r="P119" s="4"/>
      <c r="Q119" s="4"/>
    </row>
    <row r="120" spans="1:17" s="5" customFormat="1" x14ac:dyDescent="0.2">
      <c r="A120" s="14"/>
      <c r="B120" s="19" t="s">
        <v>76</v>
      </c>
      <c r="C120" s="15"/>
      <c r="D120" s="15"/>
      <c r="E120" s="15"/>
      <c r="F120" s="15"/>
      <c r="G120" s="15"/>
      <c r="H120" s="10">
        <f>SUM(C120:G120)</f>
        <v>0</v>
      </c>
      <c r="I120" s="14"/>
      <c r="K120" s="4"/>
      <c r="L120" s="4"/>
      <c r="M120" s="4"/>
      <c r="N120" s="4"/>
      <c r="O120" s="4"/>
      <c r="P120" s="4"/>
      <c r="Q120" s="4"/>
    </row>
    <row r="121" spans="1:17" s="5" customFormat="1" x14ac:dyDescent="0.2">
      <c r="A121" s="14"/>
      <c r="B121" s="17"/>
      <c r="C121" s="15"/>
      <c r="D121" s="15"/>
      <c r="E121" s="15"/>
      <c r="F121" s="15"/>
      <c r="G121" s="15"/>
      <c r="H121" s="10">
        <f>SUM(C121:G121)</f>
        <v>0</v>
      </c>
      <c r="I121" s="14"/>
      <c r="K121" s="4"/>
      <c r="L121" s="4"/>
      <c r="M121" s="4"/>
      <c r="N121" s="4"/>
      <c r="O121" s="4"/>
      <c r="P121" s="4"/>
      <c r="Q121" s="4"/>
    </row>
    <row r="122" spans="1:17" s="5" customFormat="1" x14ac:dyDescent="0.2">
      <c r="A122" s="13" t="s">
        <v>69</v>
      </c>
      <c r="B122" s="12" t="s">
        <v>68</v>
      </c>
      <c r="C122" s="11">
        <f>SUM(C120:C121)</f>
        <v>0</v>
      </c>
      <c r="D122" s="11">
        <f>SUM(D120:D121)</f>
        <v>0</v>
      </c>
      <c r="E122" s="11">
        <f>SUM(E120:E121)</f>
        <v>0</v>
      </c>
      <c r="F122" s="11">
        <f>SUM(F120:F121)</f>
        <v>0</v>
      </c>
      <c r="G122" s="11">
        <f>SUM(G120:G121)</f>
        <v>0</v>
      </c>
      <c r="H122" s="10">
        <f>SUM(C122:G122)</f>
        <v>0</v>
      </c>
      <c r="I122" s="9"/>
      <c r="K122" s="4"/>
      <c r="L122" s="4"/>
      <c r="M122" s="4"/>
      <c r="N122" s="4"/>
      <c r="O122" s="4"/>
      <c r="P122" s="4"/>
      <c r="Q122" s="4"/>
    </row>
    <row r="123" spans="1:17" s="5" customFormat="1" x14ac:dyDescent="0.2">
      <c r="A123" s="23"/>
      <c r="B123" s="19" t="s">
        <v>75</v>
      </c>
      <c r="C123" s="15"/>
      <c r="D123" s="15"/>
      <c r="E123" s="15"/>
      <c r="F123" s="15"/>
      <c r="G123" s="15"/>
      <c r="H123" s="10">
        <f>SUM(C123:G123)</f>
        <v>0</v>
      </c>
      <c r="I123" s="18"/>
      <c r="K123" s="4"/>
      <c r="L123" s="4"/>
      <c r="M123" s="4"/>
      <c r="N123" s="4"/>
      <c r="O123" s="4"/>
      <c r="P123" s="4"/>
      <c r="Q123" s="4"/>
    </row>
    <row r="124" spans="1:17" s="5" customFormat="1" x14ac:dyDescent="0.2">
      <c r="A124" s="14"/>
      <c r="B124" s="17"/>
      <c r="C124" s="15"/>
      <c r="D124" s="15"/>
      <c r="E124" s="15"/>
      <c r="F124" s="15"/>
      <c r="G124" s="15"/>
      <c r="H124" s="10">
        <f>SUM(C124:G124)</f>
        <v>0</v>
      </c>
      <c r="I124" s="14"/>
      <c r="K124" s="4"/>
      <c r="L124" s="4"/>
      <c r="M124" s="4"/>
      <c r="N124" s="4"/>
      <c r="O124" s="4"/>
      <c r="P124" s="4"/>
      <c r="Q124" s="4"/>
    </row>
    <row r="125" spans="1:17" s="5" customFormat="1" x14ac:dyDescent="0.2">
      <c r="A125" s="13" t="s">
        <v>69</v>
      </c>
      <c r="B125" s="12" t="s">
        <v>68</v>
      </c>
      <c r="C125" s="11">
        <f>SUM(C123:C124)</f>
        <v>0</v>
      </c>
      <c r="D125" s="11">
        <f>SUM(D123:D124)</f>
        <v>0</v>
      </c>
      <c r="E125" s="11">
        <f>SUM(E123:E124)</f>
        <v>0</v>
      </c>
      <c r="F125" s="11">
        <f>SUM(F123:F124)</f>
        <v>0</v>
      </c>
      <c r="G125" s="11">
        <f>SUM(G123:G124)</f>
        <v>0</v>
      </c>
      <c r="H125" s="10">
        <f>SUM(C125:G125)</f>
        <v>0</v>
      </c>
      <c r="I125" s="9"/>
      <c r="K125" s="4"/>
      <c r="L125" s="4"/>
      <c r="M125" s="4"/>
      <c r="N125" s="4"/>
      <c r="O125" s="4"/>
      <c r="P125" s="4"/>
      <c r="Q125" s="4"/>
    </row>
    <row r="126" spans="1:17" s="5" customFormat="1" x14ac:dyDescent="0.2">
      <c r="A126" s="22"/>
      <c r="B126" s="21" t="s">
        <v>74</v>
      </c>
      <c r="C126" s="11"/>
      <c r="D126" s="11"/>
      <c r="E126" s="11"/>
      <c r="F126" s="11"/>
      <c r="G126" s="11"/>
      <c r="H126" s="20"/>
      <c r="I126" s="9"/>
      <c r="K126" s="4"/>
      <c r="L126" s="4"/>
      <c r="M126" s="4"/>
      <c r="N126" s="4"/>
      <c r="O126" s="4"/>
      <c r="P126" s="4"/>
      <c r="Q126" s="4"/>
    </row>
    <row r="127" spans="1:17" s="5" customFormat="1" x14ac:dyDescent="0.2">
      <c r="A127" s="14" t="s">
        <v>128</v>
      </c>
      <c r="B127" s="19" t="s">
        <v>74</v>
      </c>
      <c r="C127" s="15">
        <v>50000</v>
      </c>
      <c r="D127" s="15">
        <f>C127</f>
        <v>50000</v>
      </c>
      <c r="E127" s="15"/>
      <c r="F127" s="15"/>
      <c r="G127" s="15"/>
      <c r="H127" s="10">
        <f>SUM(C127:G127)</f>
        <v>100000</v>
      </c>
      <c r="I127" s="18" t="s">
        <v>127</v>
      </c>
      <c r="K127" s="4"/>
      <c r="L127" s="4"/>
      <c r="M127" s="4"/>
      <c r="N127" s="4"/>
      <c r="O127" s="4"/>
      <c r="P127" s="4"/>
      <c r="Q127" s="4"/>
    </row>
    <row r="128" spans="1:17" s="5" customFormat="1" x14ac:dyDescent="0.2">
      <c r="A128" s="14" t="s">
        <v>73</v>
      </c>
      <c r="B128" s="17"/>
      <c r="C128" s="15">
        <v>10000</v>
      </c>
      <c r="D128" s="15"/>
      <c r="E128" s="15"/>
      <c r="F128" s="15"/>
      <c r="G128" s="15"/>
      <c r="H128" s="10">
        <f>SUM(C128:G128)</f>
        <v>10000</v>
      </c>
      <c r="I128" s="14" t="s">
        <v>72</v>
      </c>
      <c r="K128" s="4"/>
      <c r="L128" s="4"/>
      <c r="M128" s="4"/>
      <c r="N128" s="4"/>
      <c r="O128" s="4"/>
      <c r="P128" s="4"/>
      <c r="Q128" s="4"/>
    </row>
    <row r="129" spans="1:17" s="5" customFormat="1" x14ac:dyDescent="0.2">
      <c r="A129" s="14" t="s">
        <v>71</v>
      </c>
      <c r="B129" s="16"/>
      <c r="C129" s="15">
        <v>8000</v>
      </c>
      <c r="D129" s="15"/>
      <c r="E129" s="15"/>
      <c r="F129" s="15"/>
      <c r="G129" s="15"/>
      <c r="H129" s="10">
        <f>SUM(C129:G129)</f>
        <v>8000</v>
      </c>
      <c r="I129" s="14" t="s">
        <v>70</v>
      </c>
      <c r="K129" s="4"/>
      <c r="L129" s="4"/>
      <c r="M129" s="4"/>
      <c r="N129" s="4"/>
      <c r="O129" s="4"/>
      <c r="P129" s="4"/>
      <c r="Q129" s="4"/>
    </row>
    <row r="130" spans="1:17" s="5" customFormat="1" x14ac:dyDescent="0.2">
      <c r="A130" s="13" t="s">
        <v>69</v>
      </c>
      <c r="B130" s="12" t="s">
        <v>68</v>
      </c>
      <c r="C130" s="11">
        <f>SUM(C127:C129)</f>
        <v>68000</v>
      </c>
      <c r="D130" s="11">
        <f>SUM(D127:D129)</f>
        <v>50000</v>
      </c>
      <c r="E130" s="11">
        <f>SUM(E127:E129)</f>
        <v>0</v>
      </c>
      <c r="F130" s="11">
        <f>SUM(F127:F129)</f>
        <v>0</v>
      </c>
      <c r="G130" s="11">
        <f>SUM(G127:G129)</f>
        <v>0</v>
      </c>
      <c r="H130" s="10">
        <f>SUM(C130:G130)</f>
        <v>118000</v>
      </c>
      <c r="I130" s="9"/>
      <c r="K130" s="4"/>
      <c r="L130" s="4"/>
      <c r="M130" s="4"/>
      <c r="N130" s="4"/>
      <c r="O130" s="4"/>
      <c r="P130" s="4"/>
      <c r="Q130" s="4"/>
    </row>
    <row r="131" spans="1:17" s="5" customFormat="1" x14ac:dyDescent="0.2">
      <c r="A131" s="8"/>
      <c r="B131" s="8"/>
      <c r="C131" s="8"/>
      <c r="D131" s="8"/>
      <c r="E131" s="8"/>
      <c r="F131" s="8"/>
      <c r="G131" s="8"/>
      <c r="H131" s="4"/>
      <c r="I131" s="6"/>
      <c r="K131" s="4"/>
      <c r="L131" s="4"/>
      <c r="M131" s="4"/>
      <c r="N131" s="4"/>
      <c r="O131" s="4"/>
      <c r="P131" s="4"/>
      <c r="Q131" s="4"/>
    </row>
  </sheetData>
  <mergeCells count="22">
    <mergeCell ref="A1:H1"/>
    <mergeCell ref="B14:B18"/>
    <mergeCell ref="B20:B31"/>
    <mergeCell ref="B33:B36"/>
    <mergeCell ref="B38:B42"/>
    <mergeCell ref="B44:B46"/>
    <mergeCell ref="B107:B111"/>
    <mergeCell ref="B48:B52"/>
    <mergeCell ref="B54:B63"/>
    <mergeCell ref="B65:B67"/>
    <mergeCell ref="B69:B71"/>
    <mergeCell ref="B74:B75"/>
    <mergeCell ref="B113:B115"/>
    <mergeCell ref="B117:B118"/>
    <mergeCell ref="B120:B121"/>
    <mergeCell ref="B123:B124"/>
    <mergeCell ref="B127:B129"/>
    <mergeCell ref="B77:B85"/>
    <mergeCell ref="B87:B92"/>
    <mergeCell ref="B95:B96"/>
    <mergeCell ref="B98:B99"/>
    <mergeCell ref="B101:B105"/>
  </mergeCells>
  <dataValidations count="1">
    <dataValidation type="custom" allowBlank="1" showInputMessage="1" showErrorMessage="1" sqref="D20:D21" xr:uid="{5633C72F-D784-40C8-A762-65B692641F62}">
      <formula1>5325</formula1>
    </dataValidation>
  </dataValidations>
  <pageMargins left="0.1" right="0.1" top="0.1" bottom="0.1" header="0.1" footer="0.1"/>
  <pageSetup scale="82" fitToHeight="2" orientation="portrait" horizontalDpi="4294967292" verticalDpi="4294967292" r:id="rId1"/>
  <headerFooter alignWithMargins="0">
    <oddHeader xml:space="preserve">&amp;L&amp;G&amp;C
</oddHeader>
    <oddFooter>&amp;L5 Year Capital Budget&amp;R&amp;D&amp;T</oddFooter>
  </headerFooter>
  <rowBreaks count="1" manualBreakCount="1">
    <brk id="72" max="7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6FDF-1EA7-40E5-BEC1-720318684983}">
  <dimension ref="B2:E24"/>
  <sheetViews>
    <sheetView workbookViewId="0"/>
  </sheetViews>
  <sheetFormatPr defaultRowHeight="15" x14ac:dyDescent="0.25"/>
  <cols>
    <col min="2" max="2" width="45.7109375" customWidth="1"/>
    <col min="3" max="3" width="10.7109375" customWidth="1"/>
    <col min="4" max="4" width="11.42578125" customWidth="1"/>
    <col min="5" max="5" width="10" customWidth="1"/>
  </cols>
  <sheetData>
    <row r="2" spans="2:5" x14ac:dyDescent="0.25">
      <c r="B2" s="2" t="s">
        <v>61</v>
      </c>
      <c r="C2" s="2"/>
      <c r="D2" s="2" t="s">
        <v>37</v>
      </c>
      <c r="E2" s="3">
        <f>SUM(D3:D19)</f>
        <v>507200</v>
      </c>
    </row>
    <row r="3" spans="2:5" x14ac:dyDescent="0.25">
      <c r="B3" t="s">
        <v>59</v>
      </c>
      <c r="D3" s="1">
        <v>182200</v>
      </c>
    </row>
    <row r="4" spans="2:5" x14ac:dyDescent="0.25">
      <c r="B4" t="s">
        <v>57</v>
      </c>
      <c r="D4" s="1">
        <v>42100</v>
      </c>
    </row>
    <row r="5" spans="2:5" x14ac:dyDescent="0.25">
      <c r="B5" t="s">
        <v>1</v>
      </c>
      <c r="D5" s="1">
        <v>24400</v>
      </c>
    </row>
    <row r="6" spans="2:5" x14ac:dyDescent="0.25">
      <c r="B6" t="s">
        <v>51</v>
      </c>
      <c r="D6" s="1">
        <v>18900</v>
      </c>
    </row>
    <row r="7" spans="2:5" x14ac:dyDescent="0.25">
      <c r="B7" t="s">
        <v>2</v>
      </c>
      <c r="D7" s="1">
        <v>13300</v>
      </c>
    </row>
    <row r="8" spans="2:5" x14ac:dyDescent="0.25">
      <c r="B8" t="s">
        <v>54</v>
      </c>
      <c r="D8" s="1">
        <v>10600</v>
      </c>
    </row>
    <row r="9" spans="2:5" x14ac:dyDescent="0.25">
      <c r="B9" t="s">
        <v>58</v>
      </c>
      <c r="D9" s="1">
        <v>8100</v>
      </c>
    </row>
    <row r="10" spans="2:5" x14ac:dyDescent="0.25">
      <c r="B10" t="s">
        <v>53</v>
      </c>
      <c r="D10" s="1">
        <v>7600</v>
      </c>
    </row>
    <row r="11" spans="2:5" x14ac:dyDescent="0.25">
      <c r="B11" t="s">
        <v>55</v>
      </c>
      <c r="D11" s="1">
        <v>6300</v>
      </c>
    </row>
    <row r="12" spans="2:5" x14ac:dyDescent="0.25">
      <c r="B12" t="s">
        <v>50</v>
      </c>
      <c r="D12" s="1">
        <v>4700</v>
      </c>
    </row>
    <row r="13" spans="2:5" x14ac:dyDescent="0.25">
      <c r="B13" t="s">
        <v>56</v>
      </c>
      <c r="D13" s="1">
        <v>3300</v>
      </c>
    </row>
    <row r="14" spans="2:5" x14ac:dyDescent="0.25">
      <c r="B14" t="s">
        <v>52</v>
      </c>
      <c r="D14" s="1">
        <v>2900</v>
      </c>
    </row>
    <row r="15" spans="2:5" x14ac:dyDescent="0.25">
      <c r="D15" s="1"/>
    </row>
    <row r="16" spans="2:5" x14ac:dyDescent="0.25">
      <c r="B16" s="2" t="s">
        <v>62</v>
      </c>
      <c r="D16" s="1"/>
    </row>
    <row r="17" spans="2:4" x14ac:dyDescent="0.25">
      <c r="B17" t="s">
        <v>60</v>
      </c>
      <c r="D17" s="1">
        <v>80000</v>
      </c>
    </row>
    <row r="18" spans="2:4" x14ac:dyDescent="0.25">
      <c r="B18" t="s">
        <v>65</v>
      </c>
      <c r="D18" s="1">
        <v>100000</v>
      </c>
    </row>
    <row r="19" spans="2:4" x14ac:dyDescent="0.25">
      <c r="B19" t="s">
        <v>66</v>
      </c>
      <c r="D19" s="1">
        <v>2800</v>
      </c>
    </row>
    <row r="20" spans="2:4" x14ac:dyDescent="0.25">
      <c r="D20" s="1"/>
    </row>
    <row r="21" spans="2:4" x14ac:dyDescent="0.25">
      <c r="B21" s="2" t="s">
        <v>63</v>
      </c>
      <c r="D21" s="1"/>
    </row>
    <row r="22" spans="2:4" x14ac:dyDescent="0.25">
      <c r="B22" t="s">
        <v>64</v>
      </c>
      <c r="D22" s="1">
        <v>16000</v>
      </c>
    </row>
    <row r="24" spans="2:4" x14ac:dyDescent="0.25">
      <c r="D24" s="1"/>
    </row>
  </sheetData>
  <sortState xmlns:xlrd2="http://schemas.microsoft.com/office/spreadsheetml/2017/richdata2" ref="B3:D14">
    <sortCondition descending="1" ref="D3:D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94630-64AC-4CA0-AF7C-B241A720212C}">
  <dimension ref="B2:E23"/>
  <sheetViews>
    <sheetView workbookViewId="0"/>
  </sheetViews>
  <sheetFormatPr defaultRowHeight="15" x14ac:dyDescent="0.25"/>
  <cols>
    <col min="2" max="2" width="45.7109375" customWidth="1"/>
    <col min="3" max="3" width="10.7109375" customWidth="1"/>
    <col min="4" max="4" width="11.42578125" customWidth="1"/>
    <col min="5" max="5" width="10" customWidth="1"/>
  </cols>
  <sheetData>
    <row r="2" spans="2:5" x14ac:dyDescent="0.25">
      <c r="B2" s="2" t="s">
        <v>38</v>
      </c>
      <c r="C2" s="2"/>
      <c r="D2" s="2" t="s">
        <v>37</v>
      </c>
      <c r="E2" s="3">
        <f>SUM(D3:D23)</f>
        <v>243600</v>
      </c>
    </row>
    <row r="3" spans="2:5" x14ac:dyDescent="0.25">
      <c r="B3" t="s">
        <v>1</v>
      </c>
      <c r="D3" s="1">
        <v>41000</v>
      </c>
    </row>
    <row r="4" spans="2:5" x14ac:dyDescent="0.25">
      <c r="B4" t="s">
        <v>2</v>
      </c>
      <c r="D4" s="1">
        <v>26400</v>
      </c>
    </row>
    <row r="5" spans="2:5" x14ac:dyDescent="0.25">
      <c r="B5" t="s">
        <v>18</v>
      </c>
      <c r="D5" s="1">
        <v>23100</v>
      </c>
    </row>
    <row r="6" spans="2:5" x14ac:dyDescent="0.25">
      <c r="B6" t="s">
        <v>8</v>
      </c>
      <c r="D6" s="1">
        <v>21700</v>
      </c>
    </row>
    <row r="7" spans="2:5" x14ac:dyDescent="0.25">
      <c r="B7" t="s">
        <v>14</v>
      </c>
      <c r="D7" s="1">
        <v>18100</v>
      </c>
    </row>
    <row r="8" spans="2:5" x14ac:dyDescent="0.25">
      <c r="B8" t="s">
        <v>17</v>
      </c>
      <c r="D8" s="1">
        <v>16700</v>
      </c>
    </row>
    <row r="9" spans="2:5" x14ac:dyDescent="0.25">
      <c r="B9" t="s">
        <v>6</v>
      </c>
      <c r="D9" s="1">
        <v>14000</v>
      </c>
    </row>
    <row r="10" spans="2:5" x14ac:dyDescent="0.25">
      <c r="B10" t="s">
        <v>67</v>
      </c>
      <c r="D10" s="1">
        <v>12000</v>
      </c>
    </row>
    <row r="11" spans="2:5" x14ac:dyDescent="0.25">
      <c r="B11" t="s">
        <v>15</v>
      </c>
      <c r="D11" s="1">
        <v>10300</v>
      </c>
    </row>
    <row r="12" spans="2:5" x14ac:dyDescent="0.25">
      <c r="B12" t="s">
        <v>5</v>
      </c>
      <c r="D12" s="1">
        <v>9400</v>
      </c>
    </row>
    <row r="13" spans="2:5" x14ac:dyDescent="0.25">
      <c r="B13" t="s">
        <v>12</v>
      </c>
      <c r="D13" s="1">
        <v>9400</v>
      </c>
    </row>
    <row r="14" spans="2:5" x14ac:dyDescent="0.25">
      <c r="B14" t="s">
        <v>19</v>
      </c>
      <c r="D14" s="1">
        <v>8700</v>
      </c>
    </row>
    <row r="15" spans="2:5" x14ac:dyDescent="0.25">
      <c r="B15" t="s">
        <v>20</v>
      </c>
      <c r="D15" s="1">
        <v>7600</v>
      </c>
    </row>
    <row r="16" spans="2:5" x14ac:dyDescent="0.25">
      <c r="B16" t="s">
        <v>13</v>
      </c>
      <c r="D16" s="1">
        <v>5200</v>
      </c>
    </row>
    <row r="17" spans="2:4" x14ac:dyDescent="0.25">
      <c r="B17" t="s">
        <v>9</v>
      </c>
      <c r="D17" s="1">
        <v>3500</v>
      </c>
    </row>
    <row r="18" spans="2:4" x14ac:dyDescent="0.25">
      <c r="B18" t="s">
        <v>10</v>
      </c>
      <c r="D18" s="1">
        <v>3300</v>
      </c>
    </row>
    <row r="19" spans="2:4" x14ac:dyDescent="0.25">
      <c r="B19" t="s">
        <v>16</v>
      </c>
      <c r="D19" s="1">
        <v>3100</v>
      </c>
    </row>
    <row r="20" spans="2:4" x14ac:dyDescent="0.25">
      <c r="B20" t="s">
        <v>0</v>
      </c>
      <c r="D20" s="1">
        <v>2800</v>
      </c>
    </row>
    <row r="21" spans="2:4" x14ac:dyDescent="0.25">
      <c r="B21" t="s">
        <v>7</v>
      </c>
      <c r="D21" s="1">
        <v>2700</v>
      </c>
    </row>
    <row r="22" spans="2:4" x14ac:dyDescent="0.25">
      <c r="B22" t="s">
        <v>3</v>
      </c>
      <c r="D22" s="1">
        <v>2400</v>
      </c>
    </row>
    <row r="23" spans="2:4" x14ac:dyDescent="0.25">
      <c r="B23" t="s">
        <v>11</v>
      </c>
      <c r="D23" s="1">
        <v>2200</v>
      </c>
    </row>
  </sheetData>
  <sortState xmlns:xlrd2="http://schemas.microsoft.com/office/spreadsheetml/2017/richdata2" ref="B3:D23">
    <sortCondition descending="1" ref="D3:D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BCFF-6AF6-4C64-8760-5FF172A00142}">
  <dimension ref="B2:E26"/>
  <sheetViews>
    <sheetView workbookViewId="0"/>
  </sheetViews>
  <sheetFormatPr defaultRowHeight="15" x14ac:dyDescent="0.25"/>
  <cols>
    <col min="2" max="2" width="45.7109375" customWidth="1"/>
    <col min="3" max="3" width="10.7109375" customWidth="1"/>
    <col min="4" max="4" width="11.42578125" customWidth="1"/>
    <col min="5" max="5" width="10" customWidth="1"/>
  </cols>
  <sheetData>
    <row r="2" spans="2:5" x14ac:dyDescent="0.25">
      <c r="B2" s="2" t="s">
        <v>38</v>
      </c>
      <c r="C2" s="2"/>
      <c r="D2" s="2" t="s">
        <v>37</v>
      </c>
      <c r="E2" s="3">
        <f>SUM(D3:D26)</f>
        <v>360600</v>
      </c>
    </row>
    <row r="3" spans="2:5" x14ac:dyDescent="0.25">
      <c r="B3" t="s">
        <v>17</v>
      </c>
      <c r="D3" s="1">
        <v>108600</v>
      </c>
    </row>
    <row r="4" spans="2:5" x14ac:dyDescent="0.25">
      <c r="B4" t="s">
        <v>27</v>
      </c>
      <c r="D4" s="1">
        <v>21200</v>
      </c>
    </row>
    <row r="5" spans="2:5" x14ac:dyDescent="0.25">
      <c r="B5" t="s">
        <v>23</v>
      </c>
      <c r="D5" s="1">
        <v>20000</v>
      </c>
    </row>
    <row r="6" spans="2:5" x14ac:dyDescent="0.25">
      <c r="B6" t="s">
        <v>1</v>
      </c>
      <c r="D6" s="1">
        <v>18500</v>
      </c>
    </row>
    <row r="7" spans="2:5" x14ac:dyDescent="0.25">
      <c r="B7" t="s">
        <v>28</v>
      </c>
      <c r="D7" s="1">
        <v>18200</v>
      </c>
    </row>
    <row r="8" spans="2:5" x14ac:dyDescent="0.25">
      <c r="B8" t="s">
        <v>24</v>
      </c>
      <c r="D8" s="1">
        <v>18100</v>
      </c>
    </row>
    <row r="9" spans="2:5" x14ac:dyDescent="0.25">
      <c r="B9" t="s">
        <v>35</v>
      </c>
      <c r="D9" s="1">
        <v>17800</v>
      </c>
    </row>
    <row r="10" spans="2:5" x14ac:dyDescent="0.25">
      <c r="B10" t="s">
        <v>15</v>
      </c>
      <c r="D10" s="1">
        <v>16800</v>
      </c>
    </row>
    <row r="11" spans="2:5" x14ac:dyDescent="0.25">
      <c r="B11" t="s">
        <v>26</v>
      </c>
      <c r="D11" s="1">
        <v>16600</v>
      </c>
    </row>
    <row r="12" spans="2:5" x14ac:dyDescent="0.25">
      <c r="B12" t="s">
        <v>34</v>
      </c>
      <c r="D12" s="1">
        <v>14900</v>
      </c>
    </row>
    <row r="13" spans="2:5" x14ac:dyDescent="0.25">
      <c r="B13" t="s">
        <v>33</v>
      </c>
      <c r="D13" s="1">
        <v>11100</v>
      </c>
    </row>
    <row r="14" spans="2:5" x14ac:dyDescent="0.25">
      <c r="B14" t="s">
        <v>25</v>
      </c>
      <c r="D14" s="1">
        <v>10000</v>
      </c>
    </row>
    <row r="15" spans="2:5" x14ac:dyDescent="0.25">
      <c r="B15" t="s">
        <v>4</v>
      </c>
      <c r="D15" s="1">
        <v>8100</v>
      </c>
    </row>
    <row r="16" spans="2:5" x14ac:dyDescent="0.25">
      <c r="B16" t="s">
        <v>32</v>
      </c>
      <c r="D16" s="1">
        <v>7600</v>
      </c>
    </row>
    <row r="17" spans="2:4" x14ac:dyDescent="0.25">
      <c r="B17" t="s">
        <v>31</v>
      </c>
      <c r="D17" s="1">
        <v>7200</v>
      </c>
    </row>
    <row r="18" spans="2:4" x14ac:dyDescent="0.25">
      <c r="B18" t="s">
        <v>36</v>
      </c>
      <c r="D18" s="1">
        <v>6800</v>
      </c>
    </row>
    <row r="19" spans="2:4" x14ac:dyDescent="0.25">
      <c r="B19" t="s">
        <v>8</v>
      </c>
      <c r="D19" s="1">
        <v>6500</v>
      </c>
    </row>
    <row r="20" spans="2:4" x14ac:dyDescent="0.25">
      <c r="B20" t="s">
        <v>29</v>
      </c>
      <c r="D20" s="1">
        <v>6300</v>
      </c>
    </row>
    <row r="21" spans="2:4" x14ac:dyDescent="0.25">
      <c r="B21" t="s">
        <v>21</v>
      </c>
      <c r="D21" s="1">
        <v>5200</v>
      </c>
    </row>
    <row r="22" spans="2:4" x14ac:dyDescent="0.25">
      <c r="B22" t="s">
        <v>3</v>
      </c>
      <c r="D22" s="1">
        <v>5000</v>
      </c>
    </row>
    <row r="23" spans="2:4" x14ac:dyDescent="0.25">
      <c r="B23" t="s">
        <v>30</v>
      </c>
      <c r="D23" s="1">
        <v>5000</v>
      </c>
    </row>
    <row r="24" spans="2:4" x14ac:dyDescent="0.25">
      <c r="B24" t="s">
        <v>2</v>
      </c>
      <c r="D24" s="1">
        <v>3900</v>
      </c>
    </row>
    <row r="25" spans="2:4" x14ac:dyDescent="0.25">
      <c r="B25" t="s">
        <v>19</v>
      </c>
      <c r="D25" s="1">
        <v>3900</v>
      </c>
    </row>
    <row r="26" spans="2:4" x14ac:dyDescent="0.25">
      <c r="B26" t="s">
        <v>22</v>
      </c>
      <c r="D26" s="1">
        <v>3300</v>
      </c>
    </row>
  </sheetData>
  <sortState xmlns:xlrd2="http://schemas.microsoft.com/office/spreadsheetml/2017/richdata2" ref="B3:D26">
    <sortCondition descending="1" ref="D3:D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DC97-D69F-4CEC-BC2C-F47DCA80ADF7}">
  <dimension ref="B2:E26"/>
  <sheetViews>
    <sheetView workbookViewId="0"/>
  </sheetViews>
  <sheetFormatPr defaultRowHeight="15" x14ac:dyDescent="0.25"/>
  <cols>
    <col min="2" max="2" width="45.7109375" customWidth="1"/>
    <col min="3" max="3" width="10.7109375" customWidth="1"/>
    <col min="4" max="4" width="11.42578125" customWidth="1"/>
    <col min="5" max="5" width="10" customWidth="1"/>
  </cols>
  <sheetData>
    <row r="2" spans="2:5" x14ac:dyDescent="0.25">
      <c r="B2" s="2" t="s">
        <v>38</v>
      </c>
      <c r="C2" s="2"/>
      <c r="D2" s="2" t="s">
        <v>37</v>
      </c>
      <c r="E2" s="3">
        <f>SUM(D3:D23)</f>
        <v>155100</v>
      </c>
    </row>
    <row r="3" spans="2:5" x14ac:dyDescent="0.25">
      <c r="B3" t="s">
        <v>49</v>
      </c>
      <c r="D3" s="1">
        <v>64000</v>
      </c>
    </row>
    <row r="4" spans="2:5" x14ac:dyDescent="0.25">
      <c r="B4" t="s">
        <v>46</v>
      </c>
      <c r="D4" s="1">
        <v>27900</v>
      </c>
    </row>
    <row r="5" spans="2:5" x14ac:dyDescent="0.25">
      <c r="B5" t="s">
        <v>43</v>
      </c>
      <c r="D5" s="1">
        <v>12500</v>
      </c>
    </row>
    <row r="6" spans="2:5" x14ac:dyDescent="0.25">
      <c r="B6" t="s">
        <v>48</v>
      </c>
      <c r="D6" s="1">
        <v>9500</v>
      </c>
    </row>
    <row r="7" spans="2:5" x14ac:dyDescent="0.25">
      <c r="B7" t="s">
        <v>1</v>
      </c>
      <c r="D7" s="1">
        <v>9200</v>
      </c>
    </row>
    <row r="8" spans="2:5" x14ac:dyDescent="0.25">
      <c r="B8" t="s">
        <v>42</v>
      </c>
      <c r="D8" s="1">
        <v>8000</v>
      </c>
    </row>
    <row r="9" spans="2:5" x14ac:dyDescent="0.25">
      <c r="B9" t="s">
        <v>39</v>
      </c>
      <c r="D9" s="1">
        <v>4500</v>
      </c>
    </row>
    <row r="10" spans="2:5" x14ac:dyDescent="0.25">
      <c r="B10" t="s">
        <v>41</v>
      </c>
      <c r="D10" s="1">
        <v>3700</v>
      </c>
    </row>
    <row r="11" spans="2:5" x14ac:dyDescent="0.25">
      <c r="B11" t="s">
        <v>47</v>
      </c>
      <c r="D11" s="1">
        <v>3600</v>
      </c>
    </row>
    <row r="12" spans="2:5" x14ac:dyDescent="0.25">
      <c r="B12" t="s">
        <v>44</v>
      </c>
      <c r="D12" s="1">
        <v>3500</v>
      </c>
    </row>
    <row r="13" spans="2:5" x14ac:dyDescent="0.25">
      <c r="B13" t="s">
        <v>3</v>
      </c>
      <c r="D13" s="1">
        <v>3300</v>
      </c>
    </row>
    <row r="14" spans="2:5" x14ac:dyDescent="0.25">
      <c r="B14" t="s">
        <v>45</v>
      </c>
      <c r="D14" s="1">
        <v>2900</v>
      </c>
    </row>
    <row r="15" spans="2:5" x14ac:dyDescent="0.25">
      <c r="B15" t="s">
        <v>40</v>
      </c>
      <c r="D15" s="1">
        <v>2500</v>
      </c>
    </row>
    <row r="16" spans="2:5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sortState xmlns:xlrd2="http://schemas.microsoft.com/office/spreadsheetml/2017/richdata2" ref="B3:D15">
    <sortCondition descending="1" ref="D3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5-Year</vt:lpstr>
      <vt:lpstr>2024</vt:lpstr>
      <vt:lpstr>2023</vt:lpstr>
      <vt:lpstr>2022</vt:lpstr>
      <vt:lpstr>2021</vt:lpstr>
      <vt:lpstr>'5-Year'!Page_1</vt:lpstr>
      <vt:lpstr>'5-Year'!Page_2</vt:lpstr>
      <vt:lpstr>'5-Year'!Page_3</vt:lpstr>
      <vt:lpstr>'5-Year'!Page_4</vt:lpstr>
      <vt:lpstr>'5-Year'!Print_Area</vt:lpstr>
      <vt:lpstr>'5-Year'!Print_Titles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Radcliffe</dc:creator>
  <cp:lastModifiedBy>Josefina Radcliffe</cp:lastModifiedBy>
  <dcterms:created xsi:type="dcterms:W3CDTF">2024-10-03T18:34:04Z</dcterms:created>
  <dcterms:modified xsi:type="dcterms:W3CDTF">2024-10-04T14:25:47Z</dcterms:modified>
</cp:coreProperties>
</file>