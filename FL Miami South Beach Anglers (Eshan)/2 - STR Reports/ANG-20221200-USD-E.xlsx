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3.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28.xml" ContentType="application/vnd.openxmlformats-officedocument.spreadsheetml.worksheet+xml"/>
  <Override PartName="/xl/printerSettings/printerSettings29.bin" ContentType="application/vnd.openxmlformats-officedocument.spreadsheetml.printerSettings"/>
  <Override PartName="/xl/drawings/drawing30.xml" ContentType="application/vnd.openxmlformats-officedocument.drawing+xml"/>
  <Override PartName="/xl/worksheets/sheet32.xml" ContentType="application/vnd.openxmlformats-officedocument.spreadsheetml.worksheet+xml"/>
  <Override PartName="/xl/printerSettings/printerSettings33.bin" ContentType="application/vnd.openxmlformats-officedocument.spreadsheetml.printerSettings"/>
  <Override PartName="/xl/drawings/drawing34.xml" ContentType="application/vnd.openxmlformats-officedocument.drawing+xml"/>
  <Override PartName="/xl/worksheets/sheet36.xml" ContentType="application/vnd.openxmlformats-officedocument.spreadsheetml.worksheet+xml"/>
  <Override PartName="/xl/printerSettings/printerSettings37.bin" ContentType="application/vnd.openxmlformats-officedocument.spreadsheetml.printerSettings"/>
  <Override PartName="/xl/drawings/drawing38.xml" ContentType="application/vnd.openxmlformats-officedocument.drawing+xml"/>
  <Override PartName="/xl/worksheets/sheet40.xml" ContentType="application/vnd.openxmlformats-officedocument.spreadsheetml.worksheet+xml"/>
  <Override PartName="/xl/printerSettings/printerSettings41.bin" ContentType="application/vnd.openxmlformats-officedocument.spreadsheetml.printerSettings"/>
  <Override PartName="/xl/drawings/drawing42.xml" ContentType="application/vnd.openxmlformats-officedocument.drawing+xml"/>
  <Override PartName="/xl/worksheets/sheet44.xml" ContentType="application/vnd.openxmlformats-officedocument.spreadsheetml.worksheet+xml"/>
  <Override PartName="/xl/printerSettings/printerSettings45.bin" ContentType="application/vnd.openxmlformats-officedocument.spreadsheetml.printerSettings"/>
  <Override PartName="/xl/drawings/drawing46.xml" ContentType="application/vnd.openxmlformats-officedocument.drawing+xml"/>
  <Override PartName="/xl/worksheets/sheet48.xml" ContentType="application/vnd.openxmlformats-officedocument.spreadsheetml.worksheet+xml"/>
  <Override PartName="/xl/printerSettings/printerSettings49.bin" ContentType="application/vnd.openxmlformats-officedocument.spreadsheetml.printerSettings"/>
  <Override PartName="/xl/drawings/drawing50.xml" ContentType="application/vnd.openxmlformats-officedocument.drawing+xml"/>
  <Override PartName="/xl/worksheets/sheet52.xml" ContentType="application/vnd.openxmlformats-officedocument.spreadsheetml.worksheet+xml"/>
  <Override PartName="/xl/printerSettings/printerSettings53.bin" ContentType="application/vnd.openxmlformats-officedocument.spreadsheetml.printerSettings"/>
  <Override PartName="/xl/drawings/drawing54.xml" ContentType="application/vnd.openxmlformats-officedocument.drawing+xml"/>
  <Override PartName="/xl/worksheets/sheet56.xml" ContentType="application/vnd.openxmlformats-officedocument.spreadsheetml.worksheet+xml"/>
  <Override PartName="/xl/printerSettings/printerSettings57.bin" ContentType="application/vnd.openxmlformats-officedocument.spreadsheetml.printerSettings"/>
  <Override PartName="/xl/drawings/drawing58.xml" ContentType="application/vnd.openxmlformats-officedocument.drawing+xml"/>
  <Override PartName="/xl/worksheets/sheet59.xml" ContentType="application/vnd.openxmlformats-officedocument.spreadsheetml.worksheet+xml"/>
  <Override PartName="/xl/printerSettings/printerSettings60.bin" ContentType="application/vnd.openxmlformats-officedocument.spreadsheetml.printerSettings"/>
  <Override PartName="/xl/drawings/drawing61.xml" ContentType="application/vnd.openxmlformats-officedocument.drawing+xml"/>
  <Override PartName="/xl/worksheets/sheet62.xml" ContentType="application/vnd.openxmlformats-officedocument.spreadsheetml.worksheet+xml"/>
  <Override PartName="/xl/printerSettings/printerSettings63.bin" ContentType="application/vnd.openxmlformats-officedocument.spreadsheetml.printerSettings"/>
  <Override PartName="/xl/drawings/drawing64.xml" ContentType="application/vnd.openxmlformats-officedocument.drawing+xml"/>
  <Override PartName="/xl/worksheets/sheet65.xml" ContentType="application/vnd.openxmlformats-officedocument.spreadsheetml.worksheet+xml"/>
  <Override PartName="/xl/printerSettings/printerSettings66.bin" ContentType="application/vnd.openxmlformats-officedocument.spreadsheetml.printerSettings"/>
  <Override PartName="/xl/drawings/drawing67.xml" ContentType="application/vnd.openxmlformats-officedocument.drawing+xml"/>
  <Override PartName="/xl/worksheets/sheet69.xml" ContentType="application/vnd.openxmlformats-officedocument.spreadsheetml.worksheet+xml"/>
  <Override PartName="/xl/printerSettings/printerSettings70.bin" ContentType="application/vnd.openxmlformats-officedocument.spreadsheetml.printerSettings"/>
  <Override PartName="/xl/drawings/drawing71.xml" ContentType="application/vnd.openxmlformats-officedocument.drawing+xml"/>
  <Override PartName="/xl/drawings/drawing72.xml" ContentType="application/vnd.openxmlformats-officedocument.drawing+xml"/>
  <Override PartName="/xl/worksheets/sheet73.xml" ContentType="application/vnd.openxmlformats-officedocument.spreadsheetml.worksheet+xml"/>
  <Override PartName="/xl/printerSettings/printerSettings74.bin" ContentType="application/vnd.openxmlformats-officedocument.spreadsheetml.printerSettings"/>
  <Override PartName="/xl/drawings/drawing75.xml" ContentType="application/vnd.openxmlformats-officedocument.drawing+xml"/>
  <Override PartName="/xl/drawings/drawing76.xml" ContentType="application/vnd.openxmlformats-officedocument.drawing+xml"/>
  <Override PartName="/xl/worksheets/sheet77.xml" ContentType="application/vnd.openxmlformats-officedocument.spreadsheetml.worksheet+xml"/>
  <Override PartName="/xl/printerSettings/printerSettings78.bin" ContentType="application/vnd.openxmlformats-officedocument.spreadsheetml.printerSettings"/>
  <Override PartName="/xl/drawings/drawing79.xml" ContentType="application/vnd.openxmlformats-officedocument.drawing+xml"/>
  <Override PartName="/xl/worksheets/sheet80.xml" ContentType="application/vnd.openxmlformats-officedocument.spreadsheetml.worksheet+xml"/>
  <Override PartName="/xl/printerSettings/printerSettings81.bin" ContentType="application/vnd.openxmlformats-officedocument.spreadsheetml.printerSettings"/>
  <Override PartName="/xl/drawings/drawing82.xml" ContentType="application/vnd.openxmlformats-officedocument.drawing+xml"/>
  <Override PartName="/xl/drawings/drawing83.xml" ContentType="application/vnd.openxmlformats-officedocument.drawing+xml"/>
  <Override PartName="/xl/worksheets/sheet84.xml" ContentType="application/vnd.openxmlformats-officedocument.spreadsheetml.worksheet+xml"/>
  <Override PartName="/xl/printerSettings/printerSettings85.bin" ContentType="application/vnd.openxmlformats-officedocument.spreadsheetml.printerSettings"/>
  <Override PartName="/xl/drawings/drawing86.xml" ContentType="application/vnd.openxmlformats-officedocument.drawing+xml"/>
  <Override PartName="/xl/drawings/drawing87.xml" ContentType="application/vnd.openxmlformats-officedocument.drawing+xml"/>
  <Override PartName="/xl/worksheets/sheet88.xml" ContentType="application/vnd.openxmlformats-officedocument.spreadsheetml.worksheet+xml"/>
  <Override PartName="/xl/printerSettings/printerSettings89.bin" ContentType="application/vnd.openxmlformats-officedocument.spreadsheetml.printerSettings"/>
  <Override PartName="/xl/drawings/drawing90.xml" ContentType="application/vnd.openxmlformats-officedocument.drawing+xml"/>
  <Override PartName="/xl/drawings/drawing91.xml" ContentType="application/vnd.openxmlformats-officedocument.drawing+xml"/>
  <Override PartName="/xl/worksheets/sheet92.xml" ContentType="application/vnd.openxmlformats-officedocument.spreadsheetml.worksheet+xml"/>
  <Override PartName="/xl/printerSettings/printerSettings93.bin" ContentType="application/vnd.openxmlformats-officedocument.spreadsheetml.printerSettings"/>
  <Override PartName="/xl/drawings/drawing94.xml" ContentType="application/vnd.openxmlformats-officedocument.drawing+xml"/>
  <Override PartName="/xl/worksheets/sheet95.xml" ContentType="application/vnd.openxmlformats-officedocument.spreadsheetml.worksheet+xml"/>
  <Override PartName="/xl/printerSettings/printerSettings96.bin" ContentType="application/vnd.openxmlformats-officedocument.spreadsheetml.printerSettings"/>
  <Override PartName="/xl/drawings/drawing97.xml" ContentType="application/vnd.openxmlformats-officedocument.drawing+xml"/>
  <Override PartName="/xl/worksheets/sheet98.xml" ContentType="application/vnd.openxmlformats-officedocument.spreadsheetml.worksheet+xml"/>
  <Override PartName="/xl/printerSettings/printerSettings99.bin" ContentType="application/vnd.openxmlformats-officedocument.spreadsheetml.printerSettings"/>
  <Override PartName="/xl/drawings/drawing100.xml" ContentType="application/vnd.openxmlformats-officedocument.drawing+xml"/>
  <Override PartName="/xl/worksheets/sheet101.xml" ContentType="application/vnd.openxmlformats-officedocument.spreadsheetml.worksheet+xml"/>
  <Override PartName="/xl/printerSettings/printerSettings102.bin" ContentType="application/vnd.openxmlformats-officedocument.spreadsheetml.printerSettings"/>
  <Override PartName="/xl/drawings/drawing103.xml" ContentType="application/vnd.openxmlformats-officedocument.drawing+xml"/>
  <Override PartName="/xl/worksheets/sheet104.xml" ContentType="application/vnd.openxmlformats-officedocument.spreadsheetml.worksheet+xml"/>
  <Override PartName="/xl/printerSettings/printerSettings105.bin" ContentType="application/vnd.openxmlformats-officedocument.spreadsheetml.printerSettings"/>
  <Override PartName="/xl/drawings/drawing106.xml" ContentType="application/vnd.openxmlformats-officedocument.drawing+xml"/>
  <Override PartName="/xl/worksheets/sheet107.xml" ContentType="application/vnd.openxmlformats-officedocument.spreadsheetml.worksheet+xml"/>
  <Override PartName="/xl/printerSettings/printerSettings108.bin" ContentType="application/vnd.openxmlformats-officedocument.spreadsheetml.printerSettings"/>
  <Override PartName="/xl/drawings/drawing109.xml" ContentType="application/vnd.openxmlformats-officedocument.drawing+xml"/>
  <Override PartName="/xl/worksheets/sheet110.xml" ContentType="application/vnd.openxmlformats-officedocument.spreadsheetml.worksheet+xml"/>
  <Override PartName="/xl/printerSettings/printerSettings111.bin" ContentType="application/vnd.openxmlformats-officedocument.spreadsheetml.printerSettings"/>
  <Override PartName="/xl/drawings/drawing112.xml" ContentType="application/vnd.openxmlformats-officedocument.drawing+xml"/>
  <Override PartName="/xl/worksheets/sheet113.xml" ContentType="application/vnd.openxmlformats-officedocument.spreadsheetml.worksheet+xml"/>
  <Override PartName="/xl/printerSettings/printerSettings114.bin" ContentType="application/vnd.openxmlformats-officedocument.spreadsheetml.printerSettings"/>
  <Override PartName="/xl/drawings/drawing115.xml" ContentType="application/vnd.openxmlformats-officedocument.drawing+xml"/>
  <Override PartName="/xl/worksheets/sheet116.xml" ContentType="application/vnd.openxmlformats-officedocument.spreadsheetml.worksheet+xml"/>
  <Override PartName="/xl/printerSettings/printerSettings117.bin" ContentType="application/vnd.openxmlformats-officedocument.spreadsheetml.printerSettings"/>
  <Override PartName="/xl/drawings/drawing118.xml" ContentType="application/vnd.openxmlformats-officedocument.drawing+xml"/>
  <Override PartName="/xl/worksheets/sheet119.xml" ContentType="application/vnd.openxmlformats-officedocument.spreadsheetml.worksheet+xml"/>
  <Override PartName="/xl/printerSettings/printerSettings120.bin" ContentType="application/vnd.openxmlformats-officedocument.spreadsheetml.printerSettings"/>
  <Override PartName="/xl/drawings/drawing121.xml" ContentType="application/vnd.openxmlformats-officedocument.drawing+xml"/>
  <Override PartName="/xl/worksheets/sheet122.xml" ContentType="application/vnd.openxmlformats-officedocument.spreadsheetml.worksheet+xml"/>
  <Override PartName="/xl/printerSettings/printerSettings123.bin" ContentType="application/vnd.openxmlformats-officedocument.spreadsheetml.printerSettings"/>
  <Override PartName="/xl/drawings/drawing124.xml" ContentType="application/vnd.openxmlformats-officedocument.drawing+xml"/>
  <Override PartName="/xl/drawings/drawing125.xml" ContentType="application/vnd.openxmlformats-officedocument.drawing+xml"/>
  <Override PartName="/xl/worksheets/sheet126.xml" ContentType="application/vnd.openxmlformats-officedocument.spreadsheetml.worksheet+xml"/>
  <Override PartName="/xl/printerSettings/printerSettings127.bin" ContentType="application/vnd.openxmlformats-officedocument.spreadsheetml.printerSettings"/>
  <Override PartName="/xl/drawings/drawing128.xml" ContentType="application/vnd.openxmlformats-officedocument.drawing+xml"/>
  <Override PartName="/xl/drawings/drawing129.xml" ContentType="application/vnd.openxmlformats-officedocument.drawing+xml"/>
  <Override PartName="/xl/worksheets/sheet130.xml" ContentType="application/vnd.openxmlformats-officedocument.spreadsheetml.worksheet+xml"/>
  <Override PartName="/xl/printerSettings/printerSettings131.bin" ContentType="application/vnd.openxmlformats-officedocument.spreadsheetml.printerSettings"/>
  <Override PartName="/xl/drawings/drawing132.xml" ContentType="application/vnd.openxmlformats-officedocument.drawing+xml"/>
  <Override PartName="/xl/worksheets/sheet133.xml" ContentType="application/vnd.openxmlformats-officedocument.spreadsheetml.worksheet+xml"/>
  <Override PartName="/xl/printerSettings/printerSettings134.bin" ContentType="application/vnd.openxmlformats-officedocument.spreadsheetml.printerSettings"/>
  <Override PartName="/xl/drawings/drawing135.xml" ContentType="application/vnd.openxmlformats-officedocument.drawing+xml"/>
  <Override PartName="/xl/charts/chart136.xml" ContentType="application/vnd.openxmlformats-officedocument.drawingml.chart+xml"/>
  <Override PartName="/xl/charts/chart137.xml" ContentType="application/vnd.openxmlformats-officedocument.drawingml.chart+xml"/>
  <Override PartName="/xl/charts/chart138.xml" ContentType="application/vnd.openxmlformats-officedocument.drawingml.chart+xml"/>
  <Override PartName="/xl/charts/chart139.xml" ContentType="application/vnd.openxmlformats-officedocument.drawingml.chart+xml"/>
  <Override PartName="/xl/charts/chart140.xml" ContentType="application/vnd.openxmlformats-officedocument.drawingml.chart+xml"/>
  <Override PartName="/xl/charts/chart141.xml" ContentType="application/vnd.openxmlformats-officedocument.drawingml.chart+xml"/>
  <Override PartName="/xl/charts/chart142.xml" ContentType="application/vnd.openxmlformats-officedocument.drawingml.chart+xml"/>
  <Override PartName="/xl/charts/chart143.xml" ContentType="application/vnd.openxmlformats-officedocument.drawingml.chart+xml"/>
  <Override PartName="/xl/charts/chart144.xml" ContentType="application/vnd.openxmlformats-officedocument.drawingml.chart+xml"/>
  <Override PartName="/xl/charts/chart145.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30"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4026"/>
  <workbookPr codeName="ThisWorkbook" defaultThemeVersion="124226"/>
  <bookViews>
    <workbookView xWindow="-120" yWindow="-120" windowWidth="21600" windowHeight="10410" tabRatio="966"/>
  </bookViews>
  <sheets>
    <sheet name="Table of Contents" sheetId="1" r:id="rId32"/>
    <sheet name="Glance" sheetId="57" r:id="rId33"/>
    <sheet name="Summary" sheetId="55" r:id="rId34"/>
    <sheet name="Comp" sheetId="76" r:id="rId31"/>
    <sheet name="Response" sheetId="13" r:id="rId39"/>
    <sheet name="Day of Week" sheetId="60" r:id="rId35"/>
    <sheet name="Daily by Month" sheetId="47" r:id="rId36"/>
    <sheet name="Segmentation Glance" sheetId="77" r:id="rId30"/>
    <sheet name="Segmentation Occ" sheetId="78" r:id="rId29"/>
    <sheet name="Segmentation ADR" sheetId="79" r:id="rId28"/>
    <sheet name="Segmentation RevPAR" sheetId="80" r:id="rId27"/>
    <sheet name="Segmentation Indexes" sheetId="81" r:id="rId26"/>
    <sheet name="Segmentation Ranking" sheetId="82" r:id="rId25"/>
    <sheet name="Segmentation DOW Month" sheetId="83" r:id="rId24"/>
    <sheet name="Segmentation DOW YTD" sheetId="84" r:id="rId23"/>
    <sheet name="Segmentation DOW Run 3" sheetId="85" r:id="rId22"/>
    <sheet name="Segmentation DOW Run 12" sheetId="86" r:id="rId21"/>
    <sheet name="Add Rev ADR" sheetId="65" r:id="rId37"/>
    <sheet name="Add Rev RevPAR" sheetId="66" r:id="rId38"/>
    <sheet name="Segmentation Response" sheetId="87" r:id="rId20"/>
    <sheet name="Glance_2" sheetId="88" r:id="rId19"/>
    <sheet name="Summary_2" sheetId="89" r:id="rId18"/>
    <sheet name="Comp_2" sheetId="90" r:id="rId17"/>
    <sheet name="Response_2" sheetId="91" r:id="rId16"/>
    <sheet name="Day of Week_2" sheetId="92" r:id="rId15"/>
    <sheet name="Daily by Month_2" sheetId="93" r:id="rId14"/>
    <sheet name="Segmentation Glance_2" sheetId="94" r:id="rId13"/>
    <sheet name="Segmentation Occ_2" sheetId="95" r:id="rId12"/>
    <sheet name="Segmentation ADR_2" sheetId="96" r:id="rId11"/>
    <sheet name="Segmentation RevPAR_2" sheetId="97" r:id="rId10"/>
    <sheet name="Segmentation Indexes_2" sheetId="98" r:id="rId9"/>
    <sheet name="Segmentation Ranking_2" sheetId="99" r:id="rId8"/>
    <sheet name="Segmentation DOW Month_2" sheetId="100" r:id="rId7"/>
    <sheet name="Segmentation DOW YTD_2" sheetId="101" r:id="rId6"/>
    <sheet name="Segmentation DOW Run 3_2" sheetId="102" r:id="rId5"/>
    <sheet name="Segmentation DOW Run 12_2" sheetId="103" r:id="rId4"/>
    <sheet name="Add Rev ADR_2" sheetId="104" r:id="rId3"/>
    <sheet name="Add Rev RevPAR_2" sheetId="105" r:id="rId2"/>
    <sheet name="Segmentation Response_2" sheetId="106" r:id="rId1"/>
    <sheet name="Help" sheetId="74" r:id="rId40"/>
  </sheets>
  <definedNames>
    <definedName name="_xlnm.Print_Area" localSheetId="17">'Add Rev ADR'!$A$1:$AH$46</definedName>
    <definedName name="_xlnm.Print_Area" localSheetId="18">'Add Rev RevPAR'!$A$1:$AH$45</definedName>
    <definedName name="_xlnm.Print_Area" localSheetId="6">'Daily by Month'!$A$1:$AH$57</definedName>
    <definedName name="_xlnm.Print_Area" localSheetId="5">'Day of Week'!$A$1:$V$78</definedName>
    <definedName name="_xlnm.Print_Area" localSheetId="1">Glance!$A$1:$T$34</definedName>
    <definedName name="_xlnm.Print_Area" localSheetId="39">Help!$A$1:$J$16</definedName>
    <definedName name="_xlnm.Print_Area" localSheetId="4">Response!$A$1:$AR$106</definedName>
    <definedName name="_xlnm.Print_Area" localSheetId="2">Summary!$A$1:$U$45</definedName>
    <definedName name="_xlnm.Print_Area" localSheetId="0">'Table of Contents'!$A$1:$H$63</definedName>
    <definedName name="_xlnm.Print_Area" localSheetId="3">Comp!$A$1:$AG$57</definedName>
    <definedName name="_xlnm.Print_Area" localSheetId="7">'Segmentation Glance'!$A$1:$T$41</definedName>
    <definedName name="_xlnm.Print_Area" localSheetId="8">'Segmentation Occ'!$A$1:$AB$45</definedName>
    <definedName name="_xlnm.Print_Area" localSheetId="9">'Segmentation ADR'!$A$1:$AB$44</definedName>
    <definedName name="_xlnm.Print_Area" localSheetId="10">'Segmentation RevPAR'!$A$1:$AB$44</definedName>
    <definedName name="_xlnm.Print_Area" localSheetId="11">'Segmentation Indexes'!$A$1:$AB$44</definedName>
    <definedName name="_xlnm.Print_Area" localSheetId="12">'Segmentation Ranking'!$A$1:$AB$44</definedName>
    <definedName name="_xlnm.Print_Area" localSheetId="13">'Segmentation DOW Month'!$A$1:$AB$53</definedName>
    <definedName name="_xlnm.Print_Area" localSheetId="14">'Segmentation DOW YTD'!$A$1:$AB$53</definedName>
    <definedName name="_xlnm.Print_Area" localSheetId="15">'Segmentation DOW Run 3'!$A$1:$AB$53</definedName>
    <definedName name="_xlnm.Print_Area" localSheetId="16">'Segmentation DOW Run 12'!$A$1:$AB$53</definedName>
    <definedName name="_xlnm.Print_Area" localSheetId="19">'Segmentation Response'!$A$1:$AR$106</definedName>
    <definedName name="_xlnm.Print_Area" localSheetId="20">Glance_2!$A$1:$T$34</definedName>
    <definedName name="_xlnm.Print_Area" localSheetId="21">Summary_2!$A$1:$U$45</definedName>
    <definedName name="_xlnm.Print_Area" localSheetId="22">'Comp_2'!$A$1:$AG$57</definedName>
    <definedName name="_xlnm.Print_Area" localSheetId="23">'Response_2'!$A$1:$AR$106</definedName>
    <definedName name="_xlnm.Print_Area" localSheetId="24">'Day of Week_2'!$A$1:$V$78</definedName>
    <definedName name="_xlnm.Print_Area" localSheetId="25">'Daily by Month_2'!$A$1:$AH$57</definedName>
    <definedName name="_xlnm.Print_Area" localSheetId="26">'Segmentation Glance_2'!$A$1:$T$41</definedName>
    <definedName name="_xlnm.Print_Area" localSheetId="27">'Segmentation Occ_2'!$A$1:$AB$45</definedName>
    <definedName name="_xlnm.Print_Area" localSheetId="28">'Segmentation ADR_2'!$A$1:$AB$44</definedName>
    <definedName name="_xlnm.Print_Area" localSheetId="29">'Segmentation RevPAR_2'!$A$1:$AB$44</definedName>
    <definedName name="_xlnm.Print_Area" localSheetId="30">'Segmentation Indexes_2'!$A$1:$AB$44</definedName>
    <definedName name="_xlnm.Print_Area" localSheetId="31">'Segmentation Ranking_2'!$A$1:$AB$44</definedName>
    <definedName name="_xlnm.Print_Area" localSheetId="32">'Segmentation DOW Month_2'!$A$1:$AB$53</definedName>
    <definedName name="_xlnm.Print_Area" localSheetId="33">'Segmentation DOW YTD_2'!$A$1:$AB$53</definedName>
    <definedName name="_xlnm.Print_Area" localSheetId="34">'Segmentation DOW Run 3_2'!$A$1:$AB$53</definedName>
    <definedName name="_xlnm.Print_Area" localSheetId="35">'Segmentation DOW Run 12_2'!$A$1:$AB$53</definedName>
    <definedName name="_xlnm.Print_Area" localSheetId="36">'Add Rev ADR_2'!$A$1:$AH$46</definedName>
    <definedName name="_xlnm.Print_Area" localSheetId="37">'Add Rev RevPAR_2'!$A$1:$AH$45</definedName>
    <definedName name="_xlnm.Print_Area" localSheetId="38">'Segmentation Response_2'!$A$1:$AR$106</definedName>
  </definedNames>
  <calcPr calcId="152511"/>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<sst xmlns="http://schemas.openxmlformats.org/spreadsheetml/2006/main" xmlns:r="http://schemas.openxmlformats.org/officeDocument/2006/relationships" xmlns:xdr="http://schemas.openxmlformats.org/drawingml/2006/spreadsheetDrawing" xmlns:s="http://schemas.openxmlformats.org/officeDocument/2006/sharedTypes" xmlns:vt="http://schemas.openxmlformats.org/officeDocument/2006/docPropsVTypes" xmlns:a="http://schemas.openxmlformats.org/drawingml/2006/main" xmlns:cdr="http://schemas.openxmlformats.org/drawingml/2006/chartDrawing" count="1023" uniqueCount="126">
  <si>
    <t>Sun</t>
  </si>
  <si>
    <t>Mon</t>
  </si>
  <si>
    <t>Tue</t>
  </si>
  <si>
    <t>Wed</t>
  </si>
  <si>
    <t>Thu</t>
  </si>
  <si>
    <t>Fri</t>
  </si>
  <si>
    <t>Sat</t>
  </si>
  <si>
    <t>This Year</t>
  </si>
  <si>
    <t>Last Year</t>
  </si>
  <si>
    <t>ADR</t>
  </si>
  <si>
    <t>RevPAR</t>
  </si>
  <si>
    <t>Transient</t>
  </si>
  <si>
    <t>Total</t>
  </si>
  <si>
    <t>Group</t>
  </si>
  <si>
    <t>Contract</t>
  </si>
  <si>
    <t>Comp Set</t>
  </si>
  <si>
    <t>Comp set</t>
  </si>
  <si>
    <t>Other</t>
  </si>
  <si>
    <t>F&amp;B</t>
  </si>
  <si>
    <t>My Property</t>
  </si>
  <si>
    <t>Room</t>
  </si>
  <si>
    <t>Name</t>
  </si>
  <si>
    <t>Occupancy (%)</t>
  </si>
  <si>
    <t>Rank</t>
  </si>
  <si>
    <t>% Chg</t>
  </si>
  <si>
    <t>My Prop</t>
  </si>
  <si>
    <t>Market Scale</t>
  </si>
  <si>
    <t xml:space="preserve"> </t>
  </si>
  <si>
    <t>Supply</t>
  </si>
  <si>
    <t>Demand</t>
  </si>
  <si>
    <t>Census/Sample - Properties &amp; Rooms</t>
  </si>
  <si>
    <t>Census</t>
  </si>
  <si>
    <t>Sample</t>
  </si>
  <si>
    <t>Properties</t>
  </si>
  <si>
    <t>Rooms</t>
  </si>
  <si>
    <t>Competitive Set</t>
  </si>
  <si>
    <t>Sample %</t>
  </si>
  <si>
    <t>Year to Date</t>
  </si>
  <si>
    <t>Revenue</t>
  </si>
  <si>
    <t>Day of Week</t>
  </si>
  <si>
    <t>Weekday</t>
  </si>
  <si>
    <t>Time Period</t>
  </si>
  <si>
    <t>Current Month</t>
  </si>
  <si>
    <t>Sunday</t>
  </si>
  <si>
    <t>Running 3 Month</t>
  </si>
  <si>
    <t>Running 12 Month</t>
  </si>
  <si>
    <t>Monday</t>
  </si>
  <si>
    <t>Tuesday</t>
  </si>
  <si>
    <t>Wednesday</t>
  </si>
  <si>
    <t>Thursday</t>
  </si>
  <si>
    <t>Friday</t>
  </si>
  <si>
    <t>Saturday</t>
  </si>
  <si>
    <t>Weekend</t>
  </si>
  <si>
    <t>Occ</t>
  </si>
  <si>
    <t>Indexes</t>
  </si>
  <si>
    <t>(Fri-Sat)</t>
  </si>
  <si>
    <t xml:space="preserve">Pipeline </t>
  </si>
  <si>
    <t>Weekday/Weekend</t>
  </si>
  <si>
    <t>Year To Date</t>
  </si>
  <si>
    <t xml:space="preserve">  Year To Date</t>
  </si>
  <si>
    <t>Zip</t>
  </si>
  <si>
    <t>Phone</t>
  </si>
  <si>
    <t>Open Date</t>
  </si>
  <si>
    <t>Month % Chg</t>
  </si>
  <si>
    <t>YTD % Chg</t>
  </si>
  <si>
    <t>Run 3 Mon % Chg</t>
  </si>
  <si>
    <t>Run 12 Mon % Chg</t>
  </si>
  <si>
    <t>(Sun-Thu)</t>
  </si>
  <si>
    <t xml:space="preserve">     % Chg</t>
  </si>
  <si>
    <t>Percent of Total Revenue (%)</t>
  </si>
  <si>
    <t>Percent Change (%)</t>
  </si>
  <si>
    <t>STR#</t>
  </si>
  <si>
    <t>Occupancy</t>
  </si>
  <si>
    <t>Property</t>
  </si>
  <si>
    <t>Competitive Set: Competitors</t>
  </si>
  <si>
    <t xml:space="preserve">     Weekday</t>
  </si>
  <si>
    <t xml:space="preserve">     Weekend</t>
  </si>
  <si>
    <t>Ranking</t>
  </si>
  <si>
    <t>My Prop vs. Comp Set</t>
  </si>
  <si>
    <t xml:space="preserve">This Year </t>
  </si>
  <si>
    <t xml:space="preserve">Last Year  </t>
  </si>
  <si>
    <t>Date</t>
  </si>
  <si>
    <t>Total Sundays</t>
  </si>
  <si>
    <t>Total Mondays</t>
  </si>
  <si>
    <t>Total Tuesdays</t>
  </si>
  <si>
    <t>Total Wednesdays</t>
  </si>
  <si>
    <t>Total Thursdays</t>
  </si>
  <si>
    <t>Total Fridays</t>
  </si>
  <si>
    <t>Total Saturdays</t>
  </si>
  <si>
    <t>Exchange Rate*</t>
  </si>
  <si>
    <t>Average Daily Rate</t>
  </si>
  <si>
    <t>Revenue Per Rooms Sold</t>
  </si>
  <si>
    <t>Revenue Per Rooms Available</t>
  </si>
  <si>
    <t>Revenue Per Room Sold</t>
  </si>
  <si>
    <t>City, State Country</t>
  </si>
  <si>
    <t xml:space="preserve">City, State </t>
  </si>
  <si>
    <t>December LYTD</t>
  </si>
  <si>
    <t>Index (MPI)</t>
  </si>
  <si>
    <t>Index (ARI)</t>
  </si>
  <si>
    <t>Index (RGI)</t>
  </si>
  <si>
    <t>Exchange Rate</t>
  </si>
  <si>
    <t>Total (TrevPOR**)</t>
  </si>
  <si>
    <t xml:space="preserve">** TrevPOR = Total revenue per occupied room (sum of Room, F&amp;B, and Other revenue divided by total occupied rooms).  </t>
  </si>
  <si>
    <t>Total (TrevPAR**)</t>
  </si>
  <si>
    <t xml:space="preserve">** TrevPAR = Total revenue per available room (sum of Room, F&amp;B, and Other revenue divided by total available rooms).  </t>
  </si>
  <si>
    <t>Job #</t>
  </si>
  <si>
    <t>Title</t>
  </si>
  <si>
    <t>Options</t>
  </si>
  <si>
    <t>Table Of Contents</t>
  </si>
  <si>
    <t>Occupancy Index</t>
  </si>
  <si>
    <t>ADR Index</t>
  </si>
  <si>
    <t>RevPAR Index</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</si>
  <si>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</si>
  <si>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</si>
  <si>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</si>
  <si>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</si>
  <si>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</si>
  <si>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</si>
  <si>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</si>
  <si>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</si>
  <si>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</si>
  <si>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</si>
  <si>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</si>
  <si>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</si>
  <si>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</si>
  <si>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</si>
  <si>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2023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2023 STR, LLC / STR Global, Ltd. trading as “STR”.</t>
  </si>
  <si>
    <t>Tab 2 - Monthly Performance at a Glance - My Property vs. Competitive Set</t>
  </si>
  <si>
    <t>Monthly Performance at a Glance</t>
  </si>
  <si>
    <t>Tab 3 - STAR Summary - My Property vs. Comp Set and Industry Segments</t>
  </si>
  <si>
    <t>STAR Summary</t>
  </si>
  <si>
    <t>Tab 4 - Competitive Set Report</t>
  </si>
  <si>
    <t>Competitive Set Report</t>
  </si>
  <si>
    <t>Tab 5 - Response Report</t>
  </si>
  <si>
    <t>Response Report</t>
  </si>
  <si>
    <t>Tab 6 - Day of Week and Weekday/Weekend Report</t>
  </si>
  <si>
    <t>Day of Week &amp; Weekday/Weekend</t>
  </si>
  <si>
    <t>Tab 7 - Daily Data for the Month</t>
  </si>
  <si>
    <t>Daily Data for the Month</t>
  </si>
  <si>
    <t>Tab 8 - Segmentation at a Glance - My Property vs. Competitive Set</t>
  </si>
  <si>
    <t>Segmentation at a Glance</t>
  </si>
  <si>
    <t>Tab 9 - Segmentation Occupancy Analysis</t>
  </si>
  <si>
    <t>Segmentation Occupancy Analysis</t>
  </si>
  <si>
    <t>Tab 10 - Segmentation ADR Analysis</t>
  </si>
  <si>
    <t>Segmentation ADR Analysis</t>
  </si>
  <si>
    <t>Tab 11 - Segmentation RevPAR Analysis</t>
  </si>
  <si>
    <t>Segmentation RevPAR Analysis</t>
  </si>
  <si>
    <t>Tab 12 - Segmentation Index Analysis</t>
  </si>
  <si>
    <t>Segmentation Index Analysis</t>
  </si>
  <si>
    <t>Tab 13 - Segmentation Ranking Analysis</t>
  </si>
  <si>
    <t>Segmentation Ranking Analysis</t>
  </si>
  <si>
    <t>Tab 14 - Segmentation Day Of Week - Current Month</t>
  </si>
  <si>
    <t>Segmentation Day Of Week - Current Month</t>
  </si>
  <si>
    <t>Tab 15 - Segmentation Day Of Week - Year to Date</t>
  </si>
  <si>
    <t>Segmentation Day Of Week - Year to Date</t>
  </si>
  <si>
    <t>Tab 16 - Segmentation Day Of Week - Running 3 Month</t>
  </si>
  <si>
    <t>Segmentation Day Of Week - Running 3 Month</t>
  </si>
  <si>
    <t>Tab 17 - Segmentation Day Of Week - Running 12 Month</t>
  </si>
  <si>
    <t>Segmentation Day Of Week - Running 12 Month</t>
  </si>
  <si>
    <t>Tab 18 - Additional Revenue ADR Analysis (TrevPOR)</t>
  </si>
  <si>
    <t>Additional Revenue ADR Analysis (TrevPOR)</t>
  </si>
  <si>
    <t>Tab 19 - Additional Revenue RevPAR Analysis (TrevPAR)</t>
  </si>
  <si>
    <t>Additional Revenue RevPAR Analysis (TrevPAR)</t>
  </si>
  <si>
    <t>Tab 20 - Segmentation Response Report</t>
  </si>
  <si>
    <t>Segmentation Response Report</t>
  </si>
  <si>
    <t>Tab 21 - Monthly Performance at a Glance - My Property vs. Competitive Set - Comp Set 2</t>
  </si>
  <si>
    <t>Monthly Performance at a Glance - 2nd Comp</t>
  </si>
  <si>
    <t>Tab 22 - STAR Summary - My Property vs. Comp Set and Industry Segments - Comp Set 2</t>
  </si>
  <si>
    <t>STAR Summary - 2nd Comp</t>
  </si>
  <si>
    <t>Tab 23 - Competitive Set Report - Comp Set 2</t>
  </si>
  <si>
    <t>Competitive Set Report - 2nd Comp</t>
  </si>
  <si>
    <t>Tab 24 - Response Report - Comp Set 2</t>
  </si>
  <si>
    <t>Response Report - 2nd Comp</t>
  </si>
  <si>
    <t>Tab 25 - Day of Week and Weekday/Weekend Report - Comp Set 2</t>
  </si>
  <si>
    <t>Day of Week &amp; Weekday/Weekend - 2nd Comp</t>
  </si>
  <si>
    <t>Tab 26 - Daily Data for the Month - Comp Set 2</t>
  </si>
  <si>
    <t>Daily Data for the Month - 2nd Comp</t>
  </si>
  <si>
    <t>Tab 27 - Segmentation at a Glance - My Property vs. Competitive Set - Comp Set 2</t>
  </si>
  <si>
    <t>Segmentation at a Glance - 2nd Comp</t>
  </si>
  <si>
    <t>Tab 28 - Segmentation Occupancy Analysis - Comp Set 2</t>
  </si>
  <si>
    <t>Segmentation Occupancy Analysis - 2nd Comp</t>
  </si>
  <si>
    <t>Tab 29 - Segmentation ADR Analysis - Comp Set 2</t>
  </si>
  <si>
    <t>Segmentation ADR Analysis - 2nd Comp</t>
  </si>
  <si>
    <t>Tab 30 - Segmentation RevPAR Analysis - Comp Set 2</t>
  </si>
  <si>
    <t>Segmentation RevPAR Analysis - 2nd Comp</t>
  </si>
  <si>
    <t>Tab 31 - Segmentation Index Analysis - Comp Set 2</t>
  </si>
  <si>
    <t>Segmentation Index Analysis - 2nd Comp</t>
  </si>
  <si>
    <t>Tab 32 - Segmentation Ranking Analysis - Comp Set 2</t>
  </si>
  <si>
    <t>Segmentation Ranking Analysis - 2nd Comp</t>
  </si>
  <si>
    <t>Tab 33 - Segmentation Day Of Week - Current Month - Comp Set 2</t>
  </si>
  <si>
    <t>Segmentation Day Of Week - Current Month - 2nd Comp</t>
  </si>
  <si>
    <t>Tab 34 - Segmentation Day Of Week - Year to Date - Comp Set 2</t>
  </si>
  <si>
    <t>Segmentation Day Of Week - Year to Date - 2nd Comp</t>
  </si>
  <si>
    <t>Tab 35 - Segmentation Day Of Week - Running 3 Month - Comp Set 2</t>
  </si>
  <si>
    <t>Segmentation Day Of Week - Running 3 Month - 2nd Comp</t>
  </si>
  <si>
    <t>Tab 36 - Segmentation Day Of Week - Running 12 Month - Comp Set 2</t>
  </si>
  <si>
    <t>Segmentation Day Of Week - Running 12 Month - 2nd Comp</t>
  </si>
  <si>
    <t>Tab 37 - Additional Revenue ADR Analysis (TrevPOR) - Comp Set 2</t>
  </si>
  <si>
    <t>Additional Revenue ADR Analysis (TrevPOR) - 2nd Comp</t>
  </si>
  <si>
    <t>Tab 38 - Additional Revenue RevPAR Analysis (TrevPAR) - Comp Set 2</t>
  </si>
  <si>
    <t>Additional Revenue RevPAR Analysis (TrevPAR) - 2nd Comp</t>
  </si>
  <si>
    <t>Tab 39 - Segmentation Response Report - Comp Set 2</t>
  </si>
  <si>
    <t>Segmentation Response Report - 2nd Comp</t>
  </si>
  <si>
    <t>Help</t>
  </si>
  <si>
    <t>Monthly STAR Report : Kimpton Angler's Hotel</t>
  </si>
  <si>
    <t>STR # 56387 / Created January 19, 2023</t>
  </si>
  <si>
    <t>For the Month of: December 2022</t>
  </si>
  <si>
    <t>Currency: US Dollar  /  Competitive Set Data Excludes Subject Property</t>
  </si>
  <si>
    <t>Kimpton Angler's Hotel        600 Washington Ave        Miami Beach, FL 33139-6207        Phone: (305) 534-9600</t>
  </si>
  <si>
    <t>STR # 56387        ChainID: 18033        MgtCo: Kimpton Hotels/IHG        Owner: KHP Capital Partners</t>
  </si>
  <si>
    <t>For the Month of: December 2022        Date Created: January 19, 2023        Monthly Competitive Set Data Excludes Subject Property</t>
  </si>
  <si>
    <t>December 2022</t>
  </si>
  <si>
    <t>December 2022 vs. 2021 Percent Change (%)</t>
  </si>
  <si>
    <t>Kimpton Angler's Hotel</t>
  </si>
  <si>
    <t>Market: Miami, FL</t>
  </si>
  <si>
    <t>Market Class: Upper Upscale Class</t>
  </si>
  <si>
    <t>Submarket: Miami Beach, FL</t>
  </si>
  <si>
    <t>Submarket Scale: Upscale Chains</t>
  </si>
  <si>
    <t>Jul</t>
  </si>
  <si>
    <t>1 of 5</t>
  </si>
  <si>
    <t>3 of 5</t>
  </si>
  <si>
    <t>Aug</t>
  </si>
  <si>
    <t>Sep</t>
  </si>
  <si>
    <t>2 of 5</t>
  </si>
  <si>
    <t>Oct</t>
  </si>
  <si>
    <t>2 of 6</t>
  </si>
  <si>
    <t>3 of 6</t>
  </si>
  <si>
    <t>Nov</t>
  </si>
  <si>
    <t>1 of 6</t>
  </si>
  <si>
    <t>Dec</t>
  </si>
  <si>
    <t>Jan</t>
  </si>
  <si>
    <t>Feb</t>
  </si>
  <si>
    <t>Mar</t>
  </si>
  <si>
    <t>Apr</t>
  </si>
  <si>
    <t>May</t>
  </si>
  <si>
    <t>Jun</t>
  </si>
  <si>
    <t>2 of 4</t>
  </si>
  <si>
    <t>1 of 4</t>
  </si>
  <si>
    <t>3 of 4</t>
  </si>
  <si>
    <t>4 of 5</t>
  </si>
  <si>
    <t>5 of 5</t>
  </si>
  <si>
    <t>For the Month of: December 2022        Date Created: January 19, 2023</t>
  </si>
  <si>
    <t>City, State</t>
  </si>
  <si>
    <t>December 2022 (This Year)</t>
  </si>
  <si>
    <t>December 2021 (Last Year)</t>
  </si>
  <si>
    <t>Monday, Dec 19th</t>
  </si>
  <si>
    <t>Dec 19th - First Day of Hanukkah</t>
  </si>
  <si>
    <t>Saturday, Dec 24th</t>
  </si>
  <si>
    <t>Dec 24th - Christmas Eve</t>
  </si>
  <si>
    <t>Sunday, Dec 25th</t>
  </si>
  <si>
    <t>Dec 25th - Christmas Day</t>
  </si>
  <si>
    <t>Monday, Dec 26th</t>
  </si>
  <si>
    <t>Dec 26th - First Day of Kwanzaa</t>
  </si>
  <si>
    <t>Saturday, Dec 31st</t>
  </si>
  <si>
    <t>Dec 31st - New Year's Eve</t>
  </si>
  <si>
    <t>Friday, Dec 24th</t>
  </si>
  <si>
    <t>Saturday, Dec 25th</t>
  </si>
  <si>
    <t>Sunday, Dec 26th</t>
  </si>
  <si>
    <t>Friday, Dec 31st</t>
  </si>
  <si>
    <t>Miami Beach, FL</t>
  </si>
  <si>
    <t>33139-6207</t>
  </si>
  <si>
    <t>(305) 534-9600</t>
  </si>
  <si>
    <t>132</t>
  </si>
  <si>
    <t>200706</t>
  </si>
  <si>
    <t>●</t>
  </si>
  <si>
    <t>Dream South Beach</t>
  </si>
  <si>
    <t>33139</t>
  </si>
  <si>
    <t>(305) 673-4747</t>
  </si>
  <si>
    <t>107</t>
  </si>
  <si>
    <t>194906</t>
  </si>
  <si>
    <t>Blue Moon Hotel</t>
  </si>
  <si>
    <t>(305) 673-2262</t>
  </si>
  <si>
    <t>75</t>
  </si>
  <si>
    <t>193406</t>
  </si>
  <si>
    <t>The Tony Hotel of South Beach</t>
  </si>
  <si>
    <t>(305) 531-2222</t>
  </si>
  <si>
    <t>73</t>
  </si>
  <si>
    <t>193906</t>
  </si>
  <si>
    <t/>
  </si>
  <si>
    <t>The Betsy Hotel</t>
  </si>
  <si>
    <t>(305) 531-6100</t>
  </si>
  <si>
    <t>129</t>
  </si>
  <si>
    <t>194506</t>
  </si>
  <si>
    <t>Z Ocean Hotel</t>
  </si>
  <si>
    <t>33139-4103</t>
  </si>
  <si>
    <t>(305) 672-4554</t>
  </si>
  <si>
    <t>45</t>
  </si>
  <si>
    <t>200612</t>
  </si>
  <si>
    <t xml:space="preserve">Data received: </t>
  </si>
  <si>
    <t>○</t>
  </si>
  <si>
    <t>= Monthly Only</t>
  </si>
  <si>
    <t>= Monthly &amp; Daily</t>
  </si>
  <si>
    <t>For the Month of: December 2022        Date Created: January 19, 2023        Daily Competitive Set Data Excludes Subject Property</t>
  </si>
  <si>
    <t>Th</t>
  </si>
  <si>
    <t>December</t>
  </si>
  <si>
    <t>Fr</t>
  </si>
  <si>
    <t>Sa</t>
  </si>
  <si>
    <t>Su</t>
  </si>
  <si>
    <t>Mo</t>
  </si>
  <si>
    <t>Tu</t>
  </si>
  <si>
    <t>We</t>
  </si>
  <si>
    <t>Market Scale: Miami, FL Upper Upscale Chains</t>
  </si>
  <si>
    <t>5 of 6</t>
  </si>
  <si>
    <t>4 of 6</t>
  </si>
  <si>
    <t>4 of 4</t>
  </si>
  <si>
    <t>B</t>
  </si>
  <si>
    <t>s</t>
  </si>
  <si>
    <t>= Segmentation (Transient, Group, Contract) Only</t>
  </si>
  <si>
    <t>r</t>
  </si>
  <si>
    <t>= Additional Revenue Only</t>
  </si>
  <si>
    <t>= Both Segmentation &amp; Additional Revenue</t>
  </si>
  <si>
    <t>4 of 7</t>
  </si>
  <si>
    <t>2 of 7</t>
  </si>
  <si>
    <t>3 of 7</t>
  </si>
  <si>
    <t>1 of 7</t>
  </si>
  <si>
    <t>5 of 7</t>
  </si>
  <si>
    <t>6 of 6</t>
  </si>
  <si>
    <t>7 of 7</t>
  </si>
  <si>
    <t>6 of 7</t>
  </si>
  <si>
    <t>Kimpton Surfcomber Hotel</t>
  </si>
  <si>
    <t>33139-2006</t>
  </si>
  <si>
    <t>(305) 532-7715</t>
  </si>
  <si>
    <t>186</t>
  </si>
  <si>
    <t>194106</t>
  </si>
  <si>
    <t>The Standard Spa, Miami Beach</t>
  </si>
  <si>
    <t>(305) 673-1717</t>
  </si>
  <si>
    <t>102</t>
  </si>
  <si>
    <t>196311</t>
  </si>
  <si>
    <t>Courtyard Miami Beach South Beach</t>
  </si>
  <si>
    <t>33139-7801</t>
  </si>
  <si>
    <t>(305) 604-8887</t>
  </si>
  <si>
    <t>90</t>
  </si>
  <si>
    <t>200209</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</si>
</sst>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2">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0.00_);\(0.00\)"/>
    <numFmt numFmtId="170" formatCode="mm/dd/yy;@"/>
    <numFmt numFmtId="171" formatCode="00000"/>
  </numFmts>
  <fonts count="112">
    <font>
      <sz val="10"/>
      <name val="Arial"/>
    </font>
    <font>
      <sz val="10"/>
      <name val="Arial"/>
      <family val="2"/>
    </font>
    <font>
      <sz val="24"/>
      <color indexed="9"/>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b/>
      <sz val="13"/>
      <name val="Arial"/>
      <family val="2"/>
    </font>
    <font>
      <sz val="7"/>
      <name val="Arial"/>
      <family val="2"/>
    </font>
    <font>
      <sz val="10"/>
      <color indexed="8"/>
      <name val="Arial"/>
      <family val="2"/>
    </font>
    <font>
      <b/>
      <sz val="12"/>
      <color indexed="9"/>
      <name val="Arial"/>
      <family val="2"/>
    </font>
    <font>
      <b/>
      <sz val="14"/>
      <name val="Arial"/>
      <family val="2"/>
    </font>
    <font>
      <b/>
      <sz val="12"/>
      <color indexed="8"/>
      <name val="Arial"/>
      <family val="2"/>
    </font>
    <font>
      <b/>
      <sz val="14"/>
      <color indexed="8"/>
      <name val="Arial"/>
      <family val="2"/>
    </font>
    <font>
      <b/>
      <sz val="9"/>
      <color indexed="8"/>
      <name val="Arial"/>
      <family val="2"/>
    </font>
    <font>
      <sz val="13"/>
      <name val="Arial"/>
      <family val="2"/>
    </font>
    <font>
      <sz val="8"/>
      <name val="Wingdings"/>
      <charset val="2"/>
    </font>
    <font>
      <b/>
      <sz val="14"/>
      <color indexed="9"/>
      <name val="Arial"/>
      <family val="2"/>
    </font>
    <font>
      <sz val="10"/>
      <color indexed="9"/>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7"/>
      <name val="Webdings"/>
      <family val="1"/>
      <charset val="2"/>
    </font>
    <font>
      <sz val="10"/>
      <name val="Webdings"/>
      <family val="1"/>
      <charset val="2"/>
    </font>
    <font>
      <sz val="24"/>
      <name val="Arial"/>
      <family val="2"/>
    </font>
    <font>
      <u/>
      <sz val="10"/>
      <color indexed="36"/>
      <name val="Arial"/>
      <family val="2"/>
    </font>
    <font>
      <u/>
      <sz val="10"/>
      <color indexed="39"/>
      <name val="Arial"/>
      <family val="2"/>
    </font>
    <font>
      <b/>
      <sz val="13"/>
      <name val="Arial"/>
      <family val="2"/>
    </font>
    <font>
      <sz val="14"/>
      <name val="Arial"/>
      <family val="2"/>
    </font>
    <font>
      <sz val="16"/>
      <name val="Arial"/>
      <family val="2"/>
    </font>
    <font>
      <b/>
      <sz val="10"/>
      <color indexed="8"/>
      <name val="Arial"/>
      <family val="2"/>
    </font>
    <font>
      <b/>
      <sz val="12"/>
      <color indexed="9"/>
      <name val="Arial"/>
      <family val="2"/>
    </font>
    <font>
      <b/>
      <sz val="10"/>
      <name val="Arial"/>
      <family val="2"/>
    </font>
    <font>
      <sz val="12"/>
      <name val="Arial"/>
      <family val="2"/>
    </font>
    <font>
      <b/>
      <i/>
      <sz val="10"/>
      <name val="Arial"/>
      <family val="2"/>
    </font>
    <font>
      <b/>
      <i/>
      <sz val="10"/>
      <color indexed="9"/>
      <name val="Arial"/>
      <family val="2"/>
    </font>
    <font>
      <sz val="10"/>
      <name val="Arial"/>
      <family val="2"/>
    </font>
    <font>
      <b/>
      <sz val="10"/>
      <color indexed="9"/>
      <name val="Arial"/>
      <family val="2"/>
    </font>
    <font>
      <sz val="18"/>
      <name val="Arial"/>
      <family val="2"/>
    </font>
    <font>
      <b/>
      <sz val="12"/>
      <name val="Arial"/>
      <family val="2"/>
    </font>
    <font>
      <b/>
      <sz val="11"/>
      <color indexed="9"/>
      <name val="Arial"/>
      <family val="2"/>
    </font>
    <font>
      <sz val="10"/>
      <color indexed="9"/>
      <name val="Arial"/>
      <family val="2"/>
    </font>
    <font>
      <b/>
      <sz val="14"/>
      <name val="Arial"/>
      <family val="2"/>
    </font>
    <font>
      <sz val="10"/>
      <color indexed="8"/>
      <name val="Arial"/>
      <family val="2"/>
    </font>
    <font>
      <sz val="9"/>
      <color indexed="9"/>
      <name val="Arial"/>
      <family val="2"/>
    </font>
    <font>
      <b/>
      <sz val="16"/>
      <name val="Arial"/>
      <family val="2"/>
    </font>
    <font>
      <b/>
      <sz val="11"/>
      <name val="Arial"/>
      <family val="2"/>
    </font>
    <font>
      <b/>
      <sz val="16"/>
      <name val="Arial"/>
      <family val="2"/>
    </font>
    <font>
      <b/>
      <sz val="12"/>
      <color indexed="39"/>
      <name val="Arial"/>
      <family val="2"/>
    </font>
    <font>
      <sz val="12"/>
      <color indexed="39"/>
      <name val="Arial"/>
      <family val="2"/>
    </font>
    <font>
      <sz val="10"/>
      <color indexed="39"/>
      <name val="Arial"/>
      <family val="2"/>
    </font>
    <font>
      <sz val="10"/>
      <color indexed="33"/>
      <name val="Arial"/>
      <family val="2"/>
    </font>
    <font>
      <sz val="10"/>
      <name val="Arial"/>
      <family val="2"/>
    </font>
    <font>
      <sz val="14"/>
      <color indexed="9"/>
      <name val="Arial"/>
      <family val="2"/>
    </font>
    <font>
      <sz val="11"/>
      <color indexed="8"/>
      <name val="Calibri"/>
      <family val="2"/>
    </font>
    <font>
      <sz val="11"/>
      <color indexed="9"/>
      <name val="Calibri"/>
      <family val="2"/>
    </font>
    <font>
      <sz val="11"/>
      <color indexed="3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28"/>
      <name val="Calibri"/>
      <family val="2"/>
    </font>
    <font>
      <b/>
      <sz val="18"/>
      <color indexed="62"/>
      <name val="Cambria"/>
      <family val="2"/>
    </font>
    <font>
      <b/>
      <sz val="11"/>
      <color indexed="8"/>
      <name val="Calibri"/>
      <family val="2"/>
    </font>
    <font>
      <sz val="11"/>
      <color indexed="10"/>
      <name val="Calibri"/>
      <family val="2"/>
    </font>
    <font>
      <sz val="9"/>
      <name val="Arial"/>
      <family val="2"/>
    </font>
    <font>
      <sz val="8"/>
      <name val="Arial"/>
      <family val="2"/>
    </font>
    <font>
      <sz val="8"/>
      <color indexed="9"/>
      <name val="Arial"/>
      <family val="2"/>
    </font>
    <font>
      <sz val="19"/>
      <color indexed="9"/>
      <name val="Arial"/>
      <family val="2"/>
    </font>
    <font>
      <u/>
      <sz val="11"/>
      <name val="Arial"/>
      <family val="2"/>
    </font>
    <font>
      <sz val="8"/>
      <color indexed="8"/>
      <name val="Arial"/>
      <family val="2"/>
    </font>
    <font>
      <sz val="10"/>
      <name val="Arial"/>
      <family val="2"/>
    </font>
    <font>
      <sz val="10"/>
      <color indexed="57"/>
      <name val="Arial"/>
      <family val="2"/>
    </font>
    <font>
      <u/>
      <sz val="10"/>
      <color indexed="60"/>
      <name val="Arial"/>
      <family val="2"/>
    </font>
    <font>
      <u/>
      <sz val="10"/>
      <color indexed="62"/>
      <name val="Arial"/>
      <family val="2"/>
    </font>
    <font>
      <sz val="11"/>
      <color indexed="55"/>
      <name val="Calibri"/>
      <family val="2"/>
    </font>
    <font>
      <b/>
      <sz val="11"/>
      <color indexed="53"/>
      <name val="Calibri"/>
      <family val="2"/>
    </font>
    <font>
      <b/>
      <sz val="18"/>
      <color indexed="62"/>
      <name val="Cambria"/>
      <family val="1"/>
    </font>
    <font>
      <u/>
      <sz val="11"/>
      <color theme="10"/>
      <name val="Calibri"/>
      <family val="2"/>
      <scheme val="minor"/>
    </font>
    <font>
      <sz val="11"/>
      <color theme="1"/>
      <name val="Calibri"/>
      <family val="2"/>
      <scheme val="minor"/>
    </font>
    <font>
      <b/>
      <sz val="18"/>
      <color theme="1"/>
      <name val="Arial"/>
      <family val="2"/>
    </font>
    <font>
      <sz val="18"/>
      <color theme="1"/>
      <name val="Arial"/>
      <family val="2"/>
    </font>
    <font>
      <sz val="11"/>
      <color rgb="FFFF0000"/>
      <name val="Calibri"/>
      <family val="2"/>
      <scheme val="minor"/>
    </font>
    <font>
      <b/>
      <sz val="11"/>
      <color theme="1"/>
      <name val="Arial"/>
      <family val="2"/>
    </font>
    <font>
      <sz val="11"/>
      <color theme="1"/>
      <name val="Arial"/>
      <family val="2"/>
    </font>
    <font>
      <u/>
      <color rgb="FF0000FF"/>
    </font>
    <font>
      <b/>
      <sz val="12"/>
      <color rgb="FFFFFFFF"/>
      <name val="Arial"/>
    </font>
    <font>
      <b/>
    </font>
    <font>
      <b/>
      <sz val="10"/>
      <name val="Arial"/>
    </font>
    <font>
      <color rgb="FFFFFFFF"/>
    </font>
    <font>
      <color rgb="FFA0A0A0"/>
    </font>
    <font/>
    <font>
      <sz val="18"/>
    </font>
    <font>
      <b val="0"/>
      <sz val="10"/>
      <color rgb="FF000000"/>
      <name val="Arial"/>
    </font>
    <font>
      <sz val="10"/>
    </font>
  </fonts>
  <fills count="41">
    <fill>
      <patternFill patternType="none"/>
    </fill>
    <fill>
      <patternFill patternType="gray125"/>
    </fill>
    <fill>
      <patternFill patternType="solid">
        <fgColor indexed="22"/>
      </patternFill>
    </fill>
    <fill>
      <patternFill patternType="solid">
        <fgColor indexed="56"/>
      </patternFill>
    </fill>
    <fill>
      <patternFill patternType="solid">
        <fgColor indexed="29"/>
      </patternFill>
    </fill>
    <fill>
      <patternFill patternType="solid">
        <fgColor indexed="54"/>
      </patternFill>
    </fill>
    <fill>
      <patternFill patternType="solid">
        <fgColor indexed="41"/>
      </patternFill>
    </fill>
    <fill>
      <patternFill patternType="solid">
        <fgColor indexed="41"/>
      </patternFill>
    </fill>
    <fill>
      <patternFill patternType="solid">
        <fgColor indexed="47"/>
      </patternFill>
    </fill>
    <fill>
      <patternFill patternType="solid">
        <fgColor indexed="47"/>
      </patternFill>
    </fill>
    <fill>
      <patternFill patternType="solid">
        <fgColor indexed="44"/>
      </patternFill>
    </fill>
    <fill>
      <patternFill patternType="solid">
        <fgColor indexed="44"/>
      </patternFill>
    </fill>
    <fill>
      <patternFill patternType="solid">
        <fgColor indexed="49"/>
      </patternFill>
    </fill>
    <fill>
      <patternFill patternType="solid">
        <fgColor indexed="49"/>
      </patternFill>
    </fill>
    <fill>
      <patternFill patternType="solid">
        <fgColor indexed="33"/>
      </patternFill>
    </fill>
    <fill>
      <patternFill patternType="solid">
        <fgColor indexed="57"/>
      </patternFill>
    </fill>
    <fill>
      <patternFill patternType="solid">
        <fgColor indexed="37"/>
      </patternFill>
    </fill>
    <fill>
      <patternFill patternType="solid">
        <fgColor indexed="61"/>
      </patternFill>
    </fill>
    <fill>
      <patternFill patternType="solid">
        <fgColor indexed="36"/>
      </patternFill>
    </fill>
    <fill>
      <patternFill patternType="solid">
        <fgColor indexed="60"/>
      </patternFill>
    </fill>
    <fill>
      <patternFill patternType="solid">
        <fgColor indexed="54"/>
      </patternFill>
    </fill>
    <fill>
      <patternFill patternType="solid">
        <fgColor indexed="53"/>
      </patternFill>
    </fill>
    <fill>
      <patternFill patternType="solid">
        <fgColor indexed="53"/>
      </patternFill>
    </fill>
    <fill>
      <patternFill patternType="solid">
        <fgColor indexed="45"/>
      </patternFill>
    </fill>
    <fill>
      <patternFill patternType="solid">
        <fgColor indexed="63"/>
      </patternFill>
    </fill>
    <fill>
      <patternFill patternType="solid">
        <fgColor indexed="42"/>
      </patternFill>
    </fill>
    <fill>
      <patternFill patternType="solid">
        <fgColor indexed="42"/>
      </patternFill>
    </fill>
    <fill>
      <patternFill patternType="solid">
        <fgColor indexed="43"/>
      </patternFill>
    </fill>
    <fill>
      <patternFill patternType="solid">
        <fgColor indexed="43"/>
      </patternFill>
    </fill>
    <fill>
      <patternFill patternType="solid">
        <fgColor indexed="59"/>
      </patternFill>
    </fill>
    <fill>
      <patternFill patternType="solid">
        <fgColor indexed="9"/>
      </patternFill>
    </fill>
    <fill>
      <patternFill patternType="solid">
        <fgColor indexed="37"/>
      </patternFill>
    </fill>
    <fill>
      <patternFill patternType="solid">
        <fgColor indexed="55"/>
      </patternFill>
    </fill>
    <fill>
      <patternFill patternType="solid">
        <fgColor indexed="22"/>
      </patternFill>
    </fill>
    <fill>
      <patternFill patternType="solid">
        <fgColor indexed="31"/>
      </patternFill>
    </fill>
    <fill>
      <patternFill patternType="solid">
        <fgColor indexed="33"/>
      </patternFill>
    </fill>
    <fill>
      <patternFill patternType="solid">
        <fgColor indexed="45"/>
      </patternFill>
    </fill>
    <fill>
      <patternFill patternType="solid">
        <fgColor theme="0"/>
      </patternFill>
    </fill>
    <fill>
      <patternFill patternType="solid">
        <fgColor rgb="FFFFFFFF"/>
      </patternFill>
    </fill>
    <fill>
      <patternFill patternType="solid">
        <fgColor rgb="FFA0A0A0"/>
      </patternFill>
    </fill>
    <fill>
      <patternFill patternType="solid">
        <fgColor rgb="FFEAEAEA"/>
      </patternFill>
    </fill>
  </fills>
  <borders count="84">
    <border>
      <left>
        <color/>
      </left>
      <right>
        <color/>
      </right>
      <top>
        <color/>
      </top>
      <bottom>
        <color/>
      </bottom>
      <diagonal>
        <color/>
      </diagonal>
    </border>
    <border>
      <left style="thin">
        <color indexed="23"/>
      </left>
      <right style="thin">
        <color indexed="23"/>
      </right>
      <top style="thin">
        <color indexed="23"/>
      </top>
      <bottom style="thin">
        <color indexed="23"/>
      </bottom>
      <diagonal>
        <color/>
      </diagonal>
    </border>
    <border>
      <left style="double">
        <color indexed="28"/>
      </left>
      <right style="double">
        <color indexed="28"/>
      </right>
      <top style="double">
        <color indexed="28"/>
      </top>
      <bottom style="double">
        <color indexed="28"/>
      </bottom>
      <diagonal>
        <color/>
      </diagonal>
    </border>
    <border>
      <left style="double">
        <color indexed="53"/>
      </left>
      <right style="double">
        <color indexed="53"/>
      </right>
      <top style="double">
        <color indexed="53"/>
      </top>
      <bottom style="double">
        <color indexed="53"/>
      </bottom>
      <diagonal>
        <color/>
      </diagonal>
    </border>
    <border>
      <left>
        <color/>
      </left>
      <right>
        <color/>
      </right>
      <top>
        <color/>
      </top>
      <bottom style="thick">
        <color indexed="49"/>
      </bottom>
      <diagonal>
        <color/>
      </diagonal>
    </border>
    <border>
      <left>
        <color/>
      </left>
      <right>
        <color/>
      </right>
      <top>
        <color/>
      </top>
      <bottom style="medium">
        <color indexed="49"/>
      </bottom>
      <diagonal>
        <color/>
      </diagonal>
    </border>
    <border>
      <left>
        <color/>
      </left>
      <right>
        <color/>
      </right>
      <top>
        <color/>
      </top>
      <bottom style="double">
        <color indexed="52"/>
      </bottom>
      <diagonal>
        <color/>
      </diagonal>
    </border>
    <border>
      <left style="thin">
        <color indexed="33"/>
      </left>
      <right style="thin">
        <color indexed="33"/>
      </right>
      <top style="thin">
        <color indexed="33"/>
      </top>
      <bottom style="thin">
        <color indexed="33"/>
      </bottom>
      <diagonal>
        <color/>
      </diagonal>
    </border>
    <border>
      <left style="thin">
        <color indexed="57"/>
      </left>
      <right style="thin">
        <color indexed="57"/>
      </right>
      <top style="thin">
        <color indexed="57"/>
      </top>
      <bottom style="thin">
        <color indexed="57"/>
      </bottom>
      <diagonal>
        <color/>
      </diagonal>
    </border>
    <border>
      <left style="thin">
        <color indexed="28"/>
      </left>
      <right style="thin">
        <color indexed="28"/>
      </right>
      <top style="thin">
        <color indexed="28"/>
      </top>
      <bottom style="thin">
        <color indexed="28"/>
      </bottom>
      <diagonal>
        <color/>
      </diagonal>
    </border>
    <border>
      <left style="thin">
        <color indexed="53"/>
      </left>
      <right style="thin">
        <color indexed="53"/>
      </right>
      <top style="thin">
        <color indexed="53"/>
      </top>
      <bottom style="thin">
        <color indexed="53"/>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color/>
      </left>
      <right>
        <color/>
      </right>
      <top style="thin">
        <color indexed="57"/>
      </top>
      <bottom style="thin">
        <color indexed="57"/>
      </bottom>
      <diagonal>
        <color/>
      </diagonal>
    </border>
    <border>
      <left style="thin">
        <color indexed="57"/>
      </left>
      <right>
        <color/>
      </right>
      <top style="thin">
        <color indexed="57"/>
      </top>
      <bottom style="thin">
        <color indexed="57"/>
      </bottom>
      <diagonal>
        <color/>
      </diagonal>
    </border>
    <border>
      <left>
        <color/>
      </left>
      <right style="thin">
        <color indexed="57"/>
      </right>
      <top style="thin">
        <color indexed="57"/>
      </top>
      <bottom style="thin">
        <color indexed="57"/>
      </bottom>
      <diagonal>
        <color/>
      </diagonal>
    </border>
    <border>
      <left>
        <color/>
      </left>
      <right>
        <color/>
      </right>
      <top style="thin">
        <color indexed="49"/>
      </top>
      <bottom style="double">
        <color indexed="49"/>
      </bottom>
      <diagonal>
        <color/>
      </diagonal>
    </border>
    <border>
      <left>
        <color/>
      </left>
      <right style="thin">
        <color indexed="55"/>
      </right>
      <top>
        <color/>
      </top>
      <bottom>
        <color/>
      </bottom>
      <diagonal>
        <color/>
      </diagonal>
    </border>
    <border>
      <left>
        <color/>
      </left>
      <right style="thin">
        <color indexed="55"/>
      </right>
      <top style="thin">
        <color indexed="55"/>
      </top>
      <bottom>
        <color/>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color/>
      </left>
      <right>
        <color/>
      </right>
      <top>
        <color/>
      </top>
      <bottom style="thin">
        <color indexed="55"/>
      </bottom>
      <diagonal>
        <color/>
      </diagonal>
    </border>
    <border>
      <left style="thin">
        <color indexed="33"/>
      </left>
      <right>
        <color/>
      </right>
      <top style="thin">
        <color indexed="33"/>
      </top>
      <bottom>
        <color/>
      </bottom>
      <diagonal>
        <color/>
      </diagonal>
    </border>
    <border>
      <left>
        <color/>
      </left>
      <right style="thin">
        <color indexed="33"/>
      </right>
      <top style="thin">
        <color indexed="33"/>
      </top>
      <bottom>
        <color/>
      </bottom>
      <diagonal>
        <color/>
      </diagonal>
    </border>
    <border>
      <left style="thin">
        <color indexed="33"/>
      </left>
      <right>
        <color/>
      </right>
      <top>
        <color/>
      </top>
      <bottom>
        <color/>
      </bottom>
      <diagonal>
        <color/>
      </diagonal>
    </border>
    <border>
      <left>
        <color/>
      </left>
      <right style="thin">
        <color indexed="33"/>
      </right>
      <top>
        <color/>
      </top>
      <bottom>
        <color/>
      </bottom>
      <diagonal>
        <color/>
      </diagonal>
    </border>
    <border>
      <left style="thin">
        <color indexed="33"/>
      </left>
      <right>
        <color/>
      </right>
      <top>
        <color/>
      </top>
      <bottom style="thin">
        <color indexed="33"/>
      </bottom>
      <diagonal>
        <color/>
      </diagonal>
    </border>
    <border>
      <left>
        <color/>
      </left>
      <right style="thin">
        <color indexed="33"/>
      </right>
      <top>
        <color/>
      </top>
      <bottom style="thin">
        <color indexed="33"/>
      </bottom>
      <diagonal>
        <color/>
      </diagonal>
    </border>
    <border>
      <left>
        <color/>
      </left>
      <right>
        <color/>
      </right>
      <top style="thin">
        <color indexed="33"/>
      </top>
      <bottom>
        <color/>
      </bottom>
      <diagonal>
        <color/>
      </diagonal>
    </border>
    <border>
      <left>
        <color/>
      </left>
      <right>
        <color/>
      </right>
      <top>
        <color/>
      </top>
      <bottom style="thin">
        <color indexed="33"/>
      </bottom>
      <diagonal>
        <color/>
      </diagonal>
    </border>
    <border>
      <left style="thin">
        <color indexed="33"/>
      </left>
      <right>
        <color/>
      </right>
      <top style="thin">
        <color indexed="33"/>
      </top>
      <bottom style="thin">
        <color indexed="33"/>
      </bottom>
      <diagonal>
        <color/>
      </diagonal>
    </border>
    <border>
      <left>
        <color/>
      </left>
      <right>
        <color/>
      </right>
      <top style="thin">
        <color indexed="33"/>
      </top>
      <bottom style="thin">
        <color indexed="33"/>
      </bottom>
      <diagonal>
        <color/>
      </diagonal>
    </border>
    <border>
      <left>
        <color/>
      </left>
      <right style="thin">
        <color indexed="33"/>
      </right>
      <top style="thin">
        <color indexed="33"/>
      </top>
      <bottom style="thin">
        <color indexed="33"/>
      </bottom>
      <diagonal>
        <color/>
      </diagonal>
    </border>
    <border>
      <left style="thin">
        <color indexed="33"/>
      </left>
      <right style="thin">
        <color indexed="33"/>
      </right>
      <top style="thin">
        <color indexed="33"/>
      </top>
      <bottom>
        <color/>
      </bottom>
      <diagonal>
        <color/>
      </diagonal>
    </border>
    <border>
      <left style="thin">
        <color indexed="33"/>
      </left>
      <right style="thin">
        <color indexed="33"/>
      </right>
      <top>
        <color/>
      </top>
      <bottom>
        <color/>
      </bottom>
      <diagonal>
        <color/>
      </diagonal>
    </border>
    <border>
      <left style="thin">
        <color indexed="33"/>
      </left>
      <right style="thin">
        <color indexed="33"/>
      </right>
      <top>
        <color/>
      </top>
      <bottom style="thin">
        <color indexed="33"/>
      </bottom>
      <diagonal>
        <color/>
      </diagonal>
    </border>
    <border>
      <left style="thin">
        <color indexed="22"/>
      </left>
      <right>
        <color/>
      </right>
      <top style="thin">
        <color indexed="22"/>
      </top>
      <bottom style="thin">
        <color indexed="22"/>
      </bottom>
      <diagonal>
        <color/>
      </diagonal>
    </border>
    <border>
      <left>
        <color/>
      </left>
      <right style="thin">
        <color indexed="23"/>
      </right>
      <top>
        <color/>
      </top>
      <bottom>
        <color/>
      </bottom>
      <diagonal>
        <color/>
      </diagonal>
    </border>
    <border>
      <left style="thin">
        <color indexed="55"/>
      </left>
      <right>
        <color/>
      </right>
      <top>
        <color/>
      </top>
      <bottom>
        <color/>
      </bottom>
      <diagonal>
        <color/>
      </diagonal>
    </border>
    <border>
      <left style="thin">
        <color indexed="23"/>
      </left>
      <right>
        <color/>
      </right>
      <top>
        <color/>
      </top>
      <bottom>
        <color/>
      </bottom>
      <diagonal>
        <color/>
      </diagonal>
    </border>
    <border>
      <left style="thin">
        <color indexed="33"/>
      </left>
      <right>
        <color/>
      </right>
      <top>
        <color/>
      </top>
      <bottom style="thin">
        <color indexed="55"/>
      </bottom>
      <diagonal>
        <color/>
      </diagonal>
    </border>
    <border>
      <left>
        <color/>
      </left>
      <right style="thin">
        <color indexed="33"/>
      </right>
      <top>
        <color/>
      </top>
      <bottom style="thin">
        <color indexed="55"/>
      </bottom>
      <diagonal>
        <color/>
      </diagonal>
    </border>
    <border>
      <left>
        <color/>
      </left>
      <right>
        <color/>
      </right>
      <top style="thin">
        <color indexed="55"/>
      </top>
      <bottom style="thin">
        <color indexed="33"/>
      </bottom>
      <diagonal>
        <color/>
      </diagonal>
    </border>
    <border>
      <left style="thin">
        <color indexed="33"/>
      </left>
      <right style="dashed">
        <color indexed="33"/>
      </right>
      <top style="thin">
        <color indexed="33"/>
      </top>
      <bottom>
        <color/>
      </bottom>
      <diagonal>
        <color/>
      </diagonal>
    </border>
    <border>
      <left style="thin">
        <color indexed="33"/>
      </left>
      <right style="dashed">
        <color indexed="33"/>
      </right>
      <top>
        <color/>
      </top>
      <bottom style="thin">
        <color indexed="33"/>
      </bottom>
      <diagonal>
        <color/>
      </diagonal>
    </border>
    <border>
      <left style="thin">
        <color indexed="33"/>
      </left>
      <right style="thin">
        <color indexed="55"/>
      </right>
      <top style="thin">
        <color indexed="33"/>
      </top>
      <bottom style="thin">
        <color indexed="33"/>
      </bottom>
      <diagonal>
        <color/>
      </diagonal>
    </border>
    <border>
      <left style="thin">
        <color indexed="55"/>
      </left>
      <right style="thin">
        <color indexed="55"/>
      </right>
      <top style="thin">
        <color indexed="33"/>
      </top>
      <bottom style="thin">
        <color indexed="33"/>
      </bottom>
      <diagonal>
        <color/>
      </diagonal>
    </border>
    <border>
      <left style="thin">
        <color indexed="55"/>
      </left>
      <right style="thin">
        <color indexed="33"/>
      </right>
      <top style="thin">
        <color indexed="33"/>
      </top>
      <bottom style="thin">
        <color indexed="33"/>
      </bottom>
      <diagonal>
        <color/>
      </diagonal>
    </border>
    <border>
      <left>
        <color/>
      </left>
      <right style="thin">
        <color indexed="64"/>
      </right>
      <top>
        <color/>
      </top>
      <bottom>
        <color/>
      </bottom>
      <diagonal>
        <color/>
      </diagonal>
    </border>
    <border>
      <left>
        <color/>
      </left>
      <right style="thin">
        <color indexed="55"/>
      </right>
      <top>
        <color/>
      </top>
      <bottom style="thin">
        <color indexed="55"/>
      </bottom>
      <diagonal>
        <color/>
      </diagonal>
    </border>
    <border>
      <left style="thin">
        <color indexed="33"/>
      </left>
      <right style="dashed">
        <color indexed="33"/>
      </right>
      <top style="thin">
        <color indexed="33"/>
      </top>
      <bottom style="thin">
        <color indexed="33"/>
      </bottom>
      <diagonal>
        <color/>
      </diagonal>
    </border>
    <border diagonalUp="0" diagonalDown="0">
      <left style="thin">
        <color indexed="33"/>
      </left>
      <right>
        <color rgb="FFA0A0A0"/>
      </right>
      <top style="thin">
        <color indexed="33"/>
      </top>
      <bottom style="thin">
        <color indexed="33"/>
      </bottom>
      <diagonal>
        <color/>
      </diagonal>
    </border>
    <border diagonalUp="0" diagonalDown="0">
      <left style="thin">
        <color indexed="33"/>
      </left>
      <right style="thin">
        <color rgb="FFA0A0A0"/>
      </right>
      <top style="thin">
        <color indexed="33"/>
      </top>
      <bottom style="thin">
        <color indexed="33"/>
      </bottom>
      <diagonal>
        <color/>
      </diagonal>
    </border>
    <border diagonalUp="0" diagonalDown="0">
      <left>
        <color auto="1" indexed="64"/>
      </left>
      <right>
        <color rgb="FFA0A0A0"/>
      </right>
      <top style="thin">
        <color indexed="33"/>
      </top>
      <bottom style="thin">
        <color indexed="33"/>
      </bottom>
      <diagonal>
        <color/>
      </diagonal>
    </border>
    <border diagonalUp="0" diagonalDown="0">
      <left>
        <color auto="1" indexed="64"/>
      </left>
      <right style="thin">
        <color rgb="FFA0A0A0"/>
      </right>
      <top style="thin">
        <color indexed="33"/>
      </top>
      <bottom style="thin">
        <color indexed="33"/>
      </bottom>
      <diagonal>
        <color/>
      </diagonal>
    </border>
    <border diagonalUp="0" diagonalDown="0">
      <left>
        <color auto="1" indexed="64"/>
      </left>
      <right>
        <color auto="1" indexed="64"/>
      </right>
      <top>
        <color auto="1" indexed="64"/>
      </top>
      <bottom>
        <color auto="1" indexed="64"/>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0" diagonalDown="0">
      <left>
        <color auto="1" indexed="64"/>
      </left>
      <right style="thin">
        <color rgb="FFA0A0A0"/>
      </right>
      <top style="thin">
        <color indexed="33"/>
      </top>
      <bottom>
        <color auto="1" indexed="64"/>
      </bottom>
      <diagonal>
        <color/>
      </diagonal>
    </border>
    <border diagonalUp="0" diagonalDown="0">
      <left style="thin">
        <color indexed="33"/>
      </left>
      <right style="thin">
        <color indexed="33"/>
      </right>
      <top style="thin">
        <color indexed="33"/>
      </top>
      <bottom>
        <color auto="1" indexed="64"/>
      </bottom>
      <diagonal>
        <color/>
      </diagonal>
    </border>
    <border>
      <left>
        <color/>
      </left>
      <right style="thin">
        <color rgb="FFA0A0A0"/>
      </right>
      <top>
        <color/>
      </top>
      <bottom style="thin">
        <color indexed="33"/>
      </bottom>
      <diagonal>
        <color/>
      </diagonal>
    </border>
    <border>
      <left>
        <color/>
      </left>
      <right style="thin">
        <color rgb="FFA0A0A0"/>
      </right>
      <top style="thin">
        <color indexed="33"/>
      </top>
      <bottom>
        <color/>
      </bottom>
      <diagonal>
        <color/>
      </diagonal>
    </border>
    <border>
      <left>
        <color/>
      </left>
      <right style="thin">
        <color rgb="FFA0A0A0"/>
      </right>
      <top>
        <color/>
      </top>
      <bottom>
        <color/>
      </bottom>
      <diagonal>
        <color/>
      </diagonal>
    </border>
    <border diagonalUp="1" diagonalDown="1">
      <left>
        <color rgb="FFFFFFFF"/>
      </left>
      <right>
        <color rgb="FFFFFFFF"/>
      </right>
      <top>
        <color rgb="FFFFFFFF"/>
      </top>
      <bottom>
        <color rgb="FFFFFFFF"/>
      </bottom>
      <diagonal>
        <color rgb="FFFFFFFF"/>
      </diagonal>
    </border>
    <border>
      <left>
        <color/>
      </left>
      <right style="thin">
        <color rgb="FFA0A0A0"/>
      </right>
      <top style="thin">
        <color indexed="33"/>
      </top>
      <bottom style="thin">
        <color indexed="33"/>
      </bottom>
      <diagonal>
        <color/>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 diagonalUp="0" diagonalDown="0">
      <left>
        <color auto="1" indexed="64"/>
      </left>
      <right style="thin">
        <color indexed="55"/>
      </right>
      <top>
        <color auto="1" indexed="64"/>
      </top>
      <bottom>
        <color auto="1" indexed="64"/>
      </bottom>
      <diagonal>
        <color/>
      </diagonal>
    </border>
    <border diagonalUp="0" diagonalDown="0">
      <left style="thin">
        <color indexed="33"/>
      </left>
      <right style="thin">
        <color indexed="33"/>
      </right>
      <top>
        <color auto="1" indexed="64"/>
      </top>
      <bottom>
        <color auto="1" indexed="64"/>
      </bottom>
      <diagonal>
        <color/>
      </diagonal>
    </border>
    <border diagonalUp="0" diagonalDown="0">
      <left style="thin">
        <color indexed="33"/>
      </left>
      <right style="thin">
        <color indexed="33"/>
      </right>
      <top>
        <color auto="1" indexed="64"/>
      </top>
      <bottom style="thin">
        <color indexed="33"/>
      </bottom>
      <diagonal>
        <color/>
      </diagonal>
    </border>
    <border diagonalUp="0" diagonalDown="0">
      <left style="thin">
        <color indexed="33"/>
      </left>
      <right>
        <color auto="1" indexed="64"/>
      </right>
      <top style="thin">
        <color indexed="33"/>
      </top>
      <bottom>
        <color auto="1" indexed="64"/>
      </bottom>
      <diagonal>
        <color/>
      </diagonal>
    </border>
    <border diagonalUp="0" diagonalDown="0">
      <left>
        <color auto="1" indexed="64"/>
      </left>
      <right>
        <color auto="1" indexed="64"/>
      </right>
      <top style="thin">
        <color indexed="33"/>
      </top>
      <bottom>
        <color auto="1" indexed="64"/>
      </bottom>
      <diagonal>
        <color/>
      </diagonal>
    </border>
    <border diagonalUp="0" diagonalDown="0">
      <left>
        <color auto="1" indexed="64"/>
      </left>
      <right style="thin">
        <color indexed="33"/>
      </right>
      <top style="thin">
        <color indexed="33"/>
      </top>
      <bottom>
        <color auto="1" indexed="64"/>
      </bottom>
      <diagonal>
        <color/>
      </diagonal>
    </border>
    <border diagonalUp="0" diagonalDown="0">
      <left style="thin">
        <color indexed="33"/>
      </left>
      <right>
        <color auto="1" indexed="64"/>
      </right>
      <top>
        <color auto="1" indexed="64"/>
      </top>
      <bottom>
        <color auto="1" indexed="64"/>
      </bottom>
      <diagonal>
        <color/>
      </diagonal>
    </border>
    <border diagonalUp="0" diagonalDown="0">
      <left>
        <color auto="1" indexed="64"/>
      </left>
      <right style="thin">
        <color indexed="33"/>
      </right>
      <top>
        <color auto="1" indexed="64"/>
      </top>
      <bottom>
        <color auto="1" indexed="64"/>
      </bottom>
      <diagonal>
        <color/>
      </diagonal>
    </border>
    <border diagonalUp="0" diagonalDown="0">
      <left style="thin">
        <color indexed="33"/>
      </left>
      <right>
        <color auto="1" indexed="64"/>
      </right>
      <top>
        <color auto="1" indexed="64"/>
      </top>
      <bottom style="thin">
        <color indexed="33"/>
      </bottom>
      <diagonal>
        <color/>
      </diagonal>
    </border>
    <border diagonalUp="0" diagonalDown="0">
      <left>
        <color auto="1" indexed="64"/>
      </left>
      <right>
        <color auto="1" indexed="64"/>
      </right>
      <top>
        <color auto="1" indexed="64"/>
      </top>
      <bottom style="thin">
        <color indexed="33"/>
      </bottom>
      <diagonal>
        <color/>
      </diagonal>
    </border>
    <border diagonalUp="0" diagonalDown="0">
      <left>
        <color auto="1" indexed="64"/>
      </left>
      <right style="thin">
        <color indexed="33"/>
      </right>
      <top>
        <color auto="1" indexed="64"/>
      </top>
      <bottom style="thin">
        <color indexed="33"/>
      </bottom>
      <diagonal>
        <color/>
      </diagonal>
    </border>
    <border diagonalUp="0" diagonalDown="0">
      <left>
        <color auto="1" indexed="64"/>
      </left>
      <right style="thin">
        <color auto="1" indexed="64"/>
      </right>
      <top>
        <color auto="1" indexed="64"/>
      </top>
      <bottom>
        <color auto="1" indexed="64"/>
      </bottom>
      <diagonal>
        <color/>
      </diagonal>
    </border>
    <border diagonalUp="0" diagonalDown="0">
      <left>
        <color auto="1" indexed="64"/>
      </left>
      <right style="thin">
        <color indexed="33"/>
      </right>
      <top style="thin">
        <color indexed="33"/>
      </top>
      <bottom style="thin">
        <color indexed="33"/>
      </bottom>
      <diagonal>
        <color/>
      </diagonal>
    </border>
  </borders>
  <cellStyleXfs count="788">
    <xf numFmtId="0" fontId="0" fillId="0" borderId="0" applyFont="1" applyFill="1"/>
    <xf numFmtId="0" fontId="65" fillId="2" borderId="0" applyNumberFormat="0" applyFont="1" applyFill="1" applyBorder="0"/>
    <xf numFmtId="0" fontId="65" fillId="3"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2" borderId="0" applyNumberFormat="0" applyFont="1" applyFill="1" applyBorder="0"/>
    <xf numFmtId="0" fontId="65" fillId="3" borderId="0" applyNumberFormat="0" applyFont="1" applyFill="1" applyBorder="0"/>
    <xf numFmtId="0" fontId="65" fillId="6" borderId="0" applyNumberFormat="0" applyFont="1" applyFill="1" applyBorder="0"/>
    <xf numFmtId="0" fontId="65" fillId="7" borderId="0" applyNumberFormat="0" applyFont="1" applyFill="1" applyBorder="0"/>
    <xf numFmtId="0" fontId="65" fillId="8" borderId="0" applyNumberFormat="0" applyFont="1" applyFill="1" applyBorder="0"/>
    <xf numFmtId="0" fontId="65" fillId="9" borderId="0" applyNumberFormat="0" applyFont="1" applyFill="1" applyBorder="0"/>
    <xf numFmtId="0" fontId="65" fillId="2" borderId="0" applyNumberFormat="0" applyFont="1" applyFill="1" applyBorder="0"/>
    <xf numFmtId="0" fontId="65" fillId="3"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2" borderId="0" applyNumberFormat="0" applyFont="1" applyFill="1" applyBorder="0"/>
    <xf numFmtId="0" fontId="65" fillId="3" borderId="0" applyNumberFormat="0" applyFont="1" applyFill="1" applyBorder="0"/>
    <xf numFmtId="0" fontId="65" fillId="10" borderId="0" applyNumberFormat="0" applyFont="1" applyFill="1" applyBorder="0"/>
    <xf numFmtId="0" fontId="65" fillId="11" borderId="0" applyNumberFormat="0" applyFont="1" applyFill="1" applyBorder="0"/>
    <xf numFmtId="0" fontId="65" fillId="8" borderId="0" applyNumberFormat="0" applyFont="1" applyFill="1" applyBorder="0"/>
    <xf numFmtId="0" fontId="65" fillId="9"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4" borderId="0" applyNumberFormat="0" applyFont="1" applyFill="1" applyBorder="0"/>
    <xf numFmtId="0" fontId="66" fillId="5" borderId="0" applyNumberFormat="0" applyFont="1" applyFill="1" applyBorder="0"/>
    <xf numFmtId="0" fontId="66" fillId="4" borderId="0" applyNumberFormat="0" applyFont="1" applyFill="1" applyBorder="0"/>
    <xf numFmtId="0" fontId="66" fillId="5" borderId="0" applyNumberFormat="0" applyFont="1" applyFill="1" applyBorder="0"/>
    <xf numFmtId="0" fontId="66" fillId="14" borderId="0" applyNumberFormat="0" applyFont="1" applyFill="1" applyBorder="0"/>
    <xf numFmtId="0" fontId="66" fillId="15"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8" borderId="0" applyNumberFormat="0" applyFont="1" applyFill="1" applyBorder="0"/>
    <xf numFmtId="0" fontId="66" fillId="9"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16" borderId="0" applyNumberFormat="0" applyFont="1" applyFill="1" applyBorder="0"/>
    <xf numFmtId="0" fontId="66" fillId="17" borderId="0" applyNumberFormat="0" applyFont="1" applyFill="1" applyBorder="0"/>
    <xf numFmtId="0" fontId="66" fillId="18" borderId="0" applyNumberFormat="0" applyFont="1" applyFill="1" applyBorder="0"/>
    <xf numFmtId="0" fontId="66" fillId="19" borderId="0" applyNumberFormat="0" applyFont="1" applyFill="1" applyBorder="0"/>
    <xf numFmtId="0" fontId="66" fillId="20" borderId="0" applyNumberFormat="0" applyFont="1" applyFill="1" applyBorder="0"/>
    <xf numFmtId="0" fontId="66" fillId="5"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21" borderId="0" applyNumberFormat="0" applyFont="1" applyFill="1" applyBorder="0"/>
    <xf numFmtId="0" fontId="66" fillId="22" borderId="0" applyNumberFormat="0" applyFont="1" applyFill="1" applyBorder="0"/>
    <xf numFmtId="0" fontId="67" fillId="23" borderId="0" applyNumberFormat="0" applyFont="1" applyFill="1" applyBorder="0"/>
    <xf numFmtId="0" fontId="92" fillId="24" borderId="0" applyNumberFormat="0" applyFont="1" applyFill="1" applyBorder="0"/>
    <xf numFmtId="0" fontId="68" fillId="2" borderId="1" applyNumberFormat="0" applyFont="1" applyFill="1" applyBorder="1"/>
    <xf numFmtId="0" fontId="68" fillId="3" borderId="1" applyNumberFormat="0" applyFont="1" applyFill="1" applyBorder="1"/>
    <xf numFmtId="0" fontId="69" fillId="14" borderId="2" applyNumberFormat="0" applyFont="1" applyFill="1" applyBorder="1"/>
    <xf numFmtId="0" fontId="69" fillId="15" borderId="3" applyNumberFormat="0" applyFont="1" applyFill="1" applyBorder="1"/>
    <xf numFmtId="43" fontId="88" fillId="0" borderId="0" applyNumberFormat="1" applyFont="1" applyFill="1" applyBorder="0"/>
    <xf numFmtId="43" fontId="88" fillId="0" borderId="0" applyNumberFormat="1" applyFont="1" applyFill="1" applyBorder="0"/>
    <xf numFmtId="43"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0" fontId="70" fillId="0" borderId="0" applyNumberFormat="0" applyFont="1" applyFill="1" applyBorder="0"/>
    <xf numFmtId="0" fontId="70" fillId="0" borderId="0" applyNumberFormat="0" applyFont="1" applyFill="1" applyBorder="0"/>
    <xf numFmtId="0" fontId="88" fillId="0" borderId="0" applyFont="1" applyFill="1"/>
    <xf numFmtId="0" fontId="88" fillId="0" borderId="0" applyFont="1" applyFill="1"/>
    <xf numFmtId="0" fontId="88" fillId="0" borderId="0" applyFont="1" applyFill="1"/>
    <xf numFmtId="0" fontId="88" fillId="0" borderId="0" applyFont="1" applyFill="1"/>
    <xf numFmtId="43" fontId="88" fillId="0" borderId="0" applyNumberFormat="1" applyFont="1" applyFill="1" applyBorder="0"/>
    <xf numFmtId="43" fontId="88" fillId="0" borderId="0" applyNumberFormat="1" applyFont="1" applyFill="1" applyBorder="0"/>
    <xf numFmtId="43" fontId="88" fillId="0" borderId="0" applyNumberFormat="1" applyFont="1" applyFill="1" applyBorder="0"/>
    <xf numFmtId="43" fontId="88" fillId="0" borderId="0" applyNumberFormat="1" applyFont="1" applyFill="1" applyBorder="0"/>
    <xf numFmtId="41" fontId="88" fillId="0" borderId="0" applyNumberFormat="1" applyFont="1" applyFill="1" applyBorder="0"/>
    <xf numFmtId="41" fontId="88" fillId="0" borderId="0" applyNumberFormat="1" applyFont="1" applyFill="1" applyBorder="0"/>
    <xf numFmtId="41" fontId="88" fillId="0" borderId="0" applyNumberFormat="1" applyFont="1" applyFill="1" applyBorder="0"/>
    <xf numFmtId="41"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42" fontId="88" fillId="0" borderId="0" applyNumberFormat="1" applyFont="1" applyFill="1" applyBorder="0"/>
    <xf numFmtId="42" fontId="88" fillId="0" borderId="0" applyNumberFormat="1" applyFont="1" applyFill="1" applyBorder="0"/>
    <xf numFmtId="42" fontId="88" fillId="0" borderId="0" applyNumberFormat="1" applyFont="1" applyFill="1" applyBorder="0"/>
    <xf numFmtId="42"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43" fontId="88" fillId="0" borderId="0" applyNumberFormat="1" applyFont="1" applyFill="1" applyBorder="0"/>
    <xf numFmtId="41" fontId="88" fillId="0" borderId="0" applyNumberFormat="1" applyFont="1" applyFill="1" applyBorder="0"/>
    <xf numFmtId="44" fontId="88" fillId="0" borderId="0" applyNumberFormat="1" applyFont="1" applyFill="1" applyBorder="0"/>
    <xf numFmtId="42" fontId="88" fillId="0" borderId="0" applyNumberFormat="1" applyFont="1" applyFill="1" applyBorder="0"/>
    <xf numFmtId="0" fontId="36" fillId="0" borderId="0" applyNumberFormat="0" applyFont="1" applyFill="1" applyBorder="0"/>
    <xf numFmtId="0" fontId="37" fillId="0" borderId="0" applyNumberFormat="0" applyFont="1" applyFill="1" applyBorder="0"/>
    <xf numFmtId="9" fontId="88" fillId="0" borderId="0" applyNumberFormat="1" applyFont="1" applyFill="1" applyBorder="0"/>
    <xf numFmtId="0" fontId="71" fillId="25" borderId="0" applyNumberFormat="0" applyFont="1" applyFill="1" applyBorder="0"/>
    <xf numFmtId="0" fontId="71" fillId="26" borderId="0" applyNumberFormat="0" applyFont="1" applyFill="1" applyBorder="0"/>
    <xf numFmtId="0" fontId="72" fillId="0" borderId="4" applyNumberFormat="0" applyFont="1" applyFill="1" applyBorder="1"/>
    <xf numFmtId="0" fontId="72" fillId="0" borderId="4" applyNumberFormat="0" applyFont="1" applyFill="1" applyBorder="1"/>
    <xf numFmtId="0" fontId="73" fillId="0" borderId="4" applyNumberFormat="0" applyFont="1" applyFill="1" applyBorder="1"/>
    <xf numFmtId="0" fontId="73" fillId="0" borderId="4" applyNumberFormat="0" applyFont="1" applyFill="1" applyBorder="1"/>
    <xf numFmtId="0" fontId="74" fillId="0" borderId="5" applyNumberFormat="0" applyFont="1" applyFill="1" applyBorder="1"/>
    <xf numFmtId="0" fontId="74" fillId="0" borderId="5" applyNumberFormat="0" applyFont="1" applyFill="1" applyBorder="1"/>
    <xf numFmtId="0" fontId="74" fillId="0" borderId="0" applyNumberFormat="0" applyFont="1" applyFill="1" applyBorder="0"/>
    <xf numFmtId="0" fontId="74" fillId="0" borderId="0" applyNumberFormat="0" applyFont="1" applyFill="1" applyBorder="0"/>
    <xf numFmtId="0" fontId="95" fillId="0" borderId="0" applyNumberFormat="0" applyFont="1" applyFill="1" applyBorder="0"/>
    <xf numFmtId="0" fontId="75" fillId="8" borderId="1" applyNumberFormat="0" applyFont="1" applyFill="1" applyBorder="1"/>
    <xf numFmtId="0" fontId="75" fillId="9" borderId="1" applyNumberFormat="0" applyFont="1" applyFill="1" applyBorder="1"/>
    <xf numFmtId="0" fontId="76" fillId="0" borderId="6" applyNumberFormat="0" applyFont="1" applyFill="1" applyBorder="1"/>
    <xf numFmtId="0" fontId="76" fillId="0" borderId="6" applyNumberFormat="0" applyFont="1" applyFill="1" applyBorder="1"/>
    <xf numFmtId="0" fontId="77" fillId="27" borderId="0" applyNumberFormat="0" applyFont="1" applyFill="1" applyBorder="0"/>
    <xf numFmtId="0" fontId="77" fillId="28" borderId="0" applyNumberFormat="0" applyFont="1" applyFill="1" applyBorder="0"/>
    <xf numFmtId="0" fontId="96" fillId="0" borderId="0" applyFont="1" applyFill="1"/>
    <xf numFmtId="0" fontId="96" fillId="0" borderId="0" applyFont="1" applyFill="1"/>
    <xf numFmtId="0" fontId="88" fillId="27" borderId="7" applyNumberFormat="0" applyFont="1" applyFill="1" applyBorder="1"/>
    <xf numFmtId="0" fontId="88" fillId="28" borderId="8" applyNumberFormat="0" applyFont="1" applyFill="1" applyBorder="1"/>
    <xf numFmtId="0" fontId="88" fillId="27" borderId="7" applyNumberFormat="0" applyFont="1" applyFill="1" applyBorder="1"/>
    <xf numFmtId="0" fontId="88" fillId="27" borderId="7" applyNumberFormat="0" applyFont="1" applyFill="1" applyBorder="1"/>
    <xf numFmtId="0" fontId="78" fillId="2" borderId="9" applyNumberFormat="0" applyFont="1" applyFill="1" applyBorder="1"/>
    <xf numFmtId="0" fontId="93" fillId="3" borderId="10" applyNumberFormat="0" applyFont="1" applyFill="1" applyBorder="1"/>
    <xf numFmtId="9" fontId="88" fillId="0" borderId="0" applyNumberFormat="1" applyFont="1" applyFill="1" applyBorder="0"/>
    <xf numFmtId="9" fontId="88" fillId="0" borderId="0" applyNumberFormat="1" applyFont="1" applyFill="1" applyBorder="0"/>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52" fillId="30" borderId="0" applyNumberFormat="0" applyFont="1" applyFill="1"/>
    <xf numFmtId="0" fontId="52" fillId="30" borderId="0" applyNumberFormat="0" applyFont="1" applyFill="1"/>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31"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 borderId="0" applyNumberFormat="0" applyFont="1" applyFill="1" applyBorder="0" applyAlignment="1">
      <alignment horizontal="center"/>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52" fillId="30" borderId="0" applyNumberFormat="0" applyFont="1" applyFill="1"/>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31"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52" fillId="30" borderId="0" applyNumberFormat="0" applyFont="1" applyFill="1"/>
    <xf numFmtId="0" fontId="52" fillId="30" borderId="0" applyNumberFormat="0" applyFont="1" applyFill="1"/>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9" fillId="15" borderId="0" applyNumberFormat="0" applyFont="1" applyFill="1" applyBorder="0"/>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 borderId="0" applyNumberFormat="0" applyFont="1" applyFill="1" applyBorder="0" applyAlignment="1">
      <alignment horizontal="center"/>
    </xf>
    <xf numFmtId="0" fontId="52" fillId="30" borderId="0" applyNumberFormat="0" applyFont="1" applyFill="1"/>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 borderId="0" applyNumberFormat="0" applyFont="1" applyFill="1" applyBorder="0" applyAlignment="1">
      <alignment horizontal="center"/>
    </xf>
    <xf numFmtId="0" fontId="52" fillId="30" borderId="0" applyNumberFormat="0" applyFont="1" applyFill="1"/>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9" fillId="15" borderId="0" applyNumberFormat="0" applyFont="1" applyFill="1" applyBorder="0"/>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0" borderId="12" applyNumberFormat="0" applyFont="1" applyFill="1" applyBorder="1"/>
    <xf numFmtId="0" fontId="88" fillId="30" borderId="12" applyNumberFormat="0" applyFont="1" applyFill="1" applyBorder="1"/>
    <xf numFmtId="0" fontId="88" fillId="33" borderId="12" applyNumberFormat="0" applyFont="1" applyFill="1" applyBorder="1"/>
    <xf numFmtId="0" fontId="88" fillId="3" borderId="12" applyNumberFormat="0" applyFont="1" applyFill="1" applyBorder="1"/>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88" fillId="30" borderId="11" applyNumberFormat="0" applyFont="1" applyFill="1" applyBorder="1"/>
    <xf numFmtId="0" fontId="88" fillId="30" borderId="11"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4" applyNumberFormat="0" applyFont="1" applyFill="1" applyBorder="1"/>
    <xf numFmtId="0" fontId="88" fillId="30" borderId="14" applyNumberFormat="0" applyFont="1" applyFill="1" applyBorder="1"/>
    <xf numFmtId="0" fontId="88" fillId="33" borderId="11" applyNumberFormat="0" applyFont="1" applyFill="1" applyBorder="1"/>
    <xf numFmtId="0" fontId="88" fillId="3" borderId="11" applyNumberFormat="0" applyFont="1" applyFill="1" applyBorder="1"/>
    <xf numFmtId="0" fontId="88" fillId="33" borderId="12" applyNumberFormat="0" applyFont="1" applyFill="1" applyBorder="1"/>
    <xf numFmtId="0" fontId="88" fillId="3" borderId="12" applyNumberFormat="0" applyFont="1" applyFill="1" applyBorder="1"/>
    <xf numFmtId="0" fontId="88" fillId="33" borderId="13" applyNumberFormat="0" applyFont="1" applyFill="1" applyBorder="1"/>
    <xf numFmtId="0" fontId="88" fillId="3" borderId="13" applyNumberFormat="0" applyFont="1" applyFill="1" applyBorder="1"/>
    <xf numFmtId="0" fontId="88" fillId="33" borderId="14" applyNumberFormat="0" applyFont="1" applyFill="1" applyBorder="1"/>
    <xf numFmtId="0" fontId="88" fillId="3" borderId="14" applyNumberFormat="0" applyFont="1" applyFill="1" applyBorder="1"/>
    <xf numFmtId="0" fontId="88" fillId="30" borderId="11" applyNumberFormat="0" applyFont="1" applyFill="1" applyBorder="1"/>
    <xf numFmtId="0" fontId="88" fillId="30" borderId="11" applyNumberFormat="0" applyFont="1" applyFill="1" applyBorder="1"/>
    <xf numFmtId="0" fontId="88" fillId="30" borderId="11" applyNumberFormat="0" applyFont="1" applyFill="1" applyBorder="1"/>
    <xf numFmtId="0" fontId="88" fillId="30" borderId="11"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24" borderId="11" applyNumberFormat="0" applyFont="1" applyFill="1" applyBorder="1"/>
    <xf numFmtId="0" fontId="88" fillId="31" borderId="11" applyNumberFormat="0" applyFont="1" applyFill="1" applyBorder="1"/>
    <xf numFmtId="0" fontId="88" fillId="24" borderId="11" applyNumberFormat="0" applyFont="1" applyFill="1" applyBorder="1"/>
    <xf numFmtId="0" fontId="88" fillId="24" borderId="11" applyNumberFormat="0" applyFont="1" applyFill="1" applyBorder="1"/>
    <xf numFmtId="0" fontId="88" fillId="24" borderId="12" applyNumberFormat="0" applyFont="1" applyFill="1" applyBorder="1"/>
    <xf numFmtId="0" fontId="88" fillId="31" borderId="12" applyNumberFormat="0" applyFont="1" applyFill="1" applyBorder="1"/>
    <xf numFmtId="0" fontId="88" fillId="24" borderId="12" applyNumberFormat="0" applyFont="1" applyFill="1" applyBorder="1"/>
    <xf numFmtId="0" fontId="88" fillId="24" borderId="12" applyNumberFormat="0" applyFont="1" applyFill="1" applyBorder="1"/>
    <xf numFmtId="0" fontId="88" fillId="24" borderId="13" applyNumberFormat="0" applyFont="1" applyFill="1" applyBorder="1"/>
    <xf numFmtId="0" fontId="88" fillId="31" borderId="13" applyNumberFormat="0" applyFont="1" applyFill="1" applyBorder="1"/>
    <xf numFmtId="0" fontId="88" fillId="24" borderId="13" applyNumberFormat="0" applyFont="1" applyFill="1" applyBorder="1"/>
    <xf numFmtId="0" fontId="88" fillId="24" borderId="13" applyNumberFormat="0" applyFont="1" applyFill="1" applyBorder="1"/>
    <xf numFmtId="0" fontId="88" fillId="24" borderId="14" applyNumberFormat="0" applyFont="1" applyFill="1" applyBorder="1"/>
    <xf numFmtId="0" fontId="88" fillId="31" borderId="14" applyNumberFormat="0" applyFont="1" applyFill="1" applyBorder="1"/>
    <xf numFmtId="0" fontId="88" fillId="24" borderId="14" applyNumberFormat="0" applyFont="1" applyFill="1" applyBorder="1"/>
    <xf numFmtId="0" fontId="88" fillId="24" borderId="14" applyNumberFormat="0" applyFont="1" applyFill="1" applyBorder="1"/>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88" fillId="30" borderId="11" applyNumberFormat="0" applyFont="1" applyFill="1" applyBorder="1" applyAlignment="1">
      <alignment horizontal="left"/>
    </xf>
    <xf numFmtId="0" fontId="88" fillId="30" borderId="11" applyNumberFormat="0" applyFont="1" applyFill="1" applyBorder="1" applyAlignment="1">
      <alignment horizontal="left"/>
    </xf>
    <xf numFmtId="0" fontId="88" fillId="30" borderId="11" applyNumberFormat="0" applyFont="1" applyFill="1" applyBorder="1" applyAlignment="1">
      <alignment horizontal="left"/>
    </xf>
    <xf numFmtId="0" fontId="88" fillId="30" borderId="11" applyNumberFormat="0" applyFont="1" applyFill="1" applyBorder="1" applyAlignment="1">
      <alignment horizontal="left"/>
    </xf>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24" borderId="11" applyNumberFormat="0" applyFont="1" applyFill="1" applyBorder="1" applyAlignment="1">
      <alignment horizontal="left"/>
    </xf>
    <xf numFmtId="0" fontId="88" fillId="31" borderId="11" applyNumberFormat="0" applyFont="1" applyFill="1" applyBorder="1" applyAlignment="1">
      <alignment horizontal="left"/>
    </xf>
    <xf numFmtId="0" fontId="88" fillId="24" borderId="11" applyNumberFormat="0" applyFont="1" applyFill="1" applyBorder="1" applyAlignment="1">
      <alignment horizontal="left"/>
    </xf>
    <xf numFmtId="0" fontId="88" fillId="24" borderId="11" applyNumberFormat="0" applyFont="1" applyFill="1" applyBorder="1" applyAlignment="1">
      <alignment horizontal="left"/>
    </xf>
    <xf numFmtId="0" fontId="88" fillId="24" borderId="12" applyNumberFormat="0" applyFont="1" applyFill="1" applyBorder="1"/>
    <xf numFmtId="0" fontId="88" fillId="31" borderId="12" applyNumberFormat="0" applyFont="1" applyFill="1" applyBorder="1"/>
    <xf numFmtId="0" fontId="88" fillId="24" borderId="12" applyNumberFormat="0" applyFont="1" applyFill="1" applyBorder="1"/>
    <xf numFmtId="0" fontId="88" fillId="24" borderId="12" applyNumberFormat="0" applyFont="1" applyFill="1" applyBorder="1"/>
    <xf numFmtId="0" fontId="88" fillId="24" borderId="13" applyNumberFormat="0" applyFont="1" applyFill="1" applyBorder="1"/>
    <xf numFmtId="0" fontId="88" fillId="31" borderId="13" applyNumberFormat="0" applyFont="1" applyFill="1" applyBorder="1"/>
    <xf numFmtId="0" fontId="88" fillId="24" borderId="13" applyNumberFormat="0" applyFont="1" applyFill="1" applyBorder="1"/>
    <xf numFmtId="0" fontId="88" fillId="24" borderId="13" applyNumberFormat="0" applyFont="1" applyFill="1" applyBorder="1"/>
    <xf numFmtId="0" fontId="88" fillId="24" borderId="14" applyNumberFormat="0" applyFont="1" applyFill="1" applyBorder="1"/>
    <xf numFmtId="0" fontId="88" fillId="31" borderId="14" applyNumberFormat="0" applyFont="1" applyFill="1" applyBorder="1"/>
    <xf numFmtId="0" fontId="88" fillId="24" borderId="14" applyNumberFormat="0" applyFont="1" applyFill="1" applyBorder="1"/>
    <xf numFmtId="0" fontId="88" fillId="24" borderId="14" applyNumberFormat="0" applyFont="1" applyFill="1" applyBorder="1"/>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52" fillId="30" borderId="0" applyNumberFormat="0" applyFont="1" applyFill="1"/>
    <xf numFmtId="0" fontId="52" fillId="30" borderId="0" applyNumberFormat="0" applyFont="1" applyFill="1"/>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79" fillId="0" borderId="0" applyNumberFormat="0" applyFont="1" applyFill="1" applyBorder="0"/>
    <xf numFmtId="0" fontId="94" fillId="0" borderId="0" applyNumberFormat="0" applyFont="1" applyFill="1" applyBorder="0"/>
    <xf numFmtId="0" fontId="80" fillId="0" borderId="18" applyNumberFormat="0" applyFont="1" applyFill="1" applyBorder="1"/>
    <xf numFmtId="0" fontId="80" fillId="0" borderId="18" applyNumberFormat="0" applyFont="1" applyFill="1" applyBorder="1"/>
    <xf numFmtId="0" fontId="81" fillId="0" borderId="0" applyNumberFormat="0" applyFont="1" applyFill="1" applyBorder="0"/>
    <xf numFmtId="0" fontId="81" fillId="0" borderId="0" applyNumberFormat="0" applyFont="1" applyFill="1" applyBorder="0"/>
    <xf numFmtId="0" fontId="102" borderId="0" applyFont="1" applyAlignment="1">
      <alignment vertical="top"/>
    </xf>
  </cellStyleXfs>
  <cellXfs count="1115">
    <xf numFmtId="0" fontId="0" fillId="0" borderId="0" applyFont="1" applyFill="1"/>
    <xf numFmtId="0" fontId="0" fillId="32" borderId="0" applyFont="1" applyFill="1"/>
    <xf numFmtId="0" fontId="0" fillId="30" borderId="0" applyFont="1" applyFill="1"/>
    <xf numFmtId="0" fontId="0" fillId="30" borderId="0" applyFont="1" applyFill="1" applyAlignment="1">
      <alignment horizontal="centerContinuous"/>
    </xf>
    <xf numFmtId="0" fontId="0" fillId="0" borderId="0" applyFont="1" applyFill="1" applyBorder="1"/>
    <xf numFmtId="0" fontId="88" fillId="0" borderId="0" applyFont="1" applyFill="1"/>
    <xf numFmtId="0" fontId="49" fillId="0" borderId="0" applyFont="1" applyFill="1"/>
    <xf numFmtId="0" fontId="44" fillId="0" borderId="0" applyFont="1" applyFill="1"/>
    <xf numFmtId="0" fontId="50" fillId="0" borderId="0" applyFont="1" applyFill="1"/>
    <xf numFmtId="0" fontId="0" fillId="30" borderId="0" applyFont="1" applyFill="1" applyBorder="1"/>
    <xf numFmtId="0" fontId="43" fillId="0" borderId="0" applyFont="1" applyFill="1"/>
    <xf numFmtId="164" fontId="88" fillId="30" borderId="0" applyNumberFormat="1" applyFont="1" applyFill="1" applyAlignment="1">
      <alignment horizontal="left"/>
    </xf>
    <xf numFmtId="0" fontId="38" fillId="30" borderId="0" applyFont="1" applyFill="1" applyAlignment="1">
      <alignment horizontal="left"/>
    </xf>
    <xf numFmtId="0" fontId="0" fillId="30" borderId="0" applyFont="1" applyFill="1" applyAlignment="1">
      <alignment horizontal="right"/>
    </xf>
    <xf numFmtId="0" fontId="16" fillId="30" borderId="0" applyFont="1" applyFill="1"/>
    <xf numFmtId="0" fontId="39" fillId="30" borderId="0" applyFont="1" applyFill="1" applyAlignment="1">
      <alignment horizontal="centerContinuous"/>
    </xf>
    <xf numFmtId="0" fontId="39" fillId="30" borderId="0" applyFont="1" applyFill="1" applyAlignment="1">
      <alignment horizontal="right"/>
    </xf>
    <xf numFmtId="0" fontId="40" fillId="30" borderId="0" applyFont="1" applyFill="1" applyAlignment="1">
      <alignment horizontal="right"/>
    </xf>
    <xf numFmtId="0" fontId="5" fillId="30" borderId="0" applyFont="1" applyFill="1" applyAlignment="1">
      <alignment horizontal="left"/>
    </xf>
    <xf numFmtId="17" fontId="5" fillId="30" borderId="0" applyNumberFormat="1" applyFont="1" applyFill="1" applyAlignment="1">
      <alignment horizontal="left"/>
    </xf>
    <xf numFmtId="0" fontId="49" fillId="30" borderId="0" applyFont="1" applyFill="1" applyAlignment="1">
      <alignment horizontal="left"/>
    </xf>
    <xf numFmtId="0" fontId="0" fillId="0" borderId="0" applyFont="1" applyFill="1" applyAlignment="1">
      <alignment horizontal="center"/>
    </xf>
    <xf numFmtId="0" fontId="0" fillId="30" borderId="0" applyFont="1" applyFill="1" applyAlignment="1">
      <alignment horizontal="center"/>
    </xf>
    <xf numFmtId="0" fontId="29" fillId="30" borderId="0" applyFont="1" applyFill="1" applyBorder="1" applyAlignment="1">
      <alignment horizontal="right"/>
    </xf>
    <xf numFmtId="0" fontId="0" fillId="0" borderId="0" applyFont="1" applyFill="1" applyBorder="1" applyAlignment="1">
      <alignment horizontal="centerContinuous"/>
    </xf>
    <xf numFmtId="0" fontId="53" fillId="0" borderId="0" applyFont="1" applyFill="1"/>
    <xf numFmtId="0" fontId="0" fillId="0" borderId="0" applyFont="1" applyFill="1" applyAlignment="1">
      <alignment horizontal="left"/>
    </xf>
    <xf numFmtId="166" fontId="5" fillId="0" borderId="19" applyNumberFormat="1" applyFont="1" applyFill="1" applyBorder="1" applyAlignment="1">
      <alignment horizontal="center"/>
    </xf>
    <xf numFmtId="166" fontId="5" fillId="33" borderId="19" applyNumberFormat="1" applyFont="1" applyFill="1" applyBorder="1" applyAlignment="1">
      <alignment horizontal="center"/>
    </xf>
    <xf numFmtId="166" fontId="5" fillId="0" borderId="20" applyNumberFormat="1" applyFont="1" applyFill="1" applyBorder="1" applyAlignment="1">
      <alignment horizontal="center"/>
    </xf>
    <xf numFmtId="166" fontId="5" fillId="0" borderId="0" applyNumberFormat="1" applyFont="1" applyFill="1" applyBorder="1" applyAlignment="1">
      <alignment horizontal="center"/>
    </xf>
    <xf numFmtId="166" fontId="5" fillId="33" borderId="0" applyNumberFormat="1" applyFont="1" applyFill="1" applyBorder="1" applyAlignment="1">
      <alignment horizontal="center"/>
    </xf>
    <xf numFmtId="166" fontId="5" fillId="0" borderId="21" applyNumberFormat="1" applyFont="1" applyFill="1" applyBorder="1" applyAlignment="1">
      <alignment horizontal="center"/>
    </xf>
    <xf numFmtId="0" fontId="0" fillId="0" borderId="0" applyFont="1" applyFill="1" applyAlignment="1">
      <alignment horizontal="center"/>
    </xf>
    <xf numFmtId="0" fontId="0" fillId="0" borderId="0" applyFont="1" applyFill="1"/>
    <xf numFmtId="0" fontId="21" fillId="0" borderId="0" applyFont="1" applyFill="1"/>
    <xf numFmtId="0" fontId="22" fillId="0" borderId="0" applyFont="1" applyFill="1" applyAlignment="1">
      <alignment horizontal="center"/>
    </xf>
    <xf numFmtId="0" fontId="5" fillId="0" borderId="22" applyFont="1" applyFill="1" applyBorder="1" applyAlignment="1">
      <alignment horizontal="right"/>
    </xf>
    <xf numFmtId="0" fontId="5" fillId="33" borderId="23" applyFont="1" applyFill="1" applyBorder="1" applyAlignment="1">
      <alignment horizontal="right"/>
    </xf>
    <xf numFmtId="0" fontId="5" fillId="33" borderId="24" applyFont="1" applyFill="1" applyBorder="1" applyAlignment="1">
      <alignment horizontal="right"/>
    </xf>
    <xf numFmtId="0" fontId="5" fillId="0" borderId="24" applyFont="1" applyFill="1" applyBorder="1" applyAlignment="1">
      <alignment horizontal="right"/>
    </xf>
    <xf numFmtId="0" fontId="23" fillId="0" borderId="0" applyFont="1" applyFill="1" applyBorder="1" applyAlignment="1">
      <alignment horizontal="center"/>
    </xf>
    <xf numFmtId="0" fontId="23" fillId="0" borderId="0" applyFont="1" applyFill="1" applyBorder="1" applyAlignment="1">
      <alignment horizontal="center"/>
    </xf>
    <xf numFmtId="1" fontId="5" fillId="0" borderId="0" applyNumberFormat="1" applyFont="1" applyFill="1" applyAlignment="1">
      <alignment horizontal="left"/>
    </xf>
    <xf numFmtId="0" fontId="39" fillId="30" borderId="0" applyFont="1" applyFill="1" applyAlignment="1">
      <alignment horizontal="right" vertical="center"/>
    </xf>
    <xf numFmtId="0" fontId="0" fillId="30" borderId="0" applyFont="1" applyFill="1" applyAlignment="1">
      <alignment horizontal="center" vertical="center"/>
    </xf>
    <xf numFmtId="166" fontId="24" fillId="0" borderId="0" applyNumberFormat="1" applyFont="1" applyFill="1" applyBorder="1" applyAlignment="1">
      <alignment horizontal="right"/>
    </xf>
    <xf numFmtId="0" fontId="0" fillId="0" borderId="0" applyFont="1" applyFill="1"/>
    <xf numFmtId="166" fontId="24" fillId="30" borderId="0" applyNumberFormat="1" applyFont="1" applyFill="1" applyBorder="1" applyAlignment="1">
      <alignment horizontal="center"/>
    </xf>
    <xf numFmtId="0" fontId="0" fillId="30" borderId="0" applyFont="1" applyFill="1"/>
    <xf numFmtId="0" fontId="39" fillId="30" borderId="0" applyFont="1" applyFill="1" applyAlignment="1">
      <alignment horizontal="center"/>
    </xf>
    <xf numFmtId="166" fontId="0" fillId="30" borderId="0" applyNumberFormat="1" applyFont="1" applyFill="1"/>
    <xf numFmtId="166" fontId="5" fillId="30" borderId="0" applyNumberFormat="1" applyFont="1" applyFill="1" applyAlignment="1">
      <alignment horizontal="left"/>
    </xf>
    <xf numFmtId="167" fontId="5" fillId="30" borderId="0" applyNumberFormat="1" applyFont="1" applyFill="1" applyAlignment="1">
      <alignment horizontal="left"/>
    </xf>
    <xf numFmtId="0" fontId="0" fillId="0" borderId="0" applyFont="1" applyFill="1" applyBorder="1"/>
    <xf numFmtId="0" fontId="50" fillId="30" borderId="0" applyFont="1" applyFill="1" applyBorder="1" applyAlignment="1">
      <alignment horizontal="centerContinuous"/>
    </xf>
    <xf numFmtId="166" fontId="88" fillId="0" borderId="0" applyNumberFormat="1" applyFont="1" applyFill="1"/>
    <xf numFmtId="0" fontId="53" fillId="0" borderId="0" applyFont="1" applyFill="1" applyAlignment="1">
      <alignment horizontal="right"/>
    </xf>
    <xf numFmtId="0" fontId="39" fillId="0" borderId="0" applyFont="1" applyFill="1"/>
    <xf numFmtId="0" fontId="39" fillId="0" borderId="0" applyFont="1" applyFill="1" applyBorder="1"/>
    <xf numFmtId="0" fontId="53" fillId="0" borderId="0" applyFont="1" applyFill="1" applyBorder="1" applyAlignment="1">
      <alignment horizontal="right" vertical="top"/>
    </xf>
    <xf numFmtId="0" fontId="27" fillId="0" borderId="12" applyFont="1" applyFill="1" applyBorder="1" applyAlignment="1">
      <alignment horizontal="center" wrapText="1"/>
    </xf>
    <xf numFmtId="0" fontId="27" fillId="0" borderId="14" applyFont="1" applyFill="1" applyBorder="1" applyAlignment="1">
      <alignment horizontal="center" wrapText="1"/>
    </xf>
    <xf numFmtId="0" fontId="83" fillId="0" borderId="0" applyFont="1" applyFill="1"/>
    <xf numFmtId="0" fontId="82" fillId="0" borderId="0" applyFont="1" applyFill="1" applyAlignment="1">
      <alignment horizontal="right"/>
    </xf>
    <xf numFmtId="0" fontId="49" fillId="0" borderId="0" applyFont="1" applyFill="1"/>
    <xf numFmtId="164" fontId="88" fillId="30" borderId="0" applyNumberFormat="1" applyFont="1" applyFill="1" applyAlignment="1">
      <alignment horizontal="left"/>
    </xf>
    <xf numFmtId="0" fontId="82" fillId="0" borderId="0" applyFont="1" applyFill="1"/>
    <xf numFmtId="0" fontId="43" fillId="0" borderId="0" applyFont="1" applyFill="1" applyAlignment="1">
      <alignment horizontal="left"/>
    </xf>
    <xf numFmtId="0" fontId="43" fillId="0" borderId="0" applyFont="1" applyFill="1" applyAlignment="1">
      <alignment horizontal="center"/>
    </xf>
    <xf numFmtId="0" fontId="88" fillId="0" borderId="0" applyFont="1" applyFill="1" applyBorder="1" applyAlignment="1">
      <alignment horizontal="left"/>
    </xf>
    <xf numFmtId="49" fontId="88" fillId="0" borderId="0" applyNumberFormat="1" applyFont="1" applyFill="1" applyAlignment="1">
      <alignment horizontal="left"/>
    </xf>
    <xf numFmtId="0" fontId="88" fillId="0" borderId="0" applyFont="1" applyFill="1" applyAlignment="1">
      <alignment horizontal="left"/>
    </xf>
    <xf numFmtId="49" fontId="88" fillId="0" borderId="0" applyNumberFormat="1" applyFont="1" applyFill="1"/>
    <xf numFmtId="16" fontId="88" fillId="0" borderId="0" applyNumberFormat="1" applyFont="1" applyFill="1" applyAlignment="1">
      <alignment horizontal="left"/>
    </xf>
    <xf numFmtId="0" fontId="88" fillId="0" borderId="0" applyFont="1" applyFill="1"/>
    <xf numFmtId="0" fontId="88" fillId="0" borderId="0" applyFont="1" applyFill="1" applyAlignment="1">
      <alignment horizontal="left" textRotation="90"/>
    </xf>
    <xf numFmtId="0" fontId="43" fillId="0" borderId="0" applyFont="1" applyFill="1" applyBorder="1" applyAlignment="1">
      <alignment horizontal="left"/>
    </xf>
    <xf numFmtId="16" fontId="82" fillId="30" borderId="0" applyNumberFormat="1" applyFont="1" applyFill="1" applyBorder="1" applyAlignment="1">
      <alignment horizontal="left" textRotation="90" wrapText="1"/>
    </xf>
    <xf numFmtId="166" fontId="33" fillId="30" borderId="0" applyNumberFormat="1" applyFont="1" applyFill="1" applyBorder="1" applyAlignment="1">
      <alignment horizontal="center"/>
    </xf>
    <xf numFmtId="166" fontId="88" fillId="0" borderId="0" applyNumberFormat="1" applyFont="1" applyFill="1" applyBorder="1" applyAlignment="1">
      <alignment horizontal="left"/>
    </xf>
    <xf numFmtId="166" fontId="33" fillId="0" borderId="0" applyNumberFormat="1" applyFont="1" applyFill="1" applyBorder="1" applyAlignment="1">
      <alignment horizontal="right"/>
    </xf>
    <xf numFmtId="0" fontId="88" fillId="0" borderId="0" applyFont="1" applyFill="1" applyAlignment="1">
      <alignment horizontal="center"/>
    </xf>
    <xf numFmtId="0" fontId="82" fillId="0" borderId="0" applyFont="1" applyFill="1"/>
    <xf numFmtId="0" fontId="34" fillId="0" borderId="0" applyFont="1" applyFill="1"/>
    <xf numFmtId="0" fontId="34" fillId="0" borderId="0" applyFont="1" applyFill="1"/>
    <xf numFmtId="0" fontId="0" fillId="0" borderId="0" applyFont="1" applyFill="1" applyBorder="1"/>
    <xf numFmtId="166" fontId="33" fillId="0" borderId="0" applyNumberFormat="1" applyFont="1" applyFill="1" applyBorder="1"/>
    <xf numFmtId="0" fontId="88" fillId="0" borderId="0" applyFont="1" applyFill="1"/>
    <xf numFmtId="0" fontId="35" fillId="0" borderId="0" applyFont="1" applyFill="1" applyAlignment="1">
      <alignment vertical="center"/>
    </xf>
    <xf numFmtId="0" fontId="0" fillId="0" borderId="0" applyFont="1" applyFill="1" applyBorder="1"/>
    <xf numFmtId="166" fontId="88" fillId="0" borderId="0" applyNumberFormat="1" applyFont="1" applyFill="1" applyBorder="1" applyAlignment="1">
      <alignment horizontal="center"/>
    </xf>
    <xf numFmtId="166" fontId="88" fillId="33" borderId="0" applyNumberFormat="1" applyFont="1" applyFill="1" applyBorder="1" applyAlignment="1">
      <alignment horizontal="center"/>
    </xf>
    <xf numFmtId="0" fontId="88" fillId="0" borderId="0" applyFont="1" applyFill="1" applyBorder="1"/>
    <xf numFmtId="2" fontId="88" fillId="33" borderId="0" applyNumberFormat="1" applyFont="1" applyFill="1" applyBorder="1" applyAlignment="1">
      <alignment horizontal="center"/>
    </xf>
    <xf numFmtId="2" fontId="88" fillId="0" borderId="0" applyNumberFormat="1" applyFont="1" applyFill="1" applyBorder="1" applyAlignment="1">
      <alignment horizontal="center"/>
    </xf>
    <xf numFmtId="0" fontId="88" fillId="0" borderId="0" applyFont="1" applyFill="1" applyBorder="1"/>
    <xf numFmtId="166" fontId="88" fillId="33" borderId="0" applyNumberFormat="1" applyFont="1" applyFill="1" applyBorder="1" applyAlignment="1">
      <alignment horizontal="center"/>
    </xf>
    <xf numFmtId="0" fontId="0" fillId="0" borderId="25" applyFont="1" applyFill="1" applyBorder="1"/>
    <xf numFmtId="0" fontId="88" fillId="0" borderId="0" applyFont="1" applyFill="1" applyBorder="1" applyAlignment="1">
      <alignment horizontal="right"/>
    </xf>
    <xf numFmtId="0" fontId="88" fillId="0" borderId="0" applyNumberFormat="1" applyFont="1" applyFill="1" applyBorder="1" applyAlignment="1">
      <alignment horizontal="center"/>
    </xf>
    <xf numFmtId="2" fontId="88" fillId="33" borderId="0" applyNumberFormat="1" applyFont="1" applyFill="1" applyBorder="1" applyAlignment="1">
      <alignment horizontal="center"/>
    </xf>
    <xf numFmtId="0" fontId="44" fillId="0" borderId="25" applyFont="1" applyFill="1" applyBorder="1" applyAlignment="1">
      <alignment horizontal="center"/>
    </xf>
    <xf numFmtId="0" fontId="38" fillId="30" borderId="0" applyFont="1" applyFill="1" applyAlignment="1">
      <alignment horizontal="left"/>
    </xf>
    <xf numFmtId="166" fontId="38" fillId="30" borderId="0" applyNumberFormat="1" applyFont="1" applyFill="1" applyAlignment="1">
      <alignment horizontal="left"/>
    </xf>
    <xf numFmtId="0" fontId="39" fillId="30" borderId="0" applyFont="1" applyFill="1" applyAlignment="1">
      <alignment horizontal="right"/>
    </xf>
    <xf numFmtId="17" fontId="39" fillId="30" borderId="0" applyNumberFormat="1" applyFont="1" applyFill="1" applyAlignment="1">
      <alignment horizontal="right"/>
    </xf>
    <xf numFmtId="166" fontId="39" fillId="30" borderId="0" applyNumberFormat="1" applyFont="1" applyFill="1" applyAlignment="1">
      <alignment horizontal="right"/>
    </xf>
    <xf numFmtId="0" fontId="39" fillId="30" borderId="0" applyFont="1" applyFill="1" applyAlignment="1">
      <alignment horizontal="left"/>
    </xf>
    <xf numFmtId="0" fontId="40" fillId="30" borderId="0" applyFont="1" applyFill="1" applyAlignment="1">
      <alignment horizontal="right"/>
    </xf>
    <xf numFmtId="0" fontId="0" fillId="0" borderId="0" applyFont="1" applyFill="1" applyAlignment="1">
      <alignment horizontal="right"/>
    </xf>
    <xf numFmtId="0" fontId="0" fillId="33" borderId="0" applyFont="1" applyFill="1"/>
    <xf numFmtId="0" fontId="53" fillId="30" borderId="0" applyFont="1" applyFill="1" applyBorder="1" applyAlignment="1">
      <alignment horizontal="right" vertical="top"/>
    </xf>
    <xf numFmtId="166" fontId="88" fillId="30" borderId="0" applyNumberFormat="1" applyFont="1" applyFill="1" applyBorder="1" applyAlignment="1">
      <alignment horizontal="center"/>
    </xf>
    <xf numFmtId="0" fontId="5" fillId="30" borderId="0" applyFont="1" applyFill="1" applyBorder="1" applyAlignment="1">
      <alignment horizontal="center"/>
    </xf>
    <xf numFmtId="0" fontId="88" fillId="30" borderId="0" applyFont="1" applyFill="1" applyBorder="1"/>
    <xf numFmtId="0" fontId="44" fillId="30" borderId="0" applyFont="1" applyFill="1" applyBorder="1" applyAlignment="1">
      <alignment horizontal="center"/>
    </xf>
    <xf numFmtId="0" fontId="41" fillId="0" borderId="0" applyFont="1" applyFill="1"/>
    <xf numFmtId="0" fontId="41" fillId="0" borderId="0" applyFont="1" applyFill="1" applyAlignment="1">
      <alignment horizontal="center"/>
    </xf>
    <xf numFmtId="0" fontId="41" fillId="30" borderId="0" applyFont="1" applyFill="1" applyBorder="1"/>
    <xf numFmtId="0" fontId="0" fillId="33" borderId="0" applyFont="1" applyFill="1" applyBorder="1"/>
    <xf numFmtId="166" fontId="0" fillId="33" borderId="0" applyNumberFormat="1" applyFont="1" applyFill="1" applyBorder="1"/>
    <xf numFmtId="0" fontId="0" fillId="0" borderId="0" applyFont="1" applyFill="1" applyAlignment="1">
      <alignment vertical="center"/>
    </xf>
    <xf numFmtId="166" fontId="88" fillId="30" borderId="0" applyNumberFormat="1" applyFont="1" applyFill="1" applyAlignment="1">
      <alignment horizontal="center"/>
    </xf>
    <xf numFmtId="166" fontId="88" fillId="30" borderId="0" applyNumberFormat="1" applyFont="1" applyFill="1" applyBorder="1" applyAlignment="1">
      <alignment horizontal="center"/>
    </xf>
    <xf numFmtId="166" fontId="88" fillId="30" borderId="0" applyNumberFormat="1" applyFont="1" applyFill="1" applyAlignment="1">
      <alignment horizontal="center"/>
    </xf>
    <xf numFmtId="0" fontId="0" fillId="33" borderId="0" applyFont="1" applyFill="1" applyBorder="1"/>
    <xf numFmtId="0" fontId="44" fillId="30" borderId="0" applyFont="1" applyFill="1" applyAlignment="1">
      <alignment horizontal="left"/>
    </xf>
    <xf numFmtId="0" fontId="16" fillId="30" borderId="0" applyFont="1" applyFill="1"/>
    <xf numFmtId="0" fontId="88" fillId="30" borderId="0" applyFont="1" applyFill="1" applyAlignment="1">
      <alignment horizontal="left"/>
    </xf>
    <xf numFmtId="0" fontId="0" fillId="30" borderId="0" applyFont="1" applyFill="1" applyAlignment="1">
      <alignment horizontal="left"/>
    </xf>
    <xf numFmtId="0" fontId="88" fillId="30" borderId="0" applyFont="1" applyFill="1"/>
    <xf numFmtId="0" fontId="82" fillId="30" borderId="0" applyFont="1" applyFill="1" applyBorder="1" applyAlignment="1">
      <alignment horizontal="left" vertical="top" wrapText="1"/>
    </xf>
    <xf numFmtId="17" fontId="5" fillId="33" borderId="0" applyNumberFormat="1" applyFont="1" applyFill="1" applyAlignment="1">
      <alignment horizontal="left"/>
    </xf>
    <xf numFmtId="166" fontId="0" fillId="33" borderId="0" applyNumberFormat="1" applyFont="1" applyFill="1" applyBorder="1" applyAlignment="1">
      <alignment horizontal="right"/>
    </xf>
    <xf numFmtId="2" fontId="0" fillId="33" borderId="0" applyNumberFormat="1" applyFont="1" applyFill="1" applyBorder="1" applyAlignment="1">
      <alignment horizontal="right"/>
    </xf>
    <xf numFmtId="2" fontId="0" fillId="33" borderId="0" applyNumberFormat="1" applyFont="1" applyFill="1" applyBorder="1"/>
    <xf numFmtId="0" fontId="44" fillId="0" borderId="0" applyFont="1" applyFill="1" applyAlignment="1">
      <alignment horizontal="right"/>
    </xf>
    <xf numFmtId="169" fontId="39" fillId="0" borderId="0" applyNumberFormat="1" applyFont="1" applyFill="1"/>
    <xf numFmtId="17" fontId="39" fillId="0" borderId="0" applyNumberFormat="1" applyFont="1" applyFill="1" applyAlignment="1">
      <alignment horizontal="right"/>
    </xf>
    <xf numFmtId="166" fontId="39" fillId="0" borderId="0" applyNumberFormat="1" applyFont="1" applyFill="1" applyAlignment="1">
      <alignment horizontal="right"/>
    </xf>
    <xf numFmtId="0" fontId="44" fillId="0" borderId="0" applyFont="1" applyFill="1" applyAlignment="1">
      <alignment horizontal="left"/>
    </xf>
    <xf numFmtId="166" fontId="39" fillId="0" borderId="0" applyNumberFormat="1" applyFont="1" applyFill="1"/>
    <xf numFmtId="167" fontId="5" fillId="33" borderId="0" applyNumberFormat="1" applyFont="1" applyFill="1" applyAlignment="1">
      <alignment horizontal="left"/>
    </xf>
    <xf numFmtId="0" fontId="41" fillId="30" borderId="0" applyFont="1" applyFill="1" applyBorder="1" applyAlignment="1">
      <alignment horizontal="center"/>
    </xf>
    <xf numFmtId="0" fontId="50" fillId="0" borderId="0" applyFont="1" applyFill="1" applyAlignment="1">
      <alignment horizontal="centerContinuous"/>
    </xf>
    <xf numFmtId="0" fontId="5" fillId="0" borderId="0" applyFont="1" applyFill="1" applyBorder="1" applyAlignment="1">
      <alignment horizontal="right"/>
    </xf>
    <xf numFmtId="2" fontId="88" fillId="33" borderId="0" applyNumberFormat="1" applyFont="1" applyFill="1" applyBorder="1" applyAlignment="1">
      <alignment horizontal="center"/>
    </xf>
    <xf numFmtId="166" fontId="88" fillId="33" borderId="0" applyNumberFormat="1" applyFont="1" applyFill="1" applyBorder="1" applyAlignment="1">
      <alignment horizontal="center"/>
    </xf>
    <xf numFmtId="2" fontId="88" fillId="0" borderId="0" applyNumberFormat="1" applyFont="1" applyFill="1" applyBorder="1" applyAlignment="1">
      <alignment horizontal="center"/>
    </xf>
    <xf numFmtId="166" fontId="88" fillId="0" borderId="0" applyNumberFormat="1" applyFont="1" applyFill="1" applyBorder="1" applyAlignment="1">
      <alignment horizontal="center"/>
    </xf>
    <xf numFmtId="166" fontId="88" fillId="30" borderId="0" applyNumberFormat="1" applyFont="1" applyFill="1" applyBorder="1" applyAlignment="1">
      <alignment horizontal="center"/>
    </xf>
    <xf numFmtId="0" fontId="88" fillId="30" borderId="0" applyFont="1" applyFill="1" applyBorder="1"/>
    <xf numFmtId="166" fontId="88" fillId="0" borderId="0" applyNumberFormat="1" applyFont="1" applyFill="1"/>
    <xf numFmtId="2" fontId="0" fillId="0" borderId="0" applyNumberFormat="1" applyFont="1" applyFill="1" applyBorder="1" applyAlignment="1">
      <alignment horizontal="center"/>
    </xf>
    <xf numFmtId="0" fontId="39" fillId="30" borderId="0" applyFont="1" applyFill="1" applyBorder="1" applyAlignment="1">
      <alignment horizontal="right" vertical="center"/>
    </xf>
    <xf numFmtId="166" fontId="0" fillId="0" borderId="0" applyNumberFormat="1" applyFont="1" applyFill="1" applyBorder="1"/>
    <xf numFmtId="17" fontId="49" fillId="0" borderId="0" applyNumberFormat="1" applyFont="1" applyFill="1" applyAlignment="1">
      <alignment horizontal="right"/>
    </xf>
    <xf numFmtId="0" fontId="43" fillId="0" borderId="0" applyFont="1" applyFill="1"/>
    <xf numFmtId="166" fontId="0" fillId="0" borderId="0" applyNumberFormat="1" applyFont="1" applyFill="1" applyBorder="1" applyAlignment="1">
      <alignment horizontal="right"/>
    </xf>
    <xf numFmtId="2" fontId="0" fillId="0" borderId="0" applyNumberFormat="1" applyFont="1" applyFill="1" applyBorder="1" applyAlignment="1">
      <alignment horizontal="right"/>
    </xf>
    <xf numFmtId="166" fontId="88" fillId="0" borderId="0" applyNumberFormat="1" applyFont="1" applyFill="1" applyBorder="1"/>
    <xf numFmtId="2" fontId="88" fillId="0" borderId="0" applyNumberFormat="1" applyFont="1" applyFill="1" applyBorder="1"/>
    <xf numFmtId="0" fontId="45" fillId="0" borderId="0" applyFont="1" applyFill="1" applyBorder="1" applyAlignment="1">
      <alignment vertical="center"/>
    </xf>
    <xf numFmtId="0" fontId="39" fillId="0" borderId="0" applyFont="1" applyFill="1" applyAlignment="1">
      <alignment horizontal="right"/>
    </xf>
    <xf numFmtId="0" fontId="40" fillId="0" borderId="0" applyFont="1" applyFill="1" applyAlignment="1">
      <alignment horizontal="right"/>
    </xf>
    <xf numFmtId="0" fontId="0" fillId="0" borderId="0" applyFont="1" applyFill="1" applyAlignment="1">
      <alignment horizontal="right" vertical="center"/>
    </xf>
    <xf numFmtId="0" fontId="44" fillId="0" borderId="0" applyFont="1" applyFill="1"/>
    <xf numFmtId="0" fontId="49" fillId="0" borderId="0" applyFont="1" applyFill="1" applyAlignment="1">
      <alignment horizontal="right" vertical="center"/>
    </xf>
    <xf numFmtId="0" fontId="44" fillId="33" borderId="0" applyFont="1" applyFill="1" applyAlignment="1">
      <alignment horizontal="right"/>
    </xf>
    <xf numFmtId="0" fontId="44" fillId="33" borderId="0" applyFont="1" applyFill="1" applyAlignment="1">
      <alignment horizontal="left"/>
    </xf>
    <xf numFmtId="0" fontId="82" fillId="30" borderId="0" applyFont="1" applyFill="1" applyAlignment="1">
      <alignment horizontal="center"/>
    </xf>
    <xf numFmtId="166" fontId="88" fillId="30" borderId="0" applyNumberFormat="1" applyFont="1" applyFill="1" applyAlignment="1">
      <alignment horizontal="right"/>
    </xf>
    <xf numFmtId="0" fontId="50" fillId="30" borderId="0" applyFont="1" applyFill="1" applyAlignment="1">
      <alignment horizontal="right" vertical="center"/>
    </xf>
    <xf numFmtId="0" fontId="88" fillId="0" borderId="0" applyFont="1" applyFill="1" applyBorder="1"/>
    <xf numFmtId="16" fontId="88" fillId="0" borderId="0" applyNumberFormat="1" applyFont="1" applyFill="1" applyBorder="1"/>
    <xf numFmtId="165" fontId="0" fillId="0" borderId="0" applyNumberFormat="1" applyFont="1" applyFill="1"/>
    <xf numFmtId="16" fontId="43" fillId="0" borderId="0" applyNumberFormat="1" applyFont="1" applyFill="1" applyAlignment="1">
      <alignment horizontal="left"/>
    </xf>
    <xf numFmtId="166" fontId="0" fillId="0" borderId="0" applyNumberFormat="1" applyFont="1" applyFill="1" applyBorder="1"/>
    <xf numFmtId="166" fontId="0" fillId="33" borderId="0" applyNumberFormat="1" applyFont="1" applyFill="1" applyBorder="1"/>
    <xf numFmtId="0" fontId="53" fillId="30" borderId="0" applyFont="1" applyFill="1" applyAlignment="1">
      <alignment horizontal="right"/>
    </xf>
    <xf numFmtId="0" fontId="0" fillId="0" borderId="0" applyFont="1" applyFill="1" applyBorder="1" applyAlignment="1">
      <alignment horizontal="left" vertical="center"/>
    </xf>
    <xf numFmtId="0" fontId="44" fillId="0" borderId="0" applyFont="1" applyFill="1" applyBorder="1" applyAlignment="1">
      <alignment horizontal="center" vertical="center"/>
    </xf>
    <xf numFmtId="0" fontId="0" fillId="0" borderId="0" applyFont="1" applyFill="1" applyBorder="1" applyAlignment="1">
      <alignment horizontal="left" vertical="center"/>
    </xf>
    <xf numFmtId="0" fontId="88" fillId="0" borderId="19" applyFont="1" applyFill="1" applyBorder="1"/>
    <xf numFmtId="0" fontId="39" fillId="0" borderId="0" applyFont="1" applyFill="1" applyAlignment="1">
      <alignment horizontal="right"/>
    </xf>
    <xf numFmtId="2" fontId="0" fillId="0" borderId="0" applyNumberFormat="1" applyFont="1" applyFill="1" applyBorder="1"/>
    <xf numFmtId="166" fontId="44" fillId="0" borderId="0" applyNumberFormat="1" applyFont="1" applyFill="1" applyAlignment="1">
      <alignment horizontal="right"/>
    </xf>
    <xf numFmtId="0" fontId="53" fillId="33" borderId="0" applyFont="1" applyFill="1" applyAlignment="1">
      <alignment horizontal="right"/>
    </xf>
    <xf numFmtId="0" fontId="39" fillId="33" borderId="0" applyFont="1" applyFill="1" applyAlignment="1">
      <alignment horizontal="right"/>
    </xf>
    <xf numFmtId="166" fontId="44" fillId="0" borderId="0" applyNumberFormat="1" applyFont="1" applyFill="1"/>
    <xf numFmtId="169" fontId="44" fillId="0" borderId="0" applyNumberFormat="1" applyFont="1" applyFill="1"/>
    <xf numFmtId="17" fontId="44" fillId="0" borderId="0" applyNumberFormat="1" applyFont="1" applyFill="1" applyAlignment="1">
      <alignment horizontal="right"/>
    </xf>
    <xf numFmtId="166" fontId="44" fillId="0" borderId="0" applyNumberFormat="1" applyFont="1" applyFill="1" applyAlignment="1">
      <alignment horizontal="center" vertical="center"/>
    </xf>
    <xf numFmtId="0" fontId="44" fillId="0" borderId="0" applyFont="1" applyFill="1" applyAlignment="1">
      <alignment horizontal="center" vertical="center"/>
    </xf>
    <xf numFmtId="2" fontId="44" fillId="0" borderId="0" applyNumberFormat="1" applyFont="1" applyFill="1" applyAlignment="1">
      <alignment horizontal="center" vertical="center"/>
    </xf>
    <xf numFmtId="166" fontId="44" fillId="33" borderId="0" applyNumberFormat="1" applyFont="1" applyFill="1" applyAlignment="1">
      <alignment horizontal="center" vertical="center"/>
    </xf>
    <xf numFmtId="0" fontId="44" fillId="33" borderId="0" applyFont="1" applyFill="1" applyAlignment="1">
      <alignment horizontal="center" vertical="center"/>
    </xf>
    <xf numFmtId="2" fontId="44" fillId="33" borderId="0" applyNumberFormat="1" applyFont="1" applyFill="1" applyAlignment="1">
      <alignment horizontal="center" vertical="center"/>
    </xf>
    <xf numFmtId="0" fontId="0" fillId="0" borderId="0" applyFont="1" applyFill="1"/>
    <xf numFmtId="0" fontId="88" fillId="30" borderId="0" applyFont="1" applyFill="1"/>
    <xf numFmtId="49" fontId="0" fillId="0" borderId="0" applyNumberFormat="1" applyFont="1" applyFill="1" applyBorder="1" applyAlignment="1">
      <alignment horizontal="left" vertical="center"/>
    </xf>
    <xf numFmtId="49" fontId="0" fillId="0" borderId="0" applyNumberFormat="1" applyFont="1" applyFill="1"/>
    <xf numFmtId="0" fontId="43" fillId="30" borderId="0" applyFont="1" applyFill="1" applyAlignment="1">
      <alignment horizontal="center"/>
    </xf>
    <xf numFmtId="0" fontId="82" fillId="0" borderId="0" applyFont="1" applyFill="1"/>
    <xf numFmtId="0" fontId="43" fillId="0" borderId="0" applyFont="1" applyFill="1" applyAlignment="1">
      <alignment horizontal="left"/>
    </xf>
    <xf numFmtId="0" fontId="43" fillId="0" borderId="0" applyFont="1" applyFill="1" applyAlignment="1">
      <alignment horizontal="center"/>
    </xf>
    <xf numFmtId="0" fontId="82" fillId="0" borderId="0" applyFont="1" applyFill="1" applyAlignment="1">
      <alignment horizontal="right"/>
    </xf>
    <xf numFmtId="0" fontId="43" fillId="0" borderId="0" applyFont="1" applyFill="1" applyBorder="1" applyAlignment="1">
      <alignment horizontal="left"/>
    </xf>
    <xf numFmtId="16" fontId="82" fillId="30" borderId="0" applyNumberFormat="1" applyFont="1" applyFill="1" applyBorder="1" applyAlignment="1">
      <alignment horizontal="left" textRotation="90" wrapText="1"/>
    </xf>
    <xf numFmtId="0" fontId="82" fillId="0" borderId="0" applyFont="1" applyFill="1"/>
    <xf numFmtId="164" fontId="88" fillId="30" borderId="0" applyNumberFormat="1" applyFont="1" applyFill="1"/>
    <xf numFmtId="0" fontId="82" fillId="0" borderId="0" applyFont="1" applyFill="1" applyBorder="1" applyAlignment="1">
      <alignment horizontal="left" vertical="top" wrapText="1"/>
    </xf>
    <xf numFmtId="166" fontId="88" fillId="0" borderId="0" applyNumberFormat="1" applyFont="1" applyFill="1" applyBorder="1" applyAlignment="1">
      <alignment horizontal="center"/>
    </xf>
    <xf numFmtId="166" fontId="88" fillId="0" borderId="25" applyNumberFormat="1" applyFont="1" applyFill="1" applyBorder="1" applyAlignment="1">
      <alignment horizontal="center"/>
    </xf>
    <xf numFmtId="2" fontId="88" fillId="0" borderId="0" applyNumberFormat="1" applyFont="1" applyFill="1" applyBorder="1" applyAlignment="1">
      <alignment horizontal="center"/>
    </xf>
    <xf numFmtId="166" fontId="0" fillId="0" borderId="0" applyNumberFormat="1" applyFont="1" applyFill="1" applyBorder="1" applyAlignment="1">
      <alignment horizontal="center"/>
    </xf>
    <xf numFmtId="2" fontId="88" fillId="0" borderId="0" applyNumberFormat="1" applyFont="1" applyFill="1"/>
    <xf numFmtId="166" fontId="0" fillId="34" borderId="0" applyNumberFormat="1" applyFont="1" applyFill="1" applyBorder="1" applyAlignment="1">
      <alignment horizontal="right"/>
    </xf>
    <xf numFmtId="2" fontId="0" fillId="34" borderId="0" applyNumberFormat="1" applyFont="1" applyFill="1" applyBorder="1" applyAlignment="1">
      <alignment horizontal="right"/>
    </xf>
    <xf numFmtId="0" fontId="49" fillId="30" borderId="0" applyFont="1" applyFill="1" applyAlignment="1">
      <alignment horizontal="left"/>
    </xf>
    <xf numFmtId="0" fontId="88" fillId="0" borderId="0" applyFont="1" applyFill="1" applyBorder="1"/>
    <xf numFmtId="0" fontId="43" fillId="30" borderId="0" applyFont="1" applyFill="1" applyAlignment="1">
      <alignment horizontal="right"/>
    </xf>
    <xf numFmtId="0" fontId="43" fillId="33" borderId="0" applyFont="1" applyFill="1" applyBorder="1" applyAlignment="1">
      <alignment horizontal="right"/>
    </xf>
    <xf numFmtId="0" fontId="88" fillId="0" borderId="0" applyFont="1" applyFill="1"/>
    <xf numFmtId="0" fontId="0" fillId="0" borderId="0" applyFont="1" applyFill="1" applyAlignment="1">
      <alignment horizontal="center"/>
    </xf>
    <xf numFmtId="0" fontId="0" fillId="0" borderId="0" applyFont="1" applyFill="1" applyBorder="1"/>
    <xf numFmtId="0" fontId="0" fillId="0" borderId="0" applyFont="1" applyFill="1" applyBorder="1" applyAlignment="1">
      <alignment horizontal="right"/>
    </xf>
    <xf numFmtId="0" fontId="0" fillId="0" borderId="0" applyNumberFormat="1" applyFont="1" applyFill="1" applyBorder="1" applyAlignment="1">
      <alignment horizontal="center"/>
    </xf>
    <xf numFmtId="166" fontId="88" fillId="33" borderId="0" applyNumberFormat="1" applyFont="1" applyFill="1" applyBorder="1" applyAlignment="1">
      <alignment horizontal="center"/>
    </xf>
    <xf numFmtId="2" fontId="88" fillId="33" borderId="0" applyNumberFormat="1" applyFont="1" applyFill="1" applyBorder="1" applyAlignment="1">
      <alignment horizontal="center"/>
    </xf>
    <xf numFmtId="0" fontId="43" fillId="30" borderId="0" applyFont="1" applyFill="1" applyBorder="1"/>
    <xf numFmtId="0" fontId="44" fillId="0" borderId="0" applyFont="1" applyFill="1" applyAlignment="1">
      <alignment horizontal="centerContinuous"/>
    </xf>
    <xf numFmtId="0" fontId="50" fillId="0" borderId="0" applyFont="1" applyFill="1" applyAlignment="1">
      <alignment horizontal="right"/>
    </xf>
    <xf numFmtId="0" fontId="0" fillId="0" borderId="0" applyFont="1" applyFill="1" applyBorder="1" applyAlignment="1">
      <alignment horizontal="center"/>
    </xf>
    <xf numFmtId="0" fontId="0" fillId="35" borderId="0" applyFont="1" applyFill="1" applyBorder="1"/>
    <xf numFmtId="0" fontId="0" fillId="35" borderId="0" applyFont="1" applyFill="1"/>
    <xf numFmtId="0" fontId="45" fillId="0" borderId="0" applyFont="1" applyFill="1" applyBorder="1" applyAlignment="1">
      <alignment vertical="center"/>
    </xf>
    <xf numFmtId="166" fontId="0" fillId="0" borderId="26" applyNumberFormat="1" applyFont="1" applyFill="1" applyBorder="1"/>
    <xf numFmtId="166" fontId="0" fillId="0" borderId="27" applyNumberFormat="1" applyFont="1" applyFill="1" applyBorder="1"/>
    <xf numFmtId="166" fontId="0" fillId="33" borderId="28" applyNumberFormat="1" applyFont="1" applyFill="1" applyBorder="1"/>
    <xf numFmtId="166" fontId="0" fillId="33" borderId="29" applyNumberFormat="1" applyFont="1" applyFill="1" applyBorder="1"/>
    <xf numFmtId="166" fontId="0" fillId="0" borderId="28" applyNumberFormat="1" applyFont="1" applyFill="1" applyBorder="1"/>
    <xf numFmtId="166" fontId="0" fillId="0" borderId="29" applyNumberFormat="1" applyFont="1" applyFill="1" applyBorder="1"/>
    <xf numFmtId="166" fontId="0" fillId="33" borderId="30" applyNumberFormat="1" applyFont="1" applyFill="1" applyBorder="1"/>
    <xf numFmtId="166" fontId="0" fillId="33" borderId="31" applyNumberFormat="1" applyFont="1" applyFill="1" applyBorder="1"/>
    <xf numFmtId="166" fontId="0" fillId="0" borderId="32" applyNumberFormat="1" applyFont="1" applyFill="1" applyBorder="1"/>
    <xf numFmtId="166" fontId="0" fillId="0" borderId="27" applyNumberFormat="1" applyFont="1" applyFill="1" applyBorder="1"/>
    <xf numFmtId="166" fontId="0" fillId="33" borderId="29" applyNumberFormat="1" applyFont="1" applyFill="1" applyBorder="1"/>
    <xf numFmtId="166" fontId="0" fillId="0" borderId="29" applyNumberFormat="1" applyFont="1" applyFill="1" applyBorder="1"/>
    <xf numFmtId="166" fontId="0" fillId="33" borderId="33" applyNumberFormat="1" applyFont="1" applyFill="1" applyBorder="1"/>
    <xf numFmtId="166" fontId="0" fillId="33" borderId="31" applyNumberFormat="1" applyFont="1" applyFill="1" applyBorder="1"/>
    <xf numFmtId="0" fontId="39" fillId="0" borderId="0" applyFont="1" applyFill="1" applyBorder="1" applyAlignment="1">
      <alignment horizontal="right" vertical="center"/>
    </xf>
    <xf numFmtId="39" fontId="0" fillId="0" borderId="26" applyNumberFormat="1" applyFont="1" applyFill="1" applyBorder="1"/>
    <xf numFmtId="39" fontId="0" fillId="33" borderId="28" applyNumberFormat="1" applyFont="1" applyFill="1" applyBorder="1"/>
    <xf numFmtId="39" fontId="0" fillId="0" borderId="28" applyNumberFormat="1" applyFont="1" applyFill="1" applyBorder="1"/>
    <xf numFmtId="39" fontId="0" fillId="33" borderId="30" applyNumberFormat="1" applyFont="1" applyFill="1" applyBorder="1"/>
    <xf numFmtId="0" fontId="43" fillId="0" borderId="7" applyFont="1" applyFill="1" applyBorder="1" applyAlignment="1">
      <alignment horizontal="center" wrapText="1"/>
    </xf>
    <xf numFmtId="0" fontId="0" fillId="33" borderId="32" applyFont="1" applyFill="1" applyBorder="1"/>
    <xf numFmtId="0" fontId="0" fillId="33" borderId="32" applyFont="1" applyFill="1" applyBorder="1"/>
    <xf numFmtId="0" fontId="0" fillId="33" borderId="33" applyFont="1" applyFill="1" applyBorder="1"/>
    <xf numFmtId="0" fontId="43" fillId="0" borderId="7" applyFont="1" applyFill="1" applyBorder="1" applyAlignment="1">
      <alignment horizontal="center"/>
    </xf>
    <xf numFmtId="0" fontId="57" fillId="33" borderId="0" applyFont="1" applyFill="1" applyBorder="1" applyAlignment="1">
      <alignment horizontal="right"/>
    </xf>
    <xf numFmtId="0" fontId="5" fillId="0" borderId="23" applyFont="1" applyFill="1" applyBorder="1" applyAlignment="1">
      <alignment horizontal="right"/>
    </xf>
    <xf numFmtId="0" fontId="54" fillId="0" borderId="26" applyFont="1" applyFill="1" applyBorder="1" applyAlignment="1">
      <alignment vertical="center"/>
    </xf>
    <xf numFmtId="0" fontId="88" fillId="0" borderId="32" applyFont="1" applyFill="1" applyBorder="1" applyAlignment="1">
      <alignment vertical="center"/>
    </xf>
    <xf numFmtId="0" fontId="54" fillId="0" borderId="32" applyFont="1" applyFill="1" applyBorder="1" applyAlignment="1">
      <alignment vertical="center"/>
    </xf>
    <xf numFmtId="0" fontId="54" fillId="0" borderId="27" applyFont="1" applyFill="1" applyBorder="1" applyAlignment="1">
      <alignment vertical="center"/>
    </xf>
    <xf numFmtId="0" fontId="41" fillId="0" borderId="30" applyFont="1" applyFill="1" applyBorder="1" applyAlignment="1">
      <alignment horizontal="center"/>
    </xf>
    <xf numFmtId="0" fontId="41" fillId="0" borderId="33" applyFont="1" applyFill="1" applyBorder="1" applyAlignment="1">
      <alignment horizontal="center"/>
    </xf>
    <xf numFmtId="0" fontId="41" fillId="0" borderId="31" applyFont="1" applyFill="1" applyBorder="1" applyAlignment="1">
      <alignment horizontal="center"/>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0" fontId="43" fillId="33" borderId="34" applyFont="1" applyFill="1" applyBorder="1"/>
    <xf numFmtId="0" fontId="43" fillId="33" borderId="35" applyFont="1" applyFill="1" applyBorder="1"/>
    <xf numFmtId="0" fontId="43" fillId="33" borderId="36" applyFont="1" applyFill="1" applyBorder="1"/>
    <xf numFmtId="0" fontId="62" fillId="35" borderId="0" applyFont="1" applyFill="1"/>
    <xf numFmtId="168" fontId="62" fillId="35" borderId="0" applyNumberFormat="1" applyFont="1" applyFill="1"/>
    <xf numFmtId="0" fontId="20" fillId="0" borderId="7" applyFont="1" applyFill="1" applyBorder="1" applyAlignment="1">
      <alignment horizontal="center"/>
    </xf>
    <xf numFmtId="0" fontId="5" fillId="0" borderId="26" applyFont="1" applyFill="1" applyBorder="1" applyAlignment="1">
      <alignment horizontal="center"/>
    </xf>
    <xf numFmtId="0" fontId="5" fillId="0" borderId="27" applyFont="1" applyFill="1" applyBorder="1" applyAlignment="1">
      <alignment horizontal="center"/>
    </xf>
    <xf numFmtId="0" fontId="5" fillId="33" borderId="28" applyFont="1" applyFill="1" applyBorder="1" applyAlignment="1">
      <alignment horizontal="center"/>
    </xf>
    <xf numFmtId="0" fontId="5" fillId="33" borderId="29" applyFont="1" applyFill="1" applyBorder="1" applyAlignment="1">
      <alignment horizontal="center"/>
    </xf>
    <xf numFmtId="0" fontId="5" fillId="0" borderId="28" applyFont="1" applyFill="1" applyBorder="1" applyAlignment="1">
      <alignment horizontal="center"/>
    </xf>
    <xf numFmtId="0" fontId="5" fillId="0" borderId="29" applyFont="1" applyFill="1" applyBorder="1" applyAlignment="1">
      <alignment horizontal="center"/>
    </xf>
    <xf numFmtId="0" fontId="5" fillId="33" borderId="30" applyFont="1" applyFill="1" applyBorder="1" applyAlignment="1">
      <alignment horizontal="center"/>
    </xf>
    <xf numFmtId="0" fontId="5" fillId="33" borderId="31" applyFont="1" applyFill="1" applyBorder="1" applyAlignment="1">
      <alignment horizontal="center"/>
    </xf>
    <xf numFmtId="3" fontId="0" fillId="0" borderId="37" applyNumberFormat="1" applyFont="1" applyFill="1" applyBorder="1"/>
    <xf numFmtId="3" fontId="88" fillId="33" borderId="38" applyNumberFormat="1" applyFont="1" applyFill="1" applyBorder="1"/>
    <xf numFmtId="3" fontId="0" fillId="0" borderId="38" applyNumberFormat="1" applyFont="1" applyFill="1" applyBorder="1"/>
    <xf numFmtId="3" fontId="88" fillId="33" borderId="39" applyNumberFormat="1" applyFont="1" applyFill="1" applyBorder="1"/>
    <xf numFmtId="0" fontId="43" fillId="0" borderId="7" applyFont="1" applyFill="1" applyBorder="1"/>
    <xf numFmtId="0" fontId="0" fillId="0" borderId="0" applyFont="1" applyFill="1" applyBorder="1" applyAlignment="1">
      <alignment horizontal="left"/>
    </xf>
    <xf numFmtId="0" fontId="43" fillId="0" borderId="37" applyFont="1" applyFill="1" applyBorder="1" applyAlignment="1">
      <alignment horizontal="center"/>
    </xf>
    <xf numFmtId="0" fontId="43" fillId="0" borderId="37" applyFont="1" applyFill="1" applyBorder="1"/>
    <xf numFmtId="0" fontId="0" fillId="30" borderId="37" applyFont="1" applyFill="1" applyBorder="1" applyAlignment="1">
      <alignment horizontal="left"/>
    </xf>
    <xf numFmtId="0" fontId="0" fillId="30" borderId="38" applyFont="1" applyFill="1" applyBorder="1" applyAlignment="1">
      <alignment horizontal="left"/>
    </xf>
    <xf numFmtId="0" fontId="0" fillId="30" borderId="39" applyFont="1" applyFill="1" applyBorder="1" applyAlignment="1">
      <alignment horizontal="left"/>
    </xf>
    <xf numFmtId="0" fontId="0" fillId="0" borderId="37" applyFont="1" applyFill="1" applyBorder="1" applyAlignment="1">
      <alignment horizontal="left"/>
    </xf>
    <xf numFmtId="0" fontId="0" fillId="33" borderId="38" applyFont="1" applyFill="1" applyBorder="1" applyAlignment="1">
      <alignment horizontal="left"/>
    </xf>
    <xf numFmtId="0" fontId="0" fillId="0" borderId="38" applyFont="1" applyFill="1" applyBorder="1" applyAlignment="1">
      <alignment horizontal="left"/>
    </xf>
    <xf numFmtId="0" fontId="0" fillId="33" borderId="39" applyFont="1" applyFill="1" applyBorder="1" applyAlignment="1">
      <alignment horizontal="left"/>
    </xf>
    <xf numFmtId="166" fontId="0" fillId="0" borderId="26" applyNumberFormat="1" applyFont="1" applyFill="1" applyBorder="1" applyAlignment="1">
      <alignment horizontal="right"/>
    </xf>
    <xf numFmtId="166" fontId="0" fillId="0" borderId="32" applyNumberFormat="1" applyFont="1" applyFill="1" applyBorder="1" applyAlignment="1">
      <alignment horizontal="right"/>
    </xf>
    <xf numFmtId="166" fontId="0" fillId="0" borderId="27" applyNumberFormat="1" applyFont="1" applyFill="1" applyBorder="1" applyAlignment="1">
      <alignment horizontal="right"/>
    </xf>
    <xf numFmtId="166" fontId="0" fillId="33" borderId="28" applyNumberFormat="1" applyFont="1" applyFill="1" applyBorder="1" applyAlignment="1">
      <alignment horizontal="right"/>
    </xf>
    <xf numFmtId="166" fontId="0" fillId="33" borderId="29" applyNumberFormat="1" applyFont="1" applyFill="1" applyBorder="1" applyAlignment="1">
      <alignment horizontal="right"/>
    </xf>
    <xf numFmtId="166" fontId="0" fillId="0" borderId="28" applyNumberFormat="1" applyFont="1" applyFill="1" applyBorder="1" applyAlignment="1">
      <alignment horizontal="right"/>
    </xf>
    <xf numFmtId="166" fontId="0" fillId="0" borderId="29" applyNumberFormat="1" applyFont="1" applyFill="1" applyBorder="1" applyAlignment="1">
      <alignment horizontal="right"/>
    </xf>
    <xf numFmtId="166" fontId="0" fillId="33" borderId="30" applyNumberFormat="1" applyFont="1" applyFill="1" applyBorder="1" applyAlignment="1">
      <alignment horizontal="right"/>
    </xf>
    <xf numFmtId="166" fontId="0" fillId="33" borderId="33" applyNumberFormat="1" applyFont="1" applyFill="1" applyBorder="1" applyAlignment="1">
      <alignment horizontal="right"/>
    </xf>
    <xf numFmtId="166" fontId="0" fillId="33" borderId="31" applyNumberFormat="1" applyFont="1" applyFill="1" applyBorder="1" applyAlignment="1">
      <alignment horizontal="right"/>
    </xf>
    <xf numFmtId="2" fontId="0" fillId="0" borderId="26" applyNumberFormat="1" applyFont="1" applyFill="1" applyBorder="1" applyAlignment="1">
      <alignment horizontal="right"/>
    </xf>
    <xf numFmtId="2" fontId="0" fillId="0" borderId="32" applyNumberFormat="1" applyFont="1" applyFill="1" applyBorder="1" applyAlignment="1">
      <alignment horizontal="right"/>
    </xf>
    <xf numFmtId="2" fontId="0" fillId="33" borderId="28" applyNumberFormat="1" applyFont="1" applyFill="1" applyBorder="1" applyAlignment="1">
      <alignment horizontal="right"/>
    </xf>
    <xf numFmtId="2" fontId="0" fillId="0" borderId="28" applyNumberFormat="1" applyFont="1" applyFill="1" applyBorder="1" applyAlignment="1">
      <alignment horizontal="right"/>
    </xf>
    <xf numFmtId="2" fontId="0" fillId="33" borderId="30" applyNumberFormat="1" applyFont="1" applyFill="1" applyBorder="1" applyAlignment="1">
      <alignment horizontal="right"/>
    </xf>
    <xf numFmtId="2" fontId="0" fillId="33" borderId="33" applyNumberFormat="1" applyFont="1" applyFill="1" applyBorder="1" applyAlignment="1">
      <alignment horizontal="right"/>
    </xf>
    <xf numFmtId="0" fontId="0" fillId="30" borderId="37" applyFont="1" applyFill="1" applyBorder="1"/>
    <xf numFmtId="0" fontId="0" fillId="30" borderId="38" applyFont="1" applyFill="1" applyBorder="1"/>
    <xf numFmtId="0" fontId="0" fillId="30" borderId="39" applyFont="1" applyFill="1" applyBorder="1"/>
    <xf numFmtId="2" fontId="0" fillId="0" borderId="26" applyNumberFormat="1" applyFont="1" applyFill="1" applyBorder="1"/>
    <xf numFmtId="166" fontId="0" fillId="0" borderId="32" applyNumberFormat="1" applyFont="1" applyFill="1" applyBorder="1"/>
    <xf numFmtId="2" fontId="0" fillId="0" borderId="32" applyNumberFormat="1" applyFont="1" applyFill="1" applyBorder="1"/>
    <xf numFmtId="2" fontId="0" fillId="33" borderId="28" applyNumberFormat="1" applyFont="1" applyFill="1" applyBorder="1"/>
    <xf numFmtId="2" fontId="0" fillId="0" borderId="28" applyNumberFormat="1" applyFont="1" applyFill="1" applyBorder="1"/>
    <xf numFmtId="166" fontId="0" fillId="0" borderId="29" applyNumberFormat="1" applyFont="1" applyFill="1" applyBorder="1"/>
    <xf numFmtId="2" fontId="0" fillId="33" borderId="30" applyNumberFormat="1" applyFont="1" applyFill="1" applyBorder="1"/>
    <xf numFmtId="166" fontId="0" fillId="33" borderId="33" applyNumberFormat="1" applyFont="1" applyFill="1" applyBorder="1"/>
    <xf numFmtId="2" fontId="0" fillId="33" borderId="33" applyNumberFormat="1" applyFont="1" applyFill="1" applyBorder="1"/>
    <xf numFmtId="2" fontId="88" fillId="0" borderId="28" applyNumberFormat="1" applyFont="1" applyFill="1" applyBorder="1"/>
    <xf numFmtId="166" fontId="88" fillId="0" borderId="29" applyNumberFormat="1" applyFont="1" applyFill="1" applyBorder="1"/>
    <xf numFmtId="2" fontId="88" fillId="33" borderId="30" applyNumberFormat="1" applyFont="1" applyFill="1" applyBorder="1"/>
    <xf numFmtId="166" fontId="88" fillId="33" borderId="33" applyNumberFormat="1" applyFont="1" applyFill="1" applyBorder="1"/>
    <xf numFmtId="2" fontId="88" fillId="33" borderId="33" applyNumberFormat="1" applyFont="1" applyFill="1" applyBorder="1"/>
    <xf numFmtId="166" fontId="88" fillId="33" borderId="31" applyNumberFormat="1" applyFont="1" applyFill="1" applyBorder="1"/>
    <xf numFmtId="166" fontId="0" fillId="0" borderId="28" applyNumberFormat="1" applyFont="1" applyFill="1" applyBorder="1"/>
    <xf numFmtId="166" fontId="88" fillId="0" borderId="28" applyNumberFormat="1" applyFont="1" applyFill="1" applyBorder="1"/>
    <xf numFmtId="166" fontId="88" fillId="33" borderId="30" applyNumberFormat="1" applyFont="1" applyFill="1" applyBorder="1"/>
    <xf numFmtId="0" fontId="88" fillId="0" borderId="37" applyFont="1" applyFill="1" applyBorder="1" applyAlignment="1">
      <alignment wrapText="1"/>
    </xf>
    <xf numFmtId="0" fontId="0" fillId="0" borderId="38" applyFont="1" applyFill="1" applyBorder="1"/>
    <xf numFmtId="0" fontId="0" fillId="0" borderId="39" applyFont="1" applyFill="1" applyBorder="1"/>
    <xf numFmtId="0" fontId="88" fillId="0" borderId="37" applyFont="1" applyFill="1" applyBorder="1"/>
    <xf numFmtId="0" fontId="0" fillId="0" borderId="37" applyFont="1" applyFill="1" applyBorder="1"/>
    <xf numFmtId="0" fontId="0" fillId="33" borderId="39" applyFont="1" applyFill="1" applyBorder="1"/>
    <xf numFmtId="0" fontId="21" fillId="0" borderId="26" applyFont="1" applyFill="1" applyBorder="1" applyAlignment="1">
      <alignment horizontal="left"/>
    </xf>
    <xf numFmtId="0" fontId="21" fillId="0" borderId="32" applyFont="1" applyFill="1" applyBorder="1" applyAlignment="1">
      <alignment horizontal="left"/>
    </xf>
    <xf numFmtId="0" fontId="21" fillId="0" borderId="32" applyFont="1" applyFill="1" applyBorder="1"/>
    <xf numFmtId="0" fontId="21" fillId="0" borderId="27" applyFont="1" applyFill="1" applyBorder="1"/>
    <xf numFmtId="0" fontId="22" fillId="0" borderId="30" applyFont="1" applyFill="1" applyBorder="1" applyAlignment="1">
      <alignment horizontal="center"/>
    </xf>
    <xf numFmtId="0" fontId="22" fillId="0" borderId="33" applyFont="1" applyFill="1" applyBorder="1" applyAlignment="1">
      <alignment horizontal="center"/>
    </xf>
    <xf numFmtId="0" fontId="22" fillId="0" borderId="31" applyFont="1" applyFill="1" applyBorder="1" applyAlignment="1">
      <alignment horizontal="center"/>
    </xf>
    <xf numFmtId="0" fontId="43" fillId="33" borderId="34" applyNumberFormat="1" applyFont="1" applyFill="1" applyBorder="1" applyAlignment="1">
      <alignment horizontal="center"/>
    </xf>
    <xf numFmtId="0" fontId="43" fillId="33" borderId="35" applyNumberFormat="1" applyFont="1" applyFill="1" applyBorder="1" applyAlignment="1">
      <alignment horizontal="center"/>
    </xf>
    <xf numFmtId="0" fontId="43" fillId="33" borderId="36" applyNumberFormat="1" applyFont="1" applyFill="1" applyBorder="1" applyAlignment="1">
      <alignment horizontal="center"/>
    </xf>
    <xf numFmtId="0" fontId="5" fillId="0" borderId="23" applyFont="1" applyFill="1" applyBorder="1" applyAlignment="1">
      <alignment horizontal="right"/>
    </xf>
    <xf numFmtId="0" fontId="43" fillId="34" borderId="40" applyFont="1" applyFill="1" applyBorder="1" applyAlignment="1">
      <alignment horizontal="right"/>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0" fontId="43" fillId="33" borderId="34" applyNumberFormat="1" applyFont="1" applyFill="1" applyBorder="1" applyAlignment="1">
      <alignment horizontal="center"/>
    </xf>
    <xf numFmtId="0" fontId="43" fillId="33" borderId="35" applyNumberFormat="1" applyFont="1" applyFill="1" applyBorder="1" applyAlignment="1">
      <alignment horizontal="center"/>
    </xf>
    <xf numFmtId="0" fontId="43" fillId="33" borderId="36" applyNumberFormat="1" applyFont="1" applyFill="1" applyBorder="1" applyAlignment="1">
      <alignment horizontal="center"/>
    </xf>
    <xf numFmtId="0" fontId="0" fillId="0" borderId="37" applyFont="1" applyFill="1" applyBorder="1" applyAlignment="1">
      <alignment horizontal="left"/>
    </xf>
    <xf numFmtId="0" fontId="0" fillId="0" borderId="39" applyFont="1" applyFill="1" applyBorder="1" applyAlignment="1">
      <alignment horizontal="left"/>
    </xf>
    <xf numFmtId="166" fontId="0" fillId="0" borderId="26" applyNumberFormat="1" applyFont="1" applyFill="1" applyBorder="1" applyAlignment="1">
      <alignment horizontal="right"/>
    </xf>
    <xf numFmtId="166" fontId="0" fillId="0" borderId="32" applyNumberFormat="1" applyFont="1" applyFill="1" applyBorder="1" applyAlignment="1">
      <alignment horizontal="right"/>
    </xf>
    <xf numFmtId="166" fontId="0" fillId="0" borderId="27" applyNumberFormat="1" applyFont="1" applyFill="1" applyBorder="1" applyAlignment="1">
      <alignment horizontal="right"/>
    </xf>
    <xf numFmtId="166" fontId="0" fillId="0" borderId="30" applyNumberFormat="1" applyFont="1" applyFill="1" applyBorder="1" applyAlignment="1">
      <alignment horizontal="right"/>
    </xf>
    <xf numFmtId="166" fontId="0" fillId="0" borderId="33" applyNumberFormat="1" applyFont="1" applyFill="1" applyBorder="1" applyAlignment="1">
      <alignment horizontal="right"/>
    </xf>
    <xf numFmtId="166" fontId="0" fillId="0" borderId="31" applyNumberFormat="1" applyFont="1" applyFill="1" applyBorder="1" applyAlignment="1">
      <alignment horizontal="right"/>
    </xf>
    <xf numFmtId="2" fontId="0" fillId="0" borderId="26" applyNumberFormat="1" applyFont="1" applyFill="1" applyBorder="1" applyAlignment="1">
      <alignment horizontal="right"/>
    </xf>
    <xf numFmtId="2" fontId="0" fillId="0" borderId="32" applyNumberFormat="1" applyFont="1" applyFill="1" applyBorder="1" applyAlignment="1">
      <alignment horizontal="right"/>
    </xf>
    <xf numFmtId="2" fontId="0" fillId="0" borderId="30" applyNumberFormat="1" applyFont="1" applyFill="1" applyBorder="1" applyAlignment="1">
      <alignment horizontal="right"/>
    </xf>
    <xf numFmtId="2" fontId="0" fillId="0" borderId="33" applyNumberFormat="1" applyFont="1" applyFill="1" applyBorder="1" applyAlignment="1">
      <alignment horizontal="right"/>
    </xf>
    <xf numFmtId="2" fontId="0" fillId="0" borderId="34" applyNumberFormat="1" applyFont="1" applyFill="1" applyBorder="1" applyAlignment="1">
      <alignment horizontal="right"/>
    </xf>
    <xf numFmtId="166" fontId="0" fillId="0" borderId="35" applyNumberFormat="1" applyFont="1" applyFill="1" applyBorder="1" applyAlignment="1">
      <alignment horizontal="right"/>
    </xf>
    <xf numFmtId="2" fontId="0" fillId="0" borderId="35" applyNumberFormat="1" applyFont="1" applyFill="1" applyBorder="1" applyAlignment="1">
      <alignment horizontal="right"/>
    </xf>
    <xf numFmtId="166" fontId="0" fillId="0" borderId="36" applyNumberFormat="1" applyFont="1" applyFill="1" applyBorder="1" applyAlignment="1">
      <alignment horizontal="right"/>
    </xf>
    <xf numFmtId="166" fontId="0" fillId="0" borderId="34" applyNumberFormat="1" applyFont="1" applyFill="1" applyBorder="1" applyAlignment="1">
      <alignment horizontal="right"/>
    </xf>
    <xf numFmtId="0" fontId="0" fillId="34" borderId="37" applyFont="1" applyFill="1" applyBorder="1" applyAlignment="1">
      <alignment horizontal="left"/>
    </xf>
    <xf numFmtId="0" fontId="0" fillId="34" borderId="38" applyFont="1" applyFill="1" applyBorder="1" applyAlignment="1">
      <alignment horizontal="left"/>
    </xf>
    <xf numFmtId="0" fontId="0" fillId="34" borderId="39" applyFont="1" applyFill="1" applyBorder="1" applyAlignment="1">
      <alignment horizontal="left"/>
    </xf>
    <xf numFmtId="166" fontId="0" fillId="34" borderId="26" applyNumberFormat="1" applyFont="1" applyFill="1" applyBorder="1" applyAlignment="1">
      <alignment horizontal="right"/>
    </xf>
    <xf numFmtId="166" fontId="0" fillId="34" borderId="32" applyNumberFormat="1" applyFont="1" applyFill="1" applyBorder="1" applyAlignment="1">
      <alignment horizontal="right"/>
    </xf>
    <xf numFmtId="166" fontId="0" fillId="34" borderId="27" applyNumberFormat="1" applyFont="1" applyFill="1" applyBorder="1" applyAlignment="1">
      <alignment horizontal="right"/>
    </xf>
    <xf numFmtId="166" fontId="0" fillId="34" borderId="28" applyNumberFormat="1" applyFont="1" applyFill="1" applyBorder="1" applyAlignment="1">
      <alignment horizontal="right"/>
    </xf>
    <xf numFmtId="166" fontId="0" fillId="34" borderId="29" applyNumberFormat="1" applyFont="1" applyFill="1" applyBorder="1" applyAlignment="1">
      <alignment horizontal="right"/>
    </xf>
    <xf numFmtId="166" fontId="0" fillId="34" borderId="30" applyNumberFormat="1" applyFont="1" applyFill="1" applyBorder="1" applyAlignment="1">
      <alignment horizontal="right"/>
    </xf>
    <xf numFmtId="166" fontId="0" fillId="34" borderId="33" applyNumberFormat="1" applyFont="1" applyFill="1" applyBorder="1" applyAlignment="1">
      <alignment horizontal="right"/>
    </xf>
    <xf numFmtId="166" fontId="0" fillId="34" borderId="31" applyNumberFormat="1" applyFont="1" applyFill="1" applyBorder="1" applyAlignment="1">
      <alignment horizontal="right"/>
    </xf>
    <xf numFmtId="166" fontId="0" fillId="34" borderId="34" applyNumberFormat="1" applyFont="1" applyFill="1" applyBorder="1" applyAlignment="1">
      <alignment horizontal="right"/>
    </xf>
    <xf numFmtId="166" fontId="0" fillId="34" borderId="35" applyNumberFormat="1" applyFont="1" applyFill="1" applyBorder="1" applyAlignment="1">
      <alignment horizontal="right"/>
    </xf>
    <xf numFmtId="166" fontId="0" fillId="34" borderId="36" applyNumberFormat="1" applyFont="1" applyFill="1" applyBorder="1" applyAlignment="1">
      <alignment horizontal="right"/>
    </xf>
    <xf numFmtId="2" fontId="0" fillId="34" borderId="26" applyNumberFormat="1" applyFont="1" applyFill="1" applyBorder="1" applyAlignment="1">
      <alignment horizontal="right"/>
    </xf>
    <xf numFmtId="2" fontId="0" fillId="34" borderId="32" applyNumberFormat="1" applyFont="1" applyFill="1" applyBorder="1" applyAlignment="1">
      <alignment horizontal="right"/>
    </xf>
    <xf numFmtId="2" fontId="0" fillId="34" borderId="28" applyNumberFormat="1" applyFont="1" applyFill="1" applyBorder="1" applyAlignment="1">
      <alignment horizontal="right"/>
    </xf>
    <xf numFmtId="2" fontId="0" fillId="34" borderId="30" applyNumberFormat="1" applyFont="1" applyFill="1" applyBorder="1" applyAlignment="1">
      <alignment horizontal="right"/>
    </xf>
    <xf numFmtId="2" fontId="0" fillId="34" borderId="33" applyNumberFormat="1" applyFont="1" applyFill="1" applyBorder="1" applyAlignment="1">
      <alignment horizontal="right"/>
    </xf>
    <xf numFmtId="2" fontId="0" fillId="34" borderId="34" applyNumberFormat="1" applyFont="1" applyFill="1" applyBorder="1" applyAlignment="1">
      <alignment horizontal="right"/>
    </xf>
    <xf numFmtId="2" fontId="0" fillId="34" borderId="35" applyNumberFormat="1" applyFont="1" applyFill="1" applyBorder="1" applyAlignment="1">
      <alignment horizontal="right"/>
    </xf>
    <xf numFmtId="0" fontId="88" fillId="0" borderId="19" applyFont="1" applyFill="1" applyBorder="1"/>
    <xf numFmtId="0" fontId="88" fillId="30" borderId="41" applyFont="1" applyFill="1" applyBorder="1"/>
    <xf numFmtId="0" fontId="27" fillId="0" borderId="34" applyFont="1" applyFill="1" applyBorder="1" applyAlignment="1">
      <alignment horizontal="center" wrapText="1"/>
    </xf>
    <xf numFmtId="0" fontId="27" fillId="0" borderId="35" applyFont="1" applyFill="1" applyBorder="1" applyAlignment="1">
      <alignment horizontal="center" wrapText="1"/>
    </xf>
    <xf numFmtId="0" fontId="27" fillId="0" borderId="36" applyFont="1" applyFill="1" applyBorder="1" applyAlignment="1">
      <alignment horizontal="center" wrapText="1"/>
    </xf>
    <xf numFmtId="166" fontId="0" fillId="0" borderId="26" applyNumberFormat="1" applyFont="1" applyFill="1" applyBorder="1" applyAlignment="1">
      <alignment horizontal="center"/>
    </xf>
    <xf numFmtId="166" fontId="0" fillId="0" borderId="32" applyNumberFormat="1" applyFont="1" applyFill="1" applyBorder="1" applyAlignment="1">
      <alignment horizontal="center"/>
    </xf>
    <xf numFmtId="166" fontId="0" fillId="0" borderId="27" applyNumberFormat="1" applyFont="1" applyFill="1" applyBorder="1" applyAlignment="1">
      <alignment horizontal="center"/>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0" borderId="28" applyNumberFormat="1" applyFont="1" applyFill="1" applyBorder="1" applyAlignment="1">
      <alignment horizontal="center"/>
    </xf>
    <xf numFmtId="166" fontId="88" fillId="0"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0" fontId="5" fillId="0" borderId="30" applyFont="1" applyFill="1" applyBorder="1" applyAlignment="1">
      <alignment horizontal="center"/>
    </xf>
    <xf numFmtId="0" fontId="5" fillId="0" borderId="31" applyFont="1" applyFill="1" applyBorder="1" applyAlignment="1">
      <alignment horizontal="center"/>
    </xf>
    <xf numFmtId="166" fontId="88" fillId="0" borderId="26" applyNumberFormat="1" applyFont="1" applyFill="1" applyBorder="1" applyAlignment="1">
      <alignment horizontal="center"/>
    </xf>
    <xf numFmtId="166" fontId="88" fillId="0" borderId="32" applyNumberFormat="1" applyFont="1" applyFill="1" applyBorder="1" applyAlignment="1">
      <alignment horizontal="center"/>
    </xf>
    <xf numFmtId="166" fontId="88" fillId="0" borderId="27" applyNumberFormat="1" applyFont="1" applyFill="1" applyBorder="1" applyAlignment="1">
      <alignment horizontal="center"/>
    </xf>
    <xf numFmtId="166" fontId="88" fillId="0" borderId="30" applyNumberFormat="1" applyFont="1" applyFill="1" applyBorder="1" applyAlignment="1">
      <alignment horizontal="center"/>
    </xf>
    <xf numFmtId="166" fontId="88" fillId="0" borderId="33" applyNumberFormat="1" applyFont="1" applyFill="1" applyBorder="1" applyAlignment="1">
      <alignment horizontal="center"/>
    </xf>
    <xf numFmtId="166" fontId="88" fillId="0" borderId="31" applyNumberFormat="1" applyFont="1" applyFill="1" applyBorder="1" applyAlignment="1">
      <alignment horizontal="center"/>
    </xf>
    <xf numFmtId="0" fontId="88" fillId="30" borderId="41" applyFont="1" applyFill="1" applyBorder="1"/>
    <xf numFmtId="2" fontId="0" fillId="0" borderId="26" applyNumberFormat="1" applyFont="1" applyFill="1" applyBorder="1" applyAlignment="1">
      <alignment horizontal="center"/>
    </xf>
    <xf numFmtId="2" fontId="0" fillId="0" borderId="32" applyNumberFormat="1" applyFont="1" applyFill="1" applyBorder="1" applyAlignment="1">
      <alignment horizontal="center"/>
    </xf>
    <xf numFmtId="2" fontId="0" fillId="0" borderId="27" applyNumberFormat="1" applyFont="1" applyFill="1" applyBorder="1" applyAlignment="1">
      <alignment horizontal="center"/>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2" fontId="88" fillId="0" borderId="28" applyNumberFormat="1" applyFont="1" applyFill="1" applyBorder="1" applyAlignment="1">
      <alignment horizontal="center"/>
    </xf>
    <xf numFmtId="2" fontId="88" fillId="0" borderId="29" applyNumberFormat="1" applyFont="1" applyFill="1" applyBorder="1" applyAlignment="1">
      <alignment horizontal="center"/>
    </xf>
    <xf numFmtId="2" fontId="0" fillId="0" borderId="28" applyNumberFormat="1" applyFont="1" applyFill="1" applyBorder="1" applyAlignment="1">
      <alignment horizontal="center"/>
    </xf>
    <xf numFmtId="2" fontId="0" fillId="0" borderId="29" applyNumberFormat="1" applyFont="1" applyFill="1" applyBorder="1" applyAlignment="1">
      <alignment horizontal="center"/>
    </xf>
    <xf numFmtId="2" fontId="88" fillId="33" borderId="30" applyNumberFormat="1" applyFont="1" applyFill="1" applyBorder="1" applyAlignment="1">
      <alignment horizontal="center"/>
    </xf>
    <xf numFmtId="2" fontId="88" fillId="33" borderId="33" applyNumberFormat="1" applyFont="1" applyFill="1" applyBorder="1" applyAlignment="1">
      <alignment horizontal="center"/>
    </xf>
    <xf numFmtId="2" fontId="88" fillId="33" borderId="31" applyNumberFormat="1" applyFont="1" applyFill="1" applyBorder="1" applyAlignment="1">
      <alignment horizontal="center"/>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0" borderId="28" applyNumberFormat="1" applyFont="1" applyFill="1" applyBorder="1" applyAlignment="1">
      <alignment horizontal="center"/>
    </xf>
    <xf numFmtId="166" fontId="88" fillId="0"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0" fontId="88" fillId="0" borderId="42" applyFont="1" applyFill="1" applyBorder="1"/>
    <xf numFmtId="2" fontId="88" fillId="0" borderId="26" applyNumberFormat="1" applyFont="1" applyFill="1" applyBorder="1" applyAlignment="1">
      <alignment horizontal="center"/>
    </xf>
    <xf numFmtId="2" fontId="88" fillId="0" borderId="32" applyNumberFormat="1" applyFont="1" applyFill="1" applyBorder="1" applyAlignment="1">
      <alignment horizontal="center"/>
    </xf>
    <xf numFmtId="2" fontId="88" fillId="0" borderId="27" applyNumberFormat="1" applyFont="1" applyFill="1" applyBorder="1" applyAlignment="1">
      <alignment horizontal="center"/>
    </xf>
    <xf numFmtId="2" fontId="88" fillId="0" borderId="30" applyNumberFormat="1" applyFont="1" applyFill="1" applyBorder="1" applyAlignment="1">
      <alignment horizontal="center"/>
    </xf>
    <xf numFmtId="2" fontId="88" fillId="0" borderId="33" applyNumberFormat="1" applyFont="1" applyFill="1" applyBorder="1" applyAlignment="1">
      <alignment horizontal="center"/>
    </xf>
    <xf numFmtId="2" fontId="88" fillId="0" borderId="31" applyNumberFormat="1" applyFont="1" applyFill="1" applyBorder="1" applyAlignment="1">
      <alignment horizontal="center"/>
    </xf>
    <xf numFmtId="166" fontId="88" fillId="0" borderId="26" applyNumberFormat="1" applyFont="1" applyFill="1" applyBorder="1" applyAlignment="1">
      <alignment horizontal="center"/>
    </xf>
    <xf numFmtId="166" fontId="88" fillId="0" borderId="32" applyNumberFormat="1" applyFont="1" applyFill="1" applyBorder="1" applyAlignment="1">
      <alignment horizontal="center"/>
    </xf>
    <xf numFmtId="166" fontId="88" fillId="0" borderId="27" applyNumberFormat="1" applyFont="1" applyFill="1" applyBorder="1" applyAlignment="1">
      <alignment horizontal="center"/>
    </xf>
    <xf numFmtId="166" fontId="88" fillId="0" borderId="30" applyNumberFormat="1" applyFont="1" applyFill="1" applyBorder="1" applyAlignment="1">
      <alignment horizontal="center"/>
    </xf>
    <xf numFmtId="166" fontId="88" fillId="0" borderId="33" applyNumberFormat="1" applyFont="1" applyFill="1" applyBorder="1" applyAlignment="1">
      <alignment horizontal="center"/>
    </xf>
    <xf numFmtId="166" fontId="88" fillId="0" borderId="31" applyNumberFormat="1" applyFont="1" applyFill="1" applyBorder="1" applyAlignment="1">
      <alignment horizontal="center"/>
    </xf>
    <xf numFmtId="0" fontId="0" fillId="35" borderId="0" applyFont="1" applyFill="1" applyAlignment="1">
      <alignment horizontal="left"/>
    </xf>
    <xf numFmtId="0" fontId="52" fillId="30" borderId="41" applyFont="1" applyFill="1" applyBorder="1"/>
    <xf numFmtId="166" fontId="88" fillId="0" borderId="34" applyNumberFormat="1" applyFont="1" applyFill="1" applyBorder="1" applyAlignment="1">
      <alignment horizontal="center"/>
    </xf>
    <xf numFmtId="166" fontId="88" fillId="0" borderId="35" applyNumberFormat="1" applyFont="1" applyFill="1" applyBorder="1" applyAlignment="1">
      <alignment horizontal="center"/>
    </xf>
    <xf numFmtId="166" fontId="88" fillId="0" borderId="36" applyNumberFormat="1" applyFont="1" applyFill="1" applyBorder="1" applyAlignment="1">
      <alignment horizontal="center"/>
    </xf>
    <xf numFmtId="166" fontId="88" fillId="0" borderId="26" applyNumberFormat="1" applyFont="1" applyFill="1" applyBorder="1" applyAlignment="1">
      <alignment horizontal="center"/>
    </xf>
    <xf numFmtId="166" fontId="88" fillId="0" borderId="32" applyNumberFormat="1" applyFont="1" applyFill="1" applyBorder="1" applyAlignment="1">
      <alignment horizontal="center"/>
    </xf>
    <xf numFmtId="166" fontId="88" fillId="0" borderId="27" applyNumberFormat="1" applyFont="1" applyFill="1" applyBorder="1" applyAlignment="1">
      <alignment horizontal="center"/>
    </xf>
    <xf numFmtId="166" fontId="88" fillId="0" borderId="28" applyNumberFormat="1" applyFont="1" applyFill="1" applyBorder="1" applyAlignment="1">
      <alignment horizontal="center"/>
    </xf>
    <xf numFmtId="166" fontId="88" fillId="0" borderId="29" applyNumberFormat="1" applyFont="1" applyFill="1" applyBorder="1" applyAlignment="1">
      <alignment horizontal="center"/>
    </xf>
    <xf numFmtId="166" fontId="88" fillId="0" borderId="30" applyNumberFormat="1" applyFont="1" applyFill="1" applyBorder="1" applyAlignment="1">
      <alignment horizontal="center"/>
    </xf>
    <xf numFmtId="166" fontId="88" fillId="0" borderId="33" applyNumberFormat="1" applyFont="1" applyFill="1" applyBorder="1" applyAlignment="1">
      <alignment horizontal="center"/>
    </xf>
    <xf numFmtId="166" fontId="88" fillId="0" borderId="31" applyNumberFormat="1" applyFont="1" applyFill="1" applyBorder="1" applyAlignment="1">
      <alignment horizontal="center"/>
    </xf>
    <xf numFmtId="166" fontId="88" fillId="33" borderId="26" applyNumberFormat="1" applyFont="1" applyFill="1" applyBorder="1" applyAlignment="1">
      <alignment horizontal="center"/>
    </xf>
    <xf numFmtId="166" fontId="88" fillId="33" borderId="32" applyNumberFormat="1" applyFont="1" applyFill="1" applyBorder="1" applyAlignment="1">
      <alignment horizontal="center"/>
    </xf>
    <xf numFmtId="166" fontId="88" fillId="33" borderId="27" applyNumberFormat="1" applyFont="1" applyFill="1" applyBorder="1" applyAlignment="1">
      <alignment horizontal="center"/>
    </xf>
    <xf numFmtId="2" fontId="88" fillId="0" borderId="34" applyNumberFormat="1" applyFont="1" applyFill="1" applyBorder="1" applyAlignment="1">
      <alignment horizontal="center"/>
    </xf>
    <xf numFmtId="2" fontId="88" fillId="0" borderId="35" applyNumberFormat="1" applyFont="1" applyFill="1" applyBorder="1" applyAlignment="1">
      <alignment horizontal="center"/>
    </xf>
    <xf numFmtId="2" fontId="88" fillId="0" borderId="36" applyNumberFormat="1" applyFont="1" applyFill="1" applyBorder="1" applyAlignment="1">
      <alignment horizontal="center"/>
    </xf>
    <xf numFmtId="2" fontId="88" fillId="0" borderId="26" applyNumberFormat="1" applyFont="1" applyFill="1" applyBorder="1" applyAlignment="1">
      <alignment horizontal="center"/>
    </xf>
    <xf numFmtId="2" fontId="88" fillId="0" borderId="32" applyNumberFormat="1" applyFont="1" applyFill="1" applyBorder="1" applyAlignment="1">
      <alignment horizontal="center"/>
    </xf>
    <xf numFmtId="2" fontId="88" fillId="0" borderId="27" applyNumberFormat="1" applyFont="1" applyFill="1" applyBorder="1" applyAlignment="1">
      <alignment horizontal="center"/>
    </xf>
    <xf numFmtId="2" fontId="88" fillId="0" borderId="28" applyNumberFormat="1" applyFont="1" applyFill="1" applyBorder="1" applyAlignment="1">
      <alignment horizontal="center"/>
    </xf>
    <xf numFmtId="2" fontId="88" fillId="0" borderId="29" applyNumberFormat="1" applyFont="1" applyFill="1" applyBorder="1" applyAlignment="1">
      <alignment horizontal="center"/>
    </xf>
    <xf numFmtId="2" fontId="88" fillId="0" borderId="30" applyNumberFormat="1" applyFont="1" applyFill="1" applyBorder="1" applyAlignment="1">
      <alignment horizontal="center"/>
    </xf>
    <xf numFmtId="2" fontId="88" fillId="0" borderId="33" applyNumberFormat="1" applyFont="1" applyFill="1" applyBorder="1" applyAlignment="1">
      <alignment horizontal="center"/>
    </xf>
    <xf numFmtId="2" fontId="88" fillId="0" borderId="31" applyNumberFormat="1" applyFont="1" applyFill="1" applyBorder="1" applyAlignment="1">
      <alignment horizontal="center"/>
    </xf>
    <xf numFmtId="2" fontId="88" fillId="33" borderId="26" applyNumberFormat="1" applyFont="1" applyFill="1" applyBorder="1" applyAlignment="1">
      <alignment horizontal="center"/>
    </xf>
    <xf numFmtId="2" fontId="88" fillId="33" borderId="32" applyNumberFormat="1" applyFont="1" applyFill="1" applyBorder="1" applyAlignment="1">
      <alignment horizontal="center"/>
    </xf>
    <xf numFmtId="2" fontId="88" fillId="33" borderId="27" applyNumberFormat="1" applyFont="1" applyFill="1" applyBorder="1" applyAlignment="1">
      <alignment horizontal="center"/>
    </xf>
    <xf numFmtId="2" fontId="88" fillId="0" borderId="19" applyNumberFormat="1" applyFont="1" applyFill="1" applyBorder="1"/>
    <xf numFmtId="166" fontId="0" fillId="0" borderId="28" applyNumberFormat="1" applyFont="1" applyFill="1" applyBorder="1" applyAlignment="1">
      <alignment horizontal="center"/>
    </xf>
    <xf numFmtId="166" fontId="0" fillId="0" borderId="29" applyNumberFormat="1" applyFont="1" applyFill="1" applyBorder="1" applyAlignment="1">
      <alignment horizontal="center"/>
    </xf>
    <xf numFmtId="2" fontId="0" fillId="0" borderId="31" applyNumberFormat="1" applyFont="1" applyFill="1" applyBorder="1" applyAlignment="1">
      <alignment horizontal="center"/>
    </xf>
    <xf numFmtId="166" fontId="0" fillId="0" borderId="31" applyNumberFormat="1" applyFont="1" applyFill="1" applyBorder="1" applyAlignment="1">
      <alignment horizontal="center"/>
    </xf>
    <xf numFmtId="0" fontId="88" fillId="30" borderId="43" applyFont="1" applyFill="1" applyBorder="1"/>
    <xf numFmtId="0" fontId="27" fillId="0" borderId="7" applyFont="1" applyFill="1" applyBorder="1" applyAlignment="1">
      <alignment horizontal="center" wrapText="1"/>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2" fontId="88" fillId="0" borderId="28" applyNumberFormat="1" applyFont="1" applyFill="1" applyBorder="1" applyAlignment="1">
      <alignment horizontal="center"/>
    </xf>
    <xf numFmtId="2" fontId="88" fillId="0" borderId="29" applyNumberFormat="1" applyFont="1" applyFill="1" applyBorder="1" applyAlignment="1">
      <alignment horizontal="center"/>
    </xf>
    <xf numFmtId="2" fontId="88" fillId="33" borderId="30" applyNumberFormat="1" applyFont="1" applyFill="1" applyBorder="1" applyAlignment="1">
      <alignment horizontal="center"/>
    </xf>
    <xf numFmtId="2" fontId="88" fillId="33" borderId="33" applyNumberFormat="1" applyFont="1" applyFill="1" applyBorder="1" applyAlignment="1">
      <alignment horizontal="center"/>
    </xf>
    <xf numFmtId="2" fontId="88" fillId="33" borderId="31" applyNumberFormat="1" applyFont="1" applyFill="1" applyBorder="1" applyAlignment="1">
      <alignment horizontal="center"/>
    </xf>
    <xf numFmtId="2" fontId="88" fillId="0" borderId="26" applyNumberFormat="1" applyFont="1" applyFill="1" applyBorder="1" applyAlignment="1">
      <alignment horizontal="center"/>
    </xf>
    <xf numFmtId="2" fontId="88" fillId="0" borderId="32" applyNumberFormat="1" applyFont="1" applyFill="1" applyBorder="1" applyAlignment="1">
      <alignment horizontal="center"/>
    </xf>
    <xf numFmtId="2" fontId="88" fillId="0" borderId="27" applyNumberFormat="1" applyFont="1" applyFill="1" applyBorder="1" applyAlignment="1">
      <alignment horizontal="center"/>
    </xf>
    <xf numFmtId="2" fontId="88" fillId="0" borderId="30" applyNumberFormat="1" applyFont="1" applyFill="1" applyBorder="1" applyAlignment="1">
      <alignment horizontal="center"/>
    </xf>
    <xf numFmtId="2" fontId="88" fillId="0" borderId="33" applyNumberFormat="1" applyFont="1" applyFill="1" applyBorder="1" applyAlignment="1">
      <alignment horizontal="center"/>
    </xf>
    <xf numFmtId="2" fontId="88" fillId="0" borderId="31" applyNumberFormat="1" applyFont="1" applyFill="1" applyBorder="1" applyAlignment="1">
      <alignment horizontal="center"/>
    </xf>
    <xf numFmtId="166" fontId="5" fillId="0" borderId="29" applyNumberFormat="1" applyFont="1" applyFill="1" applyBorder="1" applyAlignment="1">
      <alignment horizontal="center"/>
    </xf>
    <xf numFmtId="166" fontId="5" fillId="33" borderId="29" applyNumberFormat="1" applyFont="1" applyFill="1" applyBorder="1" applyAlignment="1">
      <alignment horizontal="center"/>
    </xf>
    <xf numFmtId="166" fontId="5" fillId="0" borderId="33" applyNumberFormat="1" applyFont="1" applyFill="1" applyBorder="1" applyAlignment="1">
      <alignment horizontal="center"/>
    </xf>
    <xf numFmtId="166" fontId="5" fillId="0" borderId="31" applyNumberFormat="1" applyFont="1" applyFill="1" applyBorder="1" applyAlignment="1">
      <alignment horizontal="center"/>
    </xf>
    <xf numFmtId="0" fontId="88" fillId="0" borderId="0" applyFont="1" applyFill="1" applyBorder="1" applyAlignment="1">
      <alignment horizontal="center"/>
    </xf>
    <xf numFmtId="0" fontId="88" fillId="0" borderId="0" applyFont="1" applyFill="1" applyBorder="1" applyAlignment="1">
      <alignment horizontal="center"/>
    </xf>
    <xf numFmtId="0" fontId="52" fillId="0" borderId="0" applyFont="1" applyFill="1" applyBorder="1" applyAlignment="1">
      <alignment horizontal="center"/>
    </xf>
    <xf numFmtId="0" fontId="52" fillId="0" borderId="0" applyFont="1" applyFill="1" applyBorder="1"/>
    <xf numFmtId="0" fontId="88" fillId="0" borderId="0" applyFont="1" applyFill="1" applyBorder="1"/>
    <xf numFmtId="0" fontId="88" fillId="0" borderId="0" applyFont="1" applyFill="1" applyBorder="1"/>
    <xf numFmtId="0" fontId="0" fillId="30" borderId="34" applyFont="1" applyFill="1" applyBorder="1"/>
    <xf numFmtId="0" fontId="0" fillId="30" borderId="35" applyFont="1" applyFill="1" applyBorder="1"/>
    <xf numFmtId="0" fontId="0" fillId="30" borderId="36" applyFont="1" applyFill="1" applyBorder="1"/>
    <xf numFmtId="0" fontId="54" fillId="0" borderId="28" applyFont="1" applyFill="1" applyBorder="1"/>
    <xf numFmtId="166" fontId="88" fillId="0" borderId="28" applyNumberFormat="1" applyFont="1" applyFill="1" applyBorder="1"/>
    <xf numFmtId="166" fontId="88" fillId="0" borderId="28" applyNumberFormat="1" applyFont="1" applyFill="1" applyBorder="1"/>
    <xf numFmtId="0" fontId="0" fillId="0" borderId="28" applyFont="1" applyFill="1" applyBorder="1"/>
    <xf numFmtId="166" fontId="0" fillId="0" borderId="28" applyNumberFormat="1" applyFont="1" applyFill="1" applyBorder="1"/>
    <xf numFmtId="166" fontId="0" fillId="0" borderId="28" applyNumberFormat="1" applyFont="1" applyFill="1" applyBorder="1"/>
    <xf numFmtId="166" fontId="0" fillId="0" borderId="35" applyNumberFormat="1" applyFont="1" applyFill="1" applyBorder="1"/>
    <xf numFmtId="166" fontId="0" fillId="0" borderId="0" applyNumberFormat="1" applyFont="1" applyFill="1" applyBorder="1"/>
    <xf numFmtId="0" fontId="46" fillId="30" borderId="38" applyFont="1" applyFill="1" applyBorder="1" applyAlignment="1">
      <alignment vertical="center"/>
    </xf>
    <xf numFmtId="0" fontId="43" fillId="30" borderId="38" applyFont="1" applyFill="1" applyBorder="1" applyAlignment="1">
      <alignment horizontal="center" wrapText="1"/>
    </xf>
    <xf numFmtId="0" fontId="43" fillId="30" borderId="38" applyFont="1" applyFill="1" applyBorder="1" applyAlignment="1">
      <alignment horizontal="center"/>
    </xf>
    <xf numFmtId="166" fontId="0" fillId="30" borderId="38" applyNumberFormat="1" applyFont="1" applyFill="1" applyBorder="1"/>
    <xf numFmtId="166" fontId="38" fillId="30" borderId="0" applyNumberFormat="1" applyFont="1" applyFill="1" applyAlignment="1">
      <alignment horizontal="left"/>
    </xf>
    <xf numFmtId="0" fontId="0" fillId="30" borderId="0" applyFont="1" applyFill="1"/>
    <xf numFmtId="0" fontId="43" fillId="30" borderId="0" applyFont="1" applyFill="1" applyAlignment="1">
      <alignment horizontal="center"/>
    </xf>
    <xf numFmtId="0" fontId="43" fillId="30" borderId="0" applyFont="1" applyFill="1" applyAlignment="1">
      <alignment horizontal="right"/>
    </xf>
    <xf numFmtId="0" fontId="0" fillId="30" borderId="0" applyFont="1" applyFill="1" applyAlignment="1">
      <alignment horizontal="left"/>
    </xf>
    <xf numFmtId="0" fontId="40" fillId="0" borderId="0" applyFont="1" applyFill="1" applyAlignment="1">
      <alignment horizontal="right"/>
    </xf>
    <xf numFmtId="0" fontId="44" fillId="0" borderId="0" applyFont="1" applyFill="1"/>
    <xf numFmtId="166" fontId="44" fillId="0" borderId="0" applyNumberFormat="1" applyFont="1" applyFill="1" applyAlignment="1">
      <alignment horizontal="right"/>
    </xf>
    <xf numFmtId="0" fontId="53" fillId="30" borderId="0" applyFont="1" applyFill="1" applyAlignment="1">
      <alignment horizontal="right"/>
    </xf>
    <xf numFmtId="166" fontId="44" fillId="0" borderId="0" applyNumberFormat="1" applyFont="1" applyFill="1" applyAlignment="1">
      <alignment horizontal="center" vertical="center"/>
    </xf>
    <xf numFmtId="0" fontId="44" fillId="0" borderId="0" applyFont="1" applyFill="1" applyAlignment="1">
      <alignment horizontal="center" vertical="center"/>
    </xf>
    <xf numFmtId="2" fontId="44" fillId="0" borderId="0" applyNumberFormat="1" applyFont="1" applyFill="1" applyAlignment="1">
      <alignment horizontal="center" vertical="center"/>
    </xf>
    <xf numFmtId="0" fontId="44" fillId="0" borderId="0" applyFont="1" applyFill="1" applyAlignment="1">
      <alignment horizontal="left"/>
    </xf>
    <xf numFmtId="0" fontId="44" fillId="0" borderId="0" applyFont="1" applyFill="1" applyAlignment="1">
      <alignment horizontal="right"/>
    </xf>
    <xf numFmtId="0" fontId="53" fillId="0" borderId="0" applyFont="1" applyFill="1" applyAlignment="1">
      <alignment horizontal="right"/>
    </xf>
    <xf numFmtId="0" fontId="53" fillId="33" borderId="0" applyFont="1" applyFill="1" applyAlignment="1">
      <alignment horizontal="right"/>
    </xf>
    <xf numFmtId="0" fontId="39" fillId="33" borderId="0" applyFont="1" applyFill="1" applyAlignment="1">
      <alignment horizontal="right"/>
    </xf>
    <xf numFmtId="0" fontId="44" fillId="33" borderId="0" applyFont="1" applyFill="1" applyAlignment="1">
      <alignment horizontal="right"/>
    </xf>
    <xf numFmtId="166" fontId="44" fillId="33" borderId="0" applyNumberFormat="1" applyFont="1" applyFill="1" applyAlignment="1">
      <alignment horizontal="center" vertical="center"/>
    </xf>
    <xf numFmtId="0" fontId="44" fillId="33" borderId="0" applyFont="1" applyFill="1" applyAlignment="1">
      <alignment horizontal="center" vertical="center"/>
    </xf>
    <xf numFmtId="2" fontId="44" fillId="33" borderId="0" applyNumberFormat="1" applyFont="1" applyFill="1" applyAlignment="1">
      <alignment horizontal="center" vertical="center"/>
    </xf>
    <xf numFmtId="0" fontId="44" fillId="33" borderId="0" applyFont="1" applyFill="1" applyAlignment="1">
      <alignment horizontal="left"/>
    </xf>
    <xf numFmtId="17" fontId="44" fillId="0" borderId="0" applyNumberFormat="1" applyFont="1" applyFill="1" applyAlignment="1">
      <alignment horizontal="right"/>
    </xf>
    <xf numFmtId="17" fontId="39" fillId="0" borderId="0" applyNumberFormat="1" applyFont="1" applyFill="1" applyAlignment="1">
      <alignment horizontal="right"/>
    </xf>
    <xf numFmtId="166" fontId="39" fillId="0" borderId="0" applyNumberFormat="1" applyFont="1" applyFill="1" applyAlignment="1">
      <alignment horizontal="right"/>
    </xf>
    <xf numFmtId="17" fontId="49" fillId="0" borderId="0" applyNumberFormat="1" applyFont="1" applyFill="1" applyAlignment="1">
      <alignment horizontal="right"/>
    </xf>
    <xf numFmtId="17" fontId="39" fillId="30" borderId="0" applyNumberFormat="1" applyFont="1" applyFill="1" applyAlignment="1">
      <alignment horizontal="right"/>
    </xf>
    <xf numFmtId="166" fontId="39" fillId="30" borderId="0" applyNumberFormat="1" applyFont="1" applyFill="1" applyAlignment="1">
      <alignment horizontal="right"/>
    </xf>
    <xf numFmtId="0" fontId="44" fillId="30" borderId="0" applyFont="1" applyFill="1" applyAlignment="1">
      <alignment horizontal="left"/>
    </xf>
    <xf numFmtId="0" fontId="39" fillId="30" borderId="0" applyFont="1" applyFill="1" applyAlignment="1">
      <alignment horizontal="left"/>
    </xf>
    <xf numFmtId="166" fontId="88" fillId="0" borderId="0" applyNumberFormat="1" applyFont="1" applyFill="1" applyBorder="1" applyAlignment="1">
      <alignment horizontal="right"/>
    </xf>
    <xf numFmtId="166" fontId="88" fillId="33" borderId="33" applyNumberFormat="1" applyFont="1" applyFill="1" applyBorder="1" applyAlignment="1">
      <alignment horizontal="right"/>
    </xf>
    <xf numFmtId="166" fontId="88" fillId="30" borderId="26" applyNumberFormat="1" applyFont="1" applyFill="1" applyBorder="1" applyAlignment="1">
      <alignment horizontal="center"/>
    </xf>
    <xf numFmtId="166" fontId="88" fillId="30" borderId="32" applyNumberFormat="1" applyFont="1" applyFill="1" applyBorder="1" applyAlignment="1">
      <alignment horizontal="center"/>
    </xf>
    <xf numFmtId="166" fontId="88" fillId="30" borderId="27" applyNumberFormat="1" applyFont="1" applyFill="1" applyBorder="1" applyAlignment="1">
      <alignment horizontal="center"/>
    </xf>
    <xf numFmtId="166" fontId="88" fillId="30" borderId="28" applyNumberFormat="1" applyFont="1" applyFill="1" applyBorder="1" applyAlignment="1">
      <alignment horizontal="center"/>
    </xf>
    <xf numFmtId="166" fontId="88" fillId="30" borderId="29" applyNumberFormat="1" applyFont="1" applyFill="1" applyBorder="1" applyAlignment="1">
      <alignment horizontal="center"/>
    </xf>
    <xf numFmtId="2" fontId="88" fillId="30" borderId="26" applyNumberFormat="1" applyFont="1" applyFill="1" applyBorder="1" applyAlignment="1">
      <alignment horizontal="center"/>
    </xf>
    <xf numFmtId="2" fontId="88" fillId="30" borderId="32" applyNumberFormat="1" applyFont="1" applyFill="1" applyBorder="1" applyAlignment="1">
      <alignment horizontal="center"/>
    </xf>
    <xf numFmtId="2" fontId="88" fillId="30" borderId="27" applyNumberFormat="1" applyFont="1" applyFill="1" applyBorder="1" applyAlignment="1">
      <alignment horizontal="center"/>
    </xf>
    <xf numFmtId="166" fontId="88" fillId="30" borderId="30" applyNumberFormat="1" applyFont="1" applyFill="1" applyBorder="1" applyAlignment="1">
      <alignment horizontal="center"/>
    </xf>
    <xf numFmtId="166" fontId="88" fillId="30" borderId="33" applyNumberFormat="1" applyFont="1" applyFill="1" applyBorder="1" applyAlignment="1">
      <alignment horizontal="center"/>
    </xf>
    <xf numFmtId="166" fontId="88" fillId="30" borderId="31" applyNumberFormat="1" applyFont="1" applyFill="1" applyBorder="1" applyAlignment="1">
      <alignment horizontal="center"/>
    </xf>
    <xf numFmtId="166" fontId="88" fillId="30" borderId="26" applyNumberFormat="1" applyFont="1" applyFill="1" applyBorder="1" applyAlignment="1">
      <alignment horizontal="center"/>
    </xf>
    <xf numFmtId="166" fontId="88" fillId="30" borderId="32" applyNumberFormat="1" applyFont="1" applyFill="1" applyBorder="1" applyAlignment="1">
      <alignment horizontal="center"/>
    </xf>
    <xf numFmtId="166" fontId="88" fillId="30" borderId="27" applyNumberFormat="1" applyFont="1" applyFill="1" applyBorder="1" applyAlignment="1">
      <alignment horizontal="center"/>
    </xf>
    <xf numFmtId="166" fontId="88" fillId="30" borderId="28" applyNumberFormat="1" applyFont="1" applyFill="1" applyBorder="1" applyAlignment="1">
      <alignment horizontal="center"/>
    </xf>
    <xf numFmtId="166" fontId="88" fillId="30" borderId="0" applyNumberFormat="1" applyFont="1" applyFill="1" applyBorder="1" applyAlignment="1">
      <alignment horizontal="center"/>
    </xf>
    <xf numFmtId="166" fontId="88" fillId="30" borderId="29" applyNumberFormat="1" applyFont="1" applyFill="1" applyBorder="1" applyAlignment="1">
      <alignment horizontal="center"/>
    </xf>
    <xf numFmtId="2" fontId="88" fillId="30" borderId="26" applyNumberFormat="1" applyFont="1" applyFill="1" applyBorder="1" applyAlignment="1">
      <alignment horizontal="center"/>
    </xf>
    <xf numFmtId="2" fontId="88" fillId="30" borderId="32" applyNumberFormat="1" applyFont="1" applyFill="1" applyBorder="1" applyAlignment="1">
      <alignment horizontal="center"/>
    </xf>
    <xf numFmtId="2" fontId="88" fillId="30" borderId="27" applyNumberFormat="1" applyFont="1" applyFill="1" applyBorder="1" applyAlignment="1">
      <alignment horizontal="center"/>
    </xf>
    <xf numFmtId="0" fontId="82" fillId="0" borderId="0" applyFont="1" applyFill="1" applyAlignment="1">
      <alignment horizontal="center"/>
    </xf>
    <xf numFmtId="0" fontId="52" fillId="36" borderId="0" applyFont="1" applyFill="1" applyBorder="1"/>
    <xf numFmtId="0" fontId="0" fillId="36" borderId="0" applyFont="1" applyFill="1" applyBorder="1"/>
    <xf numFmtId="0" fontId="0" fillId="36" borderId="0" applyFont="1" applyFill="1" applyBorder="1" applyAlignment="1">
      <alignment horizontal="center"/>
    </xf>
    <xf numFmtId="0" fontId="59" fillId="36" borderId="0" applyFont="1" applyFill="1" applyAlignment="1">
      <alignment horizontal="right"/>
    </xf>
    <xf numFmtId="0" fontId="44" fillId="36" borderId="0" applyFont="1" applyFill="1" applyBorder="1" applyAlignment="1">
      <alignment horizontal="right"/>
    </xf>
    <xf numFmtId="0" fontId="60" fillId="36" borderId="0" applyFont="1" applyFill="1" applyBorder="1" applyAlignment="1">
      <alignment horizontal="right"/>
    </xf>
    <xf numFmtId="0" fontId="61" fillId="36" borderId="0" applyFont="1" applyFill="1" applyBorder="1"/>
    <xf numFmtId="0" fontId="52" fillId="36" borderId="0" applyFont="1" applyFill="1" applyBorder="1" applyAlignment="1">
      <alignment horizontal="center"/>
    </xf>
    <xf numFmtId="0" fontId="55" fillId="36" borderId="0" applyFont="1" applyFill="1" applyBorder="1"/>
    <xf numFmtId="0" fontId="55" fillId="36" borderId="0" applyFont="1" applyFill="1" applyBorder="1" applyAlignment="1">
      <alignment horizontal="center"/>
    </xf>
    <xf numFmtId="0" fontId="55" fillId="36" borderId="0" applyFont="1" applyFill="1" applyBorder="1" applyAlignment="1">
      <alignment horizontal="left" vertical="top"/>
    </xf>
    <xf numFmtId="0" fontId="55" fillId="36" borderId="0" applyFont="1" applyFill="1" applyBorder="1" applyAlignment="1">
      <alignment horizontal="right" vertical="top"/>
    </xf>
    <xf numFmtId="0" fontId="2" fillId="36" borderId="0" applyFont="1" applyFill="1" applyBorder="1"/>
    <xf numFmtId="0" fontId="2" fillId="36" borderId="0" applyFont="1" applyFill="1" applyBorder="1" applyAlignment="1">
      <alignment horizontal="right"/>
    </xf>
    <xf numFmtId="0" fontId="52" fillId="36" borderId="0" applyFont="1" applyFill="1" applyBorder="1" applyAlignment="1">
      <alignment horizontal="right"/>
    </xf>
    <xf numFmtId="0" fontId="55" fillId="36" borderId="0" applyFont="1" applyFill="1" applyBorder="1"/>
    <xf numFmtId="0" fontId="55" fillId="36" borderId="0" applyFont="1" applyFill="1" applyBorder="1" applyAlignment="1">
      <alignment horizontal="right"/>
    </xf>
    <xf numFmtId="0" fontId="48" fillId="36" borderId="37" applyFont="1" applyFill="1" applyBorder="1"/>
    <xf numFmtId="0" fontId="48" fillId="36" borderId="39" applyFont="1" applyFill="1" applyBorder="1" applyAlignment="1">
      <alignment horizontal="center" wrapText="1"/>
    </xf>
    <xf numFmtId="0" fontId="48" fillId="36" borderId="37" applyFont="1" applyFill="1" applyBorder="1" applyAlignment="1">
      <alignment horizontal="center" wrapText="1"/>
    </xf>
    <xf numFmtId="0" fontId="42" fillId="36" borderId="34" applyFont="1" applyFill="1" applyBorder="1" applyAlignment="1">
      <alignment vertical="center"/>
    </xf>
    <xf numFmtId="0" fontId="42" fillId="36" borderId="35" applyFont="1" applyFill="1" applyBorder="1" applyAlignment="1">
      <alignment vertical="center"/>
    </xf>
    <xf numFmtId="0" fontId="42" fillId="36" borderId="36" applyFont="1" applyFill="1" applyBorder="1" applyAlignment="1">
      <alignment vertical="center"/>
    </xf>
    <xf numFmtId="49" fontId="55" fillId="36" borderId="34" applyNumberFormat="1" applyFont="1" applyFill="1" applyBorder="1" applyAlignment="1">
      <alignment textRotation="90" wrapText="1"/>
    </xf>
    <xf numFmtId="49" fontId="55" fillId="36" borderId="35" applyNumberFormat="1" applyFont="1" applyFill="1" applyBorder="1" applyAlignment="1">
      <alignment textRotation="90" wrapText="1"/>
    </xf>
    <xf numFmtId="49" fontId="55" fillId="36" borderId="36" applyNumberFormat="1" applyFont="1" applyFill="1" applyBorder="1" applyAlignment="1">
      <alignment textRotation="90" wrapText="1"/>
    </xf>
    <xf numFmtId="0" fontId="54" fillId="0" borderId="28" applyFont="1" applyFill="1" applyBorder="1" applyAlignment="1">
      <alignment vertical="center"/>
    </xf>
    <xf numFmtId="0" fontId="88" fillId="0" borderId="0" applyFont="1" applyFill="1" applyBorder="1" applyAlignment="1">
      <alignment vertical="center"/>
    </xf>
    <xf numFmtId="0" fontId="54" fillId="0" borderId="0" applyFont="1" applyFill="1" applyBorder="1" applyAlignment="1">
      <alignment vertical="center"/>
    </xf>
    <xf numFmtId="0" fontId="54" fillId="0" borderId="29" applyFont="1" applyFill="1" applyBorder="1" applyAlignment="1">
      <alignment vertical="center"/>
    </xf>
    <xf numFmtId="0" fontId="43" fillId="33" borderId="30" applyFont="1" applyFill="1" applyBorder="1"/>
    <xf numFmtId="0" fontId="43" fillId="33" borderId="33" applyFont="1" applyFill="1" applyBorder="1"/>
    <xf numFmtId="0" fontId="43" fillId="33" borderId="31" applyFont="1" applyFill="1" applyBorder="1"/>
    <xf numFmtId="0" fontId="0" fillId="0" borderId="35" applyFont="1" applyFill="1" applyBorder="1"/>
    <xf numFmtId="0" fontId="35" fillId="0" borderId="0" applyFont="1" applyFill="1" applyBorder="1" applyAlignment="1">
      <alignment vertical="center"/>
    </xf>
    <xf numFmtId="166" fontId="88" fillId="0" borderId="44" applyNumberFormat="1" applyFont="1" applyFill="1" applyBorder="1" applyAlignment="1">
      <alignment horizontal="center"/>
    </xf>
    <xf numFmtId="166" fontId="88" fillId="0" borderId="45" applyNumberFormat="1" applyFont="1" applyFill="1" applyBorder="1" applyAlignment="1">
      <alignment horizontal="center"/>
    </xf>
    <xf numFmtId="0" fontId="5" fillId="0" borderId="0" applyFont="1" applyFill="1" applyBorder="1"/>
    <xf numFmtId="166" fontId="88" fillId="0" borderId="46" applyNumberFormat="1" applyFont="1" applyFill="1" applyBorder="1" applyAlignment="1">
      <alignment horizontal="center"/>
    </xf>
    <xf numFmtId="2" fontId="88" fillId="33" borderId="44" applyNumberFormat="1" applyFont="1" applyFill="1" applyBorder="1" applyAlignment="1">
      <alignment horizontal="center"/>
    </xf>
    <xf numFmtId="2" fontId="88" fillId="33" borderId="25" applyNumberFormat="1" applyFont="1" applyFill="1" applyBorder="1" applyAlignment="1">
      <alignment horizontal="center"/>
    </xf>
    <xf numFmtId="2" fontId="88" fillId="33" borderId="45" applyNumberFormat="1" applyFont="1" applyFill="1" applyBorder="1" applyAlignment="1">
      <alignment horizontal="center"/>
    </xf>
    <xf numFmtId="2" fontId="88" fillId="0" borderId="46" applyNumberFormat="1" applyFont="1" applyFill="1" applyBorder="1" applyAlignment="1">
      <alignment horizontal="center"/>
    </xf>
    <xf numFmtId="0" fontId="52" fillId="36" borderId="0" applyFont="1" applyFill="1" applyBorder="1" applyAlignment="1">
      <alignment horizontal="left" vertical="top"/>
    </xf>
    <xf numFmtId="0" fontId="85" fillId="36" borderId="0" applyFont="1" applyFill="1" applyBorder="1"/>
    <xf numFmtId="0" fontId="55" fillId="36" borderId="0" applyFont="1" applyFill="1" applyBorder="1" applyAlignment="1">
      <alignment vertical="top"/>
    </xf>
    <xf numFmtId="0" fontId="96" fillId="0" borderId="0" applyFont="1" applyFill="1"/>
    <xf numFmtId="0" fontId="97" fillId="0" borderId="0" applyFont="1" applyFill="1"/>
    <xf numFmtId="0" fontId="98" fillId="0" borderId="0" applyFont="1" applyFill="1"/>
    <xf numFmtId="0" fontId="99" fillId="0" borderId="0" applyFont="1" applyFill="1" applyAlignment="1">
      <alignment vertical="top"/>
    </xf>
    <xf numFmtId="0" fontId="100" fillId="0" borderId="0" applyFont="1" applyFill="1"/>
    <xf numFmtId="0" fontId="101" fillId="0" borderId="0" applyFont="1" applyFill="1"/>
    <xf numFmtId="0" fontId="101" fillId="0" borderId="0" applyFont="1" applyFill="1" applyAlignment="1">
      <alignment vertical="top" wrapText="1"/>
    </xf>
    <xf numFmtId="0" fontId="96" fillId="0" borderId="0" applyFont="1" applyFill="1" applyAlignment="1">
      <alignment vertical="top" wrapText="1"/>
    </xf>
    <xf numFmtId="0" fontId="83" fillId="30" borderId="0" applyFont="1" applyFill="1" applyBorder="1" applyAlignment="1">
      <alignment horizontal="center"/>
    </xf>
    <xf numFmtId="166" fontId="83" fillId="30" borderId="0" applyNumberFormat="1" applyFont="1" applyFill="1" applyBorder="1" applyAlignment="1">
      <alignment horizontal="center"/>
    </xf>
    <xf numFmtId="0" fontId="83" fillId="30" borderId="0" applyFont="1" applyFill="1" applyBorder="1"/>
    <xf numFmtId="0" fontId="83" fillId="0" borderId="0" applyFont="1" applyFill="1" applyAlignment="1">
      <alignment horizontal="left"/>
    </xf>
    <xf numFmtId="0" fontId="27" fillId="30" borderId="0" applyFont="1" applyFill="1" applyBorder="1"/>
    <xf numFmtId="0" fontId="27" fillId="30" borderId="0" applyFont="1" applyFill="1" applyBorder="1" applyAlignment="1">
      <alignment horizontal="right"/>
    </xf>
    <xf numFmtId="0" fontId="27" fillId="30" borderId="0" applyFont="1" applyFill="1" applyBorder="1" applyAlignment="1">
      <alignment horizontal="centerContinuous"/>
    </xf>
    <xf numFmtId="0" fontId="27" fillId="0" borderId="0" applyFont="1" applyFill="1" applyAlignment="1">
      <alignment horizontal="right"/>
    </xf>
    <xf numFmtId="0" fontId="49" fillId="0" borderId="0" applyFont="1" applyFill="1" applyAlignment="1">
      <alignment vertical="center"/>
    </xf>
    <xf numFmtId="0" fontId="49" fillId="30" borderId="0" applyFont="1" applyFill="1" applyAlignment="1">
      <alignment vertical="center"/>
    </xf>
    <xf numFmtId="166" fontId="88" fillId="30" borderId="0" applyNumberFormat="1" applyFont="1" applyFill="1" applyBorder="1" applyAlignment="1">
      <alignment horizontal="center"/>
    </xf>
    <xf numFmtId="0" fontId="88" fillId="30" borderId="0" applyFont="1" applyFill="1" applyBorder="1" applyAlignment="1">
      <alignment horizontal="center"/>
    </xf>
    <xf numFmtId="166" fontId="88" fillId="33" borderId="0" applyNumberFormat="1" applyFont="1" applyFill="1" applyBorder="1" applyAlignment="1">
      <alignment horizontal="center"/>
    </xf>
    <xf numFmtId="0" fontId="88" fillId="33" borderId="0" applyFont="1" applyFill="1" applyBorder="1" applyAlignment="1">
      <alignment horizontal="center"/>
    </xf>
    <xf numFmtId="0" fontId="0" fillId="30" borderId="0" applyFont="1" applyFill="1" applyBorder="1" applyAlignment="1">
      <alignment horizontal="center"/>
    </xf>
    <xf numFmtId="4" fontId="88" fillId="30" borderId="0" applyNumberFormat="1" applyFont="1" applyFill="1" applyBorder="1" applyAlignment="1">
      <alignment horizontal="center"/>
    </xf>
    <xf numFmtId="167" fontId="88" fillId="30" borderId="0" applyNumberFormat="1" applyFont="1" applyFill="1" applyBorder="1" applyAlignment="1">
      <alignment horizontal="center"/>
    </xf>
    <xf numFmtId="4" fontId="88" fillId="33" borderId="0" applyNumberFormat="1" applyFont="1" applyFill="1" applyBorder="1" applyAlignment="1">
      <alignment horizontal="center"/>
    </xf>
    <xf numFmtId="167" fontId="88" fillId="33" borderId="0" applyNumberFormat="1" applyFont="1" applyFill="1" applyBorder="1" applyAlignment="1">
      <alignment horizontal="center"/>
    </xf>
    <xf numFmtId="166" fontId="88" fillId="30" borderId="0" applyNumberFormat="1" applyFont="1" applyFill="1" applyBorder="1" applyAlignment="1">
      <alignment horizontal="right"/>
    </xf>
    <xf numFmtId="166" fontId="88" fillId="33" borderId="0" applyNumberFormat="1" applyFont="1" applyFill="1" applyBorder="1" applyAlignment="1">
      <alignment horizontal="right"/>
    </xf>
    <xf numFmtId="166" fontId="88" fillId="30" borderId="0" applyNumberFormat="1" applyFont="1" applyFill="1" applyBorder="1" applyAlignment="1">
      <alignment horizontal="right"/>
    </xf>
    <xf numFmtId="4" fontId="88" fillId="30" borderId="0" applyNumberFormat="1" applyFont="1" applyFill="1" applyBorder="1" applyAlignment="1">
      <alignment horizontal="right"/>
    </xf>
    <xf numFmtId="167" fontId="0" fillId="30" borderId="0" applyNumberFormat="1" applyFont="1" applyFill="1" applyBorder="1"/>
    <xf numFmtId="4" fontId="88" fillId="33" borderId="0" applyNumberFormat="1" applyFont="1" applyFill="1" applyBorder="1" applyAlignment="1">
      <alignment horizontal="right"/>
    </xf>
    <xf numFmtId="167" fontId="0" fillId="33" borderId="0" applyNumberFormat="1" applyFont="1" applyFill="1" applyBorder="1"/>
    <xf numFmtId="165" fontId="88" fillId="30" borderId="0" applyNumberFormat="1" applyFont="1" applyFill="1" applyBorder="1" applyAlignment="1">
      <alignment horizontal="right"/>
    </xf>
    <xf numFmtId="44" fontId="88" fillId="30" borderId="0" applyNumberFormat="1" applyFont="1" applyFill="1" applyBorder="1" applyAlignment="1">
      <alignment horizontal="right"/>
    </xf>
    <xf numFmtId="166" fontId="0" fillId="30" borderId="0" applyNumberFormat="1" applyFont="1" applyFill="1" applyBorder="1"/>
    <xf numFmtId="164" fontId="88" fillId="30" borderId="0" applyNumberFormat="1" applyFont="1" applyFill="1"/>
    <xf numFmtId="0" fontId="0" fillId="30" borderId="0" applyFont="1" applyFill="1" applyAlignment="1">
      <alignment vertical="top"/>
    </xf>
    <xf numFmtId="0" fontId="0" fillId="35" borderId="0" applyFont="1" applyFill="1" applyAlignment="1">
      <alignment vertical="top"/>
    </xf>
    <xf numFmtId="0" fontId="0" fillId="0" borderId="0" applyFont="1" applyFill="1" applyAlignment="1">
      <alignment vertical="top"/>
    </xf>
    <xf numFmtId="0" fontId="83" fillId="30" borderId="0" applyFont="1" applyFill="1" applyAlignment="1">
      <alignment vertical="center"/>
    </xf>
    <xf numFmtId="0" fontId="83" fillId="35" borderId="0" applyFont="1" applyFill="1" applyAlignment="1">
      <alignment vertical="center"/>
    </xf>
    <xf numFmtId="0" fontId="83" fillId="0" borderId="0" applyFont="1" applyFill="1" applyAlignment="1">
      <alignment vertical="center"/>
    </xf>
    <xf numFmtId="0" fontId="0" fillId="0" borderId="0" applyFont="1" applyFill="1" applyAlignment="1">
      <alignment horizontal="center"/>
    </xf>
    <xf numFmtId="0" fontId="43" fillId="0" borderId="0" applyFont="1" applyFill="1" applyAlignment="1">
      <alignment horizontal="right"/>
    </xf>
    <xf numFmtId="0" fontId="88" fillId="30" borderId="0" applyFont="1" applyFill="1"/>
    <xf numFmtId="0" fontId="43" fillId="0" borderId="0" applyFont="1" applyFill="1" applyAlignment="1">
      <alignment horizontal="right"/>
    </xf>
    <xf numFmtId="0" fontId="43" fillId="0" borderId="0" applyFont="1" applyFill="1" applyAlignment="1">
      <alignment horizontal="right"/>
    </xf>
    <xf numFmtId="0" fontId="87" fillId="0" borderId="0" applyNumberFormat="1" applyFont="1" applyFill="1" applyBorder="1" applyAlignment="1">
      <alignment horizontal="left" wrapText="1"/>
    </xf>
    <xf numFmtId="0" fontId="5" fillId="0" borderId="0" applyFont="1" applyFill="1"/>
    <xf numFmtId="0" fontId="5" fillId="0" borderId="0" applyFont="1" applyFill="1"/>
    <xf numFmtId="0" fontId="43" fillId="37" borderId="0" applyFont="1" applyFill="1" applyBorder="1" applyAlignment="1">
      <alignment horizontal="center"/>
    </xf>
    <xf numFmtId="1" fontId="0" fillId="37" borderId="0" applyNumberFormat="1" applyFont="1" applyFill="1" applyBorder="1"/>
    <xf numFmtId="0" fontId="84" fillId="36" borderId="0" applyNumberFormat="1" applyFont="1" applyFill="1" applyBorder="1" applyAlignment="1">
      <alignment horizontal="left" wrapText="1"/>
    </xf>
    <xf numFmtId="0" fontId="52" fillId="36" borderId="0" applyFont="1" applyFill="1" applyBorder="1" applyAlignment="1">
      <alignment horizontal="left" wrapText="1"/>
    </xf>
    <xf numFmtId="164" fontId="88" fillId="30" borderId="0" applyNumberFormat="1" applyFont="1" applyFill="1"/>
    <xf numFmtId="0" fontId="88" fillId="30" borderId="0" applyFont="1" applyFill="1"/>
    <xf numFmtId="0" fontId="88" fillId="30" borderId="0" applyFont="1" applyFill="1" applyAlignment="1">
      <alignment horizontal="left"/>
    </xf>
    <xf numFmtId="49" fontId="64" fillId="36" borderId="34" applyNumberFormat="1" applyFont="1" applyFill="1" applyBorder="1" applyAlignment="1">
      <alignment horizontal="center"/>
    </xf>
    <xf numFmtId="0" fontId="88" fillId="36" borderId="35" applyFont="1" applyFill="1" applyBorder="1"/>
    <xf numFmtId="0" fontId="88" fillId="36" borderId="36" applyFont="1" applyFill="1" applyBorder="1"/>
    <xf numFmtId="0" fontId="39" fillId="30" borderId="0" applyFont="1" applyFill="1" applyAlignment="1">
      <alignment horizontal="center"/>
    </xf>
    <xf numFmtId="0" fontId="83" fillId="30" borderId="0" applyNumberFormat="1" applyFont="1" applyFill="1" applyAlignment="1">
      <alignment horizontal="left" wrapText="1"/>
    </xf>
    <xf numFmtId="0" fontId="88" fillId="30" borderId="0" applyFont="1" applyFill="1" applyAlignment="1">
      <alignment vertical="center"/>
    </xf>
    <xf numFmtId="164" fontId="88" fillId="30" borderId="0" applyNumberFormat="1" applyFont="1" applyFill="1" applyAlignment="1">
      <alignment vertical="center"/>
    </xf>
    <xf numFmtId="0" fontId="88" fillId="0" borderId="28" applyFont="1" applyFill="1" applyBorder="1"/>
    <xf numFmtId="0" fontId="88" fillId="0" borderId="29" applyFont="1" applyFill="1" applyBorder="1"/>
    <xf numFmtId="0" fontId="88" fillId="33" borderId="28" applyFont="1" applyFill="1" applyBorder="1"/>
    <xf numFmtId="0" fontId="88" fillId="33" borderId="29" applyFont="1" applyFill="1" applyBorder="1"/>
    <xf numFmtId="0" fontId="43" fillId="0" borderId="26" applyFont="1" applyFill="1" applyBorder="1" applyAlignment="1">
      <alignment horizontal="center" vertical="center" wrapText="1"/>
    </xf>
    <xf numFmtId="0" fontId="43" fillId="0" borderId="27" applyFont="1" applyFill="1" applyBorder="1" applyAlignment="1">
      <alignment horizontal="center" vertical="center" wrapText="1"/>
    </xf>
    <xf numFmtId="0" fontId="43" fillId="0" borderId="30" applyFont="1" applyFill="1" applyBorder="1" applyAlignment="1">
      <alignment horizontal="center" vertical="center" wrapText="1"/>
    </xf>
    <xf numFmtId="0" fontId="43" fillId="0" borderId="31" applyFont="1" applyFill="1" applyBorder="1" applyAlignment="1">
      <alignment horizontal="center" vertical="center" wrapText="1"/>
    </xf>
    <xf numFmtId="0" fontId="48" fillId="36" borderId="0" applyFont="1" applyFill="1" applyBorder="1" applyAlignment="1">
      <alignment horizontal="center" vertical="center"/>
    </xf>
    <xf numFmtId="0" fontId="48" fillId="36" borderId="52" applyFont="1" applyFill="1" applyBorder="1" applyAlignment="1">
      <alignment horizontal="center" vertical="center"/>
    </xf>
    <xf numFmtId="0" fontId="45" fillId="0" borderId="0" applyFont="1" applyFill="1" applyBorder="1" applyAlignment="1">
      <alignment vertical="center"/>
    </xf>
    <xf numFmtId="0" fontId="88" fillId="0" borderId="26" applyFont="1" applyFill="1" applyBorder="1"/>
    <xf numFmtId="0" fontId="88" fillId="0" borderId="27" applyFont="1" applyFill="1" applyBorder="1"/>
    <xf numFmtId="0" fontId="48" fillId="36" borderId="26" applyFont="1" applyFill="1" applyBorder="1" applyAlignment="1">
      <alignment horizontal="center" vertical="center"/>
    </xf>
    <xf numFmtId="0" fontId="48" fillId="36" borderId="32" applyFont="1" applyFill="1" applyBorder="1" applyAlignment="1">
      <alignment horizontal="center" vertical="center"/>
    </xf>
    <xf numFmtId="0" fontId="48" fillId="36" borderId="35" applyFont="1" applyFill="1" applyBorder="1" applyAlignment="1">
      <alignment horizontal="center" vertical="center"/>
    </xf>
    <xf numFmtId="0" fontId="48" fillId="36" borderId="36" applyFont="1" applyFill="1" applyBorder="1" applyAlignment="1">
      <alignment horizontal="center" vertical="center"/>
    </xf>
    <xf numFmtId="0" fontId="50" fillId="0" borderId="0" applyFont="1" applyFill="1" applyBorder="1" applyAlignment="1">
      <alignment horizontal="center"/>
    </xf>
    <xf numFmtId="0" fontId="43" fillId="30" borderId="27" applyFont="1" applyFill="1" applyBorder="1" applyAlignment="1">
      <alignment horizontal="center" vertical="center" wrapText="1"/>
    </xf>
    <xf numFmtId="0" fontId="43" fillId="30" borderId="31" applyFont="1" applyFill="1" applyBorder="1" applyAlignment="1">
      <alignment horizontal="center" vertical="center" wrapText="1"/>
    </xf>
    <xf numFmtId="0" fontId="0" fillId="33" borderId="30" applyFont="1" applyFill="1" applyBorder="1"/>
    <xf numFmtId="0" fontId="0" fillId="33" borderId="31" applyFont="1" applyFill="1" applyBorder="1"/>
    <xf numFmtId="0" fontId="0" fillId="0" borderId="28" applyFont="1" applyFill="1" applyBorder="1"/>
    <xf numFmtId="0" fontId="0" fillId="0" borderId="29" applyFont="1" applyFill="1" applyBorder="1"/>
    <xf numFmtId="0" fontId="0" fillId="33" borderId="28" applyFont="1" applyFill="1" applyBorder="1"/>
    <xf numFmtId="0" fontId="0" fillId="33" borderId="29" applyFont="1" applyFill="1" applyBorder="1"/>
    <xf numFmtId="0" fontId="0" fillId="0" borderId="28" applyFont="1" applyFill="1" applyBorder="1"/>
    <xf numFmtId="0" fontId="0" fillId="0" borderId="29" applyFont="1" applyFill="1" applyBorder="1"/>
    <xf numFmtId="0" fontId="88" fillId="33" borderId="30" applyFont="1" applyFill="1" applyBorder="1"/>
    <xf numFmtId="0" fontId="88" fillId="33" borderId="31" applyFont="1" applyFill="1" applyBorder="1"/>
    <xf numFmtId="0" fontId="0" fillId="0" borderId="26" applyFont="1" applyFill="1" applyBorder="1"/>
    <xf numFmtId="0" fontId="0" fillId="0" borderId="27" applyFont="1" applyFill="1" applyBorder="1"/>
    <xf numFmtId="0" fontId="0" fillId="0" borderId="26" applyFont="1" applyFill="1" applyBorder="1"/>
    <xf numFmtId="0" fontId="0" fillId="0" borderId="27" applyFont="1" applyFill="1" applyBorder="1"/>
    <xf numFmtId="1" fontId="88" fillId="37" borderId="0" applyNumberFormat="1" applyFont="1" applyFill="1" applyBorder="1"/>
    <xf numFmtId="166" fontId="43" fillId="37" borderId="0" applyNumberFormat="1" applyFont="1" applyFill="1" applyBorder="1" applyAlignment="1">
      <alignment horizontal="center"/>
    </xf>
    <xf numFmtId="0" fontId="43" fillId="37" borderId="0" applyFont="1" applyFill="1" applyBorder="1" applyAlignment="1">
      <alignment horizontal="center"/>
    </xf>
    <xf numFmtId="0" fontId="0" fillId="33" borderId="26" applyFont="1" applyFill="1" applyBorder="1"/>
    <xf numFmtId="0" fontId="0" fillId="33" borderId="27" applyFont="1" applyFill="1" applyBorder="1"/>
    <xf numFmtId="0" fontId="43" fillId="0" borderId="49" applyFont="1" applyFill="1" applyBorder="1" applyAlignment="1">
      <alignment horizontal="center" wrapText="1"/>
    </xf>
    <xf numFmtId="0" fontId="43" fillId="0" borderId="51" applyFont="1" applyFill="1" applyBorder="1" applyAlignment="1">
      <alignment horizontal="center" wrapText="1"/>
    </xf>
    <xf numFmtId="0" fontId="43" fillId="0" borderId="50" applyFont="1" applyFill="1" applyBorder="1" applyAlignment="1">
      <alignment horizontal="center" wrapText="1"/>
    </xf>
    <xf numFmtId="0" fontId="0" fillId="0" borderId="51" applyFont="1" applyFill="1" applyBorder="1" applyAlignment="1">
      <alignment horizontal="center" wrapText="1"/>
    </xf>
    <xf numFmtId="0" fontId="43" fillId="0" borderId="47" applyFont="1" applyFill="1" applyBorder="1" applyAlignment="1">
      <alignment horizontal="center" vertical="center" wrapText="1"/>
    </xf>
    <xf numFmtId="0" fontId="43" fillId="0" borderId="48" applyFont="1" applyFill="1" applyBorder="1" applyAlignment="1">
      <alignment horizontal="center" vertical="center" wrapText="1"/>
    </xf>
    <xf numFmtId="0" fontId="43" fillId="30" borderId="47" applyFont="1" applyFill="1" applyBorder="1" applyAlignment="1">
      <alignment horizontal="center" vertical="center" wrapText="1"/>
    </xf>
    <xf numFmtId="0" fontId="43" fillId="30" borderId="48" applyFont="1" applyFill="1" applyBorder="1" applyAlignment="1">
      <alignment horizontal="center" vertical="center" wrapText="1"/>
    </xf>
    <xf numFmtId="0" fontId="48" fillId="36" borderId="27" applyFont="1" applyFill="1" applyBorder="1" applyAlignment="1">
      <alignment horizontal="center" vertical="center"/>
    </xf>
    <xf numFmtId="0" fontId="43" fillId="0" borderId="37" applyFont="1" applyFill="1" applyBorder="1" applyAlignment="1">
      <alignment horizontal="center" vertical="center" wrapText="1"/>
    </xf>
    <xf numFmtId="0" fontId="43" fillId="0" borderId="39" applyFont="1" applyFill="1" applyBorder="1" applyAlignment="1">
      <alignment horizontal="center" vertical="center" wrapText="1"/>
    </xf>
    <xf numFmtId="0" fontId="48" fillId="37" borderId="0" applyFont="1" applyFill="1" applyBorder="1" applyAlignment="1">
      <alignment horizontal="center" vertical="center"/>
    </xf>
    <xf numFmtId="0" fontId="83" fillId="30" borderId="0" applyNumberFormat="1" applyFont="1" applyFill="1" applyAlignment="1">
      <alignment horizontal="left" wrapText="1"/>
    </xf>
    <xf numFmtId="0" fontId="0" fillId="33" borderId="32" applyFont="1" applyFill="1" applyBorder="1" applyAlignment="1">
      <alignment horizontal="right" indent="2"/>
    </xf>
    <xf numFmtId="166" fontId="0" fillId="33" borderId="0" applyNumberFormat="1" applyFont="1" applyFill="1" applyBorder="1" applyAlignment="1">
      <alignment horizontal="right" indent="2"/>
    </xf>
    <xf numFmtId="166" fontId="0" fillId="33" borderId="29" applyNumberFormat="1" applyFont="1" applyFill="1" applyBorder="1" applyAlignment="1">
      <alignment horizontal="right" indent="2"/>
    </xf>
    <xf numFmtId="166" fontId="0" fillId="33" borderId="32" applyNumberFormat="1" applyFont="1" applyFill="1" applyBorder="1" applyAlignment="1">
      <alignment horizontal="right" indent="2"/>
    </xf>
    <xf numFmtId="166" fontId="0" fillId="33" borderId="27" applyNumberFormat="1" applyFont="1" applyFill="1" applyBorder="1" applyAlignment="1">
      <alignment horizontal="right" indent="2"/>
    </xf>
    <xf numFmtId="0" fontId="0" fillId="37" borderId="0" applyFont="1" applyFill="1" applyBorder="1" applyAlignment="1">
      <alignment horizontal="center" vertical="center" wrapText="1"/>
    </xf>
    <xf numFmtId="0" fontId="0" fillId="33" borderId="33" applyFont="1" applyFill="1" applyBorder="1" applyAlignment="1">
      <alignment horizontal="right" indent="2"/>
    </xf>
    <xf numFmtId="0" fontId="0" fillId="0" borderId="0" applyFont="1" applyFill="1" applyBorder="1" applyAlignment="1">
      <alignment horizontal="right" indent="2"/>
    </xf>
    <xf numFmtId="166" fontId="0" fillId="0" borderId="0" applyNumberFormat="1" applyFont="1" applyFill="1" applyBorder="1" applyAlignment="1">
      <alignment horizontal="right" indent="2"/>
    </xf>
    <xf numFmtId="166" fontId="0" fillId="0" borderId="29" applyNumberFormat="1" applyFont="1" applyFill="1" applyBorder="1" applyAlignment="1">
      <alignment horizontal="right" indent="2"/>
    </xf>
    <xf numFmtId="0" fontId="0" fillId="33" borderId="30" applyFont="1" applyFill="1" applyBorder="1" applyAlignment="1">
      <alignment horizontal="right" indent="2"/>
    </xf>
    <xf numFmtId="0" fontId="0" fillId="33" borderId="26" applyFont="1" applyFill="1" applyBorder="1" applyAlignment="1">
      <alignment horizontal="right" indent="2"/>
    </xf>
    <xf numFmtId="0" fontId="0" fillId="33" borderId="28" applyFont="1" applyFill="1" applyBorder="1" applyAlignment="1">
      <alignment horizontal="right" indent="2"/>
    </xf>
    <xf numFmtId="0" fontId="0" fillId="33" borderId="0" applyFont="1" applyFill="1" applyBorder="1" applyAlignment="1">
      <alignment horizontal="right" indent="2"/>
    </xf>
    <xf numFmtId="0" fontId="0" fillId="0" borderId="28" applyFont="1" applyFill="1" applyBorder="1" applyAlignment="1">
      <alignment horizontal="right" indent="2"/>
    </xf>
    <xf numFmtId="0" fontId="0" fillId="0" borderId="51" applyFont="1" applyFill="1" applyBorder="1"/>
    <xf numFmtId="166" fontId="0" fillId="33" borderId="33" applyNumberFormat="1" applyFont="1" applyFill="1" applyBorder="1" applyAlignment="1">
      <alignment horizontal="right" indent="2"/>
    </xf>
    <xf numFmtId="166" fontId="0" fillId="33" borderId="31" applyNumberFormat="1" applyFont="1" applyFill="1" applyBorder="1" applyAlignment="1">
      <alignment horizontal="right" indent="2"/>
    </xf>
    <xf numFmtId="0" fontId="43" fillId="0" borderId="0" applyFont="1" applyFill="1" applyBorder="1" applyAlignment="1">
      <alignment horizontal="center"/>
    </xf>
    <xf numFmtId="0" fontId="41" fillId="0" borderId="26" applyFont="1" applyFill="1" applyBorder="1" applyAlignment="1">
      <alignment horizontal="center" vertical="center" wrapText="1"/>
    </xf>
    <xf numFmtId="0" fontId="41" fillId="0" borderId="32" applyFont="1" applyFill="1" applyBorder="1" applyAlignment="1">
      <alignment horizontal="center" vertical="center" wrapText="1"/>
    </xf>
    <xf numFmtId="0" fontId="41" fillId="0" borderId="27" applyFont="1" applyFill="1" applyBorder="1" applyAlignment="1">
      <alignment horizontal="center" vertical="center" wrapText="1"/>
    </xf>
    <xf numFmtId="164" fontId="88" fillId="30" borderId="0" applyNumberFormat="1" applyFont="1" applyFill="1"/>
    <xf numFmtId="0" fontId="87" fillId="0" borderId="0" applyNumberFormat="1" applyFont="1" applyFill="1" applyBorder="1" applyAlignment="1">
      <alignment horizontal="left" wrapText="1"/>
    </xf>
    <xf numFmtId="0" fontId="43" fillId="0" borderId="0" applyFont="1" applyFill="1" applyAlignment="1">
      <alignment horizontal="right"/>
    </xf>
    <xf numFmtId="0" fontId="0" fillId="0" borderId="0" applyFont="1" applyFill="1" applyAlignment="1">
      <alignment horizontal="right"/>
    </xf>
    <xf numFmtId="0" fontId="25" fillId="36" borderId="37" applyFont="1" applyFill="1" applyBorder="1" applyAlignment="1">
      <alignment horizontal="center" vertical="center"/>
    </xf>
    <xf numFmtId="0" fontId="0" fillId="36" borderId="39" applyFont="1" applyFill="1" applyBorder="1" applyAlignment="1">
      <alignment horizontal="center" vertical="center"/>
    </xf>
    <xf numFmtId="0" fontId="41" fillId="0" borderId="26" applyFont="1" applyFill="1" applyBorder="1" applyAlignment="1">
      <alignment horizontal="center" vertical="center"/>
    </xf>
    <xf numFmtId="0" fontId="41" fillId="0" borderId="32" applyFont="1" applyFill="1" applyBorder="1" applyAlignment="1">
      <alignment horizontal="center" vertical="center"/>
    </xf>
    <xf numFmtId="0" fontId="41" fillId="0" borderId="27" applyFont="1" applyFill="1" applyBorder="1" applyAlignment="1">
      <alignment horizontal="center" vertical="center"/>
    </xf>
    <xf numFmtId="0" fontId="88" fillId="0" borderId="32" applyFont="1" applyFill="1" applyBorder="1" applyAlignment="1">
      <alignment horizontal="center" vertical="center"/>
    </xf>
    <xf numFmtId="0" fontId="88" fillId="0" borderId="27" applyFont="1" applyFill="1" applyBorder="1" applyAlignment="1">
      <alignment horizontal="center" vertical="center"/>
    </xf>
    <xf numFmtId="164" fontId="50" fillId="30" borderId="0" applyNumberFormat="1" applyFont="1" applyFill="1" applyAlignment="1">
      <alignment horizontal="right"/>
    </xf>
    <xf numFmtId="0" fontId="44" fillId="0" borderId="0" applyFont="1" applyFill="1" applyBorder="1" applyAlignment="1">
      <alignment horizontal="center"/>
    </xf>
    <xf numFmtId="0" fontId="41" fillId="0" borderId="28" applyFont="1" applyFill="1" applyBorder="1" applyAlignment="1">
      <alignment horizontal="center" vertical="center"/>
    </xf>
    <xf numFmtId="0" fontId="88" fillId="0" borderId="0" applyFont="1" applyFill="1" applyBorder="1" applyAlignment="1">
      <alignment horizontal="center" vertical="center"/>
    </xf>
    <xf numFmtId="0" fontId="88" fillId="0" borderId="29" applyFont="1" applyFill="1" applyBorder="1" applyAlignment="1">
      <alignment horizontal="center" vertical="center"/>
    </xf>
    <xf numFmtId="0" fontId="88" fillId="0" borderId="0" applyFont="1" applyFill="1"/>
    <xf numFmtId="0" fontId="41" fillId="0" borderId="28" applyFont="1" applyFill="1" applyBorder="1" applyAlignment="1">
      <alignment horizontal="center" vertical="center" wrapText="1"/>
    </xf>
    <xf numFmtId="0" fontId="41" fillId="0" borderId="0" applyFont="1" applyFill="1" applyBorder="1" applyAlignment="1">
      <alignment horizontal="center" vertical="center" wrapText="1"/>
    </xf>
    <xf numFmtId="0" fontId="41" fillId="0" borderId="29" applyFont="1" applyFill="1" applyBorder="1" applyAlignment="1">
      <alignment horizontal="center" vertical="center" wrapText="1"/>
    </xf>
    <xf numFmtId="0" fontId="41" fillId="0" borderId="0" applyFont="1" applyFill="1" applyBorder="1" applyAlignment="1">
      <alignment horizontal="center" vertical="center"/>
    </xf>
    <xf numFmtId="0" fontId="41" fillId="0" borderId="29" applyFont="1" applyFill="1" applyBorder="1" applyAlignment="1">
      <alignment horizontal="center" vertical="center"/>
    </xf>
    <xf numFmtId="0" fontId="42" fillId="36" borderId="34" applyFont="1" applyFill="1" applyBorder="1" applyAlignment="1">
      <alignment horizontal="center"/>
    </xf>
    <xf numFmtId="0" fontId="42" fillId="36" borderId="35" applyFont="1" applyFill="1" applyBorder="1" applyAlignment="1">
      <alignment horizontal="center"/>
    </xf>
    <xf numFmtId="0" fontId="42" fillId="36" borderId="36" applyFont="1" applyFill="1" applyBorder="1" applyAlignment="1">
      <alignment horizontal="center"/>
    </xf>
    <xf numFmtId="0" fontId="43" fillId="30" borderId="0" applyFont="1" applyFill="1" applyAlignment="1">
      <alignment horizontal="right"/>
    </xf>
    <xf numFmtId="0" fontId="48" fillId="36" borderId="26" applyFont="1" applyFill="1" applyBorder="1"/>
    <xf numFmtId="0" fontId="48" fillId="36" borderId="27" applyFont="1" applyFill="1" applyBorder="1"/>
    <xf numFmtId="0" fontId="43" fillId="30" borderId="49" applyFont="1" applyFill="1" applyBorder="1" applyAlignment="1">
      <alignment horizontal="center"/>
    </xf>
    <xf numFmtId="0" fontId="43" fillId="30" borderId="51" applyFont="1" applyFill="1" applyBorder="1" applyAlignment="1">
      <alignment horizontal="center"/>
    </xf>
    <xf numFmtId="0" fontId="48" fillId="36" borderId="34" applyFont="1" applyFill="1" applyBorder="1" applyAlignment="1">
      <alignment horizontal="center"/>
    </xf>
    <xf numFmtId="0" fontId="48" fillId="36" borderId="35" applyFont="1" applyFill="1" applyBorder="1" applyAlignment="1">
      <alignment horizontal="center"/>
    </xf>
    <xf numFmtId="0" fontId="48" fillId="36" borderId="36" applyFont="1" applyFill="1" applyBorder="1" applyAlignment="1">
      <alignment horizontal="center"/>
    </xf>
    <xf numFmtId="0" fontId="83" fillId="0" borderId="0" applyNumberFormat="1" applyFont="1" applyFill="1" applyAlignment="1">
      <alignment horizontal="left" wrapText="1"/>
    </xf>
    <xf numFmtId="0" fontId="43" fillId="30" borderId="34" applyFont="1" applyFill="1" applyBorder="1" applyAlignment="1">
      <alignment horizontal="center"/>
    </xf>
    <xf numFmtId="0" fontId="43" fillId="30" borderId="36" applyFont="1" applyFill="1" applyBorder="1" applyAlignment="1">
      <alignment horizontal="center"/>
    </xf>
    <xf numFmtId="0" fontId="83" fillId="0" borderId="0" applyNumberFormat="1" applyFont="1" applyFill="1" applyBorder="1" applyAlignment="1">
      <alignment horizontal="left" wrapText="1"/>
    </xf>
    <xf numFmtId="0" fontId="25" fillId="36" borderId="39" applyFont="1" applyFill="1" applyBorder="1" applyAlignment="1">
      <alignment horizontal="center" vertical="center"/>
    </xf>
    <xf numFmtId="0" fontId="43" fillId="0" borderId="0" applyFont="1" applyFill="1" applyAlignment="1">
      <alignment horizontal="right"/>
    </xf>
    <xf numFmtId="164" fontId="50" fillId="30" borderId="0" applyNumberFormat="1" applyFont="1" applyFill="1" applyAlignment="1">
      <alignment horizontal="right"/>
    </xf>
    <xf numFmtId="0" fontId="0" fillId="0" borderId="34" applyFont="1" applyFill="1" applyBorder="1" applyAlignment="1">
      <alignment horizontal="center"/>
    </xf>
    <xf numFmtId="0" fontId="0" fillId="0" borderId="36" applyFont="1" applyFill="1" applyBorder="1" applyAlignment="1">
      <alignment horizontal="center"/>
    </xf>
    <xf numFmtId="0" fontId="0" fillId="34" borderId="34" applyFont="1" applyFill="1" applyBorder="1" applyAlignment="1">
      <alignment horizontal="center"/>
    </xf>
    <xf numFmtId="0" fontId="0" fillId="34" borderId="36" applyFont="1" applyFill="1" applyBorder="1" applyAlignment="1">
      <alignment horizontal="center"/>
    </xf>
    <xf numFmtId="49" fontId="51" fillId="36" borderId="34" applyNumberFormat="1" applyFont="1" applyFill="1" applyBorder="1" applyAlignment="1">
      <alignment horizontal="center" vertical="center"/>
    </xf>
    <xf numFmtId="49" fontId="0" fillId="36" borderId="35" applyNumberFormat="1" applyFont="1" applyFill="1" applyBorder="1" applyAlignment="1">
      <alignment horizontal="center" vertical="center"/>
    </xf>
    <xf numFmtId="49" fontId="0" fillId="36" borderId="36" applyNumberFormat="1" applyFont="1" applyFill="1" applyBorder="1" applyAlignment="1">
      <alignment horizontal="center" vertical="center"/>
    </xf>
    <xf numFmtId="0" fontId="51" fillId="36" borderId="34" applyFont="1" applyFill="1" applyBorder="1" applyAlignment="1">
      <alignment horizontal="center" vertical="center"/>
    </xf>
    <xf numFmtId="0" fontId="0" fillId="36" borderId="35" applyFont="1" applyFill="1" applyBorder="1" applyAlignment="1">
      <alignment horizontal="center" vertical="center"/>
    </xf>
    <xf numFmtId="0" fontId="0" fillId="36" borderId="33" applyFont="1" applyFill="1" applyBorder="1" applyAlignment="1">
      <alignment horizontal="center" vertical="center"/>
    </xf>
    <xf numFmtId="0" fontId="0" fillId="36" borderId="31" applyFont="1" applyFill="1" applyBorder="1" applyAlignment="1">
      <alignment horizontal="center" vertical="center"/>
    </xf>
    <xf numFmtId="0" fontId="39" fillId="30" borderId="0" applyFont="1" applyFill="1" applyAlignment="1">
      <alignment horizontal="center"/>
    </xf>
    <xf numFmtId="0" fontId="0" fillId="0" borderId="0" applyFont="1" applyFill="1"/>
    <xf numFmtId="0" fontId="88" fillId="30" borderId="0" applyFont="1" applyFill="1"/>
    <xf numFmtId="164" fontId="88" fillId="30" borderId="0" applyNumberFormat="1" applyFont="1" applyFill="1" applyAlignment="1">
      <alignment horizontal="right"/>
    </xf>
    <xf numFmtId="1" fontId="83" fillId="0" borderId="0" applyNumberFormat="1" applyFont="1" applyFill="1" applyAlignment="1">
      <alignment horizontal="left" wrapText="1"/>
    </xf>
    <xf numFmtId="166" fontId="52" fillId="36" borderId="34" applyNumberFormat="1" applyFont="1" applyFill="1" applyBorder="1" applyAlignment="1">
      <alignment horizontal="center"/>
    </xf>
    <xf numFmtId="166" fontId="52" fillId="36" borderId="35" applyNumberFormat="1" applyFont="1" applyFill="1" applyBorder="1" applyAlignment="1">
      <alignment horizontal="center"/>
    </xf>
    <xf numFmtId="166" fontId="52" fillId="36" borderId="36" applyNumberFormat="1" applyFont="1" applyFill="1" applyBorder="1" applyAlignment="1">
      <alignment horizontal="center"/>
    </xf>
    <xf numFmtId="0" fontId="20" fillId="0" borderId="34" applyFont="1" applyFill="1" applyBorder="1" applyAlignment="1">
      <alignment horizontal="center"/>
    </xf>
    <xf numFmtId="0" fontId="20" fillId="0" borderId="35" applyFont="1" applyFill="1" applyBorder="1" applyAlignment="1">
      <alignment horizontal="center"/>
    </xf>
    <xf numFmtId="0" fontId="20" fillId="0" borderId="36" applyFont="1" applyFill="1" applyBorder="1" applyAlignment="1">
      <alignment horizontal="center"/>
    </xf>
    <xf numFmtId="0" fontId="51" fillId="36" borderId="34" applyFont="1" applyFill="1" applyBorder="1"/>
    <xf numFmtId="0" fontId="51" fillId="36" borderId="35" applyFont="1" applyFill="1" applyBorder="1"/>
    <xf numFmtId="0" fontId="51" fillId="36" borderId="36" applyFont="1" applyFill="1" applyBorder="1"/>
    <xf numFmtId="0" fontId="43" fillId="0" borderId="34" applyFont="1" applyFill="1" applyBorder="1" applyAlignment="1">
      <alignment horizontal="center" vertical="center" wrapText="1"/>
    </xf>
    <xf numFmtId="0" fontId="88" fillId="0" borderId="36" applyFont="1" applyFill="1" applyBorder="1" applyAlignment="1">
      <alignment horizontal="center" vertical="center" wrapText="1"/>
    </xf>
    <xf numFmtId="0" fontId="51" fillId="36" borderId="34" applyFont="1" applyFill="1" applyBorder="1" applyAlignment="1">
      <alignment horizontal="left"/>
    </xf>
    <xf numFmtId="0" fontId="51" fillId="36" borderId="35" applyFont="1" applyFill="1" applyBorder="1" applyAlignment="1">
      <alignment horizontal="left"/>
    </xf>
    <xf numFmtId="0" fontId="51" fillId="36" borderId="36" applyFont="1" applyFill="1" applyBorder="1" applyAlignment="1">
      <alignment horizontal="left"/>
    </xf>
    <xf numFmtId="166" fontId="52" fillId="36" borderId="26" applyNumberFormat="1" applyFont="1" applyFill="1" applyBorder="1" applyAlignment="1">
      <alignment horizontal="center"/>
    </xf>
    <xf numFmtId="166" fontId="52" fillId="36" borderId="32" applyNumberFormat="1" applyFont="1" applyFill="1" applyBorder="1" applyAlignment="1">
      <alignment horizontal="center"/>
    </xf>
    <xf numFmtId="166" fontId="52" fillId="36" borderId="27" applyNumberFormat="1" applyFont="1" applyFill="1" applyBorder="1" applyAlignment="1">
      <alignment horizontal="center"/>
    </xf>
    <xf numFmtId="0" fontId="51" fillId="36" borderId="26" applyFont="1" applyFill="1" applyBorder="1" applyAlignment="1">
      <alignment horizontal="left"/>
    </xf>
    <xf numFmtId="0" fontId="51" fillId="36" borderId="32" applyFont="1" applyFill="1" applyBorder="1" applyAlignment="1">
      <alignment horizontal="left"/>
    </xf>
    <xf numFmtId="0" fontId="51" fillId="36" borderId="27" applyFont="1" applyFill="1" applyBorder="1" applyAlignment="1">
      <alignment horizontal="left"/>
    </xf>
    <xf numFmtId="0" fontId="51" fillId="36" borderId="26" applyFont="1" applyFill="1" applyBorder="1"/>
    <xf numFmtId="0" fontId="51" fillId="36" borderId="32" applyFont="1" applyFill="1" applyBorder="1"/>
    <xf numFmtId="0" fontId="51" fillId="36" borderId="27" applyFont="1" applyFill="1" applyBorder="1"/>
    <xf numFmtId="0" fontId="5" fillId="0" borderId="28" applyFont="1" applyFill="1" applyBorder="1"/>
    <xf numFmtId="0" fontId="5" fillId="0" borderId="29" applyFont="1" applyFill="1" applyBorder="1"/>
    <xf numFmtId="166" fontId="52" fillId="36" borderId="26" applyNumberFormat="1" applyFont="1" applyFill="1" applyBorder="1" applyAlignment="1">
      <alignment horizontal="center"/>
    </xf>
    <xf numFmtId="166" fontId="52" fillId="36" borderId="32" applyNumberFormat="1" applyFont="1" applyFill="1" applyBorder="1" applyAlignment="1">
      <alignment horizontal="center"/>
    </xf>
    <xf numFmtId="166" fontId="52" fillId="36" borderId="27" applyNumberFormat="1" applyFont="1" applyFill="1" applyBorder="1" applyAlignment="1">
      <alignment horizontal="center"/>
    </xf>
    <xf numFmtId="0" fontId="5" fillId="0" borderId="34" applyFont="1" applyFill="1" applyBorder="1"/>
    <xf numFmtId="0" fontId="5" fillId="0" borderId="36" applyFont="1" applyFill="1" applyBorder="1"/>
    <xf numFmtId="0" fontId="5" fillId="0" borderId="26" applyFont="1" applyFill="1" applyBorder="1"/>
    <xf numFmtId="0" fontId="5" fillId="0" borderId="27" applyFont="1" applyFill="1" applyBorder="1"/>
    <xf numFmtId="0" fontId="5" fillId="0" borderId="30" applyFont="1" applyFill="1" applyBorder="1"/>
    <xf numFmtId="0" fontId="5" fillId="0" borderId="31" applyFont="1" applyFill="1" applyBorder="1"/>
    <xf numFmtId="0" fontId="51" fillId="36" borderId="26" applyFont="1" applyFill="1" applyBorder="1" applyAlignment="1">
      <alignment horizontal="left"/>
    </xf>
    <xf numFmtId="0" fontId="51" fillId="36" borderId="32" applyFont="1" applyFill="1" applyBorder="1" applyAlignment="1">
      <alignment horizontal="left"/>
    </xf>
    <xf numFmtId="0" fontId="51" fillId="36" borderId="27" applyFont="1" applyFill="1" applyBorder="1" applyAlignment="1">
      <alignment horizontal="left"/>
    </xf>
    <xf numFmtId="166" fontId="52" fillId="36" borderId="34" applyNumberFormat="1" applyFont="1" applyFill="1" applyBorder="1" applyAlignment="1">
      <alignment horizontal="center"/>
    </xf>
    <xf numFmtId="166" fontId="52" fillId="36" borderId="35" applyNumberFormat="1" applyFont="1" applyFill="1" applyBorder="1" applyAlignment="1">
      <alignment horizontal="center"/>
    </xf>
    <xf numFmtId="166" fontId="52" fillId="36" borderId="36" applyNumberFormat="1" applyFont="1" applyFill="1" applyBorder="1" applyAlignment="1">
      <alignment horizontal="center"/>
    </xf>
    <xf numFmtId="0" fontId="5" fillId="33" borderId="30" applyFont="1" applyFill="1" applyBorder="1"/>
    <xf numFmtId="0" fontId="5" fillId="33" borderId="31" applyFont="1" applyFill="1" applyBorder="1"/>
    <xf numFmtId="0" fontId="5" fillId="33" borderId="26" applyFont="1" applyFill="1" applyBorder="1"/>
    <xf numFmtId="0" fontId="5" fillId="33" borderId="27" applyFont="1" applyFill="1" applyBorder="1"/>
    <xf numFmtId="0" fontId="5" fillId="33" borderId="28" applyFont="1" applyFill="1" applyBorder="1"/>
    <xf numFmtId="0" fontId="5" fillId="33" borderId="29" applyFont="1" applyFill="1" applyBorder="1"/>
    <xf numFmtId="0" fontId="83" fillId="0" borderId="0" applyNumberFormat="1" applyFont="1" applyFill="1" applyAlignment="1">
      <alignment horizontal="left" wrapText="1"/>
    </xf>
    <xf numFmtId="0" fontId="88" fillId="0" borderId="0" applyFont="1" applyFill="1" applyAlignment="1">
      <alignment horizontal="right"/>
    </xf>
    <xf numFmtId="49" fontId="42" fillId="36" borderId="34" applyNumberFormat="1" applyFont="1" applyFill="1" applyBorder="1" applyAlignment="1">
      <alignment horizontal="center"/>
    </xf>
    <xf numFmtId="49" fontId="42" fillId="36" borderId="35" applyNumberFormat="1" applyFont="1" applyFill="1" applyBorder="1" applyAlignment="1">
      <alignment horizontal="center"/>
    </xf>
    <xf numFmtId="49" fontId="42" fillId="36" borderId="36" applyNumberFormat="1" applyFont="1" applyFill="1" applyBorder="1" applyAlignment="1">
      <alignment horizontal="center"/>
    </xf>
    <xf numFmtId="0" fontId="43" fillId="0" borderId="0" applyFont="1" applyFill="1" applyBorder="1" applyAlignment="1">
      <alignment horizontal="center" vertical="center" wrapText="1"/>
    </xf>
    <xf numFmtId="0" fontId="88" fillId="0" borderId="19" applyFont="1" applyFill="1" applyBorder="1" applyAlignment="1">
      <alignment horizontal="center" vertical="center" wrapText="1"/>
    </xf>
    <xf numFmtId="0" fontId="51" fillId="36" borderId="34" applyFont="1" applyFill="1" applyBorder="1" applyAlignment="1">
      <alignment horizontal="left"/>
    </xf>
    <xf numFmtId="0" fontId="51" fillId="36" borderId="35" applyFont="1" applyFill="1" applyBorder="1" applyAlignment="1">
      <alignment horizontal="left"/>
    </xf>
    <xf numFmtId="0" fontId="51" fillId="36" borderId="36" applyFont="1" applyFill="1" applyBorder="1" applyAlignment="1">
      <alignment horizontal="left"/>
    </xf>
    <xf numFmtId="0" fontId="20" fillId="0" borderId="25" applyFont="1" applyFill="1" applyBorder="1" applyAlignment="1">
      <alignment horizontal="center"/>
    </xf>
    <xf numFmtId="0" fontId="20" fillId="0" borderId="53" applyFont="1" applyFill="1" applyBorder="1" applyAlignment="1">
      <alignment horizontal="center"/>
    </xf>
    <xf numFmtId="0" fontId="0" fillId="0" borderId="0" applyFont="1" applyFill="1" applyBorder="1" applyAlignment="1">
      <alignment horizontal="left" vertical="center"/>
    </xf>
    <xf numFmtId="170" fontId="0" fillId="0" borderId="0" applyNumberFormat="1" applyFont="1" applyFill="1" applyBorder="1" applyAlignment="1">
      <alignment horizontal="left" vertical="center"/>
    </xf>
    <xf numFmtId="0" fontId="82" fillId="0" borderId="0" applyNumberFormat="1" applyFont="1" applyFill="1" applyAlignment="1">
      <alignment horizontal="left" wrapText="1"/>
    </xf>
    <xf numFmtId="0" fontId="82" fillId="0" borderId="0" applyNumberFormat="1" applyFont="1" applyFill="1" applyAlignment="1">
      <alignment horizontal="left" wrapText="1"/>
    </xf>
    <xf numFmtId="0" fontId="82" fillId="33" borderId="0" applyFont="1" applyFill="1" applyBorder="1" applyAlignment="1">
      <alignment horizontal="center"/>
    </xf>
    <xf numFmtId="0" fontId="82" fillId="0" borderId="28" applyFont="1" applyFill="1" applyBorder="1" applyAlignment="1">
      <alignment horizontal="center"/>
    </xf>
    <xf numFmtId="0" fontId="82" fillId="0" borderId="0" applyFont="1" applyFill="1" applyBorder="1" applyAlignment="1">
      <alignment horizontal="center"/>
    </xf>
    <xf numFmtId="0" fontId="82" fillId="33" borderId="33" applyFont="1" applyFill="1" applyBorder="1" applyAlignment="1">
      <alignment horizontal="center"/>
    </xf>
    <xf numFmtId="0" fontId="82" fillId="33" borderId="29" applyFont="1" applyFill="1" applyBorder="1" applyAlignment="1">
      <alignment horizontal="center"/>
    </xf>
    <xf numFmtId="0" fontId="82" fillId="0" borderId="29" applyFont="1" applyFill="1" applyBorder="1" applyAlignment="1">
      <alignment horizontal="center"/>
    </xf>
    <xf numFmtId="0" fontId="82" fillId="33" borderId="30" applyFont="1" applyFill="1" applyBorder="1" applyAlignment="1">
      <alignment horizontal="center"/>
    </xf>
    <xf numFmtId="0" fontId="82" fillId="33" borderId="28" applyFont="1" applyFill="1" applyBorder="1" applyAlignment="1">
      <alignment horizontal="center"/>
    </xf>
    <xf numFmtId="0" fontId="82" fillId="0" borderId="32" applyFont="1" applyFill="1" applyBorder="1" applyAlignment="1">
      <alignment horizontal="center"/>
    </xf>
    <xf numFmtId="0" fontId="82" fillId="0" borderId="27" applyFont="1" applyFill="1" applyBorder="1" applyAlignment="1">
      <alignment horizontal="center"/>
    </xf>
    <xf numFmtId="0" fontId="39" fillId="0" borderId="0" applyFont="1" applyFill="1" applyAlignment="1">
      <alignment horizontal="center"/>
    </xf>
    <xf numFmtId="0" fontId="29" fillId="0" borderId="0" applyFont="1" applyFill="1" applyBorder="1" applyAlignment="1">
      <alignment horizontal="center"/>
    </xf>
    <xf numFmtId="0" fontId="82" fillId="0" borderId="26" applyFont="1" applyFill="1" applyBorder="1" applyAlignment="1">
      <alignment horizontal="center"/>
    </xf>
    <xf numFmtId="0" fontId="82" fillId="33" borderId="31" applyFont="1" applyFill="1" applyBorder="1" applyAlignment="1">
      <alignment horizontal="center"/>
    </xf>
    <xf numFmtId="0" fontId="0" fillId="0" borderId="0" applyFont="1" applyFill="1"/>
    <xf numFmtId="0" fontId="0" fillId="0" borderId="0" applyFont="1" applyFill="1" applyAlignment="1">
      <alignment horizontal="center"/>
    </xf>
    <xf numFmtId="0" fontId="43" fillId="0" borderId="0" applyFont="1" applyFill="1" applyBorder="1"/>
    <xf numFmtId="0" fontId="82" fillId="0" borderId="0" applyFont="1" applyFill="1" applyBorder="1" applyAlignment="1">
      <alignment horizontal="center"/>
    </xf>
    <xf numFmtId="0" fontId="82" fillId="33" borderId="33" applyFont="1" applyFill="1" applyBorder="1" applyAlignment="1">
      <alignment horizontal="center"/>
    </xf>
    <xf numFmtId="0" fontId="82" fillId="33" borderId="31" applyFont="1" applyFill="1" applyBorder="1" applyAlignment="1">
      <alignment horizontal="center"/>
    </xf>
    <xf numFmtId="0" fontId="82" fillId="0" borderId="29" applyFont="1" applyFill="1" applyBorder="1" applyAlignment="1">
      <alignment horizontal="center"/>
    </xf>
    <xf numFmtId="0" fontId="82" fillId="33" borderId="28" applyFont="1" applyFill="1" applyBorder="1" applyAlignment="1">
      <alignment horizontal="center"/>
    </xf>
    <xf numFmtId="0" fontId="82" fillId="33" borderId="0" applyFont="1" applyFill="1" applyBorder="1" applyAlignment="1">
      <alignment horizontal="center"/>
    </xf>
    <xf numFmtId="0" fontId="82" fillId="33" borderId="30" applyFont="1" applyFill="1" applyBorder="1" applyAlignment="1">
      <alignment horizontal="center"/>
    </xf>
    <xf numFmtId="0" fontId="82" fillId="0" borderId="28" applyFont="1" applyFill="1" applyBorder="1" applyAlignment="1">
      <alignment horizontal="center"/>
    </xf>
    <xf numFmtId="0" fontId="39" fillId="0" borderId="0" applyFont="1" applyFill="1" applyAlignment="1">
      <alignment horizontal="center"/>
    </xf>
    <xf numFmtId="0" fontId="82" fillId="0" borderId="32" applyFont="1" applyFill="1" applyBorder="1" applyAlignment="1">
      <alignment horizontal="center"/>
    </xf>
    <xf numFmtId="0" fontId="82" fillId="0" borderId="27" applyFont="1" applyFill="1" applyBorder="1" applyAlignment="1">
      <alignment horizontal="center"/>
    </xf>
    <xf numFmtId="0" fontId="82" fillId="0" borderId="26" applyFont="1" applyFill="1" applyBorder="1" applyAlignment="1">
      <alignment horizontal="center"/>
    </xf>
    <xf numFmtId="0" fontId="29" fillId="0" borderId="0" applyFont="1" applyFill="1" applyBorder="1" applyAlignment="1">
      <alignment horizontal="center"/>
    </xf>
    <xf numFmtId="0" fontId="82" fillId="33" borderId="29" applyFont="1" applyFill="1" applyBorder="1" applyAlignment="1">
      <alignment horizontal="center"/>
    </xf>
    <xf numFmtId="164" fontId="0" fillId="30" borderId="0" applyNumberFormat="1" applyFont="1" applyFill="1"/>
    <xf numFmtId="0" fontId="0" fillId="30" borderId="0" applyFont="1" applyFill="1"/>
    <xf numFmtId="0" fontId="0" fillId="30" borderId="0" applyFont="1" applyFill="1" applyAlignment="1">
      <alignment horizontal="center"/>
    </xf>
    <xf numFmtId="0" fontId="5" fillId="0" borderId="0" applyFont="1" applyFill="1" applyAlignment="1">
      <alignment horizontal="left" vertical="top" wrapText="1"/>
    </xf>
    <xf numFmtId="0" fontId="83" fillId="30" borderId="0" applyNumberFormat="1" applyFont="1" applyFill="1" applyBorder="1" applyAlignment="1">
      <alignment horizontal="left" wrapText="1"/>
    </xf>
    <xf numFmtId="0" fontId="39" fillId="30" borderId="0" applyFont="1" applyFill="1" applyBorder="1" applyAlignment="1">
      <alignment horizontal="center"/>
    </xf>
    <xf numFmtId="164" fontId="88" fillId="30" borderId="0" applyNumberFormat="1" applyFont="1" applyFill="1" applyBorder="1"/>
    <xf numFmtId="0" fontId="88" fillId="30" borderId="0" applyFont="1" applyFill="1" applyBorder="1" applyAlignment="1">
      <alignment horizontal="left"/>
    </xf>
    <xf numFmtId="49" fontId="52" fillId="36" borderId="34" applyNumberFormat="1" applyFont="1" applyFill="1" applyBorder="1" applyAlignment="1">
      <alignment horizontal="center"/>
    </xf>
    <xf numFmtId="49" fontId="52" fillId="36" borderId="7" applyNumberFormat="1" applyFont="1" applyFill="1" applyBorder="1" applyAlignment="1">
      <alignment horizontal="center"/>
    </xf>
    <xf numFmtId="0" fontId="43" fillId="0" borderId="36" applyFont="1" applyFill="1" applyBorder="1" applyAlignment="1">
      <alignment horizontal="center" vertical="center" wrapText="1"/>
    </xf>
    <xf numFmtId="0" fontId="43" fillId="0" borderId="54" applyFont="1" applyFill="1" applyBorder="1" applyAlignment="1">
      <alignment horizontal="center" vertical="center" wrapText="1"/>
    </xf>
    <xf numFmtId="0" fontId="0" fillId="33" borderId="38" applyFont="1" applyFill="1" applyBorder="1"/>
    <xf numFmtId="0" fontId="48" fillId="36" borderId="37" applyFont="1" applyFill="1" applyBorder="1" applyAlignment="1">
      <alignment horizontal="center" vertical="center"/>
    </xf>
    <xf numFmtId="0" fontId="43" fillId="30" borderId="54" applyFont="1" applyFill="1" applyBorder="1" applyAlignment="1">
      <alignment horizontal="center" vertical="center" wrapText="1"/>
    </xf>
    <xf numFmtId="0" fontId="43" fillId="0" borderId="7" applyFont="1" applyFill="1" applyBorder="1" applyAlignment="1">
      <alignment horizontal="center" vertical="center" wrapText="1"/>
    </xf>
    <xf numFmtId="0" fontId="0" fillId="33" borderId="37" applyFont="1" applyFill="1" applyBorder="1"/>
    <xf numFmtId="0" fontId="88" fillId="33" borderId="39" applyFont="1" applyFill="1" applyBorder="1"/>
    <xf numFmtId="0" fontId="88" fillId="30" borderId="0" applyFont="1" applyFill="1" applyBorder="1" applyAlignment="1">
      <alignment vertical="center"/>
    </xf>
    <xf numFmtId="164" fontId="88" fillId="30" borderId="0" applyNumberFormat="1" applyFont="1" applyFill="1" applyBorder="1" applyAlignment="1">
      <alignment vertical="center"/>
    </xf>
    <xf numFmtId="0" fontId="88" fillId="0" borderId="38" applyFont="1" applyFill="1" applyBorder="1"/>
    <xf numFmtId="0" fontId="88" fillId="33" borderId="38" applyFont="1" applyFill="1" applyBorder="1"/>
    <xf numFmtId="0" fontId="48" fillId="36" borderId="7" applyFont="1" applyFill="1" applyBorder="1" applyAlignment="1">
      <alignment horizontal="center" vertical="center"/>
    </xf>
    <xf numFmtId="0" fontId="43" fillId="30" borderId="36" applyFont="1" applyFill="1" applyBorder="1" applyAlignment="1">
      <alignment horizontal="center" vertical="center" wrapText="1"/>
    </xf>
    <xf numFmtId="0" fontId="41" fillId="0" borderId="37" applyFont="1" applyFill="1" applyBorder="1" applyAlignment="1">
      <alignment horizontal="center" vertical="center"/>
    </xf>
    <xf numFmtId="0" fontId="41" fillId="0" borderId="37" applyFont="1" applyFill="1" applyBorder="1" applyAlignment="1">
      <alignment horizontal="center" vertical="center" wrapText="1"/>
    </xf>
    <xf numFmtId="0" fontId="43" fillId="0" borderId="0" applyFont="1" applyFill="1" applyBorder="1" applyAlignment="1">
      <alignment horizontal="right"/>
    </xf>
    <xf numFmtId="164" fontId="50" fillId="30" borderId="0" applyNumberFormat="1" applyFont="1" applyFill="1" applyBorder="1" applyAlignment="1">
      <alignment horizontal="right"/>
    </xf>
    <xf numFmtId="164" fontId="43" fillId="30" borderId="0" applyNumberFormat="1" applyFont="1" applyFill="1" applyBorder="1" applyAlignment="1">
      <alignment horizontal="right"/>
    </xf>
    <xf numFmtId="0" fontId="41" fillId="0" borderId="38" applyFont="1" applyFill="1" applyBorder="1" applyAlignment="1">
      <alignment horizontal="center" vertical="center"/>
    </xf>
    <xf numFmtId="0" fontId="41" fillId="0" borderId="38" applyFont="1" applyFill="1" applyBorder="1" applyAlignment="1">
      <alignment horizontal="center" vertical="center" wrapText="1"/>
    </xf>
    <xf numFmtId="0" fontId="42" fillId="36" borderId="7" applyFont="1" applyFill="1" applyBorder="1" applyAlignment="1">
      <alignment horizontal="center"/>
    </xf>
    <xf numFmtId="0" fontId="43" fillId="30" borderId="0" applyFont="1" applyFill="1" applyBorder="1" applyAlignment="1">
      <alignment horizontal="right"/>
    </xf>
    <xf numFmtId="0" fontId="48" fillId="36" borderId="7" applyFont="1" applyFill="1" applyBorder="1" applyAlignment="1">
      <alignment horizontal="center"/>
    </xf>
    <xf numFmtId="0" fontId="43" fillId="30" borderId="7" applyFont="1" applyFill="1" applyBorder="1" applyAlignment="1">
      <alignment horizontal="center"/>
    </xf>
    <xf numFmtId="0" fontId="25" fillId="36" borderId="7" applyFont="1" applyFill="1" applyBorder="1" applyAlignment="1">
      <alignment horizontal="center" vertical="center"/>
    </xf>
    <xf numFmtId="0" fontId="0" fillId="0" borderId="7" applyFont="1" applyFill="1" applyBorder="1" applyAlignment="1">
      <alignment horizontal="center"/>
    </xf>
    <xf numFmtId="0" fontId="0" fillId="34" borderId="7" applyFont="1" applyFill="1" applyBorder="1" applyAlignment="1">
      <alignment horizontal="center"/>
    </xf>
    <xf numFmtId="49" fontId="48" fillId="36" borderId="34" applyNumberFormat="1" applyFont="1" applyFill="1" applyBorder="1" applyAlignment="1">
      <alignment horizontal="center" vertical="center"/>
    </xf>
    <xf numFmtId="49" fontId="48" fillId="36" borderId="7" applyNumberFormat="1" applyFont="1" applyFill="1" applyBorder="1" applyAlignment="1">
      <alignment horizontal="center" vertical="center"/>
    </xf>
    <xf numFmtId="0" fontId="48" fillId="36" borderId="34" applyFont="1" applyFill="1" applyBorder="1" applyAlignment="1">
      <alignment horizontal="center" vertical="center"/>
    </xf>
    <xf numFmtId="1" fontId="83" fillId="0" borderId="0" applyNumberFormat="1" applyFont="1" applyFill="1" applyBorder="1" applyAlignment="1">
      <alignment horizontal="left" wrapText="1"/>
    </xf>
    <xf numFmtId="166" fontId="52" fillId="36" borderId="7" applyNumberFormat="1" applyFont="1" applyFill="1" applyBorder="1" applyAlignment="1">
      <alignment horizontal="center"/>
    </xf>
    <xf numFmtId="0" fontId="51" fillId="36" borderId="7" applyFont="1" applyFill="1" applyBorder="1"/>
    <xf numFmtId="0" fontId="51" fillId="36" borderId="7" applyFont="1" applyFill="1" applyBorder="1" applyAlignment="1">
      <alignment horizontal="left"/>
    </xf>
    <xf numFmtId="164" fontId="88" fillId="30" borderId="0" applyNumberFormat="1" applyFont="1" applyFill="1" applyBorder="1" applyAlignment="1">
      <alignment horizontal="right"/>
    </xf>
    <xf numFmtId="166" fontId="52" fillId="36" borderId="37" applyNumberFormat="1" applyFont="1" applyFill="1" applyBorder="1" applyAlignment="1">
      <alignment horizontal="center"/>
    </xf>
    <xf numFmtId="0" fontId="51" fillId="36" borderId="37" applyFont="1" applyFill="1" applyBorder="1" applyAlignment="1">
      <alignment horizontal="left"/>
    </xf>
    <xf numFmtId="0" fontId="51" fillId="36" borderId="37" applyFont="1" applyFill="1" applyBorder="1"/>
    <xf numFmtId="49" fontId="42" fillId="36" borderId="7" applyNumberFormat="1" applyFont="1" applyFill="1" applyBorder="1" applyAlignment="1">
      <alignment horizontal="center"/>
    </xf>
    <xf numFmtId="0" fontId="43" fillId="0" borderId="19" applyFont="1" applyFill="1" applyBorder="1" applyAlignment="1">
      <alignment horizontal="center" vertical="center" wrapText="1"/>
    </xf>
    <xf numFmtId="0" fontId="5" fillId="33" borderId="37" applyFont="1" applyFill="1" applyBorder="1"/>
    <xf numFmtId="0" fontId="5" fillId="0" borderId="38" applyFont="1" applyFill="1" applyBorder="1"/>
    <xf numFmtId="0" fontId="5" fillId="0" borderId="7" applyFont="1" applyFill="1" applyBorder="1"/>
    <xf numFmtId="0" fontId="5" fillId="33" borderId="38" applyFont="1" applyFill="1" applyBorder="1"/>
    <xf numFmtId="0" fontId="5" fillId="33" borderId="39" applyFont="1" applyFill="1" applyBorder="1"/>
    <xf numFmtId="0" fontId="5" fillId="0" borderId="37" applyFont="1" applyFill="1" applyBorder="1"/>
    <xf numFmtId="0" fontId="5" fillId="0" borderId="39" applyFont="1" applyFill="1" applyBorder="1"/>
    <xf numFmtId="0" fontId="39" fillId="0" borderId="0" applyFont="1" applyFill="1" applyBorder="1" applyAlignment="1">
      <alignment horizontal="center"/>
    </xf>
    <xf numFmtId="0" fontId="82" fillId="0" borderId="0" applyNumberFormat="1" applyFont="1" applyFill="1" applyBorder="1" applyAlignment="1">
      <alignment horizontal="left" wrapText="1"/>
    </xf>
    <xf numFmtId="164" fontId="0" fillId="30" borderId="0" applyNumberFormat="1" applyFont="1" applyFill="1" applyBorder="1"/>
    <xf numFmtId="0" fontId="5" fillId="0" borderId="0" applyFont="1" applyFill="1" applyBorder="1" applyAlignment="1">
      <alignment horizontal="left" vertical="top" wrapText="1"/>
    </xf>
    <xf numFmtId="0" borderId="0"/>
    <xf numFmtId="0" fontId="103" fillId="36" borderId="55" applyFont="1" applyFill="1" applyBorder="1" applyAlignment="1">
      <alignment horizontal="center" vertical="bottom"/>
    </xf>
    <xf numFmtId="0" fontId="103" fillId="36" borderId="56" applyFont="1" applyFill="1" applyBorder="1" applyAlignment="1">
      <alignment horizontal="center" vertical="bottom"/>
    </xf>
    <xf numFmtId="0" fontId="103" fillId="36" borderId="57" applyFont="1" applyFill="1" applyBorder="1" applyAlignment="1">
      <alignment horizontal="center" vertical="bottom"/>
    </xf>
    <xf numFmtId="0" fontId="103" fillId="36" borderId="58" applyFont="1" applyFill="1" applyBorder="1" applyAlignment="1">
      <alignment horizontal="center" vertical="bottom"/>
    </xf>
    <xf numFmtId="0" fontId="0" fillId="0" borderId="59" applyFont="1" applyFill="1" applyBorder="1" applyAlignment="1">
      <alignment horizontal="left" vertical="center"/>
    </xf>
    <xf numFmtId="0" fontId="104" fillId="38" borderId="60" applyFont="1" applyFill="1" applyBorder="1" applyAlignment="1">
      <alignment horizontal="right" vertical="center"/>
    </xf>
    <xf numFmtId="0" fontId="43" fillId="0" borderId="59" applyFont="1" applyFill="1" applyBorder="1" applyAlignment="1">
      <alignment horizontal="right"/>
    </xf>
    <xf numFmtId="164" fontId="88" fillId="30" borderId="59" applyNumberFormat="1" applyFont="1" applyFill="1" applyBorder="1"/>
    <xf numFmtId="164" fontId="50" fillId="30" borderId="59" applyNumberFormat="1" applyFont="1" applyFill="1" applyBorder="1" applyAlignment="1">
      <alignment horizontal="right"/>
    </xf>
    <xf numFmtId="0" fontId="44" fillId="0" borderId="59" applyFont="1" applyFill="1" applyBorder="1" applyAlignment="1">
      <alignment horizontal="center"/>
    </xf>
    <xf numFmtId="0" fontId="105" fillId="0" borderId="61" applyFont="1" applyFill="1" applyBorder="1" applyAlignment="1">
      <alignment horizontal="center" vertical="center"/>
    </xf>
    <xf numFmtId="0" fontId="41" fillId="0" borderId="62" applyFont="1" applyFill="1" applyBorder="1" applyAlignment="1">
      <alignment horizontal="center" vertical="center"/>
    </xf>
    <xf numFmtId="0" fontId="41" fillId="0" borderId="62" applyFont="1" applyFill="1" applyBorder="1" applyAlignment="1">
      <alignment horizontal="center" vertical="center" wrapText="1"/>
    </xf>
    <xf numFmtId="0" fontId="41" fillId="0" borderId="63" applyFont="1" applyFill="1" applyBorder="1" applyAlignment="1">
      <alignment horizontal="center"/>
    </xf>
    <xf numFmtId="166" fontId="88" fillId="30" borderId="64" applyNumberFormat="1" applyFont="1" applyFill="1" applyBorder="1" applyAlignment="1">
      <alignment horizontal="center"/>
    </xf>
    <xf numFmtId="166" fontId="88" fillId="33" borderId="65" applyNumberFormat="1" applyFont="1" applyFill="1" applyBorder="1" applyAlignment="1">
      <alignment horizontal="center"/>
    </xf>
    <xf numFmtId="166" fontId="88" fillId="30" borderId="65" applyNumberFormat="1" applyFont="1" applyFill="1" applyBorder="1" applyAlignment="1">
      <alignment horizontal="center"/>
    </xf>
    <xf numFmtId="166" fontId="88" fillId="33" borderId="63" applyNumberFormat="1" applyFont="1" applyFill="1" applyBorder="1" applyAlignment="1">
      <alignment horizontal="center"/>
    </xf>
    <xf numFmtId="2" fontId="88" fillId="30" borderId="64" applyNumberFormat="1" applyFont="1" applyFill="1" applyBorder="1" applyAlignment="1">
      <alignment horizontal="center"/>
    </xf>
    <xf numFmtId="2" fontId="88" fillId="33" borderId="65" applyNumberFormat="1" applyFont="1" applyFill="1" applyBorder="1" applyAlignment="1">
      <alignment horizontal="center"/>
    </xf>
    <xf numFmtId="0" fontId="106" fillId="38" borderId="66" applyFont="1" applyFill="1" applyBorder="1"/>
    <xf numFmtId="0" fontId="87" fillId="0" borderId="59" applyNumberFormat="1" applyFont="1" applyFill="1" applyBorder="1" applyAlignment="1">
      <alignment horizontal="left" wrapText="1"/>
    </xf>
    <xf numFmtId="0" fontId="107" fillId="39" borderId="0" applyFont="1" applyFill="1"/>
    <xf numFmtId="49" fontId="55" fillId="36" borderId="67" applyNumberFormat="1" applyFont="1" applyFill="1" applyBorder="1" applyAlignment="1">
      <alignment textRotation="90" wrapText="1"/>
    </xf>
    <xf numFmtId="0" fontId="108" fillId="38" borderId="60" applyFont="1" applyFill="1" applyBorder="1" applyAlignment="1">
      <alignment horizontal="left" vertical="center"/>
    </xf>
    <xf numFmtId="0" fontId="108" fillId="38" borderId="60" applyFont="1" applyFill="1" applyBorder="1" applyAlignment="1">
      <alignment horizontal="right" vertical="center"/>
    </xf>
    <xf numFmtId="0" fontId="109" fillId="38" borderId="68" applyFont="1" applyFill="1" applyBorder="1" applyAlignment="1">
      <alignment horizontal="center" vertical="center"/>
    </xf>
    <xf numFmtId="0" fontId="109" fillId="38" borderId="69" applyFont="1" applyFill="1" applyBorder="1" applyAlignment="1">
      <alignment horizontal="center" vertical="center"/>
    </xf>
    <xf numFmtId="0" fontId="109" fillId="38" borderId="70" applyFont="1" applyFill="1" applyBorder="1" applyAlignment="1">
      <alignment horizontal="center" vertical="center"/>
    </xf>
    <xf numFmtId="0" fontId="108" fillId="40" borderId="60" applyFont="1" applyFill="1" applyBorder="1" applyAlignment="1">
      <alignment horizontal="left" vertical="center"/>
    </xf>
    <xf numFmtId="171" fontId="108" fillId="40" borderId="60" applyNumberFormat="1" applyFont="1" applyFill="1" applyBorder="1" applyAlignment="1">
      <alignment horizontal="left" vertical="center"/>
    </xf>
    <xf numFmtId="0" fontId="108" fillId="40" borderId="60" applyFont="1" applyFill="1" applyBorder="1" applyAlignment="1">
      <alignment horizontal="right" vertical="center"/>
    </xf>
    <xf numFmtId="0" fontId="109" fillId="40" borderId="68" applyFont="1" applyFill="1" applyBorder="1" applyAlignment="1">
      <alignment horizontal="center" vertical="center"/>
    </xf>
    <xf numFmtId="0" fontId="109" fillId="40" borderId="69" applyFont="1" applyFill="1" applyBorder="1" applyAlignment="1">
      <alignment horizontal="center" vertical="center"/>
    </xf>
    <xf numFmtId="0" fontId="109" fillId="40" borderId="70" applyFont="1" applyFill="1" applyBorder="1" applyAlignment="1">
      <alignment horizontal="center" vertical="center"/>
    </xf>
    <xf numFmtId="171" fontId="108" fillId="38" borderId="60" applyNumberFormat="1" applyFont="1" applyFill="1" applyBorder="1" applyAlignment="1">
      <alignment horizontal="left" vertical="center"/>
    </xf>
    <xf numFmtId="0" fontId="110" fillId="0" borderId="0" applyFont="1" applyFill="1" applyBorder="1" applyAlignment="1">
      <alignment horizontal="left" vertical="center"/>
    </xf>
    <xf numFmtId="0" fontId="49" fillId="0" borderId="0" applyFont="1" applyFill="1" applyBorder="1" applyAlignment="1">
      <alignment horizontal="center" vertical="bottom"/>
    </xf>
    <xf numFmtId="0" fontId="88" fillId="30" borderId="59" applyFont="1" applyFill="1" applyBorder="1"/>
    <xf numFmtId="49" fontId="51" fillId="36" borderId="7" applyNumberFormat="1" applyFont="1" applyFill="1" applyBorder="1" applyAlignment="1">
      <alignment horizontal="center" vertical="center"/>
    </xf>
    <xf numFmtId="0" fontId="39" fillId="30" borderId="59" applyFont="1" applyFill="1" applyBorder="1" applyAlignment="1">
      <alignment horizontal="center"/>
    </xf>
    <xf numFmtId="0" fontId="51" fillId="36" borderId="7" applyFont="1" applyFill="1" applyBorder="1" applyAlignment="1">
      <alignment horizontal="center" vertical="center"/>
    </xf>
    <xf numFmtId="0" fontId="83" fillId="30" borderId="59" applyNumberFormat="1" applyFont="1" applyFill="1" applyBorder="1" applyAlignment="1">
      <alignment horizontal="left" wrapText="1"/>
    </xf>
    <xf numFmtId="164" fontId="88" fillId="30" borderId="59" applyNumberFormat="1" applyFont="1" applyFill="1" applyBorder="1" applyAlignment="1">
      <alignment horizontal="right"/>
    </xf>
    <xf numFmtId="1" fontId="83" fillId="0" borderId="59" applyNumberFormat="1" applyFont="1" applyFill="1" applyBorder="1" applyAlignment="1">
      <alignment horizontal="left" wrapText="1"/>
    </xf>
    <xf numFmtId="0" fontId="51" fillId="36" borderId="62" applyFont="1" applyFill="1" applyBorder="1" applyAlignment="1">
      <alignment horizontal="left"/>
    </xf>
    <xf numFmtId="166" fontId="52" fillId="36" borderId="62" applyNumberFormat="1" applyFont="1" applyFill="1" applyBorder="1" applyAlignment="1">
      <alignment horizontal="center"/>
    </xf>
    <xf numFmtId="0" fontId="51" fillId="36" borderId="62" applyFont="1" applyFill="1" applyBorder="1"/>
    <xf numFmtId="0" fontId="88" fillId="0" borderId="59" applyFont="1" applyFill="1" applyBorder="1" applyAlignment="1">
      <alignment horizontal="right"/>
    </xf>
    <xf numFmtId="0" fontId="43" fillId="0" borderId="71" applyFont="1" applyFill="1" applyBorder="1" applyAlignment="1">
      <alignment horizontal="center" vertical="center" wrapText="1"/>
    </xf>
    <xf numFmtId="0" fontId="5" fillId="0" borderId="62" applyFont="1" applyFill="1" applyBorder="1"/>
    <xf numFmtId="0" fontId="5" fillId="0" borderId="72" applyFont="1" applyFill="1" applyBorder="1"/>
    <xf numFmtId="0" fontId="5" fillId="0" borderId="73" applyFont="1" applyFill="1" applyBorder="1"/>
    <xf numFmtId="0" fontId="5" fillId="33" borderId="62" applyFont="1" applyFill="1" applyBorder="1"/>
    <xf numFmtId="0" fontId="5" fillId="33" borderId="72" applyFont="1" applyFill="1" applyBorder="1"/>
    <xf numFmtId="0" fontId="5" fillId="33" borderId="73" applyFont="1" applyFill="1" applyBorder="1"/>
    <xf numFmtId="0" fontId="83" fillId="0" borderId="59" applyNumberFormat="1" applyFont="1" applyFill="1" applyBorder="1" applyAlignment="1">
      <alignment horizontal="left" wrapText="1"/>
    </xf>
    <xf numFmtId="0" fontId="0" fillId="0" borderId="59" applyFont="1" applyFill="1" applyBorder="1"/>
    <xf numFmtId="0" fontId="39" fillId="0" borderId="59" applyFont="1" applyFill="1" applyBorder="1" applyAlignment="1">
      <alignment horizontal="center"/>
    </xf>
    <xf numFmtId="0" fontId="29" fillId="0" borderId="59" applyFont="1" applyFill="1" applyBorder="1" applyAlignment="1">
      <alignment horizontal="center"/>
    </xf>
    <xf numFmtId="0" fontId="82" fillId="0" borderId="74" applyFont="1" applyFill="1" applyBorder="1" applyAlignment="1">
      <alignment horizontal="center"/>
    </xf>
    <xf numFmtId="0" fontId="82" fillId="0" borderId="75" applyFont="1" applyFill="1" applyBorder="1" applyAlignment="1">
      <alignment horizontal="center"/>
    </xf>
    <xf numFmtId="0" fontId="82" fillId="0" borderId="76" applyFont="1" applyFill="1" applyBorder="1" applyAlignment="1">
      <alignment horizontal="center"/>
    </xf>
    <xf numFmtId="0" fontId="82" fillId="33" borderId="77" applyFont="1" applyFill="1" applyBorder="1" applyAlignment="1">
      <alignment horizontal="center"/>
    </xf>
    <xf numFmtId="0" fontId="82" fillId="33" borderId="59" applyFont="1" applyFill="1" applyBorder="1" applyAlignment="1">
      <alignment horizontal="center"/>
    </xf>
    <xf numFmtId="0" fontId="82" fillId="33" borderId="78" applyFont="1" applyFill="1" applyBorder="1" applyAlignment="1">
      <alignment horizontal="center"/>
    </xf>
    <xf numFmtId="0" fontId="82" fillId="0" borderId="77" applyFont="1" applyFill="1" applyBorder="1" applyAlignment="1">
      <alignment horizontal="center"/>
    </xf>
    <xf numFmtId="0" fontId="82" fillId="0" borderId="59" applyFont="1" applyFill="1" applyBorder="1" applyAlignment="1">
      <alignment horizontal="center"/>
    </xf>
    <xf numFmtId="0" fontId="82" fillId="0" borderId="78" applyFont="1" applyFill="1" applyBorder="1" applyAlignment="1">
      <alignment horizontal="center"/>
    </xf>
    <xf numFmtId="0" fontId="82" fillId="33" borderId="79" applyFont="1" applyFill="1" applyBorder="1" applyAlignment="1">
      <alignment horizontal="center"/>
    </xf>
    <xf numFmtId="0" fontId="82" fillId="33" borderId="80" applyFont="1" applyFill="1" applyBorder="1" applyAlignment="1">
      <alignment horizontal="center"/>
    </xf>
    <xf numFmtId="0" fontId="82" fillId="33" borderId="81" applyFont="1" applyFill="1" applyBorder="1" applyAlignment="1">
      <alignment horizontal="center"/>
    </xf>
    <xf numFmtId="0" fontId="0" fillId="0" borderId="59" applyFont="1" applyFill="1" applyBorder="1" applyAlignment="1">
      <alignment horizontal="center"/>
    </xf>
    <xf numFmtId="0" fontId="43" fillId="0" borderId="59" applyFont="1" applyFill="1" applyBorder="1"/>
    <xf numFmtId="0" fontId="111" fillId="38" borderId="68" applyFont="1" applyFill="1" applyBorder="1" applyAlignment="1">
      <alignment horizontal="center" vertical="center"/>
    </xf>
    <xf numFmtId="0" fontId="111" fillId="38" borderId="69" applyFont="1" applyFill="1" applyBorder="1" applyAlignment="1">
      <alignment horizontal="center" vertical="center"/>
    </xf>
    <xf numFmtId="0" fontId="111" fillId="38" borderId="70" applyFont="1" applyFill="1" applyBorder="1" applyAlignment="1">
      <alignment horizontal="center" vertical="center"/>
    </xf>
    <xf numFmtId="0" fontId="111" fillId="40" borderId="68" applyFont="1" applyFill="1" applyBorder="1" applyAlignment="1">
      <alignment horizontal="center" vertical="center"/>
    </xf>
    <xf numFmtId="0" fontId="111" fillId="40" borderId="69" applyFont="1" applyFill="1" applyBorder="1" applyAlignment="1">
      <alignment horizontal="center" vertical="center"/>
    </xf>
    <xf numFmtId="0" fontId="111" fillId="40" borderId="70" applyFont="1" applyFill="1" applyBorder="1" applyAlignment="1">
      <alignment horizontal="center" vertical="center"/>
    </xf>
    <xf numFmtId="170" fontId="0" fillId="0" borderId="59" applyNumberFormat="1" applyFont="1" applyFill="1" applyBorder="1" applyAlignment="1">
      <alignment horizontal="left" vertical="center"/>
    </xf>
    <xf numFmtId="0" fontId="88" fillId="0" borderId="0" applyFont="1" applyFill="1" applyBorder="1" applyAlignment="1">
      <alignment horizontal="center" vertical="bottom"/>
    </xf>
    <xf numFmtId="0" fontId="88" fillId="0" borderId="0" applyFont="1" applyFill="1" applyBorder="1" applyAlignment="1">
      <alignment horizontal="right" vertical="bottom"/>
    </xf>
    <xf numFmtId="0" fontId="82" fillId="0" borderId="59" applyNumberFormat="1" applyFont="1" applyFill="1" applyBorder="1" applyAlignment="1">
      <alignment horizontal="left" wrapText="1"/>
    </xf>
    <xf numFmtId="0" fontId="88" fillId="30" borderId="59" applyFont="1" applyFill="1" applyBorder="1" applyAlignment="1">
      <alignment horizontal="left"/>
    </xf>
    <xf numFmtId="49" fontId="64" fillId="36" borderId="7" applyNumberFormat="1" applyFont="1" applyFill="1" applyBorder="1" applyAlignment="1">
      <alignment horizontal="center"/>
    </xf>
    <xf numFmtId="164" fontId="88" fillId="30" borderId="59" applyNumberFormat="1" applyFont="1" applyFill="1" applyBorder="1" applyAlignment="1">
      <alignment vertical="center"/>
    </xf>
    <xf numFmtId="0" fontId="88" fillId="30" borderId="59" applyFont="1" applyFill="1" applyBorder="1" applyAlignment="1">
      <alignment vertical="center"/>
    </xf>
    <xf numFmtId="0" fontId="45" fillId="0" borderId="59" applyFont="1" applyFill="1" applyBorder="1" applyAlignment="1">
      <alignment vertical="center"/>
    </xf>
    <xf numFmtId="0" fontId="48" fillId="36" borderId="82" applyFont="1" applyFill="1" applyBorder="1" applyAlignment="1">
      <alignment horizontal="center" vertical="center"/>
    </xf>
    <xf numFmtId="0" fontId="50" fillId="0" borderId="59" applyFont="1" applyFill="1" applyBorder="1" applyAlignment="1">
      <alignment horizontal="center"/>
    </xf>
    <xf numFmtId="0" fontId="43" fillId="0" borderId="83" applyFont="1" applyFill="1" applyBorder="1" applyAlignment="1">
      <alignment horizontal="center" vertical="center" wrapText="1"/>
    </xf>
    <xf numFmtId="0" fontId="43" fillId="30" borderId="83" applyFont="1" applyFill="1" applyBorder="1" applyAlignment="1">
      <alignment horizontal="center" vertical="center" wrapText="1"/>
    </xf>
    <xf numFmtId="0" fontId="43" fillId="0" borderId="59" applyFont="1" applyFill="1" applyBorder="1" applyAlignment="1">
      <alignment horizontal="center"/>
    </xf>
    <xf numFmtId="0" fontId="88" fillId="0" borderId="62" applyFont="1" applyFill="1" applyBorder="1"/>
    <xf numFmtId="0" fontId="88" fillId="33" borderId="72" applyFont="1" applyFill="1" applyBorder="1"/>
    <xf numFmtId="0" fontId="88" fillId="0" borderId="72" applyFont="1" applyFill="1" applyBorder="1"/>
    <xf numFmtId="0" fontId="88" fillId="33" borderId="73" applyFont="1" applyFill="1" applyBorder="1"/>
    <xf numFmtId="0" fontId="48" fillId="36" borderId="62" applyFont="1" applyFill="1" applyBorder="1" applyAlignment="1">
      <alignment horizontal="center" vertical="center"/>
    </xf>
    <xf numFmtId="0" fontId="0" fillId="0" borderId="62" applyFont="1" applyFill="1" applyBorder="1"/>
    <xf numFmtId="0" fontId="0" fillId="33" borderId="72" applyFont="1" applyFill="1" applyBorder="1"/>
    <xf numFmtId="0" fontId="0" fillId="0" borderId="72" applyFont="1" applyFill="1" applyBorder="1"/>
    <xf numFmtId="0" fontId="0" fillId="33" borderId="73" applyFont="1" applyFill="1" applyBorder="1"/>
    <xf numFmtId="0" fontId="48" fillId="37" borderId="59" applyFont="1" applyFill="1" applyBorder="1" applyAlignment="1">
      <alignment horizontal="center" vertical="center"/>
    </xf>
    <xf numFmtId="166" fontId="43" fillId="37" borderId="59" applyNumberFormat="1" applyFont="1" applyFill="1" applyBorder="1" applyAlignment="1">
      <alignment horizontal="center"/>
    </xf>
    <xf numFmtId="0" fontId="0" fillId="33" borderId="62" applyFont="1" applyFill="1" applyBorder="1"/>
    <xf numFmtId="0" fontId="0" fillId="33" borderId="74" applyFont="1" applyFill="1" applyBorder="1" applyAlignment="1">
      <alignment horizontal="right" indent="2"/>
    </xf>
    <xf numFmtId="0" fontId="0" fillId="33" borderId="75" applyFont="1" applyFill="1" applyBorder="1" applyAlignment="1">
      <alignment horizontal="right" indent="2"/>
    </xf>
    <xf numFmtId="166" fontId="0" fillId="33" borderId="76" applyNumberFormat="1" applyFont="1" applyFill="1" applyBorder="1" applyAlignment="1">
      <alignment horizontal="right" indent="2"/>
    </xf>
    <xf numFmtId="0" fontId="43" fillId="37" borderId="59" applyFont="1" applyFill="1" applyBorder="1" applyAlignment="1">
      <alignment horizontal="center"/>
    </xf>
    <xf numFmtId="0" fontId="0" fillId="0" borderId="77" applyFont="1" applyFill="1" applyBorder="1" applyAlignment="1">
      <alignment horizontal="right" indent="2"/>
    </xf>
    <xf numFmtId="0" fontId="0" fillId="0" borderId="59" applyFont="1" applyFill="1" applyBorder="1" applyAlignment="1">
      <alignment horizontal="right" indent="2"/>
    </xf>
    <xf numFmtId="166" fontId="0" fillId="0" borderId="78" applyNumberFormat="1" applyFont="1" applyFill="1" applyBorder="1" applyAlignment="1">
      <alignment horizontal="right" indent="2"/>
    </xf>
    <xf numFmtId="1" fontId="88" fillId="37" borderId="59" applyNumberFormat="1" applyFont="1" applyFill="1" applyBorder="1"/>
    <xf numFmtId="0" fontId="0" fillId="33" borderId="77" applyFont="1" applyFill="1" applyBorder="1" applyAlignment="1">
      <alignment horizontal="right" indent="2"/>
    </xf>
    <xf numFmtId="0" fontId="0" fillId="33" borderId="59" applyFont="1" applyFill="1" applyBorder="1" applyAlignment="1">
      <alignment horizontal="right" indent="2"/>
    </xf>
    <xf numFmtId="166" fontId="0" fillId="33" borderId="78" applyNumberFormat="1" applyFont="1" applyFill="1" applyBorder="1" applyAlignment="1">
      <alignment horizontal="right" indent="2"/>
    </xf>
    <xf numFmtId="0" fontId="0" fillId="37" borderId="59" applyFont="1" applyFill="1" applyBorder="1" applyAlignment="1">
      <alignment horizontal="center" vertical="center" wrapText="1"/>
    </xf>
    <xf numFmtId="0" fontId="0" fillId="33" borderId="79" applyFont="1" applyFill="1" applyBorder="1" applyAlignment="1">
      <alignment horizontal="right" indent="2"/>
    </xf>
    <xf numFmtId="0" fontId="0" fillId="33" borderId="80" applyFont="1" applyFill="1" applyBorder="1" applyAlignment="1">
      <alignment horizontal="right" indent="2"/>
    </xf>
    <xf numFmtId="166" fontId="0" fillId="33" borderId="81" applyNumberFormat="1" applyFont="1" applyFill="1" applyBorder="1" applyAlignment="1">
      <alignment horizontal="right" indent="2"/>
    </xf>
    <xf numFmtId="0" fontId="43" fillId="30" borderId="59" applyFont="1" applyFill="1" applyBorder="1" applyAlignment="1">
      <alignment horizontal="right"/>
    </xf>
    <xf numFmtId="0" fontId="48" fillId="36" borderId="62" applyFont="1" applyFill="1" applyBorder="1"/>
  </cellXfs>
  <cellStyles count="788">
    <cellStyle name="20% - Accent1" xfId="1" builtinId="30" customBuiltin="1"/>
    <cellStyle name="20% - Accent1 2" xfId="2"/>
    <cellStyle name="20% - Accent2" xfId="3" builtinId="34" customBuiltin="1"/>
    <cellStyle name="20% - Accent2 2" xfId="4"/>
    <cellStyle name="20% - Accent3" xfId="5" builtinId="38" customBuiltin="1"/>
    <cellStyle name="20% - Accent3 2" xfId="6"/>
    <cellStyle name="20% - Accent4" xfId="7" builtinId="42" customBuiltin="1"/>
    <cellStyle name="20% - Accent4 2" xfId="8"/>
    <cellStyle name="20% - Accent5" xfId="9" builtinId="46" customBuiltin="1"/>
    <cellStyle name="20% - Accent5 2" xfId="10"/>
    <cellStyle name="20% - Accent6" xfId="11" builtinId="50" customBuiltin="1"/>
    <cellStyle name="20% - Accent6 2" xfId="12"/>
    <cellStyle name="40% - Accent1" xfId="13" builtinId="31" customBuiltin="1"/>
    <cellStyle name="40% - Accent1 2" xfId="14"/>
    <cellStyle name="40% - Accent2" xfId="15" builtinId="35" customBuiltin="1"/>
    <cellStyle name="40% - Accent2 2" xfId="16"/>
    <cellStyle name="40% - Accent3" xfId="17" builtinId="39" customBuiltin="1"/>
    <cellStyle name="40% - Accent3 2" xfId="18"/>
    <cellStyle name="40% - Accent4" xfId="19" builtinId="43" customBuiltin="1"/>
    <cellStyle name="40% - Accent4 2" xfId="20"/>
    <cellStyle name="40% - Accent5" xfId="21" builtinId="47" customBuiltin="1"/>
    <cellStyle name="40% - Accent5 2" xfId="22"/>
    <cellStyle name="40% - Accent6" xfId="23" builtinId="51" customBuiltin="1"/>
    <cellStyle name="40% - Accent6 2" xfId="24"/>
    <cellStyle name="60% - Accent1" xfId="25" builtinId="32" customBuiltin="1"/>
    <cellStyle name="60% - Accent1 2" xfId="26"/>
    <cellStyle name="60% - Accent2" xfId="27" builtinId="36" customBuiltin="1"/>
    <cellStyle name="60% - Accent2 2" xfId="28"/>
    <cellStyle name="60% - Accent3" xfId="29" builtinId="40" customBuiltin="1"/>
    <cellStyle name="60% - Accent3 2" xfId="30"/>
    <cellStyle name="60% - Accent4" xfId="31" builtinId="44" customBuiltin="1"/>
    <cellStyle name="60% - Accent4 2" xfId="32"/>
    <cellStyle name="60% - Accent5" xfId="33" builtinId="48" customBuiltin="1"/>
    <cellStyle name="60% - Accent5 2" xfId="34"/>
    <cellStyle name="60% - Accent6" xfId="35" builtinId="52" customBuiltin="1"/>
    <cellStyle name="60% - Accent6 2" xfId="36"/>
    <cellStyle name="Accent1" xfId="37" builtinId="29" customBuiltin="1"/>
    <cellStyle name="Accent1 2" xfId="38"/>
    <cellStyle name="Accent2" xfId="39" builtinId="33" customBuiltin="1"/>
    <cellStyle name="Accent2 2" xfId="40"/>
    <cellStyle name="Accent3" xfId="41" builtinId="37" customBuiltin="1"/>
    <cellStyle name="Accent3 2" xfId="42"/>
    <cellStyle name="Accent4" xfId="43" builtinId="41" customBuiltin="1"/>
    <cellStyle name="Accent4 2" xfId="44"/>
    <cellStyle name="Accent5" xfId="45" builtinId="45" customBuiltin="1"/>
    <cellStyle name="Accent5 2" xfId="46"/>
    <cellStyle name="Accent6" xfId="47" builtinId="49" customBuiltin="1"/>
    <cellStyle name="Accent6 2" xfId="48"/>
    <cellStyle name="Bad" xfId="49" builtinId="27" customBuiltin="1"/>
    <cellStyle name="Bad 2" xfId="50"/>
    <cellStyle name="Calculation" xfId="51" builtinId="22" customBuiltin="1"/>
    <cellStyle name="Calculation 2" xfId="52"/>
    <cellStyle name="Check Cell" xfId="53" builtinId="23" customBuiltin="1"/>
    <cellStyle name="Check Cell 2" xfId="54"/>
    <cellStyle name="Comma" xfId="55" builtinId="3"/>
    <cellStyle name="Comma 2" xfId="56"/>
    <cellStyle name="Comma_Hyatt DBM Sample" xfId="57"/>
    <cellStyle name="Currency" xfId="58" builtinId="4"/>
    <cellStyle name="Currency 2" xfId="59"/>
    <cellStyle name="Explanatory Text" xfId="60" builtinId="53" customBuiltin="1"/>
    <cellStyle name="Explanatory Text 2" xfId="61"/>
    <cellStyle name="ExtStyle 0" xfId="62"/>
    <cellStyle name="ExtStyle 0 2" xfId="63"/>
    <cellStyle name="ExtStyle 0 3" xfId="64"/>
    <cellStyle name="ExtStyle 0 4" xfId="65"/>
    <cellStyle name="ExtStyle 16" xfId="66"/>
    <cellStyle name="ExtStyle 16 2" xfId="67"/>
    <cellStyle name="ExtStyle 16 3" xfId="68"/>
    <cellStyle name="ExtStyle 16 4" xfId="69"/>
    <cellStyle name="ExtStyle 17" xfId="70"/>
    <cellStyle name="ExtStyle 17 2" xfId="71"/>
    <cellStyle name="ExtStyle 17 3" xfId="72"/>
    <cellStyle name="ExtStyle 17 4" xfId="73"/>
    <cellStyle name="ExtStyle 18" xfId="74"/>
    <cellStyle name="ExtStyle 18 2" xfId="75"/>
    <cellStyle name="ExtStyle 18 3" xfId="76"/>
    <cellStyle name="ExtStyle 18 4" xfId="77"/>
    <cellStyle name="ExtStyle 19" xfId="78"/>
    <cellStyle name="ExtStyle 19 2" xfId="79"/>
    <cellStyle name="ExtStyle 19 3" xfId="80"/>
    <cellStyle name="ExtStyle 19 4" xfId="81"/>
    <cellStyle name="ExtStyle 20" xfId="82"/>
    <cellStyle name="ExtStyle 20 2" xfId="83"/>
    <cellStyle name="ExtStyle 21" xfId="84"/>
    <cellStyle name="ExtStyle 21 2" xfId="85"/>
    <cellStyle name="ExtStyle 22" xfId="86"/>
    <cellStyle name="ExtStyle 22 2" xfId="87"/>
    <cellStyle name="ExtStyle 22 3" xfId="88"/>
    <cellStyle name="ExtStyle 22 4" xfId="89"/>
    <cellStyle name="ExtStyle 28" xfId="90"/>
    <cellStyle name="ExtStyle 28 2" xfId="91"/>
    <cellStyle name="ExtStyle 29" xfId="92"/>
    <cellStyle name="ExtStyle 29 2" xfId="93"/>
    <cellStyle name="ExtStyle 30" xfId="94"/>
    <cellStyle name="ExtStyle 30 2" xfId="95"/>
    <cellStyle name="ExtStyle 30 3" xfId="96"/>
    <cellStyle name="ExtStyle 30 4" xfId="97"/>
    <cellStyle name="ExtStyle 31" xfId="98"/>
    <cellStyle name="ExtStyle 31 2" xfId="99"/>
    <cellStyle name="ExtStyle 32" xfId="100"/>
    <cellStyle name="ExtStyle 32 2" xfId="101"/>
    <cellStyle name="ExtStyle 33" xfId="102"/>
    <cellStyle name="ExtStyle 33 2" xfId="103"/>
    <cellStyle name="ExtStyle 33 3" xfId="104"/>
    <cellStyle name="ExtStyle 33 4" xfId="105"/>
    <cellStyle name="ExtStyle 34" xfId="106"/>
    <cellStyle name="ExtStyle 34 2" xfId="107"/>
    <cellStyle name="ExtStyle 35" xfId="108"/>
    <cellStyle name="ExtStyle 35 2" xfId="109"/>
    <cellStyle name="ExtStyle 36" xfId="110"/>
    <cellStyle name="ExtStyle 36 2" xfId="111"/>
    <cellStyle name="ExtStyle 36 3" xfId="112"/>
    <cellStyle name="ExtStyle 36 4" xfId="113"/>
    <cellStyle name="ExtStyle 37" xfId="114"/>
    <cellStyle name="ExtStyle 37 2" xfId="115"/>
    <cellStyle name="ExtStyle 38" xfId="116"/>
    <cellStyle name="ExtStyle 38 2" xfId="117"/>
    <cellStyle name="ExtStyle 39" xfId="118"/>
    <cellStyle name="ExtStyle 39 2" xfId="119"/>
    <cellStyle name="ExtStyle 39 3" xfId="120"/>
    <cellStyle name="ExtStyle 39 4" xfId="121"/>
    <cellStyle name="ExtStyle 43" xfId="122"/>
    <cellStyle name="ExtStyle 44" xfId="123"/>
    <cellStyle name="ExtStyle 46" xfId="124"/>
    <cellStyle name="ExtStyle 47" xfId="125"/>
    <cellStyle name="ExtStyle 69" xfId="126"/>
    <cellStyle name="ExtStyle 75" xfId="127"/>
    <cellStyle name="ExtStyle 82" xfId="128"/>
    <cellStyle name="Good" xfId="129" builtinId="26" customBuiltin="1"/>
    <cellStyle name="Good 2" xfId="130"/>
    <cellStyle name="Heading 1" xfId="131" builtinId="16" customBuiltin="1"/>
    <cellStyle name="Heading 1 2" xfId="132"/>
    <cellStyle name="Heading 2" xfId="133" builtinId="17" customBuiltin="1"/>
    <cellStyle name="Heading 2 2" xfId="134"/>
    <cellStyle name="Heading 3" xfId="135" builtinId="18" customBuiltin="1"/>
    <cellStyle name="Heading 3 2" xfId="136"/>
    <cellStyle name="Heading 4" xfId="137" builtinId="19" customBuiltin="1"/>
    <cellStyle name="Heading 4 2" xfId="138"/>
    <cellStyle name="Hyperlink 2" xfId="139"/>
    <cellStyle name="Input" xfId="140" builtinId="20" customBuiltin="1"/>
    <cellStyle name="Input 2" xfId="141"/>
    <cellStyle name="Linked Cell" xfId="142" builtinId="24" customBuiltin="1"/>
    <cellStyle name="Linked Cell 2" xfId="143"/>
    <cellStyle name="Neutral" xfId="144" builtinId="28" customBuiltin="1"/>
    <cellStyle name="Neutral 2" xfId="145"/>
    <cellStyle name="Normal" xfId="0" builtinId="0"/>
    <cellStyle name="Normal 2" xfId="146"/>
    <cellStyle name="Normal 3" xfId="147"/>
    <cellStyle name="Note" xfId="148" builtinId="10" customBuiltin="1"/>
    <cellStyle name="Note 2" xfId="149"/>
    <cellStyle name="Note 3" xfId="150"/>
    <cellStyle name="Note 4" xfId="151"/>
    <cellStyle name="Output" xfId="152" builtinId="21" customBuiltin="1"/>
    <cellStyle name="Output 2" xfId="153"/>
    <cellStyle name="Percent" xfId="154" builtinId="5"/>
    <cellStyle name="Percent 2" xfId="155"/>
    <cellStyle name="Style 1025" xfId="156"/>
    <cellStyle name="Style 1025 2" xfId="157"/>
    <cellStyle name="Style 1101" xfId="158"/>
    <cellStyle name="Style 1101 2" xfId="159"/>
    <cellStyle name="Style 1103" xfId="160"/>
    <cellStyle name="Style 1103 2" xfId="161"/>
    <cellStyle name="Style 1103 3" xfId="162"/>
    <cellStyle name="Style 1103 4" xfId="163"/>
    <cellStyle name="Style 1104" xfId="164"/>
    <cellStyle name="Style 1104 2" xfId="165"/>
    <cellStyle name="Style 1104 3" xfId="166"/>
    <cellStyle name="Style 1104 4" xfId="167"/>
    <cellStyle name="Style 1105" xfId="168"/>
    <cellStyle name="Style 1105 2" xfId="169"/>
    <cellStyle name="Style 1105 3" xfId="170"/>
    <cellStyle name="Style 1105 4" xfId="171"/>
    <cellStyle name="Style 1106" xfId="172"/>
    <cellStyle name="Style 1106 2" xfId="173"/>
    <cellStyle name="Style 1106 3" xfId="174"/>
    <cellStyle name="Style 1106 4" xfId="175"/>
    <cellStyle name="Style 1107" xfId="176"/>
    <cellStyle name="Style 1107 2" xfId="177"/>
    <cellStyle name="Style 1107 3" xfId="178"/>
    <cellStyle name="Style 1107 4" xfId="179"/>
    <cellStyle name="Style 1108" xfId="180"/>
    <cellStyle name="Style 1108 2" xfId="181"/>
    <cellStyle name="Style 1108 3" xfId="182"/>
    <cellStyle name="Style 1108 4" xfId="183"/>
    <cellStyle name="Style 1109" xfId="184"/>
    <cellStyle name="Style 1109 2" xfId="185"/>
    <cellStyle name="Style 1109 3" xfId="186"/>
    <cellStyle name="Style 1109 4" xfId="187"/>
    <cellStyle name="Style 1110" xfId="188"/>
    <cellStyle name="Style 1110 2" xfId="189"/>
    <cellStyle name="Style 1110 3" xfId="190"/>
    <cellStyle name="Style 1110 4" xfId="191"/>
    <cellStyle name="Style 1111" xfId="192"/>
    <cellStyle name="Style 1111 2" xfId="193"/>
    <cellStyle name="Style 1111 3" xfId="194"/>
    <cellStyle name="Style 1111 4" xfId="195"/>
    <cellStyle name="Style 1112" xfId="196"/>
    <cellStyle name="Style 1112 2" xfId="197"/>
    <cellStyle name="Style 1112 3" xfId="198"/>
    <cellStyle name="Style 1112 4" xfId="199"/>
    <cellStyle name="Style 1113" xfId="200"/>
    <cellStyle name="Style 1113 2" xfId="201"/>
    <cellStyle name="Style 1113 3" xfId="202"/>
    <cellStyle name="Style 1113 4" xfId="203"/>
    <cellStyle name="Style 1114" xfId="204"/>
    <cellStyle name="Style 1114 2" xfId="205"/>
    <cellStyle name="Style 1114 3" xfId="206"/>
    <cellStyle name="Style 1114 4" xfId="207"/>
    <cellStyle name="Style 1115" xfId="208"/>
    <cellStyle name="Style 1115 2" xfId="209"/>
    <cellStyle name="Style 1115 3" xfId="210"/>
    <cellStyle name="Style 1115 4" xfId="211"/>
    <cellStyle name="Style 1177" xfId="212"/>
    <cellStyle name="Style 1177 2" xfId="213"/>
    <cellStyle name="Style 1177 3" xfId="214"/>
    <cellStyle name="Style 1177 4" xfId="215"/>
    <cellStyle name="Style 1178" xfId="216"/>
    <cellStyle name="Style 1178 2" xfId="217"/>
    <cellStyle name="Style 1178 3" xfId="218"/>
    <cellStyle name="Style 1178 4" xfId="219"/>
    <cellStyle name="Style 1179" xfId="220"/>
    <cellStyle name="Style 1179 2" xfId="221"/>
    <cellStyle name="Style 1179 3" xfId="222"/>
    <cellStyle name="Style 1179 4" xfId="223"/>
    <cellStyle name="Style 1180" xfId="224"/>
    <cellStyle name="Style 1180 2" xfId="225"/>
    <cellStyle name="Style 1180 3" xfId="226"/>
    <cellStyle name="Style 1180 4" xfId="227"/>
    <cellStyle name="Style 1181" xfId="228"/>
    <cellStyle name="Style 1181 2" xfId="229"/>
    <cellStyle name="Style 1181 3" xfId="230"/>
    <cellStyle name="Style 1181 4" xfId="231"/>
    <cellStyle name="Style 1182" xfId="232"/>
    <cellStyle name="Style 1182 2" xfId="233"/>
    <cellStyle name="Style 1182 3" xfId="234"/>
    <cellStyle name="Style 1182 4" xfId="235"/>
    <cellStyle name="Style 1183" xfId="236"/>
    <cellStyle name="Style 1183 2" xfId="237"/>
    <cellStyle name="Style 1183 3" xfId="238"/>
    <cellStyle name="Style 1183 4" xfId="239"/>
    <cellStyle name="Style 1184" xfId="240"/>
    <cellStyle name="Style 1184 2" xfId="241"/>
    <cellStyle name="Style 1184 3" xfId="242"/>
    <cellStyle name="Style 1184 4" xfId="243"/>
    <cellStyle name="Style 1185" xfId="244"/>
    <cellStyle name="Style 1185 2" xfId="245"/>
    <cellStyle name="Style 1185 3" xfId="246"/>
    <cellStyle name="Style 1185 4" xfId="247"/>
    <cellStyle name="Style 1196" xfId="248"/>
    <cellStyle name="Style 1299" xfId="249"/>
    <cellStyle name="Style 1299 2" xfId="250"/>
    <cellStyle name="Style 1309" xfId="251"/>
    <cellStyle name="Style 1311" xfId="252"/>
    <cellStyle name="Style 1313" xfId="253"/>
    <cellStyle name="Style 1314" xfId="254"/>
    <cellStyle name="Style 1315" xfId="255"/>
    <cellStyle name="Style 1316" xfId="256"/>
    <cellStyle name="Style 1317" xfId="257"/>
    <cellStyle name="Style 1318" xfId="258"/>
    <cellStyle name="Style 1319" xfId="259"/>
    <cellStyle name="Style 1320" xfId="260"/>
    <cellStyle name="Style 1321" xfId="261"/>
    <cellStyle name="Style 1322" xfId="262"/>
    <cellStyle name="Style 1331" xfId="263"/>
    <cellStyle name="Style 1331 2" xfId="264"/>
    <cellStyle name="Style 1331 3" xfId="265"/>
    <cellStyle name="Style 1331 4" xfId="266"/>
    <cellStyle name="Style 1332" xfId="267"/>
    <cellStyle name="Style 1332 2" xfId="268"/>
    <cellStyle name="Style 1332 3" xfId="269"/>
    <cellStyle name="Style 1332 4" xfId="270"/>
    <cellStyle name="Style 1333" xfId="271"/>
    <cellStyle name="Style 1333 2" xfId="272"/>
    <cellStyle name="Style 1333 3" xfId="273"/>
    <cellStyle name="Style 1333 4" xfId="274"/>
    <cellStyle name="Style 1334" xfId="275"/>
    <cellStyle name="Style 1334 2" xfId="276"/>
    <cellStyle name="Style 1334 3" xfId="277"/>
    <cellStyle name="Style 1334 4" xfId="278"/>
    <cellStyle name="Style 1335" xfId="279"/>
    <cellStyle name="Style 1335 2" xfId="280"/>
    <cellStyle name="Style 1335 3" xfId="281"/>
    <cellStyle name="Style 1335 4" xfId="282"/>
    <cellStyle name="Style 1336" xfId="283"/>
    <cellStyle name="Style 1336 2" xfId="284"/>
    <cellStyle name="Style 1336 3" xfId="285"/>
    <cellStyle name="Style 1336 4" xfId="286"/>
    <cellStyle name="Style 1337" xfId="287"/>
    <cellStyle name="Style 1337 2" xfId="288"/>
    <cellStyle name="Style 1337 3" xfId="289"/>
    <cellStyle name="Style 1337 4" xfId="290"/>
    <cellStyle name="Style 1338" xfId="291"/>
    <cellStyle name="Style 1338 2" xfId="292"/>
    <cellStyle name="Style 1338 3" xfId="293"/>
    <cellStyle name="Style 1338 4" xfId="294"/>
    <cellStyle name="Style 1339" xfId="295"/>
    <cellStyle name="Style 1339 2" xfId="296"/>
    <cellStyle name="Style 1339 3" xfId="297"/>
    <cellStyle name="Style 1339 4" xfId="298"/>
    <cellStyle name="Style 1376" xfId="299"/>
    <cellStyle name="Style 1376 2" xfId="300"/>
    <cellStyle name="Style 1376 3" xfId="301"/>
    <cellStyle name="Style 1376 4" xfId="302"/>
    <cellStyle name="Style 1377" xfId="303"/>
    <cellStyle name="Style 1377 2" xfId="304"/>
    <cellStyle name="Style 1377 3" xfId="305"/>
    <cellStyle name="Style 1377 4" xfId="306"/>
    <cellStyle name="Style 1378" xfId="307"/>
    <cellStyle name="Style 1378 2" xfId="308"/>
    <cellStyle name="Style 1378 3" xfId="309"/>
    <cellStyle name="Style 1378 4" xfId="310"/>
    <cellStyle name="Style 1379" xfId="311"/>
    <cellStyle name="Style 1379 2" xfId="312"/>
    <cellStyle name="Style 1379 3" xfId="313"/>
    <cellStyle name="Style 1379 4" xfId="314"/>
    <cellStyle name="Style 1380" xfId="315"/>
    <cellStyle name="Style 1380 2" xfId="316"/>
    <cellStyle name="Style 1380 3" xfId="317"/>
    <cellStyle name="Style 1380 4" xfId="318"/>
    <cellStyle name="Style 1381" xfId="319"/>
    <cellStyle name="Style 1381 2" xfId="320"/>
    <cellStyle name="Style 1381 3" xfId="321"/>
    <cellStyle name="Style 1381 4" xfId="322"/>
    <cellStyle name="Style 1382" xfId="323"/>
    <cellStyle name="Style 1382 2" xfId="324"/>
    <cellStyle name="Style 1382 3" xfId="325"/>
    <cellStyle name="Style 1382 4" xfId="326"/>
    <cellStyle name="Style 1383" xfId="327"/>
    <cellStyle name="Style 1383 2" xfId="328"/>
    <cellStyle name="Style 1383 3" xfId="329"/>
    <cellStyle name="Style 1383 4" xfId="330"/>
    <cellStyle name="Style 1384" xfId="331"/>
    <cellStyle name="Style 1384 2" xfId="332"/>
    <cellStyle name="Style 1384 3" xfId="333"/>
    <cellStyle name="Style 1384 4" xfId="334"/>
    <cellStyle name="Style 1385" xfId="335"/>
    <cellStyle name="Style 1385 2" xfId="336"/>
    <cellStyle name="Style 1385 3" xfId="337"/>
    <cellStyle name="Style 1385 4" xfId="338"/>
    <cellStyle name="Style 1386" xfId="339"/>
    <cellStyle name="Style 1386 2" xfId="340"/>
    <cellStyle name="Style 1386 3" xfId="341"/>
    <cellStyle name="Style 1386 4" xfId="342"/>
    <cellStyle name="Style 1535" xfId="343"/>
    <cellStyle name="Style 1536" xfId="344"/>
    <cellStyle name="Style 1537" xfId="345"/>
    <cellStyle name="Style 1538" xfId="346"/>
    <cellStyle name="Style 1539" xfId="347"/>
    <cellStyle name="Style 1540" xfId="348"/>
    <cellStyle name="Style 1541" xfId="349"/>
    <cellStyle name="Style 1542" xfId="350"/>
    <cellStyle name="Style 1543" xfId="351"/>
    <cellStyle name="Style 1544" xfId="352"/>
    <cellStyle name="Style 1556" xfId="353"/>
    <cellStyle name="Style 1556 2" xfId="354"/>
    <cellStyle name="Style 1663" xfId="355"/>
    <cellStyle name="Style 1663 2" xfId="356"/>
    <cellStyle name="Style 1665" xfId="357"/>
    <cellStyle name="Style 1665 2" xfId="358"/>
    <cellStyle name="Style 1665 3" xfId="359"/>
    <cellStyle name="Style 1665 4" xfId="360"/>
    <cellStyle name="Style 1666" xfId="361"/>
    <cellStyle name="Style 1666 2" xfId="362"/>
    <cellStyle name="Style 1666 3" xfId="363"/>
    <cellStyle name="Style 1666 4" xfId="364"/>
    <cellStyle name="Style 1667" xfId="365"/>
    <cellStyle name="Style 1667 2" xfId="366"/>
    <cellStyle name="Style 1667 3" xfId="367"/>
    <cellStyle name="Style 1667 4" xfId="368"/>
    <cellStyle name="Style 1668" xfId="369"/>
    <cellStyle name="Style 1668 2" xfId="370"/>
    <cellStyle name="Style 1668 3" xfId="371"/>
    <cellStyle name="Style 1668 4" xfId="372"/>
    <cellStyle name="Style 1669" xfId="373"/>
    <cellStyle name="Style 1669 2" xfId="374"/>
    <cellStyle name="Style 1669 3" xfId="375"/>
    <cellStyle name="Style 1669 4" xfId="376"/>
    <cellStyle name="Style 1670" xfId="377"/>
    <cellStyle name="Style 1670 2" xfId="378"/>
    <cellStyle name="Style 1670 3" xfId="379"/>
    <cellStyle name="Style 1670 4" xfId="380"/>
    <cellStyle name="Style 1671" xfId="381"/>
    <cellStyle name="Style 1671 2" xfId="382"/>
    <cellStyle name="Style 1671 3" xfId="383"/>
    <cellStyle name="Style 1671 4" xfId="384"/>
    <cellStyle name="Style 1672" xfId="385"/>
    <cellStyle name="Style 1672 2" xfId="386"/>
    <cellStyle name="Style 1672 3" xfId="387"/>
    <cellStyle name="Style 1672 4" xfId="388"/>
    <cellStyle name="Style 1673" xfId="389"/>
    <cellStyle name="Style 1673 2" xfId="390"/>
    <cellStyle name="Style 1673 3" xfId="391"/>
    <cellStyle name="Style 1673 4" xfId="392"/>
    <cellStyle name="Style 1699" xfId="393"/>
    <cellStyle name="Style 1703" xfId="394"/>
    <cellStyle name="Style 1705" xfId="395"/>
    <cellStyle name="Style 1706" xfId="396"/>
    <cellStyle name="Style 1707" xfId="397"/>
    <cellStyle name="Style 1708" xfId="398"/>
    <cellStyle name="Style 1709" xfId="399"/>
    <cellStyle name="Style 1710" xfId="400"/>
    <cellStyle name="Style 1711" xfId="401"/>
    <cellStyle name="Style 1712" xfId="402"/>
    <cellStyle name="Style 1713" xfId="403"/>
    <cellStyle name="Style 1714" xfId="404"/>
    <cellStyle name="Style 1759" xfId="405"/>
    <cellStyle name="Style 1872" xfId="406"/>
    <cellStyle name="Style 1874" xfId="407"/>
    <cellStyle name="Style 1876" xfId="408"/>
    <cellStyle name="Style 1877" xfId="409"/>
    <cellStyle name="Style 1878" xfId="410"/>
    <cellStyle name="Style 1879" xfId="411"/>
    <cellStyle name="Style 1880" xfId="412"/>
    <cellStyle name="Style 1881" xfId="413"/>
    <cellStyle name="Style 1882" xfId="414"/>
    <cellStyle name="Style 1883" xfId="415"/>
    <cellStyle name="Style 1884" xfId="416"/>
    <cellStyle name="Style 1885" xfId="417"/>
    <cellStyle name="Style 1887" xfId="418"/>
    <cellStyle name="Style 1887 2" xfId="419"/>
    <cellStyle name="Style 1887 3" xfId="420"/>
    <cellStyle name="Style 1887 4" xfId="421"/>
    <cellStyle name="Style 1888" xfId="422"/>
    <cellStyle name="Style 1888 2" xfId="423"/>
    <cellStyle name="Style 1888 3" xfId="424"/>
    <cellStyle name="Style 1888 4" xfId="425"/>
    <cellStyle name="Style 1889" xfId="426"/>
    <cellStyle name="Style 1889 2" xfId="427"/>
    <cellStyle name="Style 1889 3" xfId="428"/>
    <cellStyle name="Style 1889 4" xfId="429"/>
    <cellStyle name="Style 1890" xfId="430"/>
    <cellStyle name="Style 1890 2" xfId="431"/>
    <cellStyle name="Style 1890 3" xfId="432"/>
    <cellStyle name="Style 1890 4" xfId="433"/>
    <cellStyle name="Style 1891" xfId="434"/>
    <cellStyle name="Style 1891 2" xfId="435"/>
    <cellStyle name="Style 1891 3" xfId="436"/>
    <cellStyle name="Style 1891 4" xfId="437"/>
    <cellStyle name="Style 1892" xfId="438"/>
    <cellStyle name="Style 1892 2" xfId="439"/>
    <cellStyle name="Style 1892 3" xfId="440"/>
    <cellStyle name="Style 1892 4" xfId="441"/>
    <cellStyle name="Style 1893" xfId="442"/>
    <cellStyle name="Style 1893 2" xfId="443"/>
    <cellStyle name="Style 1893 3" xfId="444"/>
    <cellStyle name="Style 1893 4" xfId="445"/>
    <cellStyle name="Style 1894" xfId="446"/>
    <cellStyle name="Style 1894 2" xfId="447"/>
    <cellStyle name="Style 1894 3" xfId="448"/>
    <cellStyle name="Style 1894 4" xfId="449"/>
    <cellStyle name="Style 1895" xfId="450"/>
    <cellStyle name="Style 1895 2" xfId="451"/>
    <cellStyle name="Style 1895 3" xfId="452"/>
    <cellStyle name="Style 1895 4" xfId="453"/>
    <cellStyle name="Style 2066" xfId="454"/>
    <cellStyle name="Style 2067" xfId="455"/>
    <cellStyle name="Style 2068" xfId="456"/>
    <cellStyle name="Style 2069" xfId="457"/>
    <cellStyle name="Style 2070" xfId="458"/>
    <cellStyle name="Style 2071" xfId="459"/>
    <cellStyle name="Style 2072" xfId="460"/>
    <cellStyle name="Style 2073" xfId="461"/>
    <cellStyle name="Style 2074" xfId="462"/>
    <cellStyle name="Style 2075" xfId="463"/>
    <cellStyle name="Style 2089" xfId="464"/>
    <cellStyle name="Style 2202" xfId="465"/>
    <cellStyle name="Style 2204" xfId="466"/>
    <cellStyle name="Style 2206" xfId="467"/>
    <cellStyle name="Style 2207" xfId="468"/>
    <cellStyle name="Style 2208" xfId="469"/>
    <cellStyle name="Style 2209" xfId="470"/>
    <cellStyle name="Style 2210" xfId="471"/>
    <cellStyle name="Style 2211" xfId="472"/>
    <cellStyle name="Style 2212" xfId="473"/>
    <cellStyle name="Style 2213" xfId="474"/>
    <cellStyle name="Style 2214" xfId="475"/>
    <cellStyle name="Style 2215" xfId="476"/>
    <cellStyle name="Style 2464" xfId="477"/>
    <cellStyle name="Style 2468" xfId="478"/>
    <cellStyle name="Style 2470" xfId="479"/>
    <cellStyle name="Style 2471" xfId="480"/>
    <cellStyle name="Style 2472" xfId="481"/>
    <cellStyle name="Style 2473" xfId="482"/>
    <cellStyle name="Style 2474" xfId="483"/>
    <cellStyle name="Style 2475" xfId="484"/>
    <cellStyle name="Style 2476" xfId="485"/>
    <cellStyle name="Style 2477" xfId="486"/>
    <cellStyle name="Style 2478" xfId="487"/>
    <cellStyle name="Style 2479" xfId="488"/>
    <cellStyle name="Style 297" xfId="489"/>
    <cellStyle name="Style 297 2" xfId="490"/>
    <cellStyle name="Style 300" xfId="491"/>
    <cellStyle name="Style 300 2" xfId="492"/>
    <cellStyle name="Style 528" xfId="493"/>
    <cellStyle name="Style 528 2" xfId="494"/>
    <cellStyle name="Style 561" xfId="495"/>
    <cellStyle name="Style 561 2" xfId="496"/>
    <cellStyle name="Style 669" xfId="497"/>
    <cellStyle name="Style 669 2" xfId="498"/>
    <cellStyle name="Style 670" xfId="499"/>
    <cellStyle name="Style 670 2" xfId="500"/>
    <cellStyle name="Style 671" xfId="501"/>
    <cellStyle name="Style 671 2" xfId="502"/>
    <cellStyle name="Style 672" xfId="503"/>
    <cellStyle name="Style 672 2" xfId="504"/>
    <cellStyle name="Style 673" xfId="505"/>
    <cellStyle name="Style 673 2" xfId="506"/>
    <cellStyle name="Style 674" xfId="507"/>
    <cellStyle name="Style 674 2" xfId="508"/>
    <cellStyle name="Style 675" xfId="509"/>
    <cellStyle name="Style 675 2" xfId="510"/>
    <cellStyle name="Style 676" xfId="511"/>
    <cellStyle name="Style 676 2" xfId="512"/>
    <cellStyle name="Style 707" xfId="513"/>
    <cellStyle name="Style 707 2" xfId="514"/>
    <cellStyle name="Style 707 3" xfId="515"/>
    <cellStyle name="Style 707 4" xfId="516"/>
    <cellStyle name="Style 708" xfId="517"/>
    <cellStyle name="Style 708 2" xfId="518"/>
    <cellStyle name="Style 708 3" xfId="519"/>
    <cellStyle name="Style 708 4" xfId="520"/>
    <cellStyle name="Style 709" xfId="521"/>
    <cellStyle name="Style 709 2" xfId="522"/>
    <cellStyle name="Style 709 3" xfId="523"/>
    <cellStyle name="Style 709 4" xfId="524"/>
    <cellStyle name="Style 710" xfId="525"/>
    <cellStyle name="Style 710 2" xfId="526"/>
    <cellStyle name="Style 710 3" xfId="527"/>
    <cellStyle name="Style 710 4" xfId="528"/>
    <cellStyle name="Style 711" xfId="529"/>
    <cellStyle name="Style 711 2" xfId="530"/>
    <cellStyle name="Style 711 3" xfId="531"/>
    <cellStyle name="Style 711 4" xfId="532"/>
    <cellStyle name="Style 712" xfId="533"/>
    <cellStyle name="Style 712 2" xfId="534"/>
    <cellStyle name="Style 712 3" xfId="535"/>
    <cellStyle name="Style 712 4" xfId="536"/>
    <cellStyle name="Style 713" xfId="537"/>
    <cellStyle name="Style 713 2" xfId="538"/>
    <cellStyle name="Style 713 3" xfId="539"/>
    <cellStyle name="Style 713 4" xfId="540"/>
    <cellStyle name="Style 714" xfId="541"/>
    <cellStyle name="Style 714 2" xfId="542"/>
    <cellStyle name="Style 714 3" xfId="543"/>
    <cellStyle name="Style 714 4" xfId="544"/>
    <cellStyle name="Style 723" xfId="545"/>
    <cellStyle name="Style 723 2" xfId="546"/>
    <cellStyle name="Style 740" xfId="547"/>
    <cellStyle name="Style 740 2" xfId="548"/>
    <cellStyle name="Style 740 3" xfId="549"/>
    <cellStyle name="Style 740 4" xfId="550"/>
    <cellStyle name="Style 741" xfId="551"/>
    <cellStyle name="Style 741 2" xfId="552"/>
    <cellStyle name="Style 741 3" xfId="553"/>
    <cellStyle name="Style 741 4" xfId="554"/>
    <cellStyle name="Style 742" xfId="555"/>
    <cellStyle name="Style 742 2" xfId="556"/>
    <cellStyle name="Style 742 3" xfId="557"/>
    <cellStyle name="Style 742 4" xfId="558"/>
    <cellStyle name="Style 743" xfId="559"/>
    <cellStyle name="Style 743 2" xfId="560"/>
    <cellStyle name="Style 743 3" xfId="561"/>
    <cellStyle name="Style 743 4" xfId="562"/>
    <cellStyle name="Style 744" xfId="563"/>
    <cellStyle name="Style 744 2" xfId="564"/>
    <cellStyle name="Style 744 3" xfId="565"/>
    <cellStyle name="Style 744 4" xfId="566"/>
    <cellStyle name="Style 745" xfId="567"/>
    <cellStyle name="Style 745 2" xfId="568"/>
    <cellStyle name="Style 745 3" xfId="569"/>
    <cellStyle name="Style 745 4" xfId="570"/>
    <cellStyle name="Style 746" xfId="571"/>
    <cellStyle name="Style 746 2" xfId="572"/>
    <cellStyle name="Style 746 3" xfId="573"/>
    <cellStyle name="Style 746 4" xfId="574"/>
    <cellStyle name="Style 747" xfId="575"/>
    <cellStyle name="Style 747 2" xfId="576"/>
    <cellStyle name="Style 747 3" xfId="577"/>
    <cellStyle name="Style 747 4" xfId="578"/>
    <cellStyle name="Style 868" xfId="579"/>
    <cellStyle name="Style 868 2" xfId="580"/>
    <cellStyle name="Style 902" xfId="581"/>
    <cellStyle name="Style 902 2" xfId="582"/>
    <cellStyle name="Style 902 3" xfId="583"/>
    <cellStyle name="Style 902 4" xfId="584"/>
    <cellStyle name="Style 903" xfId="585"/>
    <cellStyle name="Style 903 2" xfId="586"/>
    <cellStyle name="Style 903 3" xfId="587"/>
    <cellStyle name="Style 903 4" xfId="588"/>
    <cellStyle name="Style 904" xfId="589"/>
    <cellStyle name="Style 904 2" xfId="590"/>
    <cellStyle name="Style 904 3" xfId="591"/>
    <cellStyle name="Style 904 4" xfId="592"/>
    <cellStyle name="Style 905" xfId="593"/>
    <cellStyle name="Style 905 2" xfId="594"/>
    <cellStyle name="Style 905 3" xfId="595"/>
    <cellStyle name="Style 905 4" xfId="596"/>
    <cellStyle name="Style 910" xfId="597"/>
    <cellStyle name="Style 910 2" xfId="598"/>
    <cellStyle name="Style 910 3" xfId="599"/>
    <cellStyle name="Style 910 4" xfId="600"/>
    <cellStyle name="Style 911" xfId="601"/>
    <cellStyle name="Style 911 2" xfId="602"/>
    <cellStyle name="Style 911 3" xfId="603"/>
    <cellStyle name="Style 911 4" xfId="604"/>
    <cellStyle name="Style 912" xfId="605"/>
    <cellStyle name="Style 912 2" xfId="606"/>
    <cellStyle name="Style 912 3" xfId="607"/>
    <cellStyle name="Style 912 4" xfId="608"/>
    <cellStyle name="Style 913" xfId="609"/>
    <cellStyle name="Style 913 2" xfId="610"/>
    <cellStyle name="Style 913 3" xfId="611"/>
    <cellStyle name="Style 913 4" xfId="612"/>
    <cellStyle name="Style 918" xfId="613"/>
    <cellStyle name="Style 918 2" xfId="614"/>
    <cellStyle name="Style 918 3" xfId="615"/>
    <cellStyle name="Style 918 4" xfId="616"/>
    <cellStyle name="Style 919" xfId="617"/>
    <cellStyle name="Style 919 2" xfId="618"/>
    <cellStyle name="Style 919 3" xfId="619"/>
    <cellStyle name="Style 919 4" xfId="620"/>
    <cellStyle name="Style 920" xfId="621"/>
    <cellStyle name="Style 920 2" xfId="622"/>
    <cellStyle name="Style 920 3" xfId="623"/>
    <cellStyle name="Style 920 4" xfId="624"/>
    <cellStyle name="Style 921" xfId="625"/>
    <cellStyle name="Style 921 2" xfId="626"/>
    <cellStyle name="Style 921 3" xfId="627"/>
    <cellStyle name="Style 921 4" xfId="628"/>
    <cellStyle name="Style 926" xfId="629"/>
    <cellStyle name="Style 926 2" xfId="630"/>
    <cellStyle name="Style 926 3" xfId="631"/>
    <cellStyle name="Style 926 4" xfId="632"/>
    <cellStyle name="Style 927" xfId="633"/>
    <cellStyle name="Style 927 2" xfId="634"/>
    <cellStyle name="Style 927 3" xfId="635"/>
    <cellStyle name="Style 927 4" xfId="636"/>
    <cellStyle name="Style 928" xfId="637"/>
    <cellStyle name="Style 928 2" xfId="638"/>
    <cellStyle name="Style 928 3" xfId="639"/>
    <cellStyle name="Style 928 4" xfId="640"/>
    <cellStyle name="Style 929" xfId="641"/>
    <cellStyle name="Style 929 2" xfId="642"/>
    <cellStyle name="Style 929 3" xfId="643"/>
    <cellStyle name="Style 929 4" xfId="644"/>
    <cellStyle name="Style 934" xfId="645"/>
    <cellStyle name="Style 934 2" xfId="646"/>
    <cellStyle name="Style 934 3" xfId="647"/>
    <cellStyle name="Style 934 4" xfId="648"/>
    <cellStyle name="Style 935" xfId="649"/>
    <cellStyle name="Style 935 2" xfId="650"/>
    <cellStyle name="Style 935 3" xfId="651"/>
    <cellStyle name="Style 935 4" xfId="652"/>
    <cellStyle name="Style 936" xfId="653"/>
    <cellStyle name="Style 936 2" xfId="654"/>
    <cellStyle name="Style 936 3" xfId="655"/>
    <cellStyle name="Style 936 4" xfId="656"/>
    <cellStyle name="Style 937" xfId="657"/>
    <cellStyle name="Style 937 2" xfId="658"/>
    <cellStyle name="Style 937 3" xfId="659"/>
    <cellStyle name="Style 937 4" xfId="660"/>
    <cellStyle name="Style 942" xfId="661"/>
    <cellStyle name="Style 942 2" xfId="662"/>
    <cellStyle name="Style 942 3" xfId="663"/>
    <cellStyle name="Style 942 4" xfId="664"/>
    <cellStyle name="Style 943" xfId="665"/>
    <cellStyle name="Style 943 2" xfId="666"/>
    <cellStyle name="Style 943 3" xfId="667"/>
    <cellStyle name="Style 943 4" xfId="668"/>
    <cellStyle name="Style 944" xfId="669"/>
    <cellStyle name="Style 944 2" xfId="670"/>
    <cellStyle name="Style 944 3" xfId="671"/>
    <cellStyle name="Style 944 4" xfId="672"/>
    <cellStyle name="Style 945" xfId="673"/>
    <cellStyle name="Style 945 2" xfId="674"/>
    <cellStyle name="Style 945 3" xfId="675"/>
    <cellStyle name="Style 945 4" xfId="676"/>
    <cellStyle name="Style 950" xfId="677"/>
    <cellStyle name="Style 950 2" xfId="678"/>
    <cellStyle name="Style 950 3" xfId="679"/>
    <cellStyle name="Style 950 4" xfId="680"/>
    <cellStyle name="Style 951" xfId="681"/>
    <cellStyle name="Style 951 2" xfId="682"/>
    <cellStyle name="Style 951 3" xfId="683"/>
    <cellStyle name="Style 951 4" xfId="684"/>
    <cellStyle name="Style 952" xfId="685"/>
    <cellStyle name="Style 952 2" xfId="686"/>
    <cellStyle name="Style 952 3" xfId="687"/>
    <cellStyle name="Style 952 4" xfId="688"/>
    <cellStyle name="Style 953" xfId="689"/>
    <cellStyle name="Style 953 2" xfId="690"/>
    <cellStyle name="Style 953 3" xfId="691"/>
    <cellStyle name="Style 953 4" xfId="692"/>
    <cellStyle name="Style 958" xfId="693"/>
    <cellStyle name="Style 958 2" xfId="694"/>
    <cellStyle name="Style 958 3" xfId="695"/>
    <cellStyle name="Style 958 4" xfId="696"/>
    <cellStyle name="Style 959" xfId="697"/>
    <cellStyle name="Style 959 2" xfId="698"/>
    <cellStyle name="Style 959 3" xfId="699"/>
    <cellStyle name="Style 959 4" xfId="700"/>
    <cellStyle name="Style 960" xfId="701"/>
    <cellStyle name="Style 960 2" xfId="702"/>
    <cellStyle name="Style 960 3" xfId="703"/>
    <cellStyle name="Style 960 4" xfId="704"/>
    <cellStyle name="Style 961" xfId="705"/>
    <cellStyle name="Style 961 2" xfId="706"/>
    <cellStyle name="Style 961 3" xfId="707"/>
    <cellStyle name="Style 961 4" xfId="708"/>
    <cellStyle name="Style 966" xfId="709"/>
    <cellStyle name="Style 966 2" xfId="710"/>
    <cellStyle name="Style 966 3" xfId="711"/>
    <cellStyle name="Style 966 4" xfId="712"/>
    <cellStyle name="Style 967" xfId="713"/>
    <cellStyle name="Style 967 2" xfId="714"/>
    <cellStyle name="Style 967 3" xfId="715"/>
    <cellStyle name="Style 967 4" xfId="716"/>
    <cellStyle name="Style 968" xfId="717"/>
    <cellStyle name="Style 968 2" xfId="718"/>
    <cellStyle name="Style 968 3" xfId="719"/>
    <cellStyle name="Style 968 4" xfId="720"/>
    <cellStyle name="Style 969" xfId="721"/>
    <cellStyle name="Style 969 2" xfId="722"/>
    <cellStyle name="Style 969 3" xfId="723"/>
    <cellStyle name="Style 969 4" xfId="724"/>
    <cellStyle name="Style 974" xfId="725"/>
    <cellStyle name="Style 974 2" xfId="726"/>
    <cellStyle name="Style 974 3" xfId="727"/>
    <cellStyle name="Style 974 4" xfId="728"/>
    <cellStyle name="Style 975" xfId="729"/>
    <cellStyle name="Style 975 2" xfId="730"/>
    <cellStyle name="Style 975 3" xfId="731"/>
    <cellStyle name="Style 975 4" xfId="732"/>
    <cellStyle name="Style 976" xfId="733"/>
    <cellStyle name="Style 976 2" xfId="734"/>
    <cellStyle name="Style 976 3" xfId="735"/>
    <cellStyle name="Style 976 4" xfId="736"/>
    <cellStyle name="Style 977" xfId="737"/>
    <cellStyle name="Style 977 2" xfId="738"/>
    <cellStyle name="Style 977 3" xfId="739"/>
    <cellStyle name="Style 977 4" xfId="740"/>
    <cellStyle name="Style 979" xfId="741"/>
    <cellStyle name="Style 979 2" xfId="742"/>
    <cellStyle name="Style 981" xfId="743"/>
    <cellStyle name="Style 981 2" xfId="744"/>
    <cellStyle name="Style 981 3" xfId="745"/>
    <cellStyle name="Style 981 4" xfId="746"/>
    <cellStyle name="Style 982" xfId="747"/>
    <cellStyle name="Style 982 2" xfId="748"/>
    <cellStyle name="Style 982 3" xfId="749"/>
    <cellStyle name="Style 982 4" xfId="750"/>
    <cellStyle name="Style 983" xfId="751"/>
    <cellStyle name="Style 983 2" xfId="752"/>
    <cellStyle name="Style 983 3" xfId="753"/>
    <cellStyle name="Style 983 4" xfId="754"/>
    <cellStyle name="Style 984" xfId="755"/>
    <cellStyle name="Style 984 2" xfId="756"/>
    <cellStyle name="Style 984 3" xfId="757"/>
    <cellStyle name="Style 984 4" xfId="758"/>
    <cellStyle name="Style 985" xfId="759"/>
    <cellStyle name="Style 985 2" xfId="760"/>
    <cellStyle name="Style 985 3" xfId="761"/>
    <cellStyle name="Style 985 4" xfId="762"/>
    <cellStyle name="Style 986" xfId="763"/>
    <cellStyle name="Style 986 2" xfId="764"/>
    <cellStyle name="Style 986 3" xfId="765"/>
    <cellStyle name="Style 986 4" xfId="766"/>
    <cellStyle name="Style 987" xfId="767"/>
    <cellStyle name="Style 987 2" xfId="768"/>
    <cellStyle name="Style 987 3" xfId="769"/>
    <cellStyle name="Style 987 4" xfId="770"/>
    <cellStyle name="Style 988" xfId="771"/>
    <cellStyle name="Style 988 2" xfId="772"/>
    <cellStyle name="Style 988 3" xfId="773"/>
    <cellStyle name="Style 988 4" xfId="774"/>
    <cellStyle name="Style 989" xfId="775"/>
    <cellStyle name="Style 989 2" xfId="776"/>
    <cellStyle name="Style 989 3" xfId="777"/>
    <cellStyle name="Style 989 4" xfId="778"/>
    <cellStyle name="Style 991" xfId="779"/>
    <cellStyle name="Style 991 2" xfId="780"/>
    <cellStyle name="Title" xfId="781" builtinId="15" customBuiltin="1"/>
    <cellStyle name="Title 2" xfId="782"/>
    <cellStyle name="Total" xfId="783" builtinId="25" customBuiltin="1"/>
    <cellStyle name="Total 2" xfId="784"/>
    <cellStyle name="Warning Text" xfId="785" builtinId="11" customBuiltin="1"/>
    <cellStyle name="Warning Text 2" xfId="786"/>
    <cellStyle name="Hyperlink" xfId="787"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E5000"/>
      <rgbColor rgb="0000FF00"/>
      <rgbColor rgb="00009CDE"/>
      <rgbColor rgb="00FEDB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A0A0A0"/>
      <rgbColor rgb="00CC9900"/>
      <rgbColor rgb="00008C99"/>
      <rgbColor rgb="00579A32"/>
      <rgbColor rgb="00CC6633"/>
      <rgbColor rgb="003366FF"/>
      <rgbColor rgb="00666666"/>
      <rgbColor rgb="0000CC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40" Type="http://schemas.openxmlformats.org/officeDocument/2006/relationships/worksheet" Target="worksheets/sheet26.xml" />
<Relationship Id="rId34" Type="http://schemas.openxmlformats.org/officeDocument/2006/relationships/worksheet" Target="worksheets/sheet3.xml" />
<Relationship Id="rId38" Type="http://schemas.openxmlformats.org/officeDocument/2006/relationships/worksheet" Target="worksheets/sheet21.xml" />
<Relationship Id="rId35" Type="http://schemas.openxmlformats.org/officeDocument/2006/relationships/worksheet" Target="worksheets/sheet7.xml" />
<Relationship Id="rId33" Type="http://schemas.openxmlformats.org/officeDocument/2006/relationships/worksheet" Target="worksheets/sheet2.xml" />
<Relationship Id="rId37" Type="http://schemas.openxmlformats.org/officeDocument/2006/relationships/worksheet" Target="worksheets/sheet20.xml" />
<Relationship Id="rId41" Type="http://schemas.openxmlformats.org/officeDocument/2006/relationships/sharedStrings" Target="/xl/sharedStrings.xml" />
<Relationship Id="rId32" Type="http://schemas.openxmlformats.org/officeDocument/2006/relationships/worksheet" Target="worksheets/sheet1.xml" />
<Relationship Id="rId39" Type="http://schemas.openxmlformats.org/officeDocument/2006/relationships/worksheet" Target="worksheets/sheet23.xml" />
<Relationship Id="rId42" Type="http://schemas.openxmlformats.org/officeDocument/2006/relationships/styles" Target="/xl/styles.xml" />
<Relationship Id="rId36" Type="http://schemas.openxmlformats.org/officeDocument/2006/relationships/worksheet" Target="worksheets/sheet9.xml" />
<Relationship Id="rId43" Type="http://schemas.openxmlformats.org/officeDocument/2006/relationships/theme" Target="/xl/theme/theme1.xml" />
<Relationship Id="rId31" Type="http://schemas.openxmlformats.org/officeDocument/2006/relationships/worksheet" Target="worksheets/sheet28.xml" />
<Relationship Id="rId30" Type="http://schemas.openxmlformats.org/officeDocument/2006/relationships/worksheet" Target="worksheets/sheet32.xml" />
<Relationship Id="rId29" Type="http://schemas.openxmlformats.org/officeDocument/2006/relationships/worksheet" Target="worksheets/sheet36.xml" />
<Relationship Id="rId28" Type="http://schemas.openxmlformats.org/officeDocument/2006/relationships/worksheet" Target="worksheets/sheet40.xml" />
<Relationship Id="rId27" Type="http://schemas.openxmlformats.org/officeDocument/2006/relationships/worksheet" Target="worksheets/sheet44.xml" />
<Relationship Id="rId26" Type="http://schemas.openxmlformats.org/officeDocument/2006/relationships/worksheet" Target="worksheets/sheet48.xml" />
<Relationship Id="rId25" Type="http://schemas.openxmlformats.org/officeDocument/2006/relationships/worksheet" Target="worksheets/sheet52.xml" />
<Relationship Id="rId24" Type="http://schemas.openxmlformats.org/officeDocument/2006/relationships/worksheet" Target="worksheets/sheet56.xml" />
<Relationship Id="rId23" Type="http://schemas.openxmlformats.org/officeDocument/2006/relationships/worksheet" Target="worksheets/sheet59.xml" />
<Relationship Id="rId22" Type="http://schemas.openxmlformats.org/officeDocument/2006/relationships/worksheet" Target="worksheets/sheet62.xml" />
<Relationship Id="rId21" Type="http://schemas.openxmlformats.org/officeDocument/2006/relationships/worksheet" Target="worksheets/sheet65.xml" />
<Relationship Id="rId20" Type="http://schemas.openxmlformats.org/officeDocument/2006/relationships/worksheet" Target="worksheets/sheet69.xml" />
<Relationship Id="rId19" Type="http://schemas.openxmlformats.org/officeDocument/2006/relationships/worksheet" Target="worksheets/sheet73.xml" />
<Relationship Id="rId18" Type="http://schemas.openxmlformats.org/officeDocument/2006/relationships/worksheet" Target="worksheets/sheet77.xml" />
<Relationship Id="rId17" Type="http://schemas.openxmlformats.org/officeDocument/2006/relationships/worksheet" Target="worksheets/sheet80.xml" />
<Relationship Id="rId16" Type="http://schemas.openxmlformats.org/officeDocument/2006/relationships/worksheet" Target="worksheets/sheet84.xml" />
<Relationship Id="rId15" Type="http://schemas.openxmlformats.org/officeDocument/2006/relationships/worksheet" Target="worksheets/sheet88.xml" />
<Relationship Id="rId14" Type="http://schemas.openxmlformats.org/officeDocument/2006/relationships/worksheet" Target="worksheets/sheet92.xml" />
<Relationship Id="rId13" Type="http://schemas.openxmlformats.org/officeDocument/2006/relationships/worksheet" Target="worksheets/sheet95.xml" />
<Relationship Id="rId12" Type="http://schemas.openxmlformats.org/officeDocument/2006/relationships/worksheet" Target="worksheets/sheet98.xml" />
<Relationship Id="rId11" Type="http://schemas.openxmlformats.org/officeDocument/2006/relationships/worksheet" Target="worksheets/sheet101.xml" />
<Relationship Id="rId10" Type="http://schemas.openxmlformats.org/officeDocument/2006/relationships/worksheet" Target="worksheets/sheet104.xml" />
<Relationship Id="rId9" Type="http://schemas.openxmlformats.org/officeDocument/2006/relationships/worksheet" Target="worksheets/sheet107.xml" />
<Relationship Id="rId8" Type="http://schemas.openxmlformats.org/officeDocument/2006/relationships/worksheet" Target="worksheets/sheet110.xml" />
<Relationship Id="rId7" Type="http://schemas.openxmlformats.org/officeDocument/2006/relationships/worksheet" Target="worksheets/sheet113.xml" />
<Relationship Id="rId6" Type="http://schemas.openxmlformats.org/officeDocument/2006/relationships/worksheet" Target="worksheets/sheet116.xml" />
<Relationship Id="rId5" Type="http://schemas.openxmlformats.org/officeDocument/2006/relationships/worksheet" Target="worksheets/sheet119.xml" />
<Relationship Id="rId4" Type="http://schemas.openxmlformats.org/officeDocument/2006/relationships/worksheet" Target="worksheets/sheet122.xml" />
<Relationship Id="rId3" Type="http://schemas.openxmlformats.org/officeDocument/2006/relationships/worksheet" Target="worksheets/sheet126.xml" />
<Relationship Id="rId2" Type="http://schemas.openxmlformats.org/officeDocument/2006/relationships/worksheet" Target="worksheets/sheet130.xml" />
<Relationship Id="rId1" Type="http://schemas.openxmlformats.org/officeDocument/2006/relationships/worksheet" Target="worksheets/sheet133.xml" />
</Relationships>
</file>

<file path=xl/charts/chart136.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Monthly Indexes</a:t>
            </a:r>
          </a:p>
        </rich>
      </tx>
      <overlay val="0"/>
    </title>
    <plotArea>
      <lineChart>
        <grouping/>
        <ser>
          <idx val="0"/>
          <order val="0"/>
          <tx>
            <v>Occupancy Index (MPI)</v>
          </tx>
          <spPr>
            <a:ln w="38100">
              <a:solidFill>
                <a:srgbClr val="009CDE"/>
              </a:solidFill>
              <a:prstDash val="solid"/>
            </a:ln>
          </spPr>
          <marker>
            <symbol val="circle"/>
            <size val="6"/>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Comp!$C$23:$T$23</f>
              <numCache>
                <formatCode>General</formatCode>
                <ptCount val="18"/>
                <pt idx="0">
                  <v>112.206131078196</v>
                </pt>
                <pt idx="0">
                  <v>110.770176215823</v>
                </pt>
                <pt idx="0">
                  <v>128.578701999794</v>
                </pt>
                <pt idx="0">
                  <v>158.351936163026</v>
                </pt>
                <pt idx="0">
                  <v>151.786158510206</v>
                </pt>
                <pt idx="0">
                  <v>149.002923818198</v>
                </pt>
                <pt idx="0">
                  <v>179.789340090081</v>
                </pt>
                <pt idx="0">
                  <v>142.259868053194</v>
                </pt>
                <pt idx="0">
                  <v>130.149369580831</v>
                </pt>
                <pt idx="0">
                  <v>116.121477699068</v>
                </pt>
                <pt idx="0">
                  <v>132.477779510319</v>
                </pt>
                <pt idx="0">
                  <v>131.901999167177</v>
                </pt>
                <pt idx="0">
                  <v>116.153902367792</v>
                </pt>
                <pt idx="0">
                  <v>113.33667531228</v>
                </pt>
                <pt idx="0">
                  <v>110.761433133804</v>
                </pt>
                <pt idx="0">
                  <v>108.817700343692</v>
                </pt>
                <pt idx="0">
                  <v>112.372825730291</v>
                </pt>
                <pt idx="0">
                  <v>121.01516757121</v>
                </pt>
              </numCache>
            </numRef>
          </val>
          <smooth val="0"/>
        </ser>
        <ser>
          <idx val="1"/>
          <order val="1"/>
          <tx>
            <v>ADR Index (ARI)</v>
          </tx>
          <spPr>
            <a:ln w="38100">
              <a:solidFill>
                <a:srgbClr val="D22630"/>
              </a:solidFill>
              <a:prstDash val="solid"/>
            </a:ln>
          </spPr>
          <marker>
            <symbol val="diamond"/>
            <size val="6"/>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Comp!$C$35:$T$35</f>
              <numCache>
                <formatCode>General</formatCode>
                <ptCount val="18"/>
                <pt idx="0">
                  <v>92.8039770809625</v>
                </pt>
                <pt idx="0">
                  <v>88.8946751749075</v>
                </pt>
                <pt idx="0">
                  <v>85.0552273977897</v>
                </pt>
                <pt idx="0">
                  <v>80.1427119651877</v>
                </pt>
                <pt idx="0">
                  <v>78.8064095073786</v>
                </pt>
                <pt idx="0">
                  <v>78.4973395421011</v>
                </pt>
                <pt idx="0">
                  <v>71.2844376924399</v>
                </pt>
                <pt idx="0">
                  <v>78.3642950508481</v>
                </pt>
                <pt idx="0">
                  <v>75.9971321772139</v>
                </pt>
                <pt idx="0">
                  <v>84.7847589616328</v>
                </pt>
                <pt idx="0">
                  <v>92.4948758991075</v>
                </pt>
                <pt idx="0">
                  <v>91.193193217901</v>
                </pt>
                <pt idx="0">
                  <v>92.2171450542692</v>
                </pt>
                <pt idx="0">
                  <v>88.3154433376088</v>
                </pt>
                <pt idx="0">
                  <v>91.4676675428279</v>
                </pt>
                <pt idx="0">
                  <v>79.9995308127457</v>
                </pt>
                <pt idx="0">
                  <v>84.6397718804614</v>
                </pt>
                <pt idx="0">
                  <v>85.5841802202205</v>
                </pt>
              </numCache>
            </numRef>
          </val>
          <smooth val="0"/>
        </ser>
        <ser>
          <idx val="2"/>
          <order val="2"/>
          <tx>
            <v>RevPAR Index (RGI)</v>
          </tx>
          <spPr>
            <a:ln w="38100">
              <a:solidFill>
                <a:srgbClr val="84BD00"/>
              </a:solidFill>
              <a:prstDash val="lgDash"/>
            </a:ln>
          </spPr>
          <marker>
            <symbol val="square"/>
            <size val="6"/>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Comp!$C$47:$T$47</f>
              <numCache>
                <formatCode>General</formatCode>
                <ptCount val="18"/>
                <pt idx="0">
                  <v>104.131752169281</v>
                </pt>
                <pt idx="0">
                  <v>98.4687883377607</v>
                </pt>
                <pt idx="0">
                  <v>109.362907371055</v>
                </pt>
                <pt idx="0">
                  <v>126.907536090382</v>
                </pt>
                <pt idx="0">
                  <v>119.617221650967</v>
                </pt>
                <pt idx="0">
                  <v>116.963331037292</v>
                </pt>
                <pt idx="0">
                  <v>128.161820114227</v>
                </pt>
                <pt idx="0">
                  <v>111.480942740162</v>
                </pt>
                <pt idx="0">
                  <v>98.9097884281741</v>
                </pt>
                <pt idx="0">
                  <v>98.4533149697748</v>
                </pt>
                <pt idx="0">
                  <v>122.535157752038</v>
                </pt>
                <pt idx="0">
                  <v>120.285644958798</v>
                </pt>
                <pt idx="0">
                  <v>107.113812632632</v>
                </pt>
                <pt idx="0">
                  <v>100.093787266082</v>
                </pt>
                <pt idx="0">
                  <v>101.310899424476</v>
                </pt>
                <pt idx="0">
                  <v>87.0536497162181</v>
                </pt>
                <pt idx="0">
                  <v>95.1121033537004</v>
                </pt>
                <pt idx="0">
                  <v>103.569839107879</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Comp!$C$60:$T$60</f>
              <numCache>
                <formatCode>General</formatCode>
                <ptCount val="18"/>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a:p>
            <a:pPr>
              <a:defRPr sz="1200" b="0" i="0" u="none" strike="noStrike" baseline="0">
                <a:solidFill>
                  <a:sysClr val="windowText"/>
                </a:solidFill>
                <a:latin typeface="Arial"/>
              </a:defRPr>
            </a:pPr>
          </a:p>
        </txPr>
        <crossAx val="4"/>
      </catAx>
      <valAx>
        <axId val="4"/>
        <scaling>
          <orientation/>
          <max val="185"/>
          <min val="66"/>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200" b="0" i="0" u="none" strike="noStrike" baseline="0">
                <a:solidFill>
                  <a:sysClr val="windowText"/>
                </a:solidFill>
                <a:latin typeface="Arial"/>
              </a:defRPr>
            </a:pPr>
          </a:p>
        </txPr>
      </legendEntry>
      <legendEntry>
        <idx val="1"/>
        <txPr>
          <a:bodyPr/>
          <a:p>
            <a:pPr>
              <a:defRPr sz="1200" b="0" i="0" u="none" strike="noStrike" baseline="0">
                <a:solidFill>
                  <a:sysClr val="windowText"/>
                </a:solidFill>
                <a:latin typeface="Arial"/>
              </a:defRPr>
            </a:pPr>
          </a:p>
        </txPr>
      </legendEntry>
      <legendEntry>
        <idx val="2"/>
        <txPr>
          <a:bodyPr/>
          <a:p>
            <a:pPr>
              <a:defRPr sz="1200" b="0" i="0" u="none" strike="noStrike" baseline="0">
                <a:solidFill>
                  <a:sysClr val="windowText"/>
                </a:solidFill>
                <a:latin typeface="Arial"/>
              </a:defRPr>
            </a:pPr>
          </a:p>
        </txPr>
      </legendEntry>
      <legendEntry>
        <idx val="3"/>
        <txPr>
          <a:bodyPr/>
          <a:p>
            <a:pPr>
              <a:defRPr sz="1200" b="0" i="0" u="none" strike="noStrike" baseline="0">
                <a:solidFill>
                  <a:sysClr val="windowText"/>
                </a:solidFill>
                <a:latin typeface="Arial"/>
              </a:defRPr>
            </a:pPr>
          </a:p>
        </txPr>
      </legendEntry>
      <overlay val="0"/>
      <spPr>
        <a:ln w="9525">
          <a:noFill/>
        </a:ln>
      </spPr>
      <txPr>
        <a:bodyPr/>
        <a:p>
          <a:pPr>
            <a:defRPr sz="120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37.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RevPAR Percent Change</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Comp!$B$67:$B$69</f>
            </multiLvlStrRef>
          </cat>
          <val>
            <numRef>
              <f>Comp!$X$50,Comp!$AB$50,Comp!$AF$50</f>
              <numCache>
                <formatCode>General</formatCode>
                <ptCount val="3"/>
                <pt idx="0">
                  <v>20.2493808081604</v>
                </pt>
                <pt idx="0">
                  <v>1.89155323377681</v>
                </pt>
                <pt idx="0">
                  <v>20.2493808081604</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Comp!$B$67:$B$69</f>
            </multiLvlStrRef>
          </cat>
          <val>
            <numRef>
              <f>Comp!$X$51,Comp!$AB$51,Comp!$AF$51</f>
              <numCache>
                <formatCode>General</formatCode>
                <ptCount val="3"/>
                <pt idx="0">
                  <v>20.53461885924</v>
                </pt>
                <pt idx="0">
                  <v>26.7097310850456</v>
                </pt>
                <pt idx="0">
                  <v>20.53461885924</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32"/>
          <min val="-3"/>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000" b="0" i="0" u="none" strike="noStrike" baseline="0">
                <a:solidFill>
                  <a:sysClr val="windowText"/>
                </a:solidFill>
                <a:latin typeface="Arial"/>
              </a:defRPr>
            </a:pPr>
          </a:p>
        </txPr>
      </legendEntry>
      <legendEntry>
        <idx val="1"/>
        <txPr>
          <a:bodyPr/>
          <a:p>
            <a:pPr>
              <a:defRPr sz="1000" b="0" i="0" u="none" strike="noStrike" baseline="0">
                <a:solidFill>
                  <a:sysClr val="windowText"/>
                </a:solidFill>
                <a:latin typeface="Arial"/>
              </a:defRPr>
            </a:pPr>
          </a:p>
        </txPr>
      </legendEntry>
      <overlay val="0"/>
      <spPr>
        <a:ln w="9525">
          <a:noFill/>
        </a:ln>
      </spPr>
      <txPr>
        <a:bodyPr/>
        <a:p>
          <a:pPr>
            <a:defRPr sz="1000" b="0" i="0" u="none" strike="noStrike" baseline="0">
              <a:solidFill>
                <a:sysClr val="windowText"/>
              </a:solidFill>
              <a:latin typeface="Arial"/>
            </a:defRPr>
          </a:pPr>
        </a:p>
      </txPr>
    </legend>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38.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400" b="1" i="0" u="none" strike="noStrike" baseline="0">
                <a:solidFill>
                  <a:sysClr val="windowText"/>
                </a:solidFill>
                <a:latin typeface="Arial"/>
              </a:defRPr>
            </a:pPr>
            <a:r>
              <a:rPr sz="1400" b="1" i="0" u="none" strike="noStrike" baseline="0">
                <a:latin typeface="Arial" charset="0"/>
              </a:rPr>
              <a:t>Current Month Occupancy</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Week'!$X$14:$AF$14</f>
              <numCache>
                <formatCode>General</formatCode>
                <ptCount val="9"/>
                <pt idx="0">
                  <v>0</v>
                </pt>
                <pt idx="0">
                  <v>0</v>
                </pt>
                <pt idx="0">
                  <v>0</v>
                </pt>
                <pt idx="0">
                  <v>0</v>
                </pt>
                <pt idx="0">
                  <v>0</v>
                </pt>
                <pt idx="0">
                  <v>0</v>
                </pt>
                <pt idx="0">
                  <v>0</v>
                </pt>
                <pt idx="0">
                  <v>0</v>
                </pt>
                <pt idx="0">
                  <v>0</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Week'!$X$15:$AF$15</f>
              <numCache>
                <formatCode>General</formatCode>
                <ptCount val="9"/>
                <pt idx="0">
                  <v>0</v>
                </pt>
                <pt idx="0">
                  <v>0</v>
                </pt>
                <pt idx="0">
                  <v>0</v>
                </pt>
                <pt idx="0">
                  <v>0</v>
                </pt>
                <pt idx="0">
                  <v>0</v>
                </pt>
                <pt idx="0">
                  <v>0</v>
                </pt>
                <pt idx="0">
                  <v>0</v>
                </pt>
                <pt idx="0">
                  <v>0</v>
                </pt>
                <pt idx="0">
                  <v>0</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98"/>
          <min val="57"/>
        </scaling>
        <delete val="0"/>
        <axPos val="l"/>
        <majorGridlines>
          <spPr>
            <a:ln w="9525">
              <a:solidFill>
                <a:srgbClr val="A0A0A0"/>
              </a:solidFill>
              <a:prstDash val="sysDash"/>
            </a:ln>
          </spPr>
        </majorGridlines>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r"/>
      <legendEntry>
        <idx val="0"/>
        <txPr>
          <a:bodyPr/>
          <a:p>
            <a:pPr>
              <a:defRPr sz="1000" b="0" i="0" u="none" strike="noStrike" baseline="0">
                <a:solidFill>
                  <a:sysClr val="windowText"/>
                </a:solidFill>
                <a:latin typeface="Arial"/>
              </a:defRPr>
            </a:pPr>
          </a:p>
        </txPr>
      </legendEntry>
      <legendEntry>
        <idx val="1"/>
        <txPr>
          <a:bodyPr/>
          <a:p>
            <a:pPr>
              <a:defRPr sz="1000" b="0" i="0" u="none" strike="noStrike" baseline="0">
                <a:solidFill>
                  <a:sysClr val="windowText"/>
                </a:solidFill>
                <a:latin typeface="Arial"/>
              </a:defRPr>
            </a:pPr>
          </a:p>
        </txPr>
      </legendEntry>
      <overlay val="0"/>
      <spPr>
        <a:ln w="9525">
          <a:noFill/>
        </a:ln>
      </spPr>
      <txPr>
        <a:bodyPr/>
        <a:p>
          <a:pPr>
            <a:defRPr sz="1000" b="0" i="0" u="none" strike="noStrike" baseline="0">
              <a:solidFill>
                <a:sysClr val="windowText"/>
              </a:solidFill>
              <a:latin typeface="Arial"/>
            </a:defRPr>
          </a:pPr>
        </a:p>
      </txPr>
    </legend>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39.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400" b="1" i="0" u="none" strike="noStrike" baseline="0">
                <a:solidFill>
                  <a:sysClr val="windowText"/>
                </a:solidFill>
                <a:latin typeface="Arial"/>
              </a:defRPr>
            </a:pPr>
            <a:r>
              <a:rPr sz="1400" b="1" i="0" u="none" strike="noStrike" baseline="0">
                <a:latin typeface="Arial" charset="0"/>
              </a:rPr>
              <a:t>Current Month ADR</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Week'!$X$16:$AF$16</f>
              <numCache>
                <formatCode>General</formatCode>
                <ptCount val="9"/>
                <pt idx="0">
                  <v>0</v>
                </pt>
                <pt idx="0">
                  <v>0</v>
                </pt>
                <pt idx="0">
                  <v>0</v>
                </pt>
                <pt idx="0">
                  <v>0</v>
                </pt>
                <pt idx="0">
                  <v>0</v>
                </pt>
                <pt idx="0">
                  <v>0</v>
                </pt>
                <pt idx="0">
                  <v>0</v>
                </pt>
                <pt idx="0">
                  <v>0</v>
                </pt>
                <pt idx="0">
                  <v>0</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Week'!$X$17:$AF$17</f>
              <numCache>
                <formatCode>General</formatCode>
                <ptCount val="9"/>
                <pt idx="0">
                  <v>0</v>
                </pt>
                <pt idx="0">
                  <v>0</v>
                </pt>
                <pt idx="0">
                  <v>0</v>
                </pt>
                <pt idx="0">
                  <v>0</v>
                </pt>
                <pt idx="0">
                  <v>0</v>
                </pt>
                <pt idx="0">
                  <v>0</v>
                </pt>
                <pt idx="0">
                  <v>0</v>
                </pt>
                <pt idx="0">
                  <v>0</v>
                </pt>
                <pt idx="0">
                  <v>0</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451"/>
          <min val="211"/>
        </scaling>
        <delete val="0"/>
        <axPos val="l"/>
        <majorGridlines>
          <spPr>
            <a:ln w="9525">
              <a:solidFill>
                <a:srgbClr val="A0A0A0"/>
              </a:solidFill>
              <a:prstDash val="sysDash"/>
            </a:ln>
          </spPr>
        </majorGridlines>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40.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0" i="0" u="none" strike="noStrike" baseline="0">
                <a:solidFill>
                  <a:sysClr val="windowText"/>
                </a:solidFill>
                <a:latin typeface="Arial"/>
              </a:defRPr>
            </a:pPr>
            <a:r>
              <a:rPr sz="1800" b="0" i="0" u="none" strike="noStrike" baseline="0">
                <a:latin typeface="Arial" charset="0"/>
              </a:rPr>
              <a:t>Daily Indexes for the Month of December</a:t>
            </a:r>
          </a:p>
        </rich>
      </tx>
      <overlay val="0"/>
    </title>
    <plotArea>
      <lineChart>
        <grouping/>
        <ser>
          <idx val="0"/>
          <order val="0"/>
          <tx>
            <v>Occupancy Index (MPI)</v>
          </tx>
          <spPr>
            <a:ln w="38100">
              <a:solidFill>
                <a:srgbClr val="009CDE"/>
              </a:solidFill>
              <a:prstDash val="solid"/>
            </a:ln>
          </spPr>
          <marker>
            <symbol val="circle"/>
            <size val="6"/>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Month'!$C$28:$AG$28</f>
              <numCache>
                <formatCode>General</formatCode>
                <ptCount val="31"/>
                <pt idx="0">
                  <v>103.839484765879</v>
                </pt>
                <pt idx="0">
                  <v>108.883116883157</v>
                </pt>
                <pt idx="0">
                  <v>114.711786636123</v>
                </pt>
                <pt idx="0">
                  <v>145.454545454545</v>
                </pt>
                <pt idx="0">
                  <v>144.808080808081</v>
                </pt>
                <pt idx="0">
                  <v>137.736549165193</v>
                </pt>
                <pt idx="0">
                  <v>141.818181818182</v>
                </pt>
                <pt idx="0">
                  <v>128.71157619365</v>
                </pt>
                <pt idx="0">
                  <v>106.883531803616</v>
                </pt>
                <pt idx="0">
                  <v>109.316770186292</v>
                </pt>
                <pt idx="0">
                  <v>122.779122018726</v>
                </pt>
                <pt idx="0">
                  <v>142.103058232007</v>
                </pt>
                <pt idx="0">
                  <v>134.366082348068</v>
                </pt>
                <pt idx="0">
                  <v>135.938827527531</v>
                </pt>
                <pt idx="0">
                  <v>126.378539493227</v>
                </pt>
                <pt idx="0">
                  <v>102.857142857096</v>
                </pt>
                <pt idx="0">
                  <v>92.4803591470258</v>
                </pt>
                <pt idx="0">
                  <v>104.812834224648</v>
                </pt>
                <pt idx="0">
                  <v>96.2487326800052</v>
                </pt>
                <pt idx="0">
                  <v>126.378539493227</v>
                </pt>
                <pt idx="0">
                  <v>144.884135472371</v>
                </pt>
                <pt idx="0">
                  <v>125.238828967588</v>
                </pt>
                <pt idx="0">
                  <v>118.806384455181</v>
                </pt>
                <pt idx="0">
                  <v>119.377037305385</v>
                </pt>
                <pt idx="0">
                  <v>126.378539493227</v>
                </pt>
                <pt idx="0">
                  <v>127.422990232975</v>
                </pt>
                <pt idx="0">
                  <v>137.860533041256</v>
                </pt>
                <pt idx="0">
                  <v>133.377092221796</v>
                </pt>
                <pt idx="0">
                  <v>124.675324675325</v>
                </pt>
                <pt idx="0">
                  <v>110.77962285397</v>
                </pt>
                <pt idx="0">
                  <v>107.309405292154</v>
                </pt>
              </numCache>
            </numRef>
          </val>
          <smooth val="0"/>
        </ser>
        <ser>
          <idx val="1"/>
          <order val="1"/>
          <tx>
            <v>ADR Index (ARI)</v>
          </tx>
          <spPr>
            <a:ln w="38100">
              <a:solidFill>
                <a:srgbClr val="D22630"/>
              </a:solidFill>
              <a:prstDash val="solid"/>
            </a:ln>
          </spPr>
          <marker>
            <symbol val="diamond"/>
            <size val="6"/>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Month'!$C$38:$AG$38</f>
              <numCache>
                <formatCode>General</formatCode>
                <ptCount val="31"/>
                <pt idx="0">
                  <v>100.02290521944</v>
                </pt>
                <pt idx="0">
                  <v>97.637823049508</v>
                </pt>
                <pt idx="0">
                  <v>85.9657122926407</v>
                </pt>
                <pt idx="0">
                  <v>69.1543934417368</v>
                </pt>
                <pt idx="0">
                  <v>76.534798678951</v>
                </pt>
                <pt idx="0">
                  <v>69.7194317864873</v>
                </pt>
                <pt idx="0">
                  <v>75.0182826857518</v>
                </pt>
                <pt idx="0">
                  <v>89.928212936233</v>
                </pt>
                <pt idx="0">
                  <v>91.444019863463</v>
                </pt>
                <pt idx="0">
                  <v>92.9613701159587</v>
                </pt>
                <pt idx="0">
                  <v>72.3033658082338</v>
                </pt>
                <pt idx="0">
                  <v>70.2464101805639</v>
                </pt>
                <pt idx="0">
                  <v>69.5485264071026</v>
                </pt>
                <pt idx="0">
                  <v>83.9992678188774</v>
                </pt>
                <pt idx="0">
                  <v>79.7415549882283</v>
                </pt>
                <pt idx="0">
                  <v>81.9831012051983</v>
                </pt>
                <pt idx="0">
                  <v>91.0075960505496</v>
                </pt>
                <pt idx="0">
                  <v>82.4625079374729</v>
                </pt>
                <pt idx="0">
                  <v>76.6778573746502</v>
                </pt>
                <pt idx="0">
                  <v>74.4268550437885</v>
                </pt>
                <pt idx="0">
                  <v>73.7705993199017</v>
                </pt>
                <pt idx="0">
                  <v>85.0528424799593</v>
                </pt>
                <pt idx="0">
                  <v>78.376162900006</v>
                </pt>
                <pt idx="0">
                  <v>72.547957854977</v>
                </pt>
                <pt idx="0">
                  <v>72.1646128618063</v>
                </pt>
                <pt idx="0">
                  <v>71.4810797551717</v>
                </pt>
                <pt idx="0">
                  <v>67.5884410643262</v>
                </pt>
                <pt idx="0">
                  <v>69.6760433419785</v>
                </pt>
                <pt idx="0">
                  <v>81.4921078942949</v>
                </pt>
                <pt idx="0">
                  <v>97.0042100625286</v>
                </pt>
                <pt idx="0">
                  <v>108.136442783037</v>
                </pt>
              </numCache>
            </numRef>
          </val>
          <smooth val="0"/>
        </ser>
        <ser>
          <idx val="2"/>
          <order val="2"/>
          <tx>
            <v>RevPAR Index (RGI)</v>
          </tx>
          <spPr>
            <a:ln w="38100">
              <a:solidFill>
                <a:srgbClr val="84BD00"/>
              </a:solidFill>
              <a:prstDash val="lgDash"/>
            </a:ln>
          </spPr>
          <marker>
            <symbol val="square"/>
            <size val="6"/>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Month'!$C$48:$AG$48</f>
              <numCache>
                <formatCode>General</formatCode>
                <ptCount val="31"/>
                <pt idx="0">
                  <v>103.863269427762</v>
                </pt>
                <pt idx="0">
                  <v>106.311104993118</v>
                </pt>
                <pt idx="0">
                  <v>98.6128044653217</v>
                </pt>
                <pt idx="0">
                  <v>100.588208642503</v>
                </pt>
                <pt idx="0">
                  <v>110.828573117336</v>
                </pt>
                <pt idx="0">
                  <v>96.0291394401972</v>
                </pt>
                <pt idx="0">
                  <v>106.389564536157</v>
                </pt>
                <pt idx="0">
                  <v>115.748020312937</v>
                </pt>
                <pt idx="0">
                  <v>97.7385980533054</v>
                </pt>
                <pt idx="0">
                  <v>101.622367331761</v>
                </pt>
                <pt idx="0">
                  <v>88.7734377292908</v>
                </pt>
                <pt idx="0">
                  <v>99.8222971648232</v>
                </pt>
                <pt idx="0">
                  <v>93.4496302640707</v>
                </pt>
                <pt idx="0">
                  <v>114.187619804714</v>
                </pt>
                <pt idx="0">
                  <v>100.776212563367</v>
                </pt>
                <pt idx="0">
                  <v>84.3254755253417</v>
                </pt>
                <pt idx="0">
                  <v>84.1641516786337</v>
                </pt>
                <pt idx="0">
                  <v>86.4312917419358</v>
                </pt>
                <pt idx="0">
                  <v>73.8014659692625</v>
                </pt>
                <pt idx="0">
                  <v>94.0595723951401</v>
                </pt>
                <pt idx="0">
                  <v>106.881895057415</v>
                </pt>
                <pt idx="0">
                  <v>106.519183925594</v>
                </pt>
                <pt idx="0">
                  <v>93.1158854162506</v>
                </pt>
                <pt idx="0">
                  <v>86.6056027127849</v>
                </pt>
                <pt idx="0">
                  <v>91.2005837657396</v>
                </pt>
                <pt idx="0">
                  <v>91.0833292748075</v>
                </pt>
                <pt idx="0">
                  <v>93.1777851255505</v>
                </pt>
                <pt idx="0">
                  <v>92.9318805847706</v>
                </pt>
                <pt idx="0">
                  <v>101.600550101962</v>
                </pt>
                <pt idx="0">
                  <v>107.460898059704</v>
                </pt>
                <pt idx="0">
                  <v>116.040573654537</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Month'!$C$60:$AG$60</f>
              <numCache>
                <formatCode>General</formatCode>
                <ptCount val="31"/>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numFmt formatCode="General" sourceLinked="0"/>
        <majorTickMark val="none"/>
        <minorTickMark val="none"/>
        <spPr>
          <a:ln w="9525">
            <a:solidFill>
              <a:srgbClr val="A0A0A0"/>
            </a:solidFill>
            <a:prstDash val="solid"/>
          </a:ln>
        </spPr>
        <txPr>
          <a:bodyPr/>
          <a:p>
            <a:pPr>
              <a:defRPr sz="1200" b="0" i="0" u="none" strike="noStrike" baseline="0">
                <a:solidFill>
                  <a:sysClr val="windowText"/>
                </a:solidFill>
                <a:latin typeface="Arial"/>
              </a:defRPr>
            </a:pPr>
          </a:p>
        </txPr>
        <crossAx val="4"/>
      </catAx>
      <valAx>
        <axId val="4"/>
        <scaling>
          <orientation/>
          <max val="150"/>
          <min val="63"/>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200" b="0" i="0" u="none" strike="noStrike" baseline="0">
                <a:solidFill>
                  <a:sysClr val="windowText"/>
                </a:solidFill>
                <a:latin typeface="Arial"/>
              </a:defRPr>
            </a:pPr>
          </a:p>
        </txPr>
      </legendEntry>
      <legendEntry>
        <idx val="1"/>
        <txPr>
          <a:bodyPr/>
          <a:p>
            <a:pPr>
              <a:defRPr sz="1200" b="0" i="0" u="none" strike="noStrike" baseline="0">
                <a:solidFill>
                  <a:sysClr val="windowText"/>
                </a:solidFill>
                <a:latin typeface="Arial"/>
              </a:defRPr>
            </a:pPr>
          </a:p>
        </txPr>
      </legendEntry>
      <legendEntry>
        <idx val="2"/>
        <txPr>
          <a:bodyPr/>
          <a:p>
            <a:pPr>
              <a:defRPr sz="1200" b="0" i="0" u="none" strike="noStrike" baseline="0">
                <a:solidFill>
                  <a:sysClr val="windowText"/>
                </a:solidFill>
                <a:latin typeface="Arial"/>
              </a:defRPr>
            </a:pPr>
          </a:p>
        </txPr>
      </legendEntry>
      <legendEntry>
        <idx val="3"/>
        <txPr>
          <a:bodyPr/>
          <a:p>
            <a:pPr>
              <a:defRPr sz="1200" b="0" i="0" u="none" strike="noStrike" baseline="0">
                <a:solidFill>
                  <a:sysClr val="windowText"/>
                </a:solidFill>
                <a:latin typeface="Arial"/>
              </a:defRPr>
            </a:pPr>
          </a:p>
        </txPr>
      </legendEntry>
      <overlay val="0"/>
      <spPr>
        <a:ln w="9525">
          <a:noFill/>
        </a:ln>
      </spPr>
      <txPr>
        <a:bodyPr/>
        <a:p>
          <a:pPr>
            <a:defRPr sz="120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41.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Monthly Indexes</a:t>
            </a:r>
          </a:p>
        </rich>
      </tx>
      <overlay val="0"/>
    </title>
    <plotArea>
      <lineChart>
        <grouping/>
        <ser>
          <idx val="0"/>
          <order val="0"/>
          <tx>
            <v>Occupancy Index (MPI)</v>
          </tx>
          <spPr>
            <a:ln w="38100">
              <a:solidFill>
                <a:srgbClr val="009CDE"/>
              </a:solidFill>
              <a:prstDash val="solid"/>
            </a:ln>
          </spPr>
          <marker>
            <symbol val="circle"/>
            <size val="6"/>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'Comp_2'!$C$20:$T$20</f>
            </multiLvlStrRef>
          </cat>
          <val>
            <numRef>
              <f>'Comp_2'!$C$23:$T$23</f>
              <numCache>
                <formatCode>General</formatCode>
                <ptCount val="18"/>
                <pt idx="0">
                  <v>109.021719075356</v>
                </pt>
                <pt idx="0">
                  <v>109.660055371471</v>
                </pt>
                <pt idx="0">
                  <v>113.600375528177</v>
                </pt>
                <pt idx="0">
                  <v>122.19405395915</v>
                </pt>
                <pt idx="0">
                  <v>122.01843092859</v>
                </pt>
                <pt idx="0">
                  <v>127.699190496495</v>
                </pt>
                <pt idx="0">
                  <v>149.161322771389</v>
                </pt>
                <pt idx="0">
                  <v>123.317614906164</v>
                </pt>
                <pt idx="0">
                  <v>115.837316076934</v>
                </pt>
                <pt idx="0">
                  <v>108.326242511766</v>
                </pt>
                <pt idx="0">
                  <v>113.231291903983</v>
                </pt>
                <pt idx="0">
                  <v>109.496325860011</v>
                </pt>
                <pt idx="0">
                  <v>107.387130117908</v>
                </pt>
                <pt idx="0">
                  <v>103.083717658123</v>
                </pt>
                <pt idx="0">
                  <v>97.3491455083541</v>
                </pt>
                <pt idx="0">
                  <v>100.983188562963</v>
                </pt>
                <pt idx="0">
                  <v>103.164340057981</v>
                </pt>
                <pt idx="0">
                  <v>107.878643165199</v>
                </pt>
              </numCache>
            </numRef>
          </val>
          <smooth val="0"/>
        </ser>
        <ser>
          <idx val="1"/>
          <order val="1"/>
          <tx>
            <v>ADR Index (ARI)</v>
          </tx>
          <spPr>
            <a:ln w="38100">
              <a:solidFill>
                <a:srgbClr val="D22630"/>
              </a:solidFill>
              <a:prstDash val="solid"/>
            </a:ln>
          </spPr>
          <marker>
            <symbol val="diamond"/>
            <size val="6"/>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'Comp_2'!$C$20:$T$20</f>
            </multiLvlStrRef>
          </cat>
          <val>
            <numRef>
              <f>'Comp_2'!$C$35:$T$35</f>
              <numCache>
                <formatCode>General</formatCode>
                <ptCount val="18"/>
                <pt idx="0">
                  <v>109.576975101959</v>
                </pt>
                <pt idx="0">
                  <v>102.900315338301</v>
                </pt>
                <pt idx="0">
                  <v>98.2278897567852</v>
                </pt>
                <pt idx="0">
                  <v>93.6021226015854</v>
                </pt>
                <pt idx="0">
                  <v>96.3827901383831</v>
                </pt>
                <pt idx="0">
                  <v>96.5814408731939</v>
                </pt>
                <pt idx="0">
                  <v>83.800327973143</v>
                </pt>
                <pt idx="0">
                  <v>93.1722345372611</v>
                </pt>
                <pt idx="0">
                  <v>86.3130401972397</v>
                </pt>
                <pt idx="0">
                  <v>96.3586993877449</v>
                </pt>
                <pt idx="0">
                  <v>100.420015496471</v>
                </pt>
                <pt idx="0">
                  <v>93.3922564824863</v>
                </pt>
                <pt idx="0">
                  <v>105.20189599494</v>
                </pt>
                <pt idx="0">
                  <v>103.263121190372</v>
                </pt>
                <pt idx="0">
                  <v>98.829682431017</v>
                </pt>
                <pt idx="0">
                  <v>90.0962030676931</v>
                </pt>
                <pt idx="0">
                  <v>93.7394890879141</v>
                </pt>
                <pt idx="0">
                  <v>98.2349579746435</v>
                </pt>
              </numCache>
            </numRef>
          </val>
          <smooth val="0"/>
        </ser>
        <ser>
          <idx val="2"/>
          <order val="2"/>
          <tx>
            <v>RevPAR Index (RGI)</v>
          </tx>
          <spPr>
            <a:ln w="38100">
              <a:solidFill>
                <a:srgbClr val="84BD00"/>
              </a:solidFill>
              <a:prstDash val="lgDash"/>
            </a:ln>
          </spPr>
          <marker>
            <symbol val="square"/>
            <size val="6"/>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'Comp_2'!$C$20:$T$20</f>
            </multiLvlStrRef>
          </cat>
          <val>
            <numRef>
              <f>'Comp_2'!$C$47:$T$47</f>
              <numCache>
                <formatCode>General</formatCode>
                <ptCount val="18"/>
                <pt idx="0">
                  <v>119.462701966946</v>
                </pt>
                <pt idx="0">
                  <v>112.840542777453</v>
                </pt>
                <pt idx="0">
                  <v>111.587251636972</v>
                </pt>
                <pt idx="0">
                  <v>114.376228198747</v>
                </pt>
                <pt idx="0">
                  <v>117.604768212095</v>
                </pt>
                <pt idx="0">
                  <v>123.333718164831</v>
                </pt>
                <pt idx="0">
                  <v>124.997677691408</v>
                </pt>
                <pt idx="0">
                  <v>114.897777386136</v>
                </pt>
                <pt idx="0">
                  <v>99.9827091889522</v>
                </pt>
                <pt idx="0">
                  <v>104.381758379967</v>
                </pt>
                <pt idx="0">
                  <v>113.706880876819</v>
                </pt>
                <pt idx="0">
                  <v>102.261089486026</v>
                </pt>
                <pt idx="0">
                  <v>112.973296938626</v>
                </pt>
                <pt idx="0">
                  <v>106.447464292816</v>
                </pt>
                <pt idx="0">
                  <v>96.2098513551412</v>
                </pt>
                <pt idx="0">
                  <v>90.9820186318701</v>
                </pt>
                <pt idx="0">
                  <v>96.705725291316</v>
                </pt>
                <pt idx="0">
                  <v>105.974539776926</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'Comp_2'!$C$20:$T$20</f>
            </multiLvlStrRef>
          </cat>
          <val>
            <numRef>
              <f>'Comp_2'!$C$60:$T$60</f>
              <numCache>
                <formatCode>General</formatCode>
                <ptCount val="18"/>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a:p>
            <a:pPr>
              <a:defRPr sz="1200" b="0" i="0" u="none" strike="noStrike" baseline="0">
                <a:solidFill>
                  <a:sysClr val="windowText"/>
                </a:solidFill>
                <a:latin typeface="Arial"/>
              </a:defRPr>
            </a:pPr>
          </a:p>
        </txPr>
        <crossAx val="4"/>
      </catAx>
      <valAx>
        <axId val="4"/>
        <scaling>
          <orientation/>
          <max val="154"/>
          <min val="79"/>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200" b="0" i="0" u="none" strike="noStrike" baseline="0">
                <a:solidFill>
                  <a:sysClr val="windowText"/>
                </a:solidFill>
                <a:latin typeface="Arial"/>
              </a:defRPr>
            </a:pPr>
          </a:p>
        </txPr>
      </legendEntry>
      <legendEntry>
        <idx val="1"/>
        <txPr>
          <a:bodyPr/>
          <a:p>
            <a:pPr>
              <a:defRPr sz="1200" b="0" i="0" u="none" strike="noStrike" baseline="0">
                <a:solidFill>
                  <a:sysClr val="windowText"/>
                </a:solidFill>
                <a:latin typeface="Arial"/>
              </a:defRPr>
            </a:pPr>
          </a:p>
        </txPr>
      </legendEntry>
      <legendEntry>
        <idx val="2"/>
        <txPr>
          <a:bodyPr/>
          <a:p>
            <a:pPr>
              <a:defRPr sz="1200" b="0" i="0" u="none" strike="noStrike" baseline="0">
                <a:solidFill>
                  <a:sysClr val="windowText"/>
                </a:solidFill>
                <a:latin typeface="Arial"/>
              </a:defRPr>
            </a:pPr>
          </a:p>
        </txPr>
      </legendEntry>
      <legendEntry>
        <idx val="3"/>
        <txPr>
          <a:bodyPr/>
          <a:p>
            <a:pPr>
              <a:defRPr sz="1200" b="0" i="0" u="none" strike="noStrike" baseline="0">
                <a:solidFill>
                  <a:sysClr val="windowText"/>
                </a:solidFill>
                <a:latin typeface="Arial"/>
              </a:defRPr>
            </a:pPr>
          </a:p>
        </txPr>
      </legendEntry>
      <overlay val="0"/>
      <spPr>
        <a:ln w="9525">
          <a:noFill/>
        </a:ln>
      </spPr>
      <txPr>
        <a:bodyPr/>
        <a:p>
          <a:pPr>
            <a:defRPr sz="120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42.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RevPAR Percent Change</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'Comp_2'!$B$67:$B$69</f>
            </multiLvlStrRef>
          </cat>
          <val>
            <numRef>
              <f>'Comp_2'!$X$50,'Comp_2'!$AB$50,'Comp_2'!$AF$50</f>
              <numCache>
                <formatCode>General</formatCode>
                <ptCount val="3"/>
                <pt idx="0">
                  <v>20.2493808081604</v>
                </pt>
                <pt idx="0">
                  <v>1.89155323377681</v>
                </pt>
                <pt idx="0">
                  <v>20.2493808081604</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'Comp_2'!$B$67:$B$69</f>
            </multiLvlStrRef>
          </cat>
          <val>
            <numRef>
              <f>'Comp_2'!$X$51,'Comp_2'!$AB$51,'Comp_2'!$AF$51</f>
              <numCache>
                <formatCode>General</formatCode>
                <ptCount val="3"/>
                <pt idx="0">
                  <v>27.6989902312189</v>
                </pt>
                <pt idx="0">
                  <v>23.2923293301225</v>
                </pt>
                <pt idx="0">
                  <v>27.6989902312189</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33"/>
          <min val="-3"/>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000" b="0" i="0" u="none" strike="noStrike" baseline="0">
                <a:solidFill>
                  <a:sysClr val="windowText"/>
                </a:solidFill>
                <a:latin typeface="Arial"/>
              </a:defRPr>
            </a:pPr>
          </a:p>
        </txPr>
      </legendEntry>
      <legendEntry>
        <idx val="1"/>
        <txPr>
          <a:bodyPr/>
          <a:p>
            <a:pPr>
              <a:defRPr sz="1000" b="0" i="0" u="none" strike="noStrike" baseline="0">
                <a:solidFill>
                  <a:sysClr val="windowText"/>
                </a:solidFill>
                <a:latin typeface="Arial"/>
              </a:defRPr>
            </a:pPr>
          </a:p>
        </txPr>
      </legendEntry>
      <overlay val="0"/>
      <spPr>
        <a:ln w="9525">
          <a:noFill/>
        </a:ln>
      </spPr>
      <txPr>
        <a:bodyPr/>
        <a:p>
          <a:pPr>
            <a:defRPr sz="1000" b="0" i="0" u="none" strike="noStrike" baseline="0">
              <a:solidFill>
                <a:sysClr val="windowText"/>
              </a:solidFill>
              <a:latin typeface="Arial"/>
            </a:defRPr>
          </a:pPr>
        </a:p>
      </txPr>
    </legend>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43.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400" b="1" i="0" u="none" strike="noStrike" baseline="0">
                <a:solidFill>
                  <a:sysClr val="windowText"/>
                </a:solidFill>
                <a:latin typeface="Arial"/>
              </a:defRPr>
            </a:pPr>
            <a:r>
              <a:rPr sz="1400" b="1" i="0" u="none" strike="noStrike" baseline="0">
                <a:latin typeface="Arial" charset="0"/>
              </a:rPr>
              <a:t>Current Month Occupancy</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Week_2'!$X$13:$AF$13</f>
            </multiLvlStrRef>
          </cat>
          <val>
            <numRef>
              <f>'Day of Week_2'!$X$14:$AF$14</f>
              <numCache>
                <formatCode>General</formatCode>
                <ptCount val="9"/>
                <pt idx="0">
                  <v>0</v>
                </pt>
                <pt idx="0">
                  <v>0</v>
                </pt>
                <pt idx="0">
                  <v>0</v>
                </pt>
                <pt idx="0">
                  <v>0</v>
                </pt>
                <pt idx="0">
                  <v>0</v>
                </pt>
                <pt idx="0">
                  <v>0</v>
                </pt>
                <pt idx="0">
                  <v>0</v>
                </pt>
                <pt idx="0">
                  <v>0</v>
                </pt>
                <pt idx="0">
                  <v>0</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Week_2'!$X$13:$AF$13</f>
            </multiLvlStrRef>
          </cat>
          <val>
            <numRef>
              <f>'Day of Week_2'!$X$15:$AF$15</f>
              <numCache>
                <formatCode>General</formatCode>
                <ptCount val="9"/>
                <pt idx="0">
                  <v>0</v>
                </pt>
                <pt idx="0">
                  <v>0</v>
                </pt>
                <pt idx="0">
                  <v>0</v>
                </pt>
                <pt idx="0">
                  <v>0</v>
                </pt>
                <pt idx="0">
                  <v>0</v>
                </pt>
                <pt idx="0">
                  <v>0</v>
                </pt>
                <pt idx="0">
                  <v>0</v>
                </pt>
                <pt idx="0">
                  <v>0</v>
                </pt>
                <pt idx="0">
                  <v>0</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98"/>
          <min val="66"/>
        </scaling>
        <delete val="0"/>
        <axPos val="l"/>
        <majorGridlines>
          <spPr>
            <a:ln w="9525">
              <a:solidFill>
                <a:srgbClr val="A0A0A0"/>
              </a:solidFill>
              <a:prstDash val="sysDash"/>
            </a:ln>
          </spPr>
        </majorGridlines>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r"/>
      <legendEntry>
        <idx val="0"/>
        <txPr>
          <a:bodyPr/>
          <a:p>
            <a:pPr>
              <a:defRPr sz="1000" b="0" i="0" u="none" strike="noStrike" baseline="0">
                <a:solidFill>
                  <a:sysClr val="windowText"/>
                </a:solidFill>
                <a:latin typeface="Arial"/>
              </a:defRPr>
            </a:pPr>
          </a:p>
        </txPr>
      </legendEntry>
      <legendEntry>
        <idx val="1"/>
        <txPr>
          <a:bodyPr/>
          <a:p>
            <a:pPr>
              <a:defRPr sz="1000" b="0" i="0" u="none" strike="noStrike" baseline="0">
                <a:solidFill>
                  <a:sysClr val="windowText"/>
                </a:solidFill>
                <a:latin typeface="Arial"/>
              </a:defRPr>
            </a:pPr>
          </a:p>
        </txPr>
      </legendEntry>
      <overlay val="0"/>
      <spPr>
        <a:ln w="9525">
          <a:noFill/>
        </a:ln>
      </spPr>
      <txPr>
        <a:bodyPr/>
        <a:p>
          <a:pPr>
            <a:defRPr sz="1000" b="0" i="0" u="none" strike="noStrike" baseline="0">
              <a:solidFill>
                <a:sysClr val="windowText"/>
              </a:solidFill>
              <a:latin typeface="Arial"/>
            </a:defRPr>
          </a:pPr>
        </a:p>
      </txPr>
    </legend>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44.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400" b="1" i="0" u="none" strike="noStrike" baseline="0">
                <a:solidFill>
                  <a:sysClr val="windowText"/>
                </a:solidFill>
                <a:latin typeface="Arial"/>
              </a:defRPr>
            </a:pPr>
            <a:r>
              <a:rPr sz="1400" b="1" i="0" u="none" strike="noStrike" baseline="0">
                <a:latin typeface="Arial" charset="0"/>
              </a:rPr>
              <a:t>Current Month ADR</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Week_2'!$X$13:$AF$13</f>
            </multiLvlStrRef>
          </cat>
          <val>
            <numRef>
              <f>'Day of Week_2'!$X$16:$AF$16</f>
              <numCache>
                <formatCode>General</formatCode>
                <ptCount val="9"/>
                <pt idx="0">
                  <v>0</v>
                </pt>
                <pt idx="0">
                  <v>0</v>
                </pt>
                <pt idx="0">
                  <v>0</v>
                </pt>
                <pt idx="0">
                  <v>0</v>
                </pt>
                <pt idx="0">
                  <v>0</v>
                </pt>
                <pt idx="0">
                  <v>0</v>
                </pt>
                <pt idx="0">
                  <v>0</v>
                </pt>
                <pt idx="0">
                  <v>0</v>
                </pt>
                <pt idx="0">
                  <v>0</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Week_2'!$X$13:$AF$13</f>
            </multiLvlStrRef>
          </cat>
          <val>
            <numRef>
              <f>'Day of Week_2'!$X$17:$AF$17</f>
              <numCache>
                <formatCode>General</formatCode>
                <ptCount val="9"/>
                <pt idx="0">
                  <v>0</v>
                </pt>
                <pt idx="0">
                  <v>0</v>
                </pt>
                <pt idx="0">
                  <v>0</v>
                </pt>
                <pt idx="0">
                  <v>0</v>
                </pt>
                <pt idx="0">
                  <v>0</v>
                </pt>
                <pt idx="0">
                  <v>0</v>
                </pt>
                <pt idx="0">
                  <v>0</v>
                </pt>
                <pt idx="0">
                  <v>0</v>
                </pt>
                <pt idx="0">
                  <v>0</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435"/>
          <min val="211"/>
        </scaling>
        <delete val="0"/>
        <axPos val="l"/>
        <majorGridlines>
          <spPr>
            <a:ln w="9525">
              <a:solidFill>
                <a:srgbClr val="A0A0A0"/>
              </a:solidFill>
              <a:prstDash val="sysDash"/>
            </a:ln>
          </spPr>
        </majorGridlines>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4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0" i="0" u="none" strike="noStrike" baseline="0">
                <a:solidFill>
                  <a:sysClr val="windowText"/>
                </a:solidFill>
                <a:latin typeface="Arial"/>
              </a:defRPr>
            </a:pPr>
            <a:r>
              <a:rPr sz="1800" b="0" i="0" u="none" strike="noStrike" baseline="0">
                <a:latin typeface="Arial" charset="0"/>
              </a:rPr>
              <a:t>Daily Indexes for the Month of December</a:t>
            </a:r>
          </a:p>
        </rich>
      </tx>
      <overlay val="0"/>
    </title>
    <plotArea>
      <lineChart>
        <grouping/>
        <ser>
          <idx val="0"/>
          <order val="0"/>
          <tx>
            <v>Occupancy Index (MPI)</v>
          </tx>
          <spPr>
            <a:ln w="38100">
              <a:solidFill>
                <a:srgbClr val="009CDE"/>
              </a:solidFill>
              <a:prstDash val="solid"/>
            </a:ln>
          </spPr>
          <marker>
            <symbol val="circle"/>
            <size val="6"/>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Month_2'!$C$25:$AG$25</f>
            </multiLvlStrRef>
          </cat>
          <val>
            <numRef>
              <f>'Daily by Month_2'!$C$28:$AG$28</f>
              <numCache>
                <formatCode>General</formatCode>
                <ptCount val="31"/>
                <pt idx="0">
                  <v>103.153455739649</v>
                </pt>
                <pt idx="0">
                  <v>103.835462058604</v>
                </pt>
                <pt idx="0">
                  <v>107.81147809023</v>
                </pt>
                <pt idx="0">
                  <v>117.498189061899</v>
                </pt>
                <pt idx="0">
                  <v>110.512532734804</v>
                </pt>
                <pt idx="0">
                  <v>105.554597205432</v>
                </pt>
                <pt idx="0">
                  <v>115.923178061671</v>
                </pt>
                <pt idx="0">
                  <v>110.457099080642</v>
                </pt>
                <pt idx="0">
                  <v>101.003163503182</v>
                </pt>
                <pt idx="0">
                  <v>100.56325823224</v>
                </pt>
                <pt idx="0">
                  <v>109.300914691102</v>
                </pt>
                <pt idx="0">
                  <v>121.028138528091</v>
                </pt>
                <pt idx="0">
                  <v>120.765725716852</v>
                </pt>
                <pt idx="0">
                  <v>115.275349650329</v>
                </pt>
                <pt idx="0">
                  <v>116.319950072831</v>
                </pt>
                <pt idx="0">
                  <v>95.5231388329909</v>
                </pt>
                <pt idx="0">
                  <v>88.3598959180043</v>
                </pt>
                <pt idx="0">
                  <v>87.8419711129535</v>
                </pt>
                <pt idx="0">
                  <v>91.7839687194656</v>
                </pt>
                <pt idx="0">
                  <v>106.56565656561</v>
                </pt>
                <pt idx="0">
                  <v>122.78684017595</v>
                </pt>
                <pt idx="0">
                  <v>117.571955071981</v>
                </pt>
                <pt idx="0">
                  <v>109.639665889665</v>
                </pt>
                <pt idx="0">
                  <v>107.610417904583</v>
                </pt>
                <pt idx="0">
                  <v>114.486076986055</v>
                </pt>
                <pt idx="0">
                  <v>116.586738949151</v>
                </pt>
                <pt idx="0">
                  <v>119.632904093762</v>
                </pt>
                <pt idx="0">
                  <v>116.225711311584</v>
                </pt>
                <pt idx="0">
                  <v>110.4620242646</v>
                </pt>
                <pt idx="0">
                  <v>101.173397785728</v>
                </pt>
                <pt idx="0">
                  <v>99.9703879182387</v>
                </pt>
              </numCache>
            </numRef>
          </val>
          <smooth val="0"/>
        </ser>
        <ser>
          <idx val="1"/>
          <order val="1"/>
          <tx>
            <v>ADR Index (ARI)</v>
          </tx>
          <spPr>
            <a:ln w="38100">
              <a:solidFill>
                <a:srgbClr val="D22630"/>
              </a:solidFill>
              <a:prstDash val="solid"/>
            </a:ln>
          </spPr>
          <marker>
            <symbol val="diamond"/>
            <size val="6"/>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Month_2'!$C$25:$AG$25</f>
            </multiLvlStrRef>
          </cat>
          <val>
            <numRef>
              <f>'Daily by Month_2'!$C$38:$AG$38</f>
              <numCache>
                <formatCode>General</formatCode>
                <ptCount val="31"/>
                <pt idx="0">
                  <v>110.361631112523</v>
                </pt>
                <pt idx="0">
                  <v>102.902103099397</v>
                </pt>
                <pt idx="0">
                  <v>89.3940992270913</v>
                </pt>
                <pt idx="0">
                  <v>85.440729324907</v>
                </pt>
                <pt idx="0">
                  <v>74.4858512893335</v>
                </pt>
                <pt idx="0">
                  <v>69.6159111391523</v>
                </pt>
                <pt idx="0">
                  <v>68.1312170040084</v>
                </pt>
                <pt idx="0">
                  <v>87.0169892065908</v>
                </pt>
                <pt idx="0">
                  <v>100.249060000266</v>
                </pt>
                <pt idx="0">
                  <v>101.809175254725</v>
                </pt>
                <pt idx="0">
                  <v>79.2778583111088</v>
                </pt>
                <pt idx="0">
                  <v>78.4864078174541</v>
                </pt>
                <pt idx="0">
                  <v>78.7673771039905</v>
                </pt>
                <pt idx="0">
                  <v>98.6765911742817</v>
                </pt>
                <pt idx="0">
                  <v>94.0830800017388</v>
                </pt>
                <pt idx="0">
                  <v>95.917033678291</v>
                </pt>
                <pt idx="0">
                  <v>108.860315271488</v>
                </pt>
                <pt idx="0">
                  <v>91.0094631871073</v>
                </pt>
                <pt idx="0">
                  <v>97.5208572443747</v>
                </pt>
                <pt idx="0">
                  <v>85.5376915380114</v>
                </pt>
                <pt idx="0">
                  <v>94.8068248802217</v>
                </pt>
                <pt idx="0">
                  <v>110.152719359559</v>
                </pt>
                <pt idx="0">
                  <v>108.138261863221</v>
                </pt>
                <pt idx="0">
                  <v>100.814261869748</v>
                </pt>
                <pt idx="0">
                  <v>97.5205101958392</v>
                </pt>
                <pt idx="0">
                  <v>89.7315440084642</v>
                </pt>
                <pt idx="0">
                  <v>99.3233673302676</v>
                </pt>
                <pt idx="0">
                  <v>93.4161148835709</v>
                </pt>
                <pt idx="0">
                  <v>89.8277985465634</v>
                </pt>
                <pt idx="0">
                  <v>106.043534691507</v>
                </pt>
                <pt idx="0">
                  <v>117.909611749514</v>
                </pt>
              </numCache>
            </numRef>
          </val>
          <smooth val="0"/>
        </ser>
        <ser>
          <idx val="2"/>
          <order val="2"/>
          <tx>
            <v>RevPAR Index (RGI)</v>
          </tx>
          <spPr>
            <a:ln w="38100">
              <a:solidFill>
                <a:srgbClr val="84BD00"/>
              </a:solidFill>
              <a:prstDash val="lgDash"/>
            </a:ln>
          </spPr>
          <marker>
            <symbol val="square"/>
            <size val="6"/>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Month_2'!$C$25:$AG$25</f>
            </multiLvlStrRef>
          </cat>
          <val>
            <numRef>
              <f>'Daily by Month_2'!$C$48:$AG$48</f>
              <numCache>
                <formatCode>General</formatCode>
                <ptCount val="31"/>
                <pt idx="0">
                  <v>113.841836303215</v>
                </pt>
                <pt idx="0">
                  <v>106.848874221281</v>
                </pt>
                <pt idx="0">
                  <v>96.3770997021876</v>
                </pt>
                <pt idx="0">
                  <v>100.391309678097</v>
                </pt>
                <pt idx="0">
                  <v>82.3162007888764</v>
                </pt>
                <pt idx="0">
                  <v>73.4827945938489</v>
                </pt>
                <pt idx="0">
                  <v>78.9798720031154</v>
                </pt>
                <pt idx="0">
                  <v>96.1164419849575</v>
                </pt>
                <pt idx="0">
                  <v>101.254721982477</v>
                </pt>
                <pt idx="0">
                  <v>102.382623815489</v>
                </pt>
                <pt idx="0">
                  <v>86.6514242815217</v>
                </pt>
                <pt idx="0">
                  <v>94.9906383790844</v>
                </pt>
                <pt idx="0">
                  <v>95.1239945877583</v>
                </pt>
                <pt idx="0">
                  <v>113.749785499178</v>
                </pt>
                <pt idx="0">
                  <v>109.43739168499</v>
                </pt>
                <pt idx="0">
                  <v>91.6229612450064</v>
                </pt>
                <pt idx="0">
                  <v>96.1888612699153</v>
                </pt>
                <pt idx="0">
                  <v>79.9445063628958</v>
                </pt>
                <pt idx="0">
                  <v>89.5085131081251</v>
                </pt>
                <pt idx="0">
                  <v>91.1538025985936</v>
                </pt>
                <pt idx="0">
                  <v>116.410304541538</v>
                </pt>
                <pt idx="0">
                  <v>129.508705715944</v>
                </pt>
                <pt idx="0">
                  <v>118.562429005716</v>
                </pt>
                <pt idx="0">
                  <v>108.486648505393</v>
                </pt>
                <pt idx="0">
                  <v>111.64740638</v>
                </pt>
                <pt idx="0">
                  <v>104.615080968149</v>
                </pt>
                <pt idx="0">
                  <v>118.823428780951</v>
                </pt>
                <pt idx="0">
                  <v>108.573544003072</v>
                </pt>
                <pt idx="0">
                  <v>99.2256046268504</v>
                </pt>
                <pt idx="0">
                  <v>107.287847179502</v>
                </pt>
                <pt idx="0">
                  <v>117.874696258925</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Month_2'!$C$25:$AG$25</f>
            </multiLvlStrRef>
          </cat>
          <val>
            <numRef>
              <f>'Daily by Month_2'!$C$60:$AG$60</f>
              <numCache>
                <formatCode>General</formatCode>
                <ptCount val="31"/>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numFmt formatCode="General" sourceLinked="0"/>
        <majorTickMark val="none"/>
        <minorTickMark val="none"/>
        <spPr>
          <a:ln w="9525">
            <a:solidFill>
              <a:srgbClr val="A0A0A0"/>
            </a:solidFill>
            <a:prstDash val="solid"/>
          </a:ln>
        </spPr>
        <txPr>
          <a:bodyPr/>
          <a:p>
            <a:pPr>
              <a:defRPr sz="1200" b="0" i="0" u="none" strike="noStrike" baseline="0">
                <a:solidFill>
                  <a:sysClr val="windowText"/>
                </a:solidFill>
                <a:latin typeface="Arial"/>
              </a:defRPr>
            </a:pPr>
          </a:p>
        </txPr>
        <crossAx val="4"/>
      </catAx>
      <valAx>
        <axId val="4"/>
        <scaling>
          <orientation/>
          <max val="135"/>
          <min val="63"/>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200" b="0" i="0" u="none" strike="noStrike" baseline="0">
                <a:solidFill>
                  <a:sysClr val="windowText"/>
                </a:solidFill>
                <a:latin typeface="Arial"/>
              </a:defRPr>
            </a:pPr>
          </a:p>
        </txPr>
      </legendEntry>
      <legendEntry>
        <idx val="1"/>
        <txPr>
          <a:bodyPr/>
          <a:p>
            <a:pPr>
              <a:defRPr sz="1200" b="0" i="0" u="none" strike="noStrike" baseline="0">
                <a:solidFill>
                  <a:sysClr val="windowText"/>
                </a:solidFill>
                <a:latin typeface="Arial"/>
              </a:defRPr>
            </a:pPr>
          </a:p>
        </txPr>
      </legendEntry>
      <legendEntry>
        <idx val="2"/>
        <txPr>
          <a:bodyPr/>
          <a:p>
            <a:pPr>
              <a:defRPr sz="1200" b="0" i="0" u="none" strike="noStrike" baseline="0">
                <a:solidFill>
                  <a:sysClr val="windowText"/>
                </a:solidFill>
                <a:latin typeface="Arial"/>
              </a:defRPr>
            </a:pPr>
          </a:p>
        </txPr>
      </legendEntry>
      <legendEntry>
        <idx val="3"/>
        <txPr>
          <a:bodyPr/>
          <a:p>
            <a:pPr>
              <a:defRPr sz="1200" b="0" i="0" u="none" strike="noStrike" baseline="0">
                <a:solidFill>
                  <a:sysClr val="windowText"/>
                </a:solidFill>
                <a:latin typeface="Arial"/>
              </a:defRPr>
            </a:pPr>
          </a:p>
        </txPr>
      </legendEntry>
      <overlay val="0"/>
      <spPr>
        <a:ln w="9525">
          <a:noFill/>
        </a:ln>
      </spPr>
      <txPr>
        <a:bodyPr/>
        <a:p>
          <a:pPr>
            <a:defRPr sz="120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30.xml.rels><?xml version="1.0" encoding="utf-8" standalone="yes" ?>
<Relationships xmlns="http://schemas.openxmlformats.org/package/2006/relationships">
<Relationship Id="rId140" Type="http://schemas.openxmlformats.org/officeDocument/2006/relationships/chart" Target="/xl/charts/chart136.xml" />
<Relationship Id="rId141" Type="http://schemas.openxmlformats.org/officeDocument/2006/relationships/chart" Target="/xl/charts/chart137.xml" />
</Relationships>
</file>

<file path=xl/drawings/_rels/drawing82.xml.rels><?xml version="1.0" encoding="utf-8" standalone="yes" ?>
<Relationships xmlns="http://schemas.openxmlformats.org/package/2006/relationships">
<Relationship Id="rId145" Type="http://schemas.openxmlformats.org/officeDocument/2006/relationships/chart" Target="/xl/charts/chart141.xml" />
<Relationship Id="rId146" Type="http://schemas.openxmlformats.org/officeDocument/2006/relationships/chart" Target="/xl/charts/chart142.xml" />
</Relationships>
</file>

<file path=xl/drawings/_rels/drawing87.xml.rels><?xml version="1.0" encoding="utf-8" standalone="yes" ?>
<Relationships xmlns="http://schemas.openxmlformats.org/package/2006/relationships">
<Relationship Id="rId142" Type="http://schemas.openxmlformats.org/officeDocument/2006/relationships/chart" Target="/xl/charts/chart138.xml" />
<Relationship Id="rId143" Type="http://schemas.openxmlformats.org/officeDocument/2006/relationships/chart" Target="/xl/charts/chart139.xml" />
</Relationships>
</file>

<file path=xl/drawings/_rels/drawing90.xml.rels><?xml version="1.0" encoding="utf-8" standalone="yes" ?>
<Relationships xmlns="http://schemas.openxmlformats.org/package/2006/relationships">
<Relationship Id="rId147" Type="http://schemas.openxmlformats.org/officeDocument/2006/relationships/chart" Target="/xl/charts/chart143.xml" />
<Relationship Id="rId148" Type="http://schemas.openxmlformats.org/officeDocument/2006/relationships/chart" Target="/xl/charts/chart144.xml" />
</Relationships>
</file>

<file path=xl/drawings/_rels/drawing91.xml.rels><?xml version="1.0" encoding="utf-8" standalone="yes" ?>
<Relationships xmlns="http://schemas.openxmlformats.org/package/2006/relationships">
<Relationship Id="rId144" Type="http://schemas.openxmlformats.org/officeDocument/2006/relationships/chart" Target="/xl/charts/chart140.xml" />
</Relationships>
</file>

<file path=xl/drawings/_rels/drawing94.xml.rels><?xml version="1.0" encoding="utf-8" standalone="yes" ?>
<Relationships xmlns="http://schemas.openxmlformats.org/package/2006/relationships">
<Relationship Id="rId149" Type="http://schemas.openxmlformats.org/officeDocument/2006/relationships/chart" Target="/xl/charts/chart145.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19050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20225" y="581025"/>
          <a:ext cx="1038225" cy="10382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1895475</xdr:colOff>
      <xdr:row>1</xdr:row>
      <xdr:rowOff>838200</xdr:rowOff>
    </xdr:to>
    <xdr:pic>
      <xdr:nvPicPr>
        <xdr:cNvPr id="7185" name="Picture 1">
          <a:extLst>
            <a:ext uri="{FF2B5EF4-FFF2-40B4-BE49-F238E27FC236}">
              <a16:creationId xmlns:a16="http://schemas.microsoft.com/office/drawing/2014/main" id="{00000000-0008-0000-1900-0000111C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57900"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3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37109</xdr:colOff>
      <xdr:row>5</xdr:row>
      <xdr:rowOff>31686</xdr:rowOff>
    </xdr:from>
    <xdr:to>
      <xdr:col>19</xdr:col>
      <xdr:colOff>338988</xdr:colOff>
      <xdr:row>16</xdr:row>
      <xdr:rowOff>102171</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0"/>
        </a:graphicData>
      </a:graphic>
    </xdr:graphicFrame>
    <xdr:clientData/>
  </xdr:twoCellAnchor>
  <xdr:oneCellAnchor>
    <xdr:from>
      <xdr:col>20</xdr:col>
      <xdr:colOff>0</xdr:colOff>
      <xdr:row>4</xdr:row>
      <xdr:rowOff>0</xdr:rowOff>
    </xdr:from>
    <xdr:ext cx="6604000" cy="3810000"/>
    <xdr:graphicFrame>
      <xdr:nvGraphicFramePr>
        <xdr:cNvPr id="0" name="Chart 2"/>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1"/>
        </a:graphicData>
      </a:graphic>
    </xdr:graphicFrame>
    <xdr:clientData/>
  </xdr:oneCellAnchor>
</xdr:wsDr>
</file>

<file path=xl/drawings/drawing3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3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6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6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67.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7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7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7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7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79.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8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37109</xdr:colOff>
      <xdr:row>5</xdr:row>
      <xdr:rowOff>31686</xdr:rowOff>
    </xdr:from>
    <xdr:to>
      <xdr:col>19</xdr:col>
      <xdr:colOff>338988</xdr:colOff>
      <xdr:row>16</xdr:row>
      <xdr:rowOff>102171</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5"/>
        </a:graphicData>
      </a:graphic>
    </xdr:graphicFrame>
    <xdr:clientData/>
  </xdr:twoCellAnchor>
  <xdr:oneCellAnchor>
    <xdr:from>
      <xdr:col>20</xdr:col>
      <xdr:colOff>0</xdr:colOff>
      <xdr:row>4</xdr:row>
      <xdr:rowOff>0</xdr:rowOff>
    </xdr:from>
    <xdr:ext cx="6604000" cy="3810000"/>
    <xdr:graphicFrame>
      <xdr:nvGraphicFramePr>
        <xdr:cNvPr id="0" name="Chart 2"/>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6"/>
        </a:graphicData>
      </a:graphic>
    </xdr:graphicFrame>
    <xdr:clientData/>
  </xdr:oneCellAnchor>
</xdr:wsDr>
</file>

<file path=xl/drawings/drawing8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8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87.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xdr:col>
      <xdr:colOff>52375</xdr:colOff>
      <xdr:row>4</xdr:row>
      <xdr:rowOff>76581</xdr:rowOff>
    </xdr:from>
    <xdr:to>
      <xdr:col>11</xdr:col>
      <xdr:colOff>19990</xdr:colOff>
      <xdr:row>13</xdr:row>
      <xdr:rowOff>128651</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2"/>
        </a:graphicData>
      </a:graphic>
    </xdr:graphicFrame>
    <xdr:clientData/>
  </xdr:twoCellAnchor>
  <xdr:twoCellAnchor>
    <xdr:from>
      <xdr:col>11</xdr:col>
      <xdr:colOff>195199</xdr:colOff>
      <xdr:row>4</xdr:row>
      <xdr:rowOff>76581</xdr:rowOff>
    </xdr:from>
    <xdr:to>
      <xdr:col>20</xdr:col>
      <xdr:colOff>584834</xdr:colOff>
      <xdr:row>13</xdr:row>
      <xdr:rowOff>128651</xdr:rowOff>
    </xdr:to>
    <xdr:graphicFrame>
      <xdr:nvGraphicFramePr>
        <xdr:cNvPr id="0" name="Chart 2"/>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3"/>
        </a:graphicData>
      </a:graphic>
    </xdr:graphicFrame>
    <xdr:clientData/>
  </xdr:twoCellAnchor>
</xdr:wsDr>
</file>

<file path=xl/drawings/drawing9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xdr:col>
      <xdr:colOff>52375</xdr:colOff>
      <xdr:row>4</xdr:row>
      <xdr:rowOff>76581</xdr:rowOff>
    </xdr:from>
    <xdr:to>
      <xdr:col>11</xdr:col>
      <xdr:colOff>19990</xdr:colOff>
      <xdr:row>13</xdr:row>
      <xdr:rowOff>128651</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7"/>
        </a:graphicData>
      </a:graphic>
    </xdr:graphicFrame>
    <xdr:clientData/>
  </xdr:twoCellAnchor>
  <xdr:twoCellAnchor>
    <xdr:from>
      <xdr:col>11</xdr:col>
      <xdr:colOff>195199</xdr:colOff>
      <xdr:row>4</xdr:row>
      <xdr:rowOff>76581</xdr:rowOff>
    </xdr:from>
    <xdr:to>
      <xdr:col>20</xdr:col>
      <xdr:colOff>584834</xdr:colOff>
      <xdr:row>13</xdr:row>
      <xdr:rowOff>128651</xdr:rowOff>
    </xdr:to>
    <xdr:graphicFrame>
      <xdr:nvGraphicFramePr>
        <xdr:cNvPr id="0" name="Chart 2"/>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8"/>
        </a:graphicData>
      </a:graphic>
    </xdr:graphicFrame>
    <xdr:clientData/>
  </xdr:twoCellAnchor>
</xdr:wsDr>
</file>

<file path=xl/drawings/drawing9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xdr:col>
      <xdr:colOff>0</xdr:colOff>
      <xdr:row>4</xdr:row>
      <xdr:rowOff>0</xdr:rowOff>
    </xdr:from>
    <xdr:to>
      <xdr:col>33</xdr:col>
      <xdr:colOff>130175</xdr:colOff>
      <xdr:row>20</xdr:row>
      <xdr:rowOff>377825</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4"/>
        </a:graphicData>
      </a:graphic>
    </xdr:graphicFrame>
    <xdr:clientData/>
  </xdr:twoCellAnchor>
</xdr:wsDr>
</file>

<file path=xl/drawings/drawing9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xdr:col>
      <xdr:colOff>0</xdr:colOff>
      <xdr:row>4</xdr:row>
      <xdr:rowOff>0</xdr:rowOff>
    </xdr:from>
    <xdr:to>
      <xdr:col>33</xdr:col>
      <xdr:colOff>130175</xdr:colOff>
      <xdr:row>20</xdr:row>
      <xdr:rowOff>377825</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9"/>
        </a:graphicData>
      </a:graphic>
    </xdr:graphicFrame>
    <xdr:clientData/>
  </xdr:twoCellAnchor>
</xdr:wsDr>
</file>

<file path=xl/drawings/drawing97.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0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0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0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09.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1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1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1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2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2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2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2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29.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3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3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1" Type="http://schemas.openxmlformats.org/officeDocument/2006/relationships/printerSettings" Target="../printerSettings/printerSettings2.bin" />
<Relationship Id="rId76" Type="http://schemas.openxmlformats.org/officeDocument/2006/relationships/drawing" Target="../drawings/drawing72.xml" />
</Relationships>
</file>

<file path=xl/worksheets/_rels/sheet3.xml.rels><?xml version="1.0" encoding="utf-8" standalone="yes" ?>
<Relationships xmlns="http://schemas.openxmlformats.org/package/2006/relationships">
<Relationship Id="rId1" Type="http://schemas.openxmlformats.org/officeDocument/2006/relationships/printerSettings" Target="../printerSettings/printerSettings3.bin" />
<Relationship Id="rId80" Type="http://schemas.openxmlformats.org/officeDocument/2006/relationships/drawing" Target="../drawings/drawing76.xml" />
</Relationships>
</file>

<file path=xl/worksheets/_rels/sheet7.xml.rels><?xml version="1.0" encoding="utf-8" standalone="yes" ?>
<Relationships xmlns="http://schemas.openxmlformats.org/package/2006/relationships">
<Relationship Id="rId1" Type="http://schemas.openxmlformats.org/officeDocument/2006/relationships/printerSettings" Target="../printerSettings/printerSettings7.bin" />
<Relationship Id="rId91" Type="http://schemas.openxmlformats.org/officeDocument/2006/relationships/drawing" Target="../drawings/drawing87.xml" />
</Relationships>
</file>

<file path=xl/worksheets/_rels/sheet9.xml.rels><?xml version="1.0" encoding="utf-8" standalone="yes" ?>
<Relationships xmlns="http://schemas.openxmlformats.org/package/2006/relationships">
<Relationship Id="rId1" Type="http://schemas.openxmlformats.org/officeDocument/2006/relationships/printerSettings" Target="../printerSettings/printerSettings9.bin" />
<Relationship Id="rId95" Type="http://schemas.openxmlformats.org/officeDocument/2006/relationships/drawing" Target="../drawings/drawing91.xml" />
</Relationships>
</file>

<file path=xl/worksheets/_rels/sheet20.xml.rels><?xml version="1.0" encoding="utf-8" standalone="yes" ?>
<Relationships xmlns="http://schemas.openxmlformats.org/package/2006/relationships">
<Relationship Id="rId1" Type="http://schemas.openxmlformats.org/officeDocument/2006/relationships/printerSettings" Target="../printerSettings/printerSettings20.bin" />
<Relationship Id="rId129" Type="http://schemas.openxmlformats.org/officeDocument/2006/relationships/drawing" Target="../drawings/drawing125.xml" />
</Relationships>
</file>

<file path=xl/worksheets/_rels/sheet21.xml.rels><?xml version="1.0" encoding="utf-8" standalone="yes" ?>
<Relationships xmlns="http://schemas.openxmlformats.org/package/2006/relationships">
<Relationship Id="rId1" Type="http://schemas.openxmlformats.org/officeDocument/2006/relationships/printerSettings" Target="../printerSettings/printerSettings21.bin" />
<Relationship Id="rId133" Type="http://schemas.openxmlformats.org/officeDocument/2006/relationships/drawing" Target="../drawings/drawing129.xml" />
</Relationships>
</file>

<file path=xl/worksheets/_rels/sheet23.xml.rels><?xml version="1.0" encoding="utf-8" standalone="yes" ?>
<Relationships xmlns="http://schemas.openxmlformats.org/package/2006/relationships">
<Relationship Id="rId1" Type="http://schemas.openxmlformats.org/officeDocument/2006/relationships/printerSettings" Target="../printerSettings/printerSettings23.bin" />
<Relationship Id="rId87" Type="http://schemas.openxmlformats.org/officeDocument/2006/relationships/drawing" Target="../drawings/drawing83.xml" />
</Relationships>
</file>

<file path=xl/worksheets/_rels/sheet2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26.bin" />
<Relationship Id="rId150" Type="http://schemas.openxmlformats.org/officeDocument/2006/relationships/hyperlink" Target="http://www.str.com/data-insights/resources/glossary" TargetMode="External" />
<Relationship Id="rId151" Type="http://schemas.openxmlformats.org/officeDocument/2006/relationships/hyperlink" Target="http://www.hotelnewsnow.com/" TargetMode="External" />
<Relationship Id="rId152" Type="http://schemas.openxmlformats.org/officeDocument/2006/relationships/hyperlink" Target="http://www.hoteldataconference.com/" TargetMode="External" />
<Relationship Id="rId153" Type="http://schemas.openxmlformats.org/officeDocument/2006/relationships/hyperlink" Target="http://www.str.com/data-insights/resources/FAQ" TargetMode="External" />
<Relationship Id="rId154" Type="http://schemas.openxmlformats.org/officeDocument/2006/relationships/hyperlink" Target="https://str.com/contact" TargetMode="External" />
</Relationships>
</file>

<file path=xl/worksheets/_rels/sheet28.xml.rels><?xml version="1.0" encoding="utf-8" standalone="yes" ?>
<Relationships xmlns="http://schemas.openxmlformats.org/package/2006/relationships">
<Relationship Id="rId1" Type="http://schemas.openxmlformats.org/officeDocument/2006/relationships/printerSettings" Target="../printerSettings/printerSettings29.bin" />
<Relationship Id="rId31" Type="http://schemas.openxmlformats.org/officeDocument/2006/relationships/drawing" Target="../drawings/drawing30.xml" />
</Relationships>
</file>

<file path=xl/worksheets/_rels/sheet32.xml.rels><?xml version="1.0" encoding="utf-8" standalone="yes" ?>
<Relationships xmlns="http://schemas.openxmlformats.org/package/2006/relationships">
<Relationship Id="rId1" Type="http://schemas.openxmlformats.org/officeDocument/2006/relationships/printerSettings" Target="../printerSettings/printerSettings33.bin" />
<Relationship Id="rId35" Type="http://schemas.openxmlformats.org/officeDocument/2006/relationships/drawing" Target="../drawings/drawing34.xml" />
</Relationships>
</file>

<file path=xl/worksheets/_rels/sheet36.xml.rels><?xml version="1.0" encoding="utf-8" standalone="yes" ?>
<Relationships xmlns="http://schemas.openxmlformats.org/package/2006/relationships">
<Relationship Id="rId1" Type="http://schemas.openxmlformats.org/officeDocument/2006/relationships/printerSettings" Target="../printerSettings/printerSettings37.bin" />
<Relationship Id="rId39" Type="http://schemas.openxmlformats.org/officeDocument/2006/relationships/drawing" Target="../drawings/drawing38.xml" />
</Relationships>
</file>

<file path=xl/worksheets/_rels/sheet40.xml.rels><?xml version="1.0" encoding="utf-8" standalone="yes" ?>
<Relationships xmlns="http://schemas.openxmlformats.org/package/2006/relationships">
<Relationship Id="rId1" Type="http://schemas.openxmlformats.org/officeDocument/2006/relationships/printerSettings" Target="../printerSettings/printerSettings41.bin" />
<Relationship Id="rId43" Type="http://schemas.openxmlformats.org/officeDocument/2006/relationships/drawing" Target="../drawings/drawing42.xml" />
</Relationships>
</file>

<file path=xl/worksheets/_rels/sheet44.xml.rels><?xml version="1.0" encoding="utf-8" standalone="yes" ?>
<Relationships xmlns="http://schemas.openxmlformats.org/package/2006/relationships">
<Relationship Id="rId1" Type="http://schemas.openxmlformats.org/officeDocument/2006/relationships/printerSettings" Target="../printerSettings/printerSettings45.bin" />
<Relationship Id="rId47" Type="http://schemas.openxmlformats.org/officeDocument/2006/relationships/drawing" Target="../drawings/drawing46.xml" />
</Relationships>
</file>

<file path=xl/worksheets/_rels/sheet48.xml.rels><?xml version="1.0" encoding="utf-8" standalone="yes" ?>
<Relationships xmlns="http://schemas.openxmlformats.org/package/2006/relationships">
<Relationship Id="rId1" Type="http://schemas.openxmlformats.org/officeDocument/2006/relationships/printerSettings" Target="../printerSettings/printerSettings49.bin" />
<Relationship Id="rId51" Type="http://schemas.openxmlformats.org/officeDocument/2006/relationships/drawing" Target="../drawings/drawing50.xml" />
</Relationships>
</file>

<file path=xl/worksheets/_rels/sheet52.xml.rels><?xml version="1.0" encoding="utf-8" standalone="yes" ?>
<Relationships xmlns="http://schemas.openxmlformats.org/package/2006/relationships">
<Relationship Id="rId1" Type="http://schemas.openxmlformats.org/officeDocument/2006/relationships/printerSettings" Target="../printerSettings/printerSettings53.bin" />
<Relationship Id="rId55" Type="http://schemas.openxmlformats.org/officeDocument/2006/relationships/drawing" Target="../drawings/drawing54.xml" />
</Relationships>
</file>

<file path=xl/worksheets/_rels/sheet56.xml.rels><?xml version="1.0" encoding="utf-8" standalone="yes" ?>
<Relationships xmlns="http://schemas.openxmlformats.org/package/2006/relationships">
<Relationship Id="rId1" Type="http://schemas.openxmlformats.org/officeDocument/2006/relationships/printerSettings" Target="../printerSettings/printerSettings57.bin" />
<Relationship Id="rId59" Type="http://schemas.openxmlformats.org/officeDocument/2006/relationships/drawing" Target="../drawings/drawing58.xml" />
</Relationships>
</file>

<file path=xl/worksheets/_rels/sheet59.xml.rels><?xml version="1.0" encoding="utf-8" standalone="yes" ?>
<Relationships xmlns="http://schemas.openxmlformats.org/package/2006/relationships">
<Relationship Id="rId1" Type="http://schemas.openxmlformats.org/officeDocument/2006/relationships/printerSettings" Target="../printerSettings/printerSettings60.bin" />
<Relationship Id="rId59" Type="http://schemas.openxmlformats.org/officeDocument/2006/relationships/drawing" Target="../drawings/drawing61.xml" />
</Relationships>
</file>

<file path=xl/worksheets/_rels/sheet62.xml.rels><?xml version="1.0" encoding="utf-8" standalone="yes" ?>
<Relationships xmlns="http://schemas.openxmlformats.org/package/2006/relationships">
<Relationship Id="rId1" Type="http://schemas.openxmlformats.org/officeDocument/2006/relationships/printerSettings" Target="../printerSettings/printerSettings63.bin" />
<Relationship Id="rId59" Type="http://schemas.openxmlformats.org/officeDocument/2006/relationships/drawing" Target="../drawings/drawing64.xml" />
</Relationships>
</file>

<file path=xl/worksheets/_rels/sheet65.xml.rels><?xml version="1.0" encoding="utf-8" standalone="yes" ?>
<Relationships xmlns="http://schemas.openxmlformats.org/package/2006/relationships">
<Relationship Id="rId1" Type="http://schemas.openxmlformats.org/officeDocument/2006/relationships/printerSettings" Target="../printerSettings/printerSettings66.bin" />
<Relationship Id="rId59" Type="http://schemas.openxmlformats.org/officeDocument/2006/relationships/drawing" Target="../drawings/drawing67.xml" />
</Relationships>
</file>

<file path=xl/worksheets/_rels/sheet69.xml.rels><?xml version="1.0" encoding="utf-8" standalone="yes" ?>
<Relationships xmlns="http://schemas.openxmlformats.org/package/2006/relationships">
<Relationship Id="rId1" Type="http://schemas.openxmlformats.org/officeDocument/2006/relationships/printerSettings" Target="../printerSettings/printerSettings70.bin" />
<Relationship Id="rId72" Type="http://schemas.openxmlformats.org/officeDocument/2006/relationships/drawing" Target="../drawings/drawing71.xml" />
</Relationships>
</file>

<file path=xl/worksheets/_rels/sheet73.xml.rels><?xml version="1.0" encoding="utf-8" standalone="yes" ?>
<Relationships xmlns="http://schemas.openxmlformats.org/package/2006/relationships">
<Relationship Id="rId1" Type="http://schemas.openxmlformats.org/officeDocument/2006/relationships/printerSettings" Target="../printerSettings/printerSettings74.bin" />
<Relationship Id="rId76" Type="http://schemas.openxmlformats.org/officeDocument/2006/relationships/drawing" Target="../drawings/drawing75.xml" />
</Relationships>
</file>

<file path=xl/worksheets/_rels/sheet77.xml.rels><?xml version="1.0" encoding="utf-8" standalone="yes" ?>
<Relationships xmlns="http://schemas.openxmlformats.org/package/2006/relationships">
<Relationship Id="rId1" Type="http://schemas.openxmlformats.org/officeDocument/2006/relationships/printerSettings" Target="../printerSettings/printerSettings78.bin" />
<Relationship Id="rId80" Type="http://schemas.openxmlformats.org/officeDocument/2006/relationships/drawing" Target="../drawings/drawing79.xml" />
</Relationships>
</file>

<file path=xl/worksheets/_rels/sheet80.xml.rels><?xml version="1.0" encoding="utf-8" standalone="yes" ?>
<Relationships xmlns="http://schemas.openxmlformats.org/package/2006/relationships">
<Relationship Id="rId1" Type="http://schemas.openxmlformats.org/officeDocument/2006/relationships/printerSettings" Target="../printerSettings/printerSettings81.bin" />
<Relationship Id="rId31" Type="http://schemas.openxmlformats.org/officeDocument/2006/relationships/drawing" Target="../drawings/drawing82.xml" />
</Relationships>
</file>

<file path=xl/worksheets/_rels/sheet84.xml.rels><?xml version="1.0" encoding="utf-8" standalone="yes" ?>
<Relationships xmlns="http://schemas.openxmlformats.org/package/2006/relationships">
<Relationship Id="rId1" Type="http://schemas.openxmlformats.org/officeDocument/2006/relationships/printerSettings" Target="../printerSettings/printerSettings85.bin" />
<Relationship Id="rId87" Type="http://schemas.openxmlformats.org/officeDocument/2006/relationships/drawing" Target="../drawings/drawing86.xml" />
</Relationships>
</file>

<file path=xl/worksheets/_rels/sheet88.xml.rels><?xml version="1.0" encoding="utf-8" standalone="yes" ?>
<Relationships xmlns="http://schemas.openxmlformats.org/package/2006/relationships">
<Relationship Id="rId1" Type="http://schemas.openxmlformats.org/officeDocument/2006/relationships/printerSettings" Target="../printerSettings/printerSettings89.bin" />
<Relationship Id="rId91" Type="http://schemas.openxmlformats.org/officeDocument/2006/relationships/drawing" Target="../drawings/drawing90.xml" />
</Relationships>
</file>

<file path=xl/worksheets/_rels/sheet92.xml.rels><?xml version="1.0" encoding="utf-8" standalone="yes" ?>
<Relationships xmlns="http://schemas.openxmlformats.org/package/2006/relationships">
<Relationship Id="rId1" Type="http://schemas.openxmlformats.org/officeDocument/2006/relationships/printerSettings" Target="../printerSettings/printerSettings93.bin" />
<Relationship Id="rId95" Type="http://schemas.openxmlformats.org/officeDocument/2006/relationships/drawing" Target="../drawings/drawing94.xml" />
</Relationships>
</file>

<file path=xl/worksheets/_rels/sheet95.xml.rels><?xml version="1.0" encoding="utf-8" standalone="yes" ?>
<Relationships xmlns="http://schemas.openxmlformats.org/package/2006/relationships">
<Relationship Id="rId1" Type="http://schemas.openxmlformats.org/officeDocument/2006/relationships/printerSettings" Target="../printerSettings/printerSettings96.bin" />
<Relationship Id="rId35" Type="http://schemas.openxmlformats.org/officeDocument/2006/relationships/drawing" Target="../drawings/drawing97.xml" />
</Relationships>
</file>

<file path=xl/worksheets/_rels/sheet98.xml.rels><?xml version="1.0" encoding="utf-8" standalone="yes" ?>
<Relationships xmlns="http://schemas.openxmlformats.org/package/2006/relationships">
<Relationship Id="rId1" Type="http://schemas.openxmlformats.org/officeDocument/2006/relationships/printerSettings" Target="../printerSettings/printerSettings99.bin" />
<Relationship Id="rId39" Type="http://schemas.openxmlformats.org/officeDocument/2006/relationships/drawing" Target="../drawings/drawing100.xml" />
</Relationships>
</file>

<file path=xl/worksheets/_rels/sheet101.xml.rels><?xml version="1.0" encoding="utf-8" standalone="yes" ?>
<Relationships xmlns="http://schemas.openxmlformats.org/package/2006/relationships">
<Relationship Id="rId1" Type="http://schemas.openxmlformats.org/officeDocument/2006/relationships/printerSettings" Target="../printerSettings/printerSettings102.bin" />
<Relationship Id="rId43" Type="http://schemas.openxmlformats.org/officeDocument/2006/relationships/drawing" Target="../drawings/drawing103.xml" />
</Relationships>
</file>

<file path=xl/worksheets/_rels/sheet104.xml.rels><?xml version="1.0" encoding="utf-8" standalone="yes" ?>
<Relationships xmlns="http://schemas.openxmlformats.org/package/2006/relationships">
<Relationship Id="rId1" Type="http://schemas.openxmlformats.org/officeDocument/2006/relationships/printerSettings" Target="../printerSettings/printerSettings105.bin" />
<Relationship Id="rId47" Type="http://schemas.openxmlformats.org/officeDocument/2006/relationships/drawing" Target="../drawings/drawing106.xml" />
</Relationships>
</file>

<file path=xl/worksheets/_rels/sheet107.xml.rels><?xml version="1.0" encoding="utf-8" standalone="yes" ?>
<Relationships xmlns="http://schemas.openxmlformats.org/package/2006/relationships">
<Relationship Id="rId1" Type="http://schemas.openxmlformats.org/officeDocument/2006/relationships/printerSettings" Target="../printerSettings/printerSettings108.bin" />
<Relationship Id="rId51" Type="http://schemas.openxmlformats.org/officeDocument/2006/relationships/drawing" Target="../drawings/drawing109.xml" />
</Relationships>
</file>

<file path=xl/worksheets/_rels/sheet110.xml.rels><?xml version="1.0" encoding="utf-8" standalone="yes" ?>
<Relationships xmlns="http://schemas.openxmlformats.org/package/2006/relationships">
<Relationship Id="rId1" Type="http://schemas.openxmlformats.org/officeDocument/2006/relationships/printerSettings" Target="../printerSettings/printerSettings111.bin" />
<Relationship Id="rId55" Type="http://schemas.openxmlformats.org/officeDocument/2006/relationships/drawing" Target="../drawings/drawing112.xml" />
</Relationships>
</file>

<file path=xl/worksheets/_rels/sheet113.xml.rels><?xml version="1.0" encoding="utf-8" standalone="yes" ?>
<Relationships xmlns="http://schemas.openxmlformats.org/package/2006/relationships">
<Relationship Id="rId1" Type="http://schemas.openxmlformats.org/officeDocument/2006/relationships/printerSettings" Target="../printerSettings/printerSettings114.bin" />
<Relationship Id="rId59" Type="http://schemas.openxmlformats.org/officeDocument/2006/relationships/drawing" Target="../drawings/drawing115.xml" />
</Relationships>
</file>

<file path=xl/worksheets/_rels/sheet116.xml.rels><?xml version="1.0" encoding="utf-8" standalone="yes" ?>
<Relationships xmlns="http://schemas.openxmlformats.org/package/2006/relationships">
<Relationship Id="rId1" Type="http://schemas.openxmlformats.org/officeDocument/2006/relationships/printerSettings" Target="../printerSettings/printerSettings117.bin" />
<Relationship Id="rId59" Type="http://schemas.openxmlformats.org/officeDocument/2006/relationships/drawing" Target="../drawings/drawing118.xml" />
</Relationships>
</file>

<file path=xl/worksheets/_rels/sheet119.xml.rels><?xml version="1.0" encoding="utf-8" standalone="yes" ?>
<Relationships xmlns="http://schemas.openxmlformats.org/package/2006/relationships">
<Relationship Id="rId1" Type="http://schemas.openxmlformats.org/officeDocument/2006/relationships/printerSettings" Target="../printerSettings/printerSettings120.bin" />
<Relationship Id="rId59" Type="http://schemas.openxmlformats.org/officeDocument/2006/relationships/drawing" Target="../drawings/drawing121.xml" />
</Relationships>
</file>

<file path=xl/worksheets/_rels/sheet122.xml.rels><?xml version="1.0" encoding="utf-8" standalone="yes" ?>
<Relationships xmlns="http://schemas.openxmlformats.org/package/2006/relationships">
<Relationship Id="rId1" Type="http://schemas.openxmlformats.org/officeDocument/2006/relationships/printerSettings" Target="../printerSettings/printerSettings123.bin" />
<Relationship Id="rId59" Type="http://schemas.openxmlformats.org/officeDocument/2006/relationships/drawing" Target="../drawings/drawing124.xml" />
</Relationships>
</file>

<file path=xl/worksheets/_rels/sheet126.xml.rels><?xml version="1.0" encoding="utf-8" standalone="yes" ?>
<Relationships xmlns="http://schemas.openxmlformats.org/package/2006/relationships">
<Relationship Id="rId1" Type="http://schemas.openxmlformats.org/officeDocument/2006/relationships/printerSettings" Target="../printerSettings/printerSettings127.bin" />
<Relationship Id="rId129" Type="http://schemas.openxmlformats.org/officeDocument/2006/relationships/drawing" Target="../drawings/drawing128.xml" />
</Relationships>
</file>

<file path=xl/worksheets/_rels/sheet130.xml.rels><?xml version="1.0" encoding="utf-8" standalone="yes" ?>
<Relationships xmlns="http://schemas.openxmlformats.org/package/2006/relationships">
<Relationship Id="rId1" Type="http://schemas.openxmlformats.org/officeDocument/2006/relationships/printerSettings" Target="../printerSettings/printerSettings131.bin" />
<Relationship Id="rId133" Type="http://schemas.openxmlformats.org/officeDocument/2006/relationships/drawing" Target="../drawings/drawing132.xml" />
</Relationships>
</file>

<file path=xl/worksheets/_rels/sheet133.xml.rels><?xml version="1.0" encoding="utf-8" standalone="yes" ?>
<Relationships xmlns="http://schemas.openxmlformats.org/package/2006/relationships">
<Relationship Id="rId1" Type="http://schemas.openxmlformats.org/officeDocument/2006/relationships/printerSettings" Target="../printerSettings/printerSettings134.bin" />
<Relationship Id="rId72" Type="http://schemas.openxmlformats.org/officeDocument/2006/relationships/drawing" Target="../drawings/drawing135.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AA153"/>
  <sheetViews>
    <sheetView showGridLines="0" tabSelected="1" zoomScaleNormal="100" workbookViewId="0"/>
  </sheetViews>
  <sheetFormatPr defaultRowHeight="12.75"/>
  <cols>
    <col min="1" max="1" width="13.42578125" style="4" customWidth="1"/>
    <col min="2" max="2" width="57.5703125" style="4" customWidth="1"/>
    <col min="3" max="3" width="5.42578125" style="4" customWidth="1"/>
    <col min="4" max="4" width="1.85546875" style="234" customWidth="1"/>
    <col min="5" max="5" width="57.5703125" style="4" customWidth="1"/>
    <col min="6" max="6" width="5.42578125" style="4" customWidth="1"/>
    <col min="7" max="7" width="15.5703125" style="4" customWidth="1"/>
    <col min="8" max="8" width="4.140625" style="4" customWidth="1"/>
    <col min="9" max="13" width="7.140625" style="235" customWidth="1"/>
    <col min="14" max="14" width="1.42578125" style="235" customWidth="1"/>
    <col min="15" max="15" width="7.42578125" style="235" customWidth="1"/>
    <col min="16" max="27" width="9.140625" style="235" customWidth="1"/>
    <col min="28" max="16384" width="9.140625" style="4" customWidth="1"/>
  </cols>
  <sheetData>
    <row r="1" ht="45.75" customHeight="1">
      <c r="A1" s="594"/>
      <c r="B1" s="595"/>
      <c r="C1" s="595"/>
      <c r="D1" s="596"/>
      <c r="E1" s="595"/>
      <c r="F1" s="595"/>
      <c r="G1" s="595"/>
      <c r="H1" s="597"/>
      <c r="O1" s="235"/>
    </row>
    <row r="2" ht="24.75" customHeight="1">
      <c r="A2" s="595"/>
      <c r="B2" s="637" t="s">
        <v>205</v>
      </c>
      <c r="C2" s="605"/>
      <c r="D2" s="604"/>
      <c r="E2" s="604"/>
      <c r="F2" s="605"/>
      <c r="G2" s="598"/>
      <c r="H2" s="599"/>
    </row>
    <row r="3" ht="25.5" customHeight="1">
      <c r="A3" s="595"/>
      <c r="B3" s="638" t="s">
        <v>204</v>
      </c>
      <c r="C3" s="607"/>
      <c r="D3" s="606"/>
      <c r="E3" s="606"/>
      <c r="F3" s="607"/>
      <c r="G3" s="598"/>
      <c r="H3" s="599"/>
    </row>
    <row r="4" ht="15" customHeight="1">
      <c r="A4" s="595"/>
      <c r="B4" s="695" t="s">
        <v>206</v>
      </c>
      <c r="C4" s="695"/>
      <c r="D4" s="695"/>
      <c r="E4" s="695"/>
      <c r="F4" s="608"/>
      <c r="G4" s="598"/>
      <c r="H4" s="599"/>
    </row>
    <row r="5" ht="15" customHeight="1">
      <c r="A5" s="595"/>
      <c r="B5" s="695" t="s">
        <v>207</v>
      </c>
      <c r="C5" s="695"/>
      <c r="D5" s="695"/>
      <c r="E5" s="695"/>
      <c r="F5" s="608"/>
      <c r="G5" s="598"/>
      <c r="H5" s="599"/>
    </row>
    <row r="6" ht="15" customHeight="1">
      <c r="A6" s="595"/>
      <c r="B6" s="609"/>
      <c r="C6" s="610"/>
      <c r="D6" s="609"/>
      <c r="E6" s="609"/>
      <c r="F6" s="610"/>
      <c r="G6" s="598"/>
      <c r="H6" s="599"/>
    </row>
    <row r="7" ht="15.75" customHeight="1">
      <c r="A7" s="595"/>
      <c r="B7" s="639" t="s">
        <v>108</v>
      </c>
      <c r="C7" s="605">
        <v>1</v>
      </c>
      <c r="D7" s="639"/>
      <c r="E7" s="639" t="str">
        <f>HYPERLINK("#'Glance_2'!A1", "Monthly Performance at a Glance - 2nd Comp")</f>
      </c>
      <c r="F7" s="605" t="str">
        <f>HYPERLINK("#'Glance_2'!A1", "21")</f>
      </c>
      <c r="G7" s="598"/>
      <c r="H7" s="599"/>
    </row>
    <row r="8" ht="15.75" customHeight="1">
      <c r="A8" s="595"/>
      <c r="B8" s="639" t="str">
        <f>HYPERLINK("#'Glance'!A1", "Monthly Performance at a Glance")</f>
      </c>
      <c r="C8" s="605" t="str">
        <f>HYPERLINK("#'Glance'!A1", "2")</f>
      </c>
      <c r="D8" s="639"/>
      <c r="E8" s="639" t="str">
        <f>HYPERLINK("#'Summary_2'!A1", "STAR Summary - 2nd Comp")</f>
      </c>
      <c r="F8" s="605" t="str">
        <f>HYPERLINK("#'Summary_2'!A1", "22")</f>
      </c>
      <c r="G8" s="598"/>
      <c r="H8" s="599"/>
    </row>
    <row r="9" ht="15.75" customHeight="1">
      <c r="A9" s="595"/>
      <c r="B9" s="639" t="str">
        <f>HYPERLINK("#'Summary'!A1", "STAR Summary")</f>
      </c>
      <c r="C9" s="605" t="str">
        <f>HYPERLINK("#'Summary'!A1", "3")</f>
      </c>
      <c r="D9" s="639"/>
      <c r="E9" s="639" t="str">
        <f>HYPERLINK("#'Comp_2'!A1", "Competitive Set Report - 2nd Comp")</f>
      </c>
      <c r="F9" s="605" t="str">
        <f>HYPERLINK("#'Comp_2'!A1", "23")</f>
      </c>
      <c r="G9" s="595"/>
      <c r="H9" s="595"/>
    </row>
    <row r="10" ht="15.75" customHeight="1">
      <c r="A10" s="595"/>
      <c r="B10" s="639" t="str">
        <f>HYPERLINK("#'Comp'!A1", "Competitive Set Report")</f>
      </c>
      <c r="C10" s="605" t="str">
        <f>HYPERLINK("#'Comp'!A1", "4")</f>
      </c>
      <c r="D10" s="639"/>
      <c r="E10" s="639" t="str">
        <f>HYPERLINK("#'Response_2'!A1", "Response Report - 2nd Comp")</f>
      </c>
      <c r="F10" s="605" t="str">
        <f>HYPERLINK("#'Response_2'!A1", "24")</f>
      </c>
      <c r="G10" s="595"/>
      <c r="H10" s="595"/>
    </row>
    <row r="11" ht="15.75" customHeight="1">
      <c r="A11" s="600"/>
      <c r="B11" s="639" t="str">
        <f>HYPERLINK("#'Response'!A1", "Response Report")</f>
      </c>
      <c r="C11" s="605" t="str">
        <f>HYPERLINK("#'Response'!A1", "5")</f>
      </c>
      <c r="D11" s="639"/>
      <c r="E11" s="639" t="str">
        <f>HYPERLINK("#'Day of Week_2'!A1", "Day of Week &amp; Weekday/Weekend - 2nd Comp")</f>
      </c>
      <c r="F11" s="605" t="str">
        <f>HYPERLINK("#'Day of Week_2'!A1", "25")</f>
      </c>
      <c r="G11" s="595"/>
      <c r="H11" s="595"/>
    </row>
    <row r="12" ht="15.75" customHeight="1">
      <c r="A12" s="595"/>
      <c r="B12" s="639" t="str">
        <f>HYPERLINK("#'Day of Week'!A1", "Day of Week &amp; Weekday/Weekend")</f>
      </c>
      <c r="C12" s="605" t="str">
        <f>HYPERLINK("#'Day of Week'!A1", "6")</f>
      </c>
      <c r="D12" s="639"/>
      <c r="E12" s="639" t="str">
        <f>HYPERLINK("#'Daily by Month_2'!A1", "Daily Data for the Month - 2nd Comp")</f>
      </c>
      <c r="F12" s="605" t="str">
        <f>HYPERLINK("#'Daily by Month_2'!A1", "26")</f>
      </c>
      <c r="G12" s="595"/>
      <c r="H12" s="595"/>
    </row>
    <row r="13" ht="15.75" customHeight="1">
      <c r="A13" s="595"/>
      <c r="B13" s="639" t="str">
        <f>HYPERLINK("#'Daily by Month'!A1", "Daily Data for the Month")</f>
      </c>
      <c r="C13" s="605" t="str">
        <f>HYPERLINK("#'Daily by Month'!A1", "7")</f>
      </c>
      <c r="D13" s="639"/>
      <c r="E13" s="639" t="str">
        <f>HYPERLINK("#'Segmentation Glance_2'!A1", "Segmentation at a Glance - 2nd Comp")</f>
      </c>
      <c r="F13" s="605" t="str">
        <f>HYPERLINK("#'Segmentation Glance_2'!A1", "27")</f>
      </c>
      <c r="G13" s="595"/>
      <c r="H13" s="595"/>
    </row>
    <row r="14" ht="15.75" customHeight="1">
      <c r="A14" s="595"/>
      <c r="B14" s="639" t="str">
        <f>HYPERLINK("#'Segmentation Glance'!A1", "Segmentation at a Glance")</f>
      </c>
      <c r="C14" s="605" t="str">
        <f>HYPERLINK("#'Segmentation Glance'!A1", "8")</f>
      </c>
      <c r="D14" s="639"/>
      <c r="E14" s="639" t="str">
        <f>HYPERLINK("#'Segmentation Occ_2'!A1", "Segmentation Occupancy Analysis - 2nd Comp")</f>
      </c>
      <c r="F14" s="605" t="str">
        <f>HYPERLINK("#'Segmentation Occ_2'!A1", "28")</f>
      </c>
      <c r="G14" s="595"/>
      <c r="H14" s="595"/>
    </row>
    <row r="15" ht="15.75" customHeight="1">
      <c r="A15" s="595"/>
      <c r="B15" s="639" t="str">
        <f>HYPERLINK("#'Segmentation Occ'!A1", "Segmentation Occupancy Analysis")</f>
      </c>
      <c r="C15" s="605" t="str">
        <f>HYPERLINK("#'Segmentation Occ'!A1", "9")</f>
      </c>
      <c r="D15" s="639"/>
      <c r="E15" s="639" t="str">
        <f>HYPERLINK("#'Segmentation ADR_2'!A1", "Segmentation ADR Analysis - 2nd Comp")</f>
      </c>
      <c r="F15" s="605" t="str">
        <f>HYPERLINK("#'Segmentation ADR_2'!A1", "29")</f>
      </c>
      <c r="G15" s="595"/>
      <c r="H15" s="595"/>
    </row>
    <row r="16" ht="15.75" customHeight="1">
      <c r="A16" s="595"/>
      <c r="B16" s="639" t="str">
        <f>HYPERLINK("#'Segmentation ADR'!A1", "Segmentation ADR Analysis")</f>
      </c>
      <c r="C16" s="605" t="str">
        <f>HYPERLINK("#'Segmentation ADR'!A1", "10")</f>
      </c>
      <c r="D16" s="639"/>
      <c r="E16" s="639" t="str">
        <f>HYPERLINK("#'Segmentation RevPAR_2'!A1", "Segmentation RevPAR Analysis - 2nd Comp")</f>
      </c>
      <c r="F16" s="605" t="str">
        <f>HYPERLINK("#'Segmentation RevPAR_2'!A1", "30")</f>
      </c>
      <c r="G16" s="595"/>
      <c r="H16" s="595"/>
    </row>
    <row r="17" ht="15.75" customHeight="1">
      <c r="A17" s="595"/>
      <c r="B17" s="639" t="str">
        <f>HYPERLINK("#'Segmentation RevPAR'!A1", "Segmentation RevPAR Analysis")</f>
      </c>
      <c r="C17" s="605" t="str">
        <f>HYPERLINK("#'Segmentation RevPAR'!A1", "11")</f>
      </c>
      <c r="D17" s="639"/>
      <c r="E17" s="639" t="str">
        <f>HYPERLINK("#'Segmentation Indexes_2'!A1", "Segmentation Index Analysis - 2nd Comp")</f>
      </c>
      <c r="F17" s="605" t="str">
        <f>HYPERLINK("#'Segmentation Indexes_2'!A1", "31")</f>
      </c>
      <c r="G17" s="595"/>
      <c r="H17" s="595"/>
    </row>
    <row r="18" ht="15.75" customHeight="1">
      <c r="A18" s="595"/>
      <c r="B18" s="639" t="str">
        <f>HYPERLINK("#'Segmentation Indexes'!A1", "Segmentation Index Analysis")</f>
      </c>
      <c r="C18" s="605" t="str">
        <f>HYPERLINK("#'Segmentation Indexes'!A1", "12")</f>
      </c>
      <c r="D18" s="639"/>
      <c r="E18" s="639" t="str">
        <f>HYPERLINK("#'Segmentation Ranking_2'!A1", "Segmentation Ranking Analysis - 2nd Comp")</f>
      </c>
      <c r="F18" s="605" t="str">
        <f>HYPERLINK("#'Segmentation Ranking_2'!A1", "32")</f>
      </c>
      <c r="G18" s="595"/>
      <c r="H18" s="595"/>
    </row>
    <row r="19" ht="15.75" customHeight="1">
      <c r="A19" s="595"/>
      <c r="B19" s="639" t="str">
        <f>HYPERLINK("#'Segmentation Ranking'!A1", "Segmentation Ranking Analysis")</f>
      </c>
      <c r="C19" s="605" t="str">
        <f>HYPERLINK("#'Segmentation Ranking'!A1", "13")</f>
      </c>
      <c r="D19" s="639"/>
      <c r="E19" s="639" t="str">
        <f>HYPERLINK("#'Segmentation DOW Month_2'!A1", "Segmentation Day Of Week - Current Month - 2nd Comp")</f>
      </c>
      <c r="F19" s="605" t="str">
        <f>HYPERLINK("#'Segmentation DOW Month_2'!A1", "33")</f>
      </c>
      <c r="G19" s="595"/>
      <c r="H19" s="595"/>
    </row>
    <row r="20" ht="15.75" customHeight="1">
      <c r="A20" s="595"/>
      <c r="B20" s="639" t="str">
        <f>HYPERLINK("#'Segmentation DOW Month'!A1", "Segmentation Day Of Week - Current Month")</f>
      </c>
      <c r="C20" s="605" t="str">
        <f>HYPERLINK("#'Segmentation DOW Month'!A1", "14")</f>
      </c>
      <c r="D20" s="639"/>
      <c r="E20" s="639" t="str">
        <f>HYPERLINK("#'Segmentation DOW YTD_2'!A1", "Segmentation Day Of Week - Year to Date - 2nd Comp")</f>
      </c>
      <c r="F20" s="605" t="str">
        <f>HYPERLINK("#'Segmentation DOW YTD_2'!A1", "34")</f>
      </c>
      <c r="G20" s="595"/>
      <c r="H20" s="595"/>
    </row>
    <row r="21" ht="15.75" customHeight="1">
      <c r="A21" s="595"/>
      <c r="B21" s="639" t="str">
        <f>HYPERLINK("#'Segmentation DOW YTD'!A1", "Segmentation Day Of Week - Year to Date")</f>
      </c>
      <c r="C21" s="605" t="str">
        <f>HYPERLINK("#'Segmentation DOW YTD'!A1", "15")</f>
      </c>
      <c r="D21" s="639"/>
      <c r="E21" s="639" t="str">
        <f>HYPERLINK("#'Segmentation DOW Run 3_2'!A1", "Segmentation Day Of Week - Running 3 Month - 2nd Comp")</f>
      </c>
      <c r="F21" s="605" t="str">
        <f>HYPERLINK("#'Segmentation DOW Run 3_2'!A1", "35")</f>
      </c>
      <c r="G21" s="595"/>
      <c r="H21" s="595"/>
    </row>
    <row r="22" ht="15.75" customHeight="1">
      <c r="A22" s="595"/>
      <c r="B22" s="639" t="str">
        <f>HYPERLINK("#'Segmentation DOW Run 3'!A1", "Segmentation Day Of Week - Running 3 Month")</f>
      </c>
      <c r="C22" s="605" t="str">
        <f>HYPERLINK("#'Segmentation DOW Run 3'!A1", "16")</f>
      </c>
      <c r="D22" s="639"/>
      <c r="E22" s="639" t="str">
        <f>HYPERLINK("#'Segmentation DOW Run 12_2'!A1", "Segmentation Day Of Week - Running 12 Month - 2nd Comp")</f>
      </c>
      <c r="F22" s="605" t="str">
        <f>HYPERLINK("#'Segmentation DOW Run 12_2'!A1", "36")</f>
      </c>
      <c r="G22" s="595"/>
      <c r="H22" s="595"/>
    </row>
    <row r="23" ht="15.75" customHeight="1">
      <c r="A23" s="595"/>
      <c r="B23" s="639" t="str">
        <f>HYPERLINK("#'Segmentation DOW Run 12'!A1", "Segmentation Day Of Week - Running 12 Month")</f>
      </c>
      <c r="C23" s="605" t="str">
        <f>HYPERLINK("#'Segmentation DOW Run 12'!A1", "17")</f>
      </c>
      <c r="D23" s="639"/>
      <c r="E23" s="639" t="str">
        <f>HYPERLINK("#'Add Rev ADR_2'!A1", "Additional Revenue ADR Analysis (TrevPOR) - 2nd Comp")</f>
      </c>
      <c r="F23" s="605" t="str">
        <f>HYPERLINK("#'Add Rev ADR_2'!A1", "37")</f>
      </c>
      <c r="G23" s="595"/>
      <c r="H23" s="595"/>
    </row>
    <row r="24" ht="15.75" customHeight="1">
      <c r="A24" s="595"/>
      <c r="B24" s="639" t="str">
        <f>HYPERLINK("#'Add Rev ADR'!A1", "Additional Revenue ADR Analysis (TrevPOR)")</f>
      </c>
      <c r="C24" s="605" t="str">
        <f>HYPERLINK("#'Add Rev ADR'!A1", "18")</f>
      </c>
      <c r="D24" s="639"/>
      <c r="E24" s="639" t="str">
        <f>HYPERLINK("#'Add Rev RevPAR_2'!A1", "Additional Revenue RevPAR Analysis (TrevPAR) - 2nd Comp")</f>
      </c>
      <c r="F24" s="605" t="str">
        <f>HYPERLINK("#'Add Rev RevPAR_2'!A1", "38")</f>
      </c>
      <c r="G24" s="595"/>
      <c r="H24" s="595"/>
    </row>
    <row r="25" ht="15.75" customHeight="1">
      <c r="A25" s="595"/>
      <c r="B25" s="639" t="str">
        <f>HYPERLINK("#'Add Rev RevPAR'!A1", "Additional Revenue RevPAR Analysis (TrevPAR)")</f>
      </c>
      <c r="C25" s="605" t="str">
        <f>HYPERLINK("#'Add Rev RevPAR'!A1", "19")</f>
      </c>
      <c r="D25" s="639"/>
      <c r="E25" s="639" t="str">
        <f>HYPERLINK("#'Segmentation Response_2'!A1", "Segmentation Response Report - 2nd Comp")</f>
      </c>
      <c r="F25" s="605" t="str">
        <f>HYPERLINK("#'Segmentation Response_2'!A1", "39")</f>
      </c>
      <c r="G25" s="595"/>
      <c r="H25" s="595"/>
    </row>
    <row r="26" ht="15.75" customHeight="1">
      <c r="A26" s="595"/>
      <c r="B26" s="639" t="str">
        <f>HYPERLINK("#'Segmentation Response'!A1", "Segmentation Response Report")</f>
      </c>
      <c r="C26" s="605" t="str">
        <f>HYPERLINK("#'Segmentation Response'!A1", "20")</f>
      </c>
      <c r="D26" s="639"/>
      <c r="E26" s="639" t="str">
        <f>HYPERLINK("#'Help'!A1", "Help")</f>
      </c>
      <c r="F26" s="605" t="str">
        <f>HYPERLINK("#'Help'!A1", "40")</f>
      </c>
      <c r="G26" s="595"/>
      <c r="H26" s="595"/>
    </row>
    <row r="27" ht="15.75" customHeight="1">
      <c r="A27" s="595"/>
      <c r="B27" s="639"/>
      <c r="C27" s="605"/>
      <c r="D27" s="639"/>
      <c r="E27" s="639"/>
      <c r="F27" s="605"/>
      <c r="G27" s="595"/>
      <c r="H27" s="595"/>
    </row>
    <row r="28" ht="15.75" customHeight="1">
      <c r="A28" s="595"/>
      <c r="B28" s="639"/>
      <c r="C28" s="605"/>
      <c r="D28" s="639"/>
      <c r="E28" s="639"/>
      <c r="F28" s="605"/>
      <c r="G28" s="595"/>
      <c r="H28" s="595"/>
    </row>
    <row r="29" ht="15.75" customHeight="1">
      <c r="A29" s="595"/>
      <c r="B29" s="639"/>
      <c r="C29" s="605"/>
      <c r="D29" s="639"/>
      <c r="E29" s="639"/>
      <c r="F29" s="605"/>
      <c r="G29" s="595"/>
      <c r="H29" s="595"/>
    </row>
    <row r="30" ht="0" hidden="1" customHeight="1">
      <c r="A30" s="595"/>
      <c r="B30" s="639"/>
      <c r="C30" s="605"/>
      <c r="D30" s="639"/>
      <c r="E30" s="639"/>
      <c r="F30" s="605"/>
      <c r="G30" s="595"/>
      <c r="H30" s="595"/>
    </row>
    <row r="31" ht="0" hidden="1" customHeight="1">
      <c r="A31" s="595"/>
      <c r="B31" s="639"/>
      <c r="C31" s="605"/>
      <c r="D31" s="639"/>
      <c r="E31" s="639"/>
      <c r="F31" s="605"/>
      <c r="G31" s="595"/>
      <c r="H31" s="595"/>
    </row>
    <row r="32" ht="0" hidden="1" customHeight="1">
      <c r="A32" s="595"/>
      <c r="B32" s="639"/>
      <c r="C32" s="605"/>
      <c r="D32" s="639"/>
      <c r="E32" s="639"/>
      <c r="F32" s="605"/>
      <c r="G32" s="595"/>
      <c r="H32" s="595"/>
    </row>
    <row r="33" ht="0" hidden="1" customHeight="1">
      <c r="A33" s="595"/>
      <c r="B33" s="639"/>
      <c r="C33" s="605"/>
      <c r="D33" s="639"/>
      <c r="E33" s="639"/>
      <c r="F33" s="605"/>
      <c r="G33" s="595"/>
      <c r="H33" s="595"/>
    </row>
    <row r="34" ht="0" hidden="1" customHeight="1">
      <c r="A34" s="595"/>
      <c r="B34" s="639"/>
      <c r="C34" s="605"/>
      <c r="D34" s="639"/>
      <c r="E34" s="639"/>
      <c r="F34" s="605"/>
      <c r="G34" s="595"/>
      <c r="H34" s="595"/>
    </row>
    <row r="35" ht="0" hidden="1" customHeight="1">
      <c r="A35" s="595"/>
      <c r="B35" s="639"/>
      <c r="C35" s="605"/>
      <c r="D35" s="639"/>
      <c r="E35" s="639"/>
      <c r="F35" s="605"/>
      <c r="G35" s="595"/>
      <c r="H35" s="595"/>
    </row>
    <row r="36" ht="0" hidden="1" customHeight="1">
      <c r="A36" s="595"/>
      <c r="B36" s="639"/>
      <c r="C36" s="605"/>
      <c r="D36" s="639"/>
      <c r="E36" s="639"/>
      <c r="F36" s="605"/>
      <c r="G36" s="595"/>
      <c r="H36" s="595"/>
    </row>
    <row r="37" ht="0" hidden="1" customHeight="1">
      <c r="A37" s="595"/>
      <c r="B37" s="639"/>
      <c r="C37" s="605"/>
      <c r="D37" s="639"/>
      <c r="E37" s="639"/>
      <c r="F37" s="605"/>
      <c r="G37" s="595"/>
      <c r="H37" s="595"/>
    </row>
    <row r="38" ht="0" hidden="1" customHeight="1">
      <c r="A38" s="595"/>
      <c r="B38" s="639"/>
      <c r="C38" s="605"/>
      <c r="D38" s="639"/>
      <c r="E38" s="639"/>
      <c r="F38" s="605"/>
      <c r="G38" s="595"/>
      <c r="H38" s="595"/>
    </row>
    <row r="39" ht="0" hidden="1" customHeight="1">
      <c r="A39" s="595"/>
      <c r="B39" s="639"/>
      <c r="C39" s="605"/>
      <c r="D39" s="639"/>
      <c r="E39" s="639"/>
      <c r="F39" s="605"/>
      <c r="G39" s="595"/>
      <c r="H39" s="595"/>
    </row>
    <row r="40" ht="0" hidden="1" customHeight="1">
      <c r="A40" s="595"/>
      <c r="B40" s="639"/>
      <c r="C40" s="605"/>
      <c r="D40" s="639"/>
      <c r="E40" s="639"/>
      <c r="F40" s="605"/>
      <c r="G40" s="595"/>
      <c r="H40" s="595"/>
    </row>
    <row r="41" ht="0" hidden="1" customHeight="1">
      <c r="A41" s="595"/>
      <c r="B41" s="639"/>
      <c r="C41" s="605"/>
      <c r="D41" s="639"/>
      <c r="E41" s="639"/>
      <c r="F41" s="605"/>
      <c r="G41" s="595"/>
      <c r="H41" s="595"/>
    </row>
    <row r="42" ht="0" hidden="1" customHeight="1">
      <c r="A42" s="595"/>
      <c r="B42" s="639"/>
      <c r="C42" s="605"/>
      <c r="D42" s="639"/>
      <c r="E42" s="639"/>
      <c r="F42" s="605"/>
      <c r="G42" s="595"/>
      <c r="H42" s="595"/>
    </row>
    <row r="43" ht="0" hidden="1" customHeight="1">
      <c r="A43" s="595"/>
      <c r="B43" s="639"/>
      <c r="C43" s="605"/>
      <c r="D43" s="639"/>
      <c r="E43" s="639"/>
      <c r="F43" s="605"/>
      <c r="G43" s="595"/>
      <c r="H43" s="595"/>
    </row>
    <row r="44" ht="0" hidden="1" customHeight="1">
      <c r="A44" s="595"/>
      <c r="B44" s="639"/>
      <c r="C44" s="605"/>
      <c r="D44" s="639"/>
      <c r="E44" s="639"/>
      <c r="F44" s="605"/>
      <c r="G44" s="595"/>
      <c r="H44" s="595"/>
    </row>
    <row r="45" ht="0" hidden="1" customHeight="1">
      <c r="A45" s="595"/>
      <c r="B45" s="639"/>
      <c r="C45" s="605"/>
      <c r="D45" s="639"/>
      <c r="E45" s="639"/>
      <c r="F45" s="605"/>
      <c r="G45" s="595"/>
      <c r="H45" s="595"/>
    </row>
    <row r="46" ht="0" hidden="1" customHeight="1">
      <c r="A46" s="595"/>
      <c r="B46" s="639"/>
      <c r="C46" s="605"/>
      <c r="D46" s="639"/>
      <c r="E46" s="639"/>
      <c r="F46" s="605"/>
      <c r="G46" s="595"/>
      <c r="H46" s="595"/>
    </row>
    <row r="47" ht="0" hidden="1" customHeight="1">
      <c r="A47" s="595"/>
      <c r="B47" s="639"/>
      <c r="C47" s="605"/>
      <c r="D47" s="639"/>
      <c r="E47" s="639"/>
      <c r="F47" s="605"/>
      <c r="G47" s="595"/>
      <c r="H47" s="595"/>
    </row>
    <row r="48" ht="0" hidden="1" customHeight="1">
      <c r="A48" s="595"/>
      <c r="B48" s="639"/>
      <c r="C48" s="605"/>
      <c r="D48" s="639"/>
      <c r="E48" s="639"/>
      <c r="F48" s="605"/>
      <c r="G48" s="595"/>
      <c r="H48" s="595"/>
    </row>
    <row r="49" ht="0" hidden="1" customHeight="1">
      <c r="A49" s="595"/>
      <c r="B49" s="639"/>
      <c r="C49" s="605"/>
      <c r="D49" s="639"/>
      <c r="E49" s="639"/>
      <c r="F49" s="605"/>
      <c r="G49" s="595"/>
      <c r="H49" s="595"/>
    </row>
    <row r="50" ht="15.75" customHeight="1">
      <c r="A50" s="595"/>
      <c r="B50" s="639"/>
      <c r="C50" s="605"/>
      <c r="D50" s="639"/>
      <c r="E50" s="639"/>
      <c r="F50" s="605"/>
      <c r="G50" s="595"/>
      <c r="H50" s="595"/>
    </row>
    <row r="51" ht="15.75" customHeight="1">
      <c r="A51" s="595"/>
      <c r="B51" s="639"/>
      <c r="C51" s="605"/>
      <c r="D51" s="639"/>
      <c r="E51" s="639"/>
      <c r="F51" s="605"/>
      <c r="G51" s="595"/>
      <c r="H51" s="595"/>
    </row>
    <row r="52" ht="15.75" customHeight="1">
      <c r="A52" s="595"/>
      <c r="B52" s="639"/>
      <c r="C52" s="605"/>
      <c r="D52" s="639"/>
      <c r="E52" s="639"/>
      <c r="F52" s="605"/>
      <c r="G52" s="595"/>
      <c r="H52" s="595"/>
    </row>
    <row r="53" ht="15.75" customHeight="1">
      <c r="A53" s="595"/>
      <c r="B53" s="639"/>
      <c r="C53" s="605"/>
      <c r="D53" s="639"/>
      <c r="E53" s="639"/>
      <c r="F53" s="605"/>
      <c r="G53" s="595"/>
      <c r="H53" s="595"/>
    </row>
    <row r="54" ht="15.75" customHeight="1">
      <c r="A54" s="595"/>
      <c r="B54" s="639"/>
      <c r="C54" s="605"/>
      <c r="D54" s="639"/>
      <c r="E54" s="639"/>
      <c r="F54" s="605"/>
      <c r="G54" s="595"/>
      <c r="H54" s="595"/>
    </row>
    <row r="55" ht="15.75" customHeight="1">
      <c r="A55" s="595"/>
      <c r="B55" s="639"/>
      <c r="C55" s="605"/>
      <c r="D55" s="639"/>
      <c r="E55" s="639"/>
      <c r="F55" s="605"/>
      <c r="G55" s="595"/>
      <c r="H55" s="595"/>
    </row>
    <row r="56" ht="15.75" customHeight="1">
      <c r="A56" s="595"/>
      <c r="B56" s="639"/>
      <c r="C56" s="605"/>
      <c r="D56" s="639"/>
      <c r="E56" s="639"/>
      <c r="F56" s="605"/>
      <c r="G56" s="595"/>
      <c r="H56" s="595"/>
    </row>
    <row r="57" ht="10.5" customHeight="1">
      <c r="A57" s="595"/>
      <c r="B57" s="639"/>
      <c r="C57" s="639"/>
      <c r="D57" s="639"/>
      <c r="E57" s="639"/>
      <c r="F57" s="639"/>
      <c r="G57" s="595"/>
      <c r="H57" s="595"/>
    </row>
    <row r="58" ht="10.5" customHeight="1">
      <c r="A58" s="595"/>
      <c r="B58" s="602" t="s">
        <v>118</v>
      </c>
      <c r="C58" s="602"/>
      <c r="D58" s="603"/>
      <c r="E58" s="602" t="s">
        <v>119</v>
      </c>
      <c r="F58" s="602"/>
      <c r="G58" s="595"/>
      <c r="H58" s="595"/>
    </row>
    <row r="59" ht="10.5" customHeight="1">
      <c r="A59" s="595"/>
      <c r="B59" s="602" t="s">
        <v>124</v>
      </c>
      <c r="C59" s="602"/>
      <c r="D59" s="603"/>
      <c r="E59" s="602" t="s">
        <v>120</v>
      </c>
      <c r="F59" s="602"/>
      <c r="G59" s="595"/>
      <c r="H59" s="595"/>
    </row>
    <row r="60" ht="10.5" customHeight="1">
      <c r="A60" s="595"/>
      <c r="B60" s="602" t="s">
        <v>112</v>
      </c>
      <c r="C60" s="602"/>
      <c r="D60" s="603"/>
      <c r="E60" s="602" t="s">
        <v>125</v>
      </c>
      <c r="F60" s="602"/>
      <c r="G60" s="595"/>
      <c r="H60" s="595"/>
    </row>
    <row r="61" ht="20.1" customHeight="1">
      <c r="A61" s="595"/>
      <c r="B61" s="602"/>
      <c r="C61" s="602"/>
      <c r="D61" s="603"/>
      <c r="E61" s="602"/>
      <c r="F61" s="602"/>
      <c r="G61" s="595"/>
      <c r="H61" s="595"/>
    </row>
    <row r="62" ht="48" customHeight="1">
      <c r="A62" s="595"/>
      <c r="B62" s="694" t="s">
        <v>126</v>
      </c>
      <c r="C62" s="694"/>
      <c r="D62" s="694"/>
      <c r="E62" s="694"/>
      <c r="F62" s="694"/>
      <c r="G62" s="595"/>
      <c r="H62" s="595"/>
    </row>
    <row r="63" ht="8.1" customHeight="1">
      <c r="A63" s="595"/>
      <c r="B63" s="594"/>
      <c r="C63" s="595"/>
      <c r="D63" s="601"/>
      <c r="E63" s="595"/>
      <c r="F63" s="595"/>
      <c r="G63" s="595"/>
      <c r="H63" s="595"/>
    </row>
    <row r="64" ht="15.75" customHeight="1">
      <c r="A64" s="235"/>
      <c r="B64" s="235"/>
      <c r="C64" s="235"/>
      <c r="D64" s="235"/>
      <c r="E64" s="235"/>
      <c r="F64" s="235"/>
      <c r="G64" s="235"/>
      <c r="H64" s="235"/>
    </row>
    <row r="65" ht="15.75" customHeight="1">
      <c r="A65" s="235"/>
      <c r="B65" s="235"/>
      <c r="C65" s="235"/>
      <c r="D65" s="235"/>
      <c r="E65" s="235"/>
      <c r="F65" s="235"/>
      <c r="G65" s="235"/>
      <c r="H65" s="235"/>
    </row>
    <row r="66" ht="15.75" customHeight="1">
      <c r="A66" s="235"/>
      <c r="B66" s="235"/>
      <c r="C66" s="235"/>
      <c r="D66" s="235"/>
      <c r="E66" s="235"/>
      <c r="F66" s="235"/>
      <c r="G66" s="235"/>
      <c r="H66" s="235"/>
    </row>
    <row r="67" ht="15.75" customHeight="1">
      <c r="A67" s="235"/>
      <c r="B67" s="235"/>
      <c r="C67" s="235"/>
      <c r="D67" s="235"/>
      <c r="E67" s="235"/>
      <c r="F67" s="235"/>
      <c r="G67" s="235"/>
      <c r="H67" s="235"/>
    </row>
    <row r="68" ht="15.75" customHeight="1">
      <c r="A68" s="235"/>
      <c r="B68" s="235"/>
      <c r="C68" s="235"/>
      <c r="D68" s="235"/>
      <c r="E68" s="235"/>
      <c r="F68" s="235"/>
      <c r="G68" s="235"/>
      <c r="H68" s="235"/>
    </row>
    <row r="69" ht="15.75" customHeight="1">
      <c r="A69" s="235"/>
      <c r="B69" s="235"/>
      <c r="C69" s="235"/>
      <c r="D69" s="235"/>
      <c r="E69" s="235"/>
      <c r="F69" s="235"/>
      <c r="G69" s="235"/>
      <c r="H69" s="235"/>
    </row>
    <row r="70" ht="15.75" customHeight="1">
      <c r="A70" s="235"/>
      <c r="B70" s="235"/>
      <c r="C70" s="235"/>
      <c r="D70" s="235"/>
      <c r="E70" s="235"/>
      <c r="F70" s="235"/>
      <c r="G70" s="235"/>
      <c r="H70" s="235"/>
    </row>
    <row r="71" ht="15.75" customHeight="1">
      <c r="A71" s="235"/>
      <c r="B71" s="235"/>
      <c r="C71" s="235"/>
      <c r="D71" s="235"/>
      <c r="E71" s="235"/>
      <c r="F71" s="235"/>
      <c r="G71" s="235"/>
      <c r="H71" s="235"/>
    </row>
    <row r="72" ht="15.75" customHeight="1">
      <c r="A72" s="235"/>
      <c r="B72" s="235"/>
      <c r="C72" s="235"/>
      <c r="D72" s="235"/>
      <c r="E72" s="235"/>
      <c r="F72" s="235"/>
      <c r="G72" s="235"/>
      <c r="H72" s="235"/>
    </row>
    <row r="73" ht="15.75" customHeight="1">
      <c r="A73" s="235"/>
      <c r="B73" s="235"/>
      <c r="C73" s="235"/>
      <c r="D73" s="235"/>
      <c r="E73" s="235"/>
      <c r="F73" s="235"/>
      <c r="G73" s="235"/>
      <c r="H73" s="235"/>
    </row>
    <row r="74" ht="15.75" customHeight="1">
      <c r="A74" s="235"/>
      <c r="B74" s="235"/>
      <c r="C74" s="235"/>
      <c r="D74" s="235"/>
      <c r="E74" s="235"/>
      <c r="F74" s="235"/>
      <c r="G74" s="235"/>
      <c r="H74" s="235"/>
    </row>
    <row r="75" ht="15.75" customHeight="1">
      <c r="A75" s="235"/>
      <c r="B75" s="235"/>
      <c r="C75" s="235"/>
      <c r="D75" s="235"/>
      <c r="E75" s="235"/>
      <c r="F75" s="235"/>
      <c r="G75" s="235"/>
      <c r="H75" s="235"/>
    </row>
    <row r="76" ht="15.75" customHeight="1">
      <c r="A76" s="235"/>
      <c r="B76" s="235"/>
      <c r="C76" s="235"/>
      <c r="D76" s="235"/>
      <c r="E76" s="235"/>
      <c r="F76" s="235"/>
      <c r="G76" s="235"/>
      <c r="H76" s="235"/>
    </row>
    <row r="77" ht="15.75" customHeight="1">
      <c r="A77" s="235"/>
      <c r="B77" s="235"/>
      <c r="C77" s="235"/>
      <c r="D77" s="235"/>
      <c r="E77" s="235"/>
      <c r="F77" s="235"/>
      <c r="G77" s="235"/>
      <c r="H77" s="235"/>
    </row>
    <row r="78" ht="15.75" customHeight="1">
      <c r="A78" s="235"/>
      <c r="B78" s="235"/>
      <c r="C78" s="235"/>
      <c r="D78" s="235"/>
      <c r="E78" s="235"/>
      <c r="F78" s="235"/>
      <c r="G78" s="235"/>
      <c r="H78" s="235"/>
    </row>
    <row r="79" ht="15.75" customHeight="1">
      <c r="A79" s="235"/>
      <c r="B79" s="235"/>
      <c r="C79" s="235"/>
      <c r="D79" s="235"/>
      <c r="E79" s="235"/>
      <c r="F79" s="235"/>
      <c r="G79" s="235"/>
      <c r="H79" s="235"/>
    </row>
    <row r="80" ht="15.75" customHeight="1">
      <c r="A80" s="235"/>
      <c r="B80" s="235"/>
      <c r="C80" s="235"/>
      <c r="D80" s="235"/>
      <c r="E80" s="235"/>
      <c r="F80" s="235"/>
      <c r="G80" s="235"/>
      <c r="H80" s="235"/>
    </row>
    <row r="81" ht="15.75" customHeight="1">
      <c r="A81" s="235"/>
      <c r="B81" s="235"/>
      <c r="C81" s="235"/>
      <c r="D81" s="235"/>
      <c r="E81" s="235"/>
      <c r="F81" s="235"/>
      <c r="G81" s="235"/>
      <c r="H81" s="235"/>
    </row>
    <row r="82" ht="15.75" customHeight="1">
      <c r="A82" s="235"/>
      <c r="B82" s="235"/>
      <c r="C82" s="235"/>
      <c r="D82" s="235"/>
      <c r="E82" s="235"/>
      <c r="F82" s="235"/>
      <c r="G82" s="235"/>
      <c r="H82" s="235"/>
    </row>
    <row r="83" ht="15.75" customHeight="1">
      <c r="A83" s="235"/>
      <c r="B83" s="235"/>
      <c r="C83" s="235"/>
      <c r="D83" s="235"/>
      <c r="E83" s="235"/>
      <c r="F83" s="235"/>
      <c r="G83" s="235"/>
      <c r="H83" s="235"/>
    </row>
    <row r="84" ht="15.75" customHeight="1">
      <c r="A84" s="235"/>
      <c r="B84" s="235"/>
      <c r="C84" s="235"/>
      <c r="D84" s="235"/>
      <c r="E84" s="235"/>
      <c r="F84" s="235"/>
      <c r="G84" s="235"/>
      <c r="H84" s="235"/>
    </row>
    <row r="85" ht="15.75" customHeight="1">
      <c r="A85" s="235"/>
      <c r="B85" s="235"/>
      <c r="C85" s="235"/>
      <c r="D85" s="235"/>
      <c r="E85" s="235"/>
      <c r="F85" s="235"/>
      <c r="G85" s="235"/>
      <c r="H85" s="235"/>
    </row>
    <row r="86" ht="15.75" customHeight="1">
      <c r="A86" s="235"/>
      <c r="B86" s="235"/>
      <c r="C86" s="235"/>
      <c r="D86" s="235"/>
      <c r="E86" s="235"/>
      <c r="F86" s="235"/>
      <c r="G86" s="235"/>
      <c r="H86" s="235"/>
    </row>
    <row r="87" s="235" customFormat="1" ht="15.75" customHeight="1"/>
    <row r="88" s="235" customFormat="1" ht="15.75" customHeight="1"/>
    <row r="89" s="235" customFormat="1" ht="15.75" customHeight="1"/>
    <row r="90" s="235" customFormat="1" ht="15.75" customHeight="1"/>
    <row r="91" s="4" customFormat="1" ht="15.75" customHeight="1">
      <c r="B91" s="523"/>
      <c r="D91" s="522"/>
      <c r="I91" s="235"/>
      <c r="J91" s="235"/>
      <c r="K91" s="235"/>
      <c r="L91" s="235"/>
      <c r="M91" s="235"/>
      <c r="N91" s="235"/>
      <c r="O91" s="235"/>
      <c r="P91" s="235"/>
      <c r="Q91" s="235"/>
      <c r="R91" s="235"/>
      <c r="S91" s="235"/>
      <c r="T91" s="235"/>
      <c r="U91" s="235"/>
      <c r="V91" s="235"/>
      <c r="W91" s="235"/>
      <c r="X91" s="235"/>
      <c r="Y91" s="235"/>
      <c r="Z91" s="235"/>
      <c r="AA91" s="235"/>
    </row>
    <row r="92" s="4" customFormat="1" ht="15.75" customHeight="1">
      <c r="B92" s="523"/>
      <c r="D92" s="522"/>
      <c r="I92" s="235"/>
      <c r="J92" s="235"/>
      <c r="K92" s="235"/>
      <c r="L92" s="235"/>
      <c r="M92" s="235"/>
      <c r="N92" s="235"/>
      <c r="O92" s="235"/>
      <c r="P92" s="235"/>
      <c r="Q92" s="235"/>
      <c r="R92" s="235"/>
      <c r="S92" s="235"/>
      <c r="T92" s="235"/>
      <c r="U92" s="235"/>
      <c r="V92" s="235"/>
      <c r="W92" s="235"/>
      <c r="X92" s="235"/>
      <c r="Y92" s="235"/>
      <c r="Z92" s="235"/>
      <c r="AA92" s="235"/>
    </row>
    <row r="93" s="4" customFormat="1" ht="15.75" customHeight="1">
      <c r="B93" s="523"/>
      <c r="D93" s="522"/>
      <c r="I93" s="235"/>
      <c r="J93" s="235"/>
      <c r="K93" s="235"/>
      <c r="L93" s="235"/>
      <c r="M93" s="235"/>
      <c r="N93" s="235"/>
      <c r="O93" s="235"/>
      <c r="P93" s="235"/>
      <c r="Q93" s="235"/>
      <c r="R93" s="235"/>
      <c r="S93" s="235"/>
      <c r="T93" s="235"/>
      <c r="U93" s="235"/>
      <c r="V93" s="235"/>
      <c r="W93" s="235"/>
      <c r="X93" s="235"/>
      <c r="Y93" s="235"/>
      <c r="Z93" s="235"/>
      <c r="AA93" s="235"/>
    </row>
    <row r="94" s="4" customFormat="1" ht="15.75" customHeight="1">
      <c r="B94" s="523"/>
      <c r="D94" s="522"/>
      <c r="I94" s="235"/>
      <c r="J94" s="235"/>
      <c r="K94" s="235"/>
      <c r="L94" s="235"/>
      <c r="M94" s="235"/>
      <c r="N94" s="235"/>
      <c r="O94" s="235"/>
      <c r="P94" s="235"/>
      <c r="Q94" s="235"/>
      <c r="R94" s="235"/>
      <c r="S94" s="235"/>
      <c r="T94" s="235"/>
      <c r="U94" s="235"/>
      <c r="V94" s="235"/>
      <c r="W94" s="235"/>
      <c r="X94" s="235"/>
      <c r="Y94" s="235"/>
      <c r="Z94" s="235"/>
      <c r="AA94" s="235"/>
    </row>
    <row r="95" s="4" customFormat="1" ht="15.75" customHeight="1">
      <c r="B95" s="523"/>
      <c r="D95" s="522"/>
      <c r="I95" s="235"/>
      <c r="J95" s="235"/>
      <c r="K95" s="235"/>
      <c r="L95" s="235"/>
      <c r="M95" s="235"/>
      <c r="N95" s="235"/>
      <c r="O95" s="235"/>
      <c r="P95" s="235"/>
      <c r="Q95" s="235"/>
      <c r="R95" s="235"/>
      <c r="S95" s="235"/>
      <c r="T95" s="235"/>
      <c r="U95" s="235"/>
      <c r="V95" s="235"/>
      <c r="W95" s="235"/>
      <c r="X95" s="235"/>
      <c r="Y95" s="235"/>
      <c r="Z95" s="235"/>
      <c r="AA95" s="235"/>
    </row>
    <row r="96" s="4" customFormat="1" ht="15.75" customHeight="1">
      <c r="B96" s="523"/>
      <c r="D96" s="522"/>
      <c r="I96" s="235"/>
      <c r="J96" s="235"/>
      <c r="K96" s="235"/>
      <c r="L96" s="235"/>
      <c r="M96" s="235"/>
      <c r="N96" s="235"/>
      <c r="O96" s="235"/>
      <c r="P96" s="235"/>
      <c r="Q96" s="235"/>
      <c r="R96" s="235"/>
      <c r="S96" s="235"/>
      <c r="T96" s="235"/>
      <c r="U96" s="235"/>
      <c r="V96" s="235"/>
      <c r="W96" s="235"/>
      <c r="X96" s="235"/>
      <c r="Y96" s="235"/>
      <c r="Z96" s="235"/>
      <c r="AA96" s="235"/>
    </row>
    <row r="97" s="4" customFormat="1" ht="15.75" customHeight="1">
      <c r="B97" s="523"/>
      <c r="D97" s="522"/>
      <c r="I97" s="235"/>
      <c r="J97" s="235"/>
      <c r="K97" s="235"/>
      <c r="L97" s="235"/>
      <c r="M97" s="235"/>
      <c r="N97" s="235"/>
      <c r="O97" s="235"/>
      <c r="P97" s="235"/>
      <c r="Q97" s="235"/>
      <c r="R97" s="235"/>
      <c r="S97" s="235"/>
      <c r="T97" s="235"/>
      <c r="U97" s="235"/>
      <c r="V97" s="235"/>
      <c r="W97" s="235"/>
      <c r="X97" s="235"/>
      <c r="Y97" s="235"/>
      <c r="Z97" s="235"/>
      <c r="AA97" s="235"/>
    </row>
    <row r="98" s="4" customFormat="1" ht="15.75" customHeight="1">
      <c r="B98" s="523"/>
      <c r="D98" s="522"/>
      <c r="I98" s="235"/>
      <c r="J98" s="235"/>
      <c r="K98" s="235"/>
      <c r="L98" s="235"/>
      <c r="M98" s="235"/>
      <c r="N98" s="235"/>
      <c r="O98" s="235"/>
      <c r="P98" s="235"/>
      <c r="Q98" s="235"/>
      <c r="R98" s="235"/>
      <c r="S98" s="235"/>
      <c r="T98" s="235"/>
      <c r="U98" s="235"/>
      <c r="V98" s="235"/>
      <c r="W98" s="235"/>
      <c r="X98" s="235"/>
      <c r="Y98" s="235"/>
      <c r="Z98" s="235"/>
      <c r="AA98" s="235"/>
    </row>
    <row r="99" s="4" customFormat="1" ht="15.75" customHeight="1">
      <c r="B99" s="523"/>
      <c r="D99" s="522"/>
      <c r="I99" s="235"/>
      <c r="J99" s="235"/>
      <c r="K99" s="235"/>
      <c r="L99" s="235"/>
      <c r="M99" s="235"/>
      <c r="N99" s="235"/>
      <c r="O99" s="235"/>
      <c r="P99" s="235"/>
      <c r="Q99" s="235"/>
      <c r="R99" s="235"/>
      <c r="S99" s="235"/>
      <c r="T99" s="235"/>
      <c r="U99" s="235"/>
      <c r="V99" s="235"/>
      <c r="W99" s="235"/>
      <c r="X99" s="235"/>
      <c r="Y99" s="235"/>
      <c r="Z99" s="235"/>
      <c r="AA99" s="235"/>
    </row>
    <row r="100" s="4" customFormat="1" ht="15.75" customHeight="1">
      <c r="B100" s="523"/>
      <c r="D100" s="522"/>
      <c r="I100" s="235"/>
      <c r="J100" s="235"/>
      <c r="K100" s="235"/>
      <c r="L100" s="235"/>
      <c r="M100" s="235"/>
      <c r="N100" s="235"/>
      <c r="O100" s="235"/>
      <c r="P100" s="235"/>
      <c r="Q100" s="235"/>
      <c r="R100" s="235"/>
      <c r="S100" s="235"/>
      <c r="T100" s="235"/>
      <c r="U100" s="235"/>
      <c r="V100" s="235"/>
      <c r="W100" s="235"/>
      <c r="X100" s="235"/>
      <c r="Y100" s="235"/>
      <c r="Z100" s="235"/>
      <c r="AA100" s="235"/>
    </row>
    <row r="101" s="4" customFormat="1" ht="15.75" customHeight="1">
      <c r="B101" s="523"/>
      <c r="D101" s="522"/>
      <c r="I101" s="235"/>
      <c r="J101" s="235"/>
      <c r="K101" s="235"/>
      <c r="L101" s="235"/>
      <c r="M101" s="235"/>
      <c r="N101" s="235"/>
      <c r="O101" s="235"/>
      <c r="P101" s="235"/>
      <c r="Q101" s="235"/>
      <c r="R101" s="235"/>
      <c r="S101" s="235"/>
      <c r="T101" s="235"/>
      <c r="U101" s="235"/>
      <c r="V101" s="235"/>
      <c r="W101" s="235"/>
      <c r="X101" s="235"/>
      <c r="Y101" s="235"/>
      <c r="Z101" s="235"/>
      <c r="AA101" s="235"/>
    </row>
    <row r="102" s="4" customFormat="1">
      <c r="B102" s="523"/>
      <c r="D102" s="522"/>
      <c r="I102" s="235"/>
      <c r="J102" s="235"/>
      <c r="K102" s="235"/>
      <c r="L102" s="235"/>
      <c r="M102" s="235"/>
      <c r="N102" s="235"/>
      <c r="O102" s="235"/>
      <c r="P102" s="235"/>
      <c r="Q102" s="235"/>
      <c r="R102" s="235"/>
      <c r="S102" s="235"/>
      <c r="T102" s="235"/>
      <c r="U102" s="235"/>
      <c r="V102" s="235"/>
      <c r="W102" s="235"/>
      <c r="X102" s="235"/>
      <c r="Y102" s="235"/>
      <c r="Z102" s="235"/>
      <c r="AA102" s="235"/>
    </row>
    <row r="103" s="4" customFormat="1">
      <c r="B103" s="523"/>
      <c r="D103" s="522"/>
      <c r="I103" s="235"/>
      <c r="J103" s="235"/>
      <c r="K103" s="235"/>
      <c r="L103" s="235"/>
      <c r="M103" s="235"/>
      <c r="N103" s="235"/>
      <c r="O103" s="235"/>
      <c r="P103" s="235"/>
      <c r="Q103" s="235"/>
      <c r="R103" s="235"/>
      <c r="S103" s="235"/>
      <c r="T103" s="235"/>
      <c r="U103" s="235"/>
      <c r="V103" s="235"/>
      <c r="W103" s="235"/>
      <c r="X103" s="235"/>
      <c r="Y103" s="235"/>
      <c r="Z103" s="235"/>
      <c r="AA103" s="235"/>
    </row>
    <row r="104" s="4" customFormat="1">
      <c r="B104" s="523"/>
      <c r="D104" s="522"/>
      <c r="I104" s="235"/>
      <c r="J104" s="235"/>
      <c r="K104" s="235"/>
      <c r="L104" s="235"/>
      <c r="M104" s="235"/>
      <c r="N104" s="235"/>
      <c r="O104" s="235"/>
      <c r="P104" s="235"/>
      <c r="Q104" s="235"/>
      <c r="R104" s="235"/>
      <c r="S104" s="235"/>
      <c r="T104" s="235"/>
      <c r="U104" s="235"/>
      <c r="V104" s="235"/>
      <c r="W104" s="235"/>
      <c r="X104" s="235"/>
      <c r="Y104" s="235"/>
      <c r="Z104" s="235"/>
      <c r="AA104" s="235"/>
    </row>
    <row r="105" s="4" customFormat="1">
      <c r="B105" s="523"/>
      <c r="D105" s="522"/>
      <c r="I105" s="235"/>
      <c r="J105" s="235"/>
      <c r="K105" s="235"/>
      <c r="L105" s="235"/>
      <c r="M105" s="235"/>
      <c r="N105" s="235"/>
      <c r="O105" s="235"/>
      <c r="P105" s="235"/>
      <c r="Q105" s="235"/>
      <c r="R105" s="235"/>
      <c r="S105" s="235"/>
      <c r="T105" s="235"/>
      <c r="U105" s="235"/>
      <c r="V105" s="235"/>
      <c r="W105" s="235"/>
      <c r="X105" s="235"/>
      <c r="Y105" s="235"/>
      <c r="Z105" s="235"/>
      <c r="AA105" s="235"/>
    </row>
    <row r="106" s="4" customFormat="1">
      <c r="B106" s="523"/>
      <c r="D106" s="522"/>
      <c r="I106" s="235"/>
      <c r="J106" s="235"/>
      <c r="K106" s="235"/>
      <c r="L106" s="235"/>
      <c r="M106" s="235"/>
      <c r="N106" s="235"/>
      <c r="O106" s="235"/>
      <c r="P106" s="235"/>
      <c r="Q106" s="235"/>
      <c r="R106" s="235"/>
      <c r="S106" s="235"/>
      <c r="T106" s="235"/>
      <c r="U106" s="235"/>
      <c r="V106" s="235"/>
      <c r="W106" s="235"/>
      <c r="X106" s="235"/>
      <c r="Y106" s="235"/>
      <c r="Z106" s="235"/>
      <c r="AA106" s="235"/>
    </row>
    <row r="107" s="4" customFormat="1">
      <c r="B107" s="523"/>
      <c r="D107" s="522"/>
      <c r="I107" s="235"/>
      <c r="J107" s="235"/>
      <c r="K107" s="235"/>
      <c r="L107" s="235"/>
      <c r="M107" s="235"/>
      <c r="N107" s="235"/>
      <c r="O107" s="235"/>
      <c r="P107" s="235"/>
      <c r="Q107" s="235"/>
      <c r="R107" s="235"/>
      <c r="S107" s="235"/>
      <c r="T107" s="235"/>
      <c r="U107" s="235"/>
      <c r="V107" s="235"/>
      <c r="W107" s="235"/>
      <c r="X107" s="235"/>
      <c r="Y107" s="235"/>
      <c r="Z107" s="235"/>
      <c r="AA107" s="235"/>
    </row>
    <row r="108" s="4" customFormat="1">
      <c r="B108" s="523"/>
      <c r="D108" s="522"/>
      <c r="I108" s="235"/>
      <c r="J108" s="235"/>
      <c r="K108" s="235"/>
      <c r="L108" s="235"/>
      <c r="M108" s="235"/>
      <c r="N108" s="235"/>
      <c r="O108" s="235"/>
      <c r="P108" s="235"/>
      <c r="Q108" s="235"/>
      <c r="R108" s="235"/>
      <c r="S108" s="235"/>
      <c r="T108" s="235"/>
      <c r="U108" s="235"/>
      <c r="V108" s="235"/>
      <c r="W108" s="235"/>
      <c r="X108" s="235"/>
      <c r="Y108" s="235"/>
      <c r="Z108" s="235"/>
      <c r="AA108" s="235"/>
    </row>
    <row r="109" s="4" customFormat="1">
      <c r="B109" s="523"/>
      <c r="D109" s="522"/>
      <c r="I109" s="235"/>
      <c r="J109" s="235"/>
      <c r="K109" s="235"/>
      <c r="L109" s="235"/>
      <c r="M109" s="235"/>
      <c r="N109" s="235"/>
      <c r="O109" s="235"/>
      <c r="P109" s="235"/>
      <c r="Q109" s="235"/>
      <c r="R109" s="235"/>
      <c r="S109" s="235"/>
      <c r="T109" s="235"/>
      <c r="U109" s="235"/>
      <c r="V109" s="235"/>
      <c r="W109" s="235"/>
      <c r="X109" s="235"/>
      <c r="Y109" s="235"/>
      <c r="Z109" s="235"/>
      <c r="AA109" s="235"/>
    </row>
    <row r="110" s="4" customFormat="1">
      <c r="B110" s="523"/>
      <c r="D110" s="522"/>
      <c r="I110" s="235"/>
      <c r="J110" s="235"/>
      <c r="K110" s="235"/>
      <c r="L110" s="235"/>
      <c r="M110" s="235"/>
      <c r="N110" s="235"/>
      <c r="O110" s="235"/>
      <c r="P110" s="235"/>
      <c r="Q110" s="235"/>
      <c r="R110" s="235"/>
      <c r="S110" s="235"/>
      <c r="T110" s="235"/>
      <c r="U110" s="235"/>
      <c r="V110" s="235"/>
      <c r="W110" s="235"/>
      <c r="X110" s="235"/>
      <c r="Y110" s="235"/>
      <c r="Z110" s="235"/>
      <c r="AA110" s="235"/>
    </row>
    <row r="111" s="4" customFormat="1">
      <c r="B111" s="523"/>
      <c r="D111" s="522"/>
      <c r="I111" s="235"/>
      <c r="J111" s="235"/>
      <c r="K111" s="235"/>
      <c r="L111" s="235"/>
      <c r="M111" s="235"/>
      <c r="N111" s="235"/>
      <c r="O111" s="235"/>
      <c r="P111" s="235"/>
      <c r="Q111" s="235"/>
      <c r="R111" s="235"/>
      <c r="S111" s="235"/>
      <c r="T111" s="235"/>
      <c r="U111" s="235"/>
      <c r="V111" s="235"/>
      <c r="W111" s="235"/>
      <c r="X111" s="235"/>
      <c r="Y111" s="235"/>
      <c r="Z111" s="235"/>
      <c r="AA111" s="235"/>
    </row>
    <row r="112" s="4" customFormat="1">
      <c r="B112" s="524"/>
      <c r="D112" s="522"/>
      <c r="I112" s="235"/>
      <c r="J112" s="235"/>
      <c r="K112" s="235"/>
      <c r="L112" s="235"/>
      <c r="M112" s="235"/>
      <c r="N112" s="235"/>
      <c r="O112" s="235"/>
      <c r="P112" s="235"/>
      <c r="Q112" s="235"/>
      <c r="R112" s="235"/>
      <c r="S112" s="235"/>
      <c r="T112" s="235"/>
      <c r="U112" s="235"/>
      <c r="V112" s="235"/>
      <c r="W112" s="235"/>
      <c r="X112" s="235"/>
      <c r="Y112" s="235"/>
      <c r="Z112" s="235"/>
      <c r="AA112" s="235"/>
    </row>
    <row r="113" s="4" customFormat="1">
      <c r="B113" s="524"/>
      <c r="D113" s="522"/>
      <c r="I113" s="235"/>
      <c r="J113" s="235"/>
      <c r="K113" s="235"/>
      <c r="L113" s="235"/>
      <c r="M113" s="235"/>
      <c r="N113" s="235"/>
      <c r="O113" s="235"/>
      <c r="P113" s="235"/>
      <c r="Q113" s="235"/>
      <c r="R113" s="235"/>
      <c r="S113" s="235"/>
      <c r="T113" s="235"/>
      <c r="U113" s="235"/>
      <c r="V113" s="235"/>
      <c r="W113" s="235"/>
      <c r="X113" s="235"/>
      <c r="Y113" s="235"/>
      <c r="Z113" s="235"/>
      <c r="AA113" s="235"/>
    </row>
    <row r="114" s="4" customFormat="1">
      <c r="B114" s="524"/>
      <c r="D114" s="522"/>
      <c r="I114" s="235"/>
      <c r="J114" s="235"/>
      <c r="K114" s="235"/>
      <c r="L114" s="235"/>
      <c r="M114" s="235"/>
      <c r="N114" s="235"/>
      <c r="O114" s="235"/>
      <c r="P114" s="235"/>
      <c r="Q114" s="235"/>
      <c r="R114" s="235"/>
      <c r="S114" s="235"/>
      <c r="T114" s="235"/>
      <c r="U114" s="235"/>
      <c r="V114" s="235"/>
      <c r="W114" s="235"/>
      <c r="X114" s="235"/>
      <c r="Y114" s="235"/>
      <c r="Z114" s="235"/>
      <c r="AA114" s="235"/>
    </row>
    <row r="115" s="4" customFormat="1">
      <c r="B115" s="524"/>
      <c r="D115" s="522"/>
      <c r="I115" s="235"/>
      <c r="J115" s="235"/>
      <c r="K115" s="235"/>
      <c r="L115" s="235"/>
      <c r="M115" s="235"/>
      <c r="N115" s="235"/>
      <c r="O115" s="235"/>
      <c r="P115" s="235"/>
      <c r="Q115" s="235"/>
      <c r="R115" s="235"/>
      <c r="S115" s="235"/>
      <c r="T115" s="235"/>
      <c r="U115" s="235"/>
      <c r="V115" s="235"/>
      <c r="W115" s="235"/>
      <c r="X115" s="235"/>
      <c r="Y115" s="235"/>
      <c r="Z115" s="235"/>
      <c r="AA115" s="235"/>
    </row>
    <row r="116" s="4" customFormat="1">
      <c r="B116" s="524"/>
      <c r="D116" s="522"/>
      <c r="I116" s="235"/>
      <c r="J116" s="235"/>
      <c r="K116" s="235"/>
      <c r="L116" s="235"/>
      <c r="M116" s="235"/>
      <c r="N116" s="235"/>
      <c r="O116" s="235"/>
      <c r="P116" s="235"/>
      <c r="Q116" s="235"/>
      <c r="R116" s="235"/>
      <c r="S116" s="235"/>
      <c r="T116" s="235"/>
      <c r="U116" s="235"/>
      <c r="V116" s="235"/>
      <c r="W116" s="235"/>
      <c r="X116" s="235"/>
      <c r="Y116" s="235"/>
      <c r="Z116" s="235"/>
      <c r="AA116" s="235"/>
    </row>
    <row r="117" s="4" customFormat="1">
      <c r="B117" s="524"/>
      <c r="D117" s="520"/>
      <c r="I117" s="235"/>
      <c r="J117" s="235"/>
      <c r="K117" s="235"/>
      <c r="L117" s="235"/>
      <c r="M117" s="235"/>
      <c r="N117" s="235"/>
      <c r="O117" s="235"/>
      <c r="P117" s="235"/>
      <c r="Q117" s="235"/>
      <c r="R117" s="235"/>
      <c r="S117" s="235"/>
      <c r="T117" s="235"/>
      <c r="U117" s="235"/>
      <c r="V117" s="235"/>
      <c r="W117" s="235"/>
      <c r="X117" s="235"/>
      <c r="Y117" s="235"/>
      <c r="Z117" s="235"/>
      <c r="AA117" s="235"/>
    </row>
    <row r="118" s="4" customFormat="1">
      <c r="B118" s="524"/>
      <c r="D118" s="520"/>
      <c r="I118" s="235"/>
      <c r="J118" s="235"/>
      <c r="K118" s="235"/>
      <c r="L118" s="235"/>
      <c r="M118" s="235"/>
      <c r="N118" s="235"/>
      <c r="O118" s="235"/>
      <c r="P118" s="235"/>
      <c r="Q118" s="235"/>
      <c r="R118" s="235"/>
      <c r="S118" s="235"/>
      <c r="T118" s="235"/>
      <c r="U118" s="235"/>
      <c r="V118" s="235"/>
      <c r="W118" s="235"/>
      <c r="X118" s="235"/>
      <c r="Y118" s="235"/>
      <c r="Z118" s="235"/>
      <c r="AA118" s="235"/>
    </row>
    <row r="119" s="4" customFormat="1">
      <c r="B119" s="524"/>
      <c r="D119" s="520"/>
      <c r="I119" s="235"/>
      <c r="J119" s="235"/>
      <c r="K119" s="235"/>
      <c r="L119" s="235"/>
      <c r="M119" s="235"/>
      <c r="N119" s="235"/>
      <c r="O119" s="235"/>
      <c r="P119" s="235"/>
      <c r="Q119" s="235"/>
      <c r="R119" s="235"/>
      <c r="S119" s="235"/>
      <c r="T119" s="235"/>
      <c r="U119" s="235"/>
      <c r="V119" s="235"/>
      <c r="W119" s="235"/>
      <c r="X119" s="235"/>
      <c r="Y119" s="235"/>
      <c r="Z119" s="235"/>
      <c r="AA119" s="235"/>
    </row>
    <row r="120" s="4" customFormat="1">
      <c r="B120" s="524"/>
      <c r="D120" s="520"/>
      <c r="I120" s="235"/>
      <c r="J120" s="235"/>
      <c r="K120" s="235"/>
      <c r="L120" s="235"/>
      <c r="M120" s="235"/>
      <c r="N120" s="235"/>
      <c r="O120" s="235"/>
      <c r="P120" s="235"/>
      <c r="Q120" s="235"/>
      <c r="R120" s="235"/>
      <c r="S120" s="235"/>
      <c r="T120" s="235"/>
      <c r="U120" s="235"/>
      <c r="V120" s="235"/>
      <c r="W120" s="235"/>
      <c r="X120" s="235"/>
      <c r="Y120" s="235"/>
      <c r="Z120" s="235"/>
      <c r="AA120" s="235"/>
    </row>
    <row r="121" s="4" customFormat="1">
      <c r="B121" s="524"/>
      <c r="D121" s="520"/>
      <c r="I121" s="235"/>
      <c r="J121" s="235"/>
      <c r="K121" s="235"/>
      <c r="L121" s="235"/>
      <c r="M121" s="235"/>
      <c r="N121" s="235"/>
      <c r="O121" s="235"/>
      <c r="P121" s="235"/>
      <c r="Q121" s="235"/>
      <c r="R121" s="235"/>
      <c r="S121" s="235"/>
      <c r="T121" s="235"/>
      <c r="U121" s="235"/>
      <c r="V121" s="235"/>
      <c r="W121" s="235"/>
      <c r="X121" s="235"/>
      <c r="Y121" s="235"/>
      <c r="Z121" s="235"/>
      <c r="AA121" s="235"/>
    </row>
    <row r="122" s="4" customFormat="1">
      <c r="B122" s="524"/>
      <c r="D122" s="520"/>
      <c r="I122" s="235"/>
      <c r="J122" s="235"/>
      <c r="K122" s="235"/>
      <c r="L122" s="235"/>
      <c r="M122" s="235"/>
      <c r="N122" s="235"/>
      <c r="O122" s="235"/>
      <c r="P122" s="235"/>
      <c r="Q122" s="235"/>
      <c r="R122" s="235"/>
      <c r="S122" s="235"/>
      <c r="T122" s="235"/>
      <c r="U122" s="235"/>
      <c r="V122" s="235"/>
      <c r="W122" s="235"/>
      <c r="X122" s="235"/>
      <c r="Y122" s="235"/>
      <c r="Z122" s="235"/>
      <c r="AA122" s="235"/>
    </row>
    <row r="123" s="4" customFormat="1">
      <c r="B123" s="524"/>
      <c r="D123" s="520"/>
      <c r="I123" s="235"/>
      <c r="J123" s="235"/>
      <c r="K123" s="235"/>
      <c r="L123" s="235"/>
      <c r="M123" s="235"/>
      <c r="N123" s="235"/>
      <c r="O123" s="235"/>
      <c r="P123" s="235"/>
      <c r="Q123" s="235"/>
      <c r="R123" s="235"/>
      <c r="S123" s="235"/>
      <c r="T123" s="235"/>
      <c r="U123" s="235"/>
      <c r="V123" s="235"/>
      <c r="W123" s="235"/>
      <c r="X123" s="235"/>
      <c r="Y123" s="235"/>
      <c r="Z123" s="235"/>
      <c r="AA123" s="235"/>
    </row>
    <row r="124" s="4" customFormat="1">
      <c r="B124" s="524"/>
      <c r="D124" s="520"/>
      <c r="I124" s="235"/>
      <c r="J124" s="235"/>
      <c r="K124" s="235"/>
      <c r="L124" s="235"/>
      <c r="M124" s="235"/>
      <c r="N124" s="235"/>
      <c r="O124" s="235"/>
      <c r="P124" s="235"/>
      <c r="Q124" s="235"/>
      <c r="R124" s="235"/>
      <c r="S124" s="235"/>
      <c r="T124" s="235"/>
      <c r="U124" s="235"/>
      <c r="V124" s="235"/>
      <c r="W124" s="235"/>
      <c r="X124" s="235"/>
      <c r="Y124" s="235"/>
      <c r="Z124" s="235"/>
      <c r="AA124" s="235"/>
    </row>
    <row r="125" s="4" customFormat="1">
      <c r="B125" s="524"/>
      <c r="D125" s="520"/>
      <c r="I125" s="235"/>
      <c r="J125" s="235"/>
      <c r="K125" s="235"/>
      <c r="L125" s="235"/>
      <c r="M125" s="235"/>
      <c r="N125" s="235"/>
      <c r="O125" s="235"/>
      <c r="P125" s="235"/>
      <c r="Q125" s="235"/>
      <c r="R125" s="235"/>
      <c r="S125" s="235"/>
      <c r="T125" s="235"/>
      <c r="U125" s="235"/>
      <c r="V125" s="235"/>
      <c r="W125" s="235"/>
      <c r="X125" s="235"/>
      <c r="Y125" s="235"/>
      <c r="Z125" s="235"/>
      <c r="AA125" s="235"/>
    </row>
    <row r="126" s="4" customFormat="1">
      <c r="B126" s="524"/>
      <c r="D126" s="520"/>
      <c r="I126" s="235"/>
      <c r="J126" s="235"/>
      <c r="K126" s="235"/>
      <c r="L126" s="235"/>
      <c r="M126" s="235"/>
      <c r="N126" s="235"/>
      <c r="O126" s="235"/>
      <c r="P126" s="235"/>
      <c r="Q126" s="235"/>
      <c r="R126" s="235"/>
      <c r="S126" s="235"/>
      <c r="T126" s="235"/>
      <c r="U126" s="235"/>
      <c r="V126" s="235"/>
      <c r="W126" s="235"/>
      <c r="X126" s="235"/>
      <c r="Y126" s="235"/>
      <c r="Z126" s="235"/>
      <c r="AA126" s="235"/>
    </row>
    <row r="127" s="4" customFormat="1">
      <c r="B127" s="524"/>
      <c r="D127" s="520"/>
      <c r="I127" s="235"/>
      <c r="J127" s="235"/>
      <c r="K127" s="235"/>
      <c r="L127" s="235"/>
      <c r="M127" s="235"/>
      <c r="N127" s="235"/>
      <c r="O127" s="235"/>
      <c r="P127" s="235"/>
      <c r="Q127" s="235"/>
      <c r="R127" s="235"/>
      <c r="S127" s="235"/>
      <c r="T127" s="235"/>
      <c r="U127" s="235"/>
      <c r="V127" s="235"/>
      <c r="W127" s="235"/>
      <c r="X127" s="235"/>
      <c r="Y127" s="235"/>
      <c r="Z127" s="235"/>
      <c r="AA127" s="235"/>
    </row>
    <row r="128" s="4" customFormat="1">
      <c r="B128" s="524"/>
      <c r="D128" s="520"/>
      <c r="I128" s="235"/>
      <c r="J128" s="235"/>
      <c r="K128" s="235"/>
      <c r="L128" s="235"/>
      <c r="M128" s="235"/>
      <c r="N128" s="235"/>
      <c r="O128" s="235"/>
      <c r="P128" s="235"/>
      <c r="Q128" s="235"/>
      <c r="R128" s="235"/>
      <c r="S128" s="235"/>
      <c r="T128" s="235"/>
      <c r="U128" s="235"/>
      <c r="V128" s="235"/>
      <c r="W128" s="235"/>
      <c r="X128" s="235"/>
      <c r="Y128" s="235"/>
      <c r="Z128" s="235"/>
      <c r="AA128" s="235"/>
    </row>
    <row r="129" s="4" customFormat="1">
      <c r="B129" s="524"/>
      <c r="D129" s="520"/>
      <c r="I129" s="235"/>
      <c r="J129" s="235"/>
      <c r="K129" s="235"/>
      <c r="L129" s="235"/>
      <c r="M129" s="235"/>
      <c r="N129" s="235"/>
      <c r="O129" s="235"/>
      <c r="P129" s="235"/>
      <c r="Q129" s="235"/>
      <c r="R129" s="235"/>
      <c r="S129" s="235"/>
      <c r="T129" s="235"/>
      <c r="U129" s="235"/>
      <c r="V129" s="235"/>
      <c r="W129" s="235"/>
      <c r="X129" s="235"/>
      <c r="Y129" s="235"/>
      <c r="Z129" s="235"/>
      <c r="AA129" s="235"/>
    </row>
    <row r="130" s="4" customFormat="1">
      <c r="B130" s="524"/>
      <c r="D130" s="520"/>
      <c r="I130" s="235"/>
      <c r="J130" s="235"/>
      <c r="K130" s="235"/>
      <c r="L130" s="235"/>
      <c r="M130" s="235"/>
      <c r="N130" s="235"/>
      <c r="O130" s="235"/>
      <c r="P130" s="235"/>
      <c r="Q130" s="235"/>
      <c r="R130" s="235"/>
      <c r="S130" s="235"/>
      <c r="T130" s="235"/>
      <c r="U130" s="235"/>
      <c r="V130" s="235"/>
      <c r="W130" s="235"/>
      <c r="X130" s="235"/>
      <c r="Y130" s="235"/>
      <c r="Z130" s="235"/>
      <c r="AA130" s="235"/>
    </row>
    <row r="131">
      <c r="B131" s="525"/>
      <c r="D131" s="521"/>
    </row>
    <row r="132">
      <c r="B132" s="525"/>
    </row>
    <row r="133">
      <c r="B133" s="525"/>
    </row>
    <row r="134">
      <c r="B134" s="525"/>
    </row>
    <row r="135">
      <c r="B135" s="525"/>
    </row>
    <row r="136">
      <c r="B136" s="525"/>
    </row>
    <row r="137">
      <c r="B137" s="525"/>
    </row>
    <row r="138">
      <c r="B138" s="525"/>
    </row>
    <row r="139">
      <c r="B139" s="525"/>
    </row>
    <row r="140">
      <c r="B140" s="525"/>
    </row>
    <row r="141">
      <c r="B141" s="525"/>
    </row>
    <row r="142">
      <c r="B142" s="525"/>
    </row>
    <row r="143">
      <c r="B143" s="525"/>
    </row>
    <row r="144">
      <c r="B144" s="525"/>
    </row>
    <row r="145">
      <c r="B145" s="525"/>
    </row>
    <row r="146">
      <c r="B146" s="525"/>
    </row>
    <row r="147">
      <c r="B147" s="525"/>
    </row>
    <row r="148">
      <c r="B148" s="525"/>
    </row>
    <row r="149">
      <c r="B149" s="525"/>
    </row>
    <row r="150">
      <c r="B150" s="525"/>
    </row>
    <row r="151">
      <c r="B151" s="525"/>
    </row>
    <row r="152">
      <c r="B152" s="525"/>
    </row>
    <row r="153">
      <c r="B153" s="525"/>
    </row>
  </sheetData>
  <sheetProtection sheet="1" objects="1" scenarios="1"/>
  <mergeCells count="3">
    <mergeCell ref="B62:F62"/>
    <mergeCell ref="B5:E5"/>
    <mergeCell ref="B4:E4"/>
  </mergeCells>
  <phoneticPr fontId="0" type="noConversion"/>
  <printOptions horizontalCentered="1" verticalCentered="1"/>
  <pageMargins left="0.25" right="0.25" top="0.25" bottom="0.25" header="0" footer="0"/>
  <pageSetup scale="57" fitToWidth="1" fitToHeight="1" orientation="landscape" r:id="rId1"/>
  <headerFooter alignWithMargins="0">
    <oddHeader/>
    <oddFooter/>
  </headerFooter>
  <rowBreaks count="1" manualBreakCount="1">
    <brk id="38" max="16383" man="1"/>
  </rowBreaks>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V64"/>
  <sheetViews>
    <sheetView showGridLines="0" workbookViewId="0"/>
  </sheetViews>
  <sheetFormatPr defaultRowHeight="12.75"/>
  <cols>
    <col min="1" max="1" width="1.7109375" style="2" customWidth="1"/>
    <col min="2" max="2" width="8.7109375" customWidth="1"/>
    <col min="3" max="4" width="6.7109375" customWidth="1"/>
    <col min="5" max="6" width="3.7109375" customWidth="1"/>
    <col min="7" max="9" width="10.7109375" customWidth="1"/>
    <col min="10" max="11" width="3.7109375" customWidth="1"/>
    <col min="12" max="12" width="13.7109375" customWidth="1"/>
    <col min="13" max="13" width="13.7109375" style="110" customWidth="1"/>
    <col min="14" max="14" width="10.7109375" customWidth="1"/>
    <col min="15" max="16" width="3.7109375" customWidth="1"/>
    <col min="17" max="17" width="13.7109375" customWidth="1"/>
    <col min="18" max="18" width="13.7109375" style="110" customWidth="1"/>
    <col min="19" max="19" width="10.7109375" customWidth="1"/>
    <col min="20" max="20" width="3.7109375" customWidth="1"/>
    <col min="21" max="21" width="2.7109375" customWidth="1"/>
    <col min="22" max="24" width="7" style="236" customWidth="1"/>
    <col min="25" max="38" width="9.140625" style="236" customWidth="1"/>
  </cols>
  <sheetData>
    <row r="1" ht="26.25" customHeight="1">
      <c r="B1" s="20" t="s">
        <v>127</v>
      </c>
      <c r="C1" s="12"/>
      <c r="D1" s="12"/>
      <c r="E1" s="12"/>
      <c r="F1" s="12"/>
      <c r="G1" s="12"/>
      <c r="H1" s="12"/>
      <c r="I1" s="104"/>
      <c r="J1" s="12"/>
      <c r="K1" s="12"/>
      <c r="L1" s="12"/>
      <c r="M1" s="13"/>
      <c r="N1" s="51"/>
      <c r="O1" s="2"/>
      <c r="P1" s="2"/>
      <c r="Q1" s="2"/>
      <c r="R1" s="22"/>
      <c r="S1" s="51"/>
      <c r="T1" s="2"/>
      <c r="U1" s="2"/>
      <c r="V1" s="236"/>
    </row>
    <row r="2" ht="21.75" customHeight="1">
      <c r="B2" s="935" t="s">
        <v>208</v>
      </c>
      <c r="C2" s="935"/>
      <c r="D2" s="935"/>
      <c r="E2" s="935"/>
      <c r="F2" s="935"/>
      <c r="G2" s="935"/>
      <c r="H2" s="935"/>
      <c r="I2" s="935"/>
      <c r="J2" s="935"/>
      <c r="K2" s="935"/>
      <c r="L2" s="935"/>
      <c r="M2" s="935"/>
      <c r="N2" s="935"/>
      <c r="O2" s="935"/>
      <c r="P2" s="935"/>
      <c r="Q2" s="935"/>
      <c r="R2" s="935"/>
      <c r="S2" s="935"/>
      <c r="T2" s="2"/>
      <c r="U2" s="2"/>
    </row>
    <row r="3" ht="19.5" customHeight="1">
      <c r="A3"/>
      <c r="B3" s="115" t="s">
        <v>209</v>
      </c>
      <c r="C3" s="115"/>
      <c r="D3" s="115"/>
      <c r="E3" s="115"/>
      <c r="F3" s="115"/>
      <c r="G3" s="115"/>
      <c r="H3" s="115"/>
      <c r="I3" s="115"/>
      <c r="J3" s="115"/>
      <c r="K3" s="115"/>
      <c r="L3" s="115"/>
      <c r="M3" s="115"/>
      <c r="N3" s="115"/>
      <c r="O3" s="115"/>
      <c r="P3" s="115"/>
      <c r="Q3" s="115"/>
      <c r="R3" s="115"/>
      <c r="S3" s="115"/>
      <c r="T3" s="2"/>
      <c r="U3" s="2"/>
    </row>
    <row r="4" ht="18.75" customHeight="1">
      <c r="A4"/>
      <c r="B4" s="936" t="s">
        <v>210</v>
      </c>
      <c r="C4" s="936"/>
      <c r="D4" s="936"/>
      <c r="E4" s="936"/>
      <c r="F4" s="936"/>
      <c r="G4" s="936"/>
      <c r="H4" s="936"/>
      <c r="I4" s="936"/>
      <c r="J4" s="936"/>
      <c r="K4" s="936"/>
      <c r="L4" s="936"/>
      <c r="M4" s="936"/>
      <c r="N4" s="936"/>
      <c r="O4" s="936"/>
      <c r="P4" s="936"/>
      <c r="Q4" s="131"/>
      <c r="R4" s="203"/>
      <c r="S4" s="131"/>
      <c r="T4" s="222"/>
      <c r="U4" s="2"/>
    </row>
    <row r="5" ht="12" customHeight="1">
      <c r="A5"/>
      <c r="B5" s="129"/>
      <c r="D5" s="13"/>
      <c r="E5" s="13"/>
      <c r="F5" s="2"/>
      <c r="G5" s="2"/>
      <c r="H5" s="2"/>
      <c r="I5" s="2"/>
      <c r="J5" s="2"/>
      <c r="K5" s="2"/>
      <c r="L5" s="2"/>
      <c r="M5" s="2"/>
      <c r="N5" s="9"/>
      <c r="O5" s="2"/>
      <c r="P5" s="2"/>
      <c r="Q5" s="2"/>
      <c r="R5" s="2"/>
      <c r="S5" s="2"/>
      <c r="T5" s="2"/>
      <c r="U5" s="2"/>
    </row>
    <row r="6" ht="17.1" customHeight="1">
      <c r="B6" s="699" t="s">
        <v>211</v>
      </c>
      <c r="C6" s="937"/>
      <c r="D6" s="937"/>
      <c r="E6" s="937"/>
      <c r="F6" s="937"/>
      <c r="G6" s="937"/>
      <c r="H6" s="937"/>
      <c r="I6" s="937"/>
      <c r="J6" s="937"/>
      <c r="K6" s="937"/>
      <c r="L6" s="937"/>
      <c r="M6" s="937"/>
      <c r="N6" s="937"/>
      <c r="O6" s="937"/>
      <c r="P6" s="937"/>
      <c r="Q6" s="937"/>
      <c r="R6" s="937"/>
      <c r="S6" s="937"/>
      <c r="T6" s="938"/>
      <c r="U6" s="2"/>
    </row>
    <row r="7">
      <c r="B7" s="2"/>
      <c r="C7" s="2"/>
      <c r="D7" s="2"/>
      <c r="E7" s="2"/>
      <c r="F7" s="934" t="s">
        <v>22</v>
      </c>
      <c r="G7" s="934"/>
      <c r="H7" s="934"/>
      <c r="I7" s="934"/>
      <c r="J7" s="934"/>
      <c r="K7" s="934" t="s">
        <v>9</v>
      </c>
      <c r="L7" s="934"/>
      <c r="M7" s="934"/>
      <c r="N7" s="934"/>
      <c r="O7" s="934"/>
      <c r="P7" s="934" t="s">
        <v>10</v>
      </c>
      <c r="Q7" s="934"/>
      <c r="R7" s="934"/>
      <c r="S7" s="934"/>
      <c r="T7" s="934"/>
      <c r="U7" s="2"/>
    </row>
    <row r="8" ht="20.1" customHeight="1">
      <c r="B8" s="2"/>
      <c r="C8" s="2"/>
      <c r="D8" s="2"/>
      <c r="E8" s="2"/>
      <c r="F8" s="934"/>
      <c r="G8" s="934"/>
      <c r="H8" s="934"/>
      <c r="I8" s="934"/>
      <c r="J8" s="934"/>
      <c r="K8" s="934"/>
      <c r="L8" s="934"/>
      <c r="M8" s="934"/>
      <c r="N8" s="934"/>
      <c r="O8" s="934"/>
      <c r="P8" s="934"/>
      <c r="Q8" s="934"/>
      <c r="R8" s="934"/>
      <c r="S8" s="934"/>
      <c r="T8" s="934"/>
      <c r="U8" s="2"/>
    </row>
    <row r="9" ht="20.1" customHeight="1">
      <c r="B9" s="2"/>
      <c r="C9" s="2"/>
      <c r="D9" s="2"/>
      <c r="E9" s="2"/>
      <c r="F9" s="2"/>
      <c r="G9" s="22" t="s">
        <v>25</v>
      </c>
      <c r="H9" s="22" t="s">
        <v>15</v>
      </c>
      <c r="I9" s="593" t="s">
        <v>97</v>
      </c>
      <c r="J9" s="3"/>
      <c r="K9" s="3"/>
      <c r="L9" s="22" t="s">
        <v>25</v>
      </c>
      <c r="M9" s="22" t="s">
        <v>15</v>
      </c>
      <c r="N9" s="593" t="s">
        <v>98</v>
      </c>
      <c r="O9" s="2"/>
      <c r="P9" s="2"/>
      <c r="Q9" s="22" t="s">
        <v>25</v>
      </c>
      <c r="R9" s="22" t="s">
        <v>15</v>
      </c>
      <c r="S9" s="593" t="s">
        <v>99</v>
      </c>
      <c r="T9" s="2"/>
      <c r="U9" s="2"/>
    </row>
    <row r="10" ht="15" customHeight="1">
      <c r="B10" s="2"/>
      <c r="C10" s="17"/>
      <c r="D10" s="17"/>
      <c r="E10" s="17"/>
      <c r="F10" s="165"/>
      <c r="G10" s="164"/>
      <c r="H10" s="166"/>
      <c r="I10" s="176"/>
      <c r="J10" s="7"/>
      <c r="K10" s="165"/>
      <c r="L10" s="164"/>
      <c r="M10" s="168"/>
      <c r="N10" s="176"/>
      <c r="O10" s="7"/>
      <c r="P10" s="142"/>
      <c r="Q10" s="187"/>
      <c r="R10" s="168"/>
      <c r="S10" s="176"/>
      <c r="T10" s="7"/>
      <c r="U10" s="2"/>
    </row>
    <row r="11" ht="20.1" customHeight="1">
      <c r="B11" s="2"/>
      <c r="C11" s="180"/>
      <c r="D11" s="16" t="s">
        <v>42</v>
      </c>
      <c r="E11" s="180"/>
      <c r="F11" s="164"/>
      <c r="G11" s="193">
        <v>86.33919843597262952101661779</v>
      </c>
      <c r="H11" s="193">
        <v>71.345766129032258064516129030</v>
      </c>
      <c r="I11" s="193">
        <v>121.01516757120957024157014752</v>
      </c>
      <c r="J11" s="194"/>
      <c r="K11" s="194"/>
      <c r="L11" s="195">
        <v>319.73223889046136427964902349</v>
      </c>
      <c r="M11" s="195">
        <v>373.58801365830684092782291299</v>
      </c>
      <c r="N11" s="193">
        <v>85.58418022022047744073031072</v>
      </c>
      <c r="O11" s="194"/>
      <c r="P11" s="193"/>
      <c r="Q11" s="195">
        <v>276.05425219941348973607038123</v>
      </c>
      <c r="R11" s="195">
        <v>266.53923051075268817204301075</v>
      </c>
      <c r="S11" s="193">
        <v>103.56983910787869822128096893</v>
      </c>
      <c r="T11" s="141"/>
      <c r="U11" s="2"/>
    </row>
    <row r="12" ht="15" customHeight="1">
      <c r="B12" s="2"/>
      <c r="C12" s="17"/>
      <c r="D12" s="17"/>
      <c r="E12" s="17"/>
      <c r="F12" s="165"/>
      <c r="G12" s="193"/>
      <c r="H12" s="193"/>
      <c r="I12" s="193"/>
      <c r="J12" s="194"/>
      <c r="K12" s="194"/>
      <c r="L12" s="195"/>
      <c r="M12" s="195"/>
      <c r="N12" s="193"/>
      <c r="O12" s="194"/>
      <c r="P12" s="193"/>
      <c r="Q12" s="195"/>
      <c r="R12" s="195"/>
      <c r="S12" s="193"/>
      <c r="T12" s="7"/>
      <c r="U12" s="2"/>
    </row>
    <row r="13" ht="20.1" customHeight="1">
      <c r="B13" s="111"/>
      <c r="C13" s="188"/>
      <c r="D13" s="189" t="s">
        <v>58</v>
      </c>
      <c r="E13" s="188"/>
      <c r="F13" s="169"/>
      <c r="G13" s="196">
        <v>85.02905770029057700290577003</v>
      </c>
      <c r="H13" s="196">
        <v>68.142525736377399429185011360</v>
      </c>
      <c r="I13" s="196">
        <v>124.78119468188456381020198787</v>
      </c>
      <c r="J13" s="197"/>
      <c r="K13" s="197"/>
      <c r="L13" s="198">
        <v>275.60038567627602704615910367</v>
      </c>
      <c r="M13" s="198">
        <v>325.4739442916479457233911508</v>
      </c>
      <c r="N13" s="196">
        <v>84.67663556790246709584700569</v>
      </c>
      <c r="O13" s="197"/>
      <c r="P13" s="196"/>
      <c r="Q13" s="198">
        <v>234.34041095890410958904109589</v>
      </c>
      <c r="R13" s="198">
        <v>221.78616625413884112097974751</v>
      </c>
      <c r="S13" s="196">
        <v>105.66051747809226959503355085</v>
      </c>
      <c r="T13" s="170"/>
      <c r="U13" s="2"/>
    </row>
    <row r="14" ht="15" customHeight="1">
      <c r="B14" s="2"/>
      <c r="C14" s="180"/>
      <c r="D14" s="16"/>
      <c r="E14" s="16"/>
      <c r="F14" s="137"/>
      <c r="G14" s="193"/>
      <c r="H14" s="193"/>
      <c r="I14" s="193"/>
      <c r="J14" s="194"/>
      <c r="K14" s="194"/>
      <c r="L14" s="195"/>
      <c r="M14" s="195"/>
      <c r="N14" s="193"/>
      <c r="O14" s="194"/>
      <c r="P14" s="193"/>
      <c r="Q14" s="195"/>
      <c r="R14" s="195"/>
      <c r="S14" s="193"/>
      <c r="T14" s="7"/>
      <c r="U14" s="2"/>
    </row>
    <row r="15" ht="20.1" customHeight="1">
      <c r="B15" s="2"/>
      <c r="C15" s="180"/>
      <c r="D15" s="16" t="s">
        <v>44</v>
      </c>
      <c r="E15" s="180"/>
      <c r="F15" s="137"/>
      <c r="G15" s="193">
        <v>82.29578392621870882740447958</v>
      </c>
      <c r="H15" s="193">
        <v>72.112771739130434782608695650</v>
      </c>
      <c r="I15" s="193">
        <v>114.12095519495531378414200087</v>
      </c>
      <c r="J15" s="194"/>
      <c r="K15" s="194"/>
      <c r="L15" s="195">
        <v>267.60826495897538523113868321</v>
      </c>
      <c r="M15" s="195">
        <v>317.18024807662113361595226881</v>
      </c>
      <c r="N15" s="193">
        <v>84.37103715687465215960506458</v>
      </c>
      <c r="O15" s="194"/>
      <c r="P15" s="193"/>
      <c r="Q15" s="195">
        <v>220.23031949934123847167325428</v>
      </c>
      <c r="R15" s="195">
        <v>228.72746829710144927536231884</v>
      </c>
      <c r="S15" s="193">
        <v>96.28503351126957952845931626</v>
      </c>
      <c r="T15" s="141"/>
      <c r="U15" s="2"/>
    </row>
    <row r="16" ht="15" customHeight="1">
      <c r="B16" s="2"/>
      <c r="C16" s="180"/>
      <c r="D16" s="16"/>
      <c r="E16" s="180"/>
      <c r="F16" s="137"/>
      <c r="G16" s="193"/>
      <c r="H16" s="193"/>
      <c r="I16" s="193"/>
      <c r="J16" s="194"/>
      <c r="K16" s="194"/>
      <c r="L16" s="195"/>
      <c r="M16" s="195"/>
      <c r="N16" s="193"/>
      <c r="O16" s="194"/>
      <c r="P16" s="193"/>
      <c r="Q16" s="195"/>
      <c r="R16" s="195"/>
      <c r="S16" s="193"/>
      <c r="T16" s="7"/>
      <c r="U16" s="2"/>
    </row>
    <row r="17" ht="20.1" customHeight="1">
      <c r="B17" s="111"/>
      <c r="C17" s="188"/>
      <c r="D17" s="189" t="s">
        <v>45</v>
      </c>
      <c r="E17" s="188"/>
      <c r="F17" s="169"/>
      <c r="G17" s="196">
        <v>85.02905770029057700290577003</v>
      </c>
      <c r="H17" s="196">
        <v>68.142525736377399429185011360</v>
      </c>
      <c r="I17" s="196">
        <v>124.78119468188456381020198787</v>
      </c>
      <c r="J17" s="197"/>
      <c r="K17" s="197"/>
      <c r="L17" s="198">
        <v>275.60038567627602704615910367</v>
      </c>
      <c r="M17" s="198">
        <v>325.4739442916479457233911508</v>
      </c>
      <c r="N17" s="196">
        <v>84.67663556790246709584700569</v>
      </c>
      <c r="O17" s="197"/>
      <c r="P17" s="196"/>
      <c r="Q17" s="198">
        <v>234.34041095890410958904109589</v>
      </c>
      <c r="R17" s="198">
        <v>221.78616625413884112097974751</v>
      </c>
      <c r="S17" s="196">
        <v>105.66051747809226959503355085</v>
      </c>
      <c r="T17" s="170"/>
      <c r="U17" s="2"/>
    </row>
    <row r="18" ht="15" customHeight="1">
      <c r="B18" s="2"/>
      <c r="C18" s="16"/>
      <c r="D18" s="16"/>
      <c r="E18" s="16"/>
      <c r="F18" s="137"/>
      <c r="G18" s="191"/>
      <c r="H18" s="192"/>
      <c r="I18" s="187"/>
      <c r="J18" s="141"/>
      <c r="K18" s="137"/>
      <c r="L18" s="191"/>
      <c r="M18" s="192"/>
      <c r="N18" s="187"/>
      <c r="O18" s="141"/>
      <c r="P18" s="190"/>
      <c r="Q18" s="141"/>
      <c r="R18" s="192"/>
      <c r="S18" s="187"/>
      <c r="T18" s="141"/>
      <c r="U18" s="2"/>
    </row>
    <row r="19" ht="15" customHeight="1">
      <c r="B19" s="2"/>
      <c r="C19" s="16"/>
      <c r="D19" s="16"/>
      <c r="E19" s="16"/>
      <c r="F19" s="137"/>
      <c r="G19" s="138"/>
      <c r="H19" s="139"/>
      <c r="I19" s="140"/>
      <c r="J19" s="141"/>
      <c r="K19" s="137"/>
      <c r="L19" s="138"/>
      <c r="M19" s="139"/>
      <c r="N19" s="140"/>
      <c r="O19" s="141"/>
      <c r="P19" s="142"/>
      <c r="Q19" s="141"/>
      <c r="R19" s="157"/>
      <c r="S19" s="140"/>
      <c r="T19" s="141"/>
      <c r="U19" s="2"/>
    </row>
    <row r="20" ht="17.1" customHeight="1">
      <c r="B20" s="699" t="s">
        <v>212</v>
      </c>
      <c r="C20" s="937"/>
      <c r="D20" s="937"/>
      <c r="E20" s="937"/>
      <c r="F20" s="937"/>
      <c r="G20" s="937"/>
      <c r="H20" s="937"/>
      <c r="I20" s="937"/>
      <c r="J20" s="937"/>
      <c r="K20" s="937"/>
      <c r="L20" s="937"/>
      <c r="M20" s="937"/>
      <c r="N20" s="937"/>
      <c r="O20" s="937"/>
      <c r="P20" s="937"/>
      <c r="Q20" s="937"/>
      <c r="R20" s="937"/>
      <c r="S20" s="937"/>
      <c r="T20" s="938"/>
      <c r="U20" s="2"/>
    </row>
    <row r="21">
      <c r="B21" s="2"/>
      <c r="C21" s="2"/>
      <c r="D21" s="2"/>
      <c r="E21" s="2"/>
      <c r="F21" s="934" t="s">
        <v>72</v>
      </c>
      <c r="G21" s="934"/>
      <c r="H21" s="934"/>
      <c r="I21" s="934"/>
      <c r="J21" s="934"/>
      <c r="K21" s="934" t="s">
        <v>9</v>
      </c>
      <c r="L21" s="934"/>
      <c r="M21" s="934"/>
      <c r="N21" s="934"/>
      <c r="O21" s="934"/>
      <c r="P21" s="934" t="s">
        <v>10</v>
      </c>
      <c r="Q21" s="934"/>
      <c r="R21" s="934"/>
      <c r="S21" s="934"/>
      <c r="T21" s="934"/>
      <c r="U21" s="2"/>
    </row>
    <row r="22" ht="20.1" customHeight="1">
      <c r="B22" s="2"/>
      <c r="C22" s="2"/>
      <c r="D22" s="2"/>
      <c r="E22" s="2"/>
      <c r="F22" s="934"/>
      <c r="G22" s="934"/>
      <c r="H22" s="934"/>
      <c r="I22" s="934"/>
      <c r="J22" s="934"/>
      <c r="K22" s="934"/>
      <c r="L22" s="934"/>
      <c r="M22" s="934"/>
      <c r="N22" s="934"/>
      <c r="O22" s="934"/>
      <c r="P22" s="934"/>
      <c r="Q22" s="934"/>
      <c r="R22" s="934"/>
      <c r="S22" s="934"/>
      <c r="T22" s="934"/>
      <c r="U22" s="2"/>
    </row>
    <row r="23" ht="20.1" customHeight="1">
      <c r="B23" s="2"/>
      <c r="C23" s="2"/>
      <c r="D23" s="2"/>
      <c r="E23" s="2"/>
      <c r="F23" s="2"/>
      <c r="G23" s="22" t="s">
        <v>25</v>
      </c>
      <c r="H23" s="22" t="s">
        <v>15</v>
      </c>
      <c r="I23" s="593" t="s">
        <v>97</v>
      </c>
      <c r="J23" s="3"/>
      <c r="K23" s="3"/>
      <c r="L23" s="22" t="s">
        <v>25</v>
      </c>
      <c r="M23" s="22" t="s">
        <v>15</v>
      </c>
      <c r="N23" s="593" t="s">
        <v>98</v>
      </c>
      <c r="O23" s="2"/>
      <c r="P23" s="2"/>
      <c r="Q23" s="22" t="s">
        <v>25</v>
      </c>
      <c r="R23" s="22" t="s">
        <v>15</v>
      </c>
      <c r="S23" s="593" t="s">
        <v>99</v>
      </c>
      <c r="T23" s="2"/>
      <c r="U23" s="2"/>
    </row>
    <row r="24" ht="15" customHeight="1">
      <c r="B24" s="2"/>
      <c r="C24" s="17"/>
      <c r="D24" s="17"/>
      <c r="E24" s="17"/>
      <c r="F24" s="165"/>
      <c r="G24" s="164"/>
      <c r="H24" s="166"/>
      <c r="I24" s="176"/>
      <c r="J24" s="7"/>
      <c r="K24" s="165"/>
      <c r="L24" s="164"/>
      <c r="M24" s="168"/>
      <c r="N24" s="176"/>
      <c r="O24" s="7"/>
      <c r="P24" s="142"/>
      <c r="Q24" s="187"/>
      <c r="R24" s="168"/>
      <c r="S24" s="176"/>
      <c r="T24" s="7"/>
      <c r="U24" s="2"/>
    </row>
    <row r="25" ht="20.1" customHeight="1">
      <c r="B25" s="2"/>
      <c r="C25" s="180"/>
      <c r="D25" s="16" t="s">
        <v>42</v>
      </c>
      <c r="E25" s="180"/>
      <c r="F25" s="164"/>
      <c r="G25" s="193">
        <v>-7.7786478726522018884396566100</v>
      </c>
      <c r="H25" s="193">
        <v>13.549825044599097958301731990</v>
      </c>
      <c r="I25" s="193">
        <v>-18.783360440053229451018440160</v>
      </c>
      <c r="J25" s="193"/>
      <c r="K25" s="193"/>
      <c r="L25" s="193">
        <v>-5.1198492329308838951420960200</v>
      </c>
      <c r="M25" s="193">
        <v>-12.976447383096689005693377690</v>
      </c>
      <c r="N25" s="193">
        <v>9.028128493857597995173151010</v>
      </c>
      <c r="O25" s="193"/>
      <c r="P25" s="193"/>
      <c r="Q25" s="193">
        <v>-12.500242062100870585097259470</v>
      </c>
      <c r="R25" s="193">
        <v>-1.1849082558581411484459643500</v>
      </c>
      <c r="S25" s="193">
        <v>-11.451017862299144093358157120</v>
      </c>
      <c r="T25" s="141"/>
      <c r="U25" s="2"/>
    </row>
    <row r="26" ht="15" customHeight="1">
      <c r="B26" s="2"/>
      <c r="C26" s="17"/>
      <c r="D26" s="17"/>
      <c r="E26" s="17"/>
      <c r="F26" s="165"/>
      <c r="G26" s="193"/>
      <c r="H26" s="193"/>
      <c r="I26" s="193"/>
      <c r="J26" s="193"/>
      <c r="K26" s="193"/>
      <c r="L26" s="193"/>
      <c r="M26" s="193"/>
      <c r="N26" s="193"/>
      <c r="O26" s="193"/>
      <c r="P26" s="193"/>
      <c r="Q26" s="193"/>
      <c r="R26" s="193"/>
      <c r="S26" s="193"/>
      <c r="T26" s="7"/>
      <c r="U26" s="2"/>
    </row>
    <row r="27" ht="20.1" customHeight="1">
      <c r="B27" s="111"/>
      <c r="C27" s="188"/>
      <c r="D27" s="189" t="s">
        <v>58</v>
      </c>
      <c r="E27" s="188"/>
      <c r="F27" s="169"/>
      <c r="G27" s="196">
        <v>1.989145588536662112782954400</v>
      </c>
      <c r="H27" s="196">
        <v>6.1133258352292565291292786200</v>
      </c>
      <c r="I27" s="196">
        <v>-3.8865808928874147870007314100</v>
      </c>
      <c r="J27" s="196"/>
      <c r="K27" s="196"/>
      <c r="L27" s="196">
        <v>17.904096670558583726120748430</v>
      </c>
      <c r="M27" s="196">
        <v>13.590463695740310542987316250</v>
      </c>
      <c r="N27" s="196">
        <v>3.7975309146087264515578459700</v>
      </c>
      <c r="O27" s="196"/>
      <c r="P27" s="196"/>
      <c r="Q27" s="196">
        <v>20.249380808160366492609650750</v>
      </c>
      <c r="R27" s="196">
        <v>20.534618859240013532904122520</v>
      </c>
      <c r="S27" s="196">
        <v>-0.2366440892350585880210638100</v>
      </c>
      <c r="T27" s="170"/>
      <c r="U27" s="2"/>
    </row>
    <row r="28" ht="15" customHeight="1">
      <c r="B28" s="2"/>
      <c r="C28" s="180"/>
      <c r="D28" s="16"/>
      <c r="E28" s="16"/>
      <c r="F28" s="137"/>
      <c r="G28" s="193"/>
      <c r="H28" s="193"/>
      <c r="I28" s="193"/>
      <c r="J28" s="193"/>
      <c r="K28" s="193"/>
      <c r="L28" s="193"/>
      <c r="M28" s="193"/>
      <c r="N28" s="193"/>
      <c r="O28" s="193"/>
      <c r="P28" s="193"/>
      <c r="Q28" s="193"/>
      <c r="R28" s="193"/>
      <c r="S28" s="193"/>
      <c r="T28" s="7"/>
      <c r="U28" s="2"/>
    </row>
    <row r="29" ht="20.1" customHeight="1">
      <c r="B29" s="2"/>
      <c r="C29" s="180"/>
      <c r="D29" s="16" t="s">
        <v>44</v>
      </c>
      <c r="E29" s="180"/>
      <c r="F29" s="137"/>
      <c r="G29" s="193">
        <v>-1.7692156477835750336517015900</v>
      </c>
      <c r="H29" s="193">
        <v>31.334540924082479144908805880</v>
      </c>
      <c r="I29" s="193">
        <v>-25.205674256639557499999890340</v>
      </c>
      <c r="J29" s="193"/>
      <c r="K29" s="193"/>
      <c r="L29" s="193">
        <v>3.7267022814375971313477932500</v>
      </c>
      <c r="M29" s="193">
        <v>-3.5213964327677011398140308800</v>
      </c>
      <c r="N29" s="193">
        <v>7.5126488633434807791035964100</v>
      </c>
      <c r="O29" s="193"/>
      <c r="P29" s="193"/>
      <c r="Q29" s="193">
        <v>1.8915532337768083904659682600</v>
      </c>
      <c r="R29" s="193">
        <v>26.709731085045564630684386750</v>
      </c>
      <c r="S29" s="193">
        <v>-19.586639193933120944521819900</v>
      </c>
      <c r="T29" s="141"/>
      <c r="U29" s="2"/>
    </row>
    <row r="30" ht="15" customHeight="1">
      <c r="B30" s="2"/>
      <c r="C30" s="180"/>
      <c r="D30" s="16"/>
      <c r="E30" s="180"/>
      <c r="F30" s="137"/>
      <c r="G30" s="193"/>
      <c r="H30" s="193"/>
      <c r="I30" s="193"/>
      <c r="J30" s="193"/>
      <c r="K30" s="193"/>
      <c r="L30" s="193"/>
      <c r="M30" s="193"/>
      <c r="N30" s="193"/>
      <c r="O30" s="193"/>
      <c r="P30" s="193"/>
      <c r="Q30" s="193"/>
      <c r="R30" s="193"/>
      <c r="S30" s="193"/>
      <c r="T30" s="7"/>
      <c r="U30" s="2"/>
    </row>
    <row r="31" ht="20.1" customHeight="1">
      <c r="B31" s="111"/>
      <c r="C31" s="188"/>
      <c r="D31" s="189" t="s">
        <v>45</v>
      </c>
      <c r="E31" s="188"/>
      <c r="F31" s="169"/>
      <c r="G31" s="196">
        <v>1.989145588536662112782954400</v>
      </c>
      <c r="H31" s="196">
        <v>6.1133258352292565291292786200</v>
      </c>
      <c r="I31" s="196">
        <v>-3.8865808928874147870007314100</v>
      </c>
      <c r="J31" s="196"/>
      <c r="K31" s="196"/>
      <c r="L31" s="196">
        <v>17.904096670558583726120748430</v>
      </c>
      <c r="M31" s="196">
        <v>13.590463695740310542987316250</v>
      </c>
      <c r="N31" s="196">
        <v>3.7975309146087264515578459700</v>
      </c>
      <c r="O31" s="196"/>
      <c r="P31" s="196"/>
      <c r="Q31" s="196">
        <v>20.249380808160366492609650750</v>
      </c>
      <c r="R31" s="196">
        <v>20.534618859240013532904122520</v>
      </c>
      <c r="S31" s="196">
        <v>-0.2366440892350585880210638100</v>
      </c>
      <c r="T31" s="170"/>
      <c r="U31" s="2"/>
    </row>
    <row r="32" ht="15" customHeight="1">
      <c r="B32" s="2"/>
      <c r="C32" s="16"/>
      <c r="D32" s="16"/>
      <c r="E32" s="16"/>
      <c r="F32" s="137"/>
      <c r="G32" s="191"/>
      <c r="H32" s="192"/>
      <c r="I32" s="187"/>
      <c r="J32" s="141"/>
      <c r="K32" s="137"/>
      <c r="L32" s="191"/>
      <c r="M32" s="192"/>
      <c r="N32" s="187"/>
      <c r="O32" s="141"/>
      <c r="P32" s="190"/>
      <c r="Q32" s="141"/>
      <c r="R32" s="192"/>
      <c r="S32" s="187"/>
      <c r="T32" s="141"/>
      <c r="U32" s="2"/>
    </row>
    <row r="33" ht="15" customHeight="1">
      <c r="B33" s="2"/>
      <c r="C33" s="16"/>
      <c r="D33" s="0"/>
      <c r="E33" s="0"/>
      <c r="F33" s="137"/>
      <c r="G33" s="138"/>
      <c r="H33" s="139"/>
      <c r="I33" s="140"/>
      <c r="J33" s="141"/>
      <c r="K33" s="137"/>
      <c r="L33" s="138"/>
      <c r="M33" s="139"/>
      <c r="N33" s="140"/>
      <c r="O33" s="141"/>
      <c r="P33" s="142"/>
      <c r="Q33" s="141"/>
      <c r="R33" s="139"/>
      <c r="S33" s="140"/>
      <c r="T33" s="141"/>
      <c r="U33" s="2"/>
    </row>
    <row r="34" ht="39.95" customHeight="1">
      <c r="B34" s="933" t="s">
        <v>126</v>
      </c>
      <c r="C34" s="933"/>
      <c r="D34" s="933"/>
      <c r="E34" s="933"/>
      <c r="F34" s="933"/>
      <c r="G34" s="933"/>
      <c r="H34" s="933"/>
      <c r="I34" s="933"/>
      <c r="J34" s="933"/>
      <c r="K34" s="933"/>
      <c r="L34" s="933"/>
      <c r="M34" s="933"/>
      <c r="N34" s="933"/>
      <c r="O34" s="933"/>
      <c r="P34" s="933"/>
      <c r="Q34" s="933"/>
      <c r="R34" s="933"/>
      <c r="S34" s="933"/>
      <c r="T34" s="933"/>
      <c r="U34" s="2"/>
    </row>
    <row r="35" ht="18">
      <c r="B35" s="2"/>
      <c r="C35" s="2"/>
      <c r="D35" s="2"/>
      <c r="E35" s="2"/>
      <c r="F35" s="2"/>
      <c r="G35" s="2"/>
      <c r="H35" s="106"/>
      <c r="I35" s="107"/>
      <c r="J35" s="127"/>
      <c r="K35" s="108"/>
      <c r="L35" s="2"/>
      <c r="M35" s="106"/>
      <c r="N35" s="107"/>
      <c r="O35" s="127"/>
      <c r="P35" s="2"/>
      <c r="Q35" s="2"/>
      <c r="R35" s="13"/>
      <c r="S35" s="51"/>
      <c r="T35" s="2"/>
      <c r="U35" s="2"/>
    </row>
    <row r="36" s="236" customFormat="1">
      <c r="A36" s="236"/>
    </row>
    <row r="37" s="236" customFormat="1"/>
    <row r="38" s="236" customFormat="1"/>
    <row r="39" s="236" customFormat="1"/>
    <row r="40" s="236" customFormat="1"/>
    <row r="41" s="236" customFormat="1"/>
    <row r="42" s="236" customFormat="1"/>
    <row r="43" s="236" customFormat="1"/>
    <row r="44" s="236" customFormat="1"/>
    <row r="45" s="236" customFormat="1"/>
    <row r="46" s="236" customFormat="1"/>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sheetData>
  <mergeCells count="12">
    <mergeCell ref="B34:T34"/>
    <mergeCell ref="K21:O22"/>
    <mergeCell ref="P21:T22"/>
    <mergeCell ref="F21:J22"/>
    <mergeCell ref="K7:O8"/>
    <mergeCell ref="P7:T8"/>
    <mergeCell ref="B2:S2"/>
    <mergeCell ref="B3:S3"/>
    <mergeCell ref="B4:P4"/>
    <mergeCell ref="B6:T6"/>
    <mergeCell ref="B20:T20"/>
    <mergeCell ref="F7:J8"/>
  </mergeCells>
  <phoneticPr fontId="12" type="noConversion"/>
  <printOptions horizontalCentered="1" verticalCentered="1"/>
  <pageMargins left="0.25" right="0.25" top="0.25" bottom="0.25" header="0" footer="0"/>
  <pageSetup scale="86" fitToWidth="1" fitToHeight="1" orientation="landscape" r:id="rId1"/>
  <headerFooter alignWithMargins="0">
    <oddHeader/>
    <oddFooter/>
  </headerFooter>
  <rowBreaks count="1" manualBreakCount="1">
    <brk id="36" max="16383" man="1"/>
  </rowBreaks>
  <colBreaks count="1" manualBreakCount="1">
    <brk id="22" max="1048575" man="1"/>
  </colBreaks>
  <drawing r:id="rId76"/>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pageSetUpPr fitToPage="1"/>
  </sheetPr>
  <dimension ref="A1:AI82"/>
  <sheetViews>
    <sheetView showGridLines="0" zoomScale="80" workbookViewId="0"/>
  </sheetViews>
  <sheetFormatPr defaultRowHeight="12.75"/>
  <cols>
    <col min="1" max="1" width="2.7109375" customWidth="1"/>
    <col min="2" max="2" width="17.7109375" customWidth="1"/>
    <col min="3" max="3" width="19" customWidth="1"/>
    <col min="4" max="4" width="2.7109375" customWidth="1"/>
    <col min="5" max="12" width="12.7109375" customWidth="1"/>
    <col min="13" max="13" width="2.7109375" customWidth="1"/>
    <col min="14" max="14" width="11.7109375" customWidth="1"/>
    <col min="15" max="15" width="1.7109375" customWidth="1"/>
    <col min="16" max="16" width="10.7109375" style="9" customWidth="1"/>
    <col min="17" max="17" width="1.7109375" style="9" customWidth="1"/>
    <col min="18" max="18" width="10.7109375" customWidth="1"/>
    <col min="19" max="19" width="1.7109375" customWidth="1"/>
    <col min="20" max="20" width="10.7109375" customWidth="1"/>
    <col min="21" max="21" width="2.7109375" customWidth="1"/>
    <col min="22" max="23" width="11.7109375" style="236" customWidth="1"/>
    <col min="24" max="24" width="5.7109375" style="236" customWidth="1"/>
    <col min="25" max="35" width="9.140625" style="236" customWidth="1"/>
  </cols>
  <sheetData>
    <row r="1" ht="30.75" customHeight="1">
      <c r="B1" s="20" t="s">
        <v>129</v>
      </c>
      <c r="E1" s="12"/>
      <c r="F1" s="12"/>
      <c r="G1" s="12"/>
      <c r="H1" s="12"/>
      <c r="I1" s="12"/>
      <c r="J1" s="12"/>
      <c r="K1" s="12"/>
      <c r="L1" s="12"/>
      <c r="M1" s="12"/>
      <c r="N1" s="12"/>
      <c r="O1" s="12"/>
      <c r="Q1" s="231"/>
      <c r="R1" s="2"/>
      <c r="S1" s="2"/>
      <c r="T1" s="2"/>
      <c r="U1" s="2"/>
      <c r="V1" s="236"/>
    </row>
    <row r="2" ht="18" customHeight="1">
      <c r="B2" s="948" t="s">
        <v>208</v>
      </c>
      <c r="C2" s="948"/>
      <c r="D2" s="948"/>
      <c r="E2" s="948"/>
      <c r="F2" s="948"/>
      <c r="G2" s="948"/>
      <c r="H2" s="948"/>
      <c r="I2" s="948"/>
      <c r="J2" s="948"/>
      <c r="K2" s="948"/>
      <c r="L2" s="948"/>
      <c r="M2" s="948"/>
      <c r="N2" s="948"/>
      <c r="O2" s="948"/>
      <c r="P2" s="948"/>
      <c r="Q2" s="948"/>
      <c r="R2" s="948"/>
      <c r="S2" s="948"/>
      <c r="T2" s="948"/>
      <c r="U2" s="2"/>
    </row>
    <row r="3" ht="18" customHeight="1">
      <c r="B3" s="947" t="s">
        <v>209</v>
      </c>
      <c r="C3" s="947"/>
      <c r="D3" s="947"/>
      <c r="E3" s="947"/>
      <c r="F3" s="947"/>
      <c r="G3" s="947"/>
      <c r="H3" s="947"/>
      <c r="I3" s="947"/>
      <c r="J3" s="947"/>
      <c r="K3" s="947"/>
      <c r="L3" s="947"/>
      <c r="M3" s="947"/>
      <c r="N3" s="947"/>
      <c r="O3" s="947"/>
      <c r="P3" s="947"/>
      <c r="Q3" s="947"/>
      <c r="R3" s="947"/>
      <c r="S3" s="947"/>
      <c r="T3" s="947"/>
      <c r="U3" s="2"/>
    </row>
    <row r="4" ht="18" customHeight="1">
      <c r="B4" s="947" t="s">
        <v>210</v>
      </c>
      <c r="C4" s="947"/>
      <c r="D4" s="947"/>
      <c r="E4" s="947"/>
      <c r="F4" s="947"/>
      <c r="G4" s="947"/>
      <c r="H4" s="947"/>
      <c r="I4" s="947"/>
      <c r="J4" s="947"/>
      <c r="K4" s="947"/>
      <c r="L4" s="947"/>
      <c r="M4" s="947"/>
      <c r="N4" s="947"/>
      <c r="O4" s="947"/>
      <c r="P4" s="947"/>
      <c r="Q4" s="947"/>
      <c r="R4" s="947"/>
      <c r="S4" s="947"/>
      <c r="T4" s="947"/>
      <c r="U4" s="2"/>
    </row>
    <row r="5" s="122" customFormat="1" ht="21" customHeight="1">
      <c r="B5" s="163"/>
      <c r="C5" s="163"/>
      <c r="D5" s="163"/>
      <c r="E5" s="719" t="s">
        <v>22</v>
      </c>
      <c r="F5" s="719"/>
      <c r="G5" s="719"/>
      <c r="H5" s="719"/>
      <c r="I5" s="719"/>
      <c r="J5" s="719"/>
      <c r="K5" s="719"/>
      <c r="L5" s="951"/>
      <c r="M5" s="537"/>
      <c r="N5" s="714" t="s">
        <v>28</v>
      </c>
      <c r="O5" s="714"/>
      <c r="P5" s="714"/>
      <c r="Q5" s="714"/>
      <c r="R5" s="714"/>
      <c r="S5" s="714"/>
      <c r="T5" s="715"/>
      <c r="V5" s="236"/>
      <c r="W5" s="236"/>
      <c r="X5" s="236"/>
      <c r="Y5" s="236"/>
      <c r="Z5" s="236"/>
      <c r="AA5" s="236"/>
      <c r="AB5" s="236"/>
      <c r="AC5" s="236"/>
      <c r="AD5" s="236"/>
      <c r="AE5" s="236"/>
      <c r="AF5" s="236"/>
      <c r="AG5" s="236"/>
      <c r="AH5" s="236"/>
      <c r="AI5" s="236"/>
    </row>
    <row r="6" s="122" customFormat="1" ht="15.75" customHeight="1">
      <c r="B6" s="723"/>
      <c r="C6" s="723"/>
      <c r="D6" s="163"/>
      <c r="E6" s="749" t="s">
        <v>42</v>
      </c>
      <c r="F6" s="711" t="s">
        <v>24</v>
      </c>
      <c r="G6" s="751" t="s">
        <v>37</v>
      </c>
      <c r="H6" s="724" t="s">
        <v>24</v>
      </c>
      <c r="I6" s="751" t="s">
        <v>44</v>
      </c>
      <c r="J6" s="711" t="s">
        <v>24</v>
      </c>
      <c r="K6" s="751" t="s">
        <v>45</v>
      </c>
      <c r="L6" s="711" t="s">
        <v>24</v>
      </c>
      <c r="M6" s="538"/>
      <c r="N6" s="711" t="s">
        <v>63</v>
      </c>
      <c r="O6" s="710" t="s">
        <v>64</v>
      </c>
      <c r="P6" s="754"/>
      <c r="Q6" s="710" t="s">
        <v>65</v>
      </c>
      <c r="R6" s="754"/>
      <c r="S6" s="710" t="s">
        <v>66</v>
      </c>
      <c r="T6" s="754"/>
      <c r="V6" s="236"/>
      <c r="W6" s="236"/>
      <c r="X6" s="236"/>
      <c r="Y6" s="236"/>
      <c r="Z6" s="236"/>
      <c r="AA6" s="236"/>
      <c r="AB6" s="236"/>
      <c r="AC6" s="236"/>
      <c r="AD6" s="236"/>
      <c r="AE6" s="236"/>
      <c r="AF6" s="236"/>
      <c r="AG6" s="236"/>
      <c r="AH6" s="236"/>
      <c r="AI6" s="236"/>
    </row>
    <row r="7" s="122" customFormat="1" ht="24" customHeight="1">
      <c r="B7" s="776"/>
      <c r="C7" s="776"/>
      <c r="D7" s="163"/>
      <c r="E7" s="940"/>
      <c r="F7" s="939"/>
      <c r="G7" s="943"/>
      <c r="H7" s="952"/>
      <c r="I7" s="943"/>
      <c r="J7" s="939"/>
      <c r="K7" s="943"/>
      <c r="L7" s="939"/>
      <c r="M7" s="539"/>
      <c r="N7" s="939"/>
      <c r="O7" s="845"/>
      <c r="P7" s="944"/>
      <c r="Q7" s="845"/>
      <c r="R7" s="944"/>
      <c r="S7" s="845"/>
      <c r="T7" s="944"/>
      <c r="V7" s="236"/>
      <c r="W7" s="236"/>
      <c r="X7" s="236"/>
      <c r="Y7" s="236"/>
      <c r="Z7" s="236"/>
      <c r="AA7" s="236"/>
      <c r="AB7" s="236"/>
      <c r="AC7" s="236"/>
      <c r="AD7" s="236"/>
      <c r="AE7" s="236"/>
      <c r="AF7" s="236"/>
      <c r="AG7" s="236"/>
      <c r="AH7" s="236"/>
      <c r="AI7" s="236"/>
    </row>
    <row r="8" ht="20.1" customHeight="1">
      <c r="B8" s="717" t="s">
        <v>213</v>
      </c>
      <c r="C8" s="347"/>
      <c r="D8" s="345"/>
      <c r="E8" s="238">
        <v>86.33919843597262952101661779</v>
      </c>
      <c r="F8" s="239">
        <v>-7.7786478726522018884396566100</v>
      </c>
      <c r="G8" s="238">
        <v>85.02905770029057700290577003</v>
      </c>
      <c r="H8" s="239">
        <v>1.989145588536662112782954400</v>
      </c>
      <c r="I8" s="238">
        <v>82.29578392621870882740447958</v>
      </c>
      <c r="J8" s="239">
        <v>-1.7692156477835750336517015900</v>
      </c>
      <c r="K8" s="238">
        <v>85.02905770029057700290577003</v>
      </c>
      <c r="L8" s="239">
        <v>1.989145588536662112782954400</v>
      </c>
      <c r="M8" s="540"/>
      <c r="N8" s="156">
        <v>0</v>
      </c>
      <c r="O8" s="156"/>
      <c r="P8" s="156">
        <v>0</v>
      </c>
      <c r="Q8" s="156"/>
      <c r="R8" s="156">
        <v>0</v>
      </c>
      <c r="S8" s="156"/>
      <c r="T8" s="243">
        <v>0</v>
      </c>
    </row>
    <row r="9" ht="20.1" customHeight="1">
      <c r="B9" s="708" t="s">
        <v>214</v>
      </c>
      <c r="C9" s="950"/>
      <c r="D9" s="345"/>
      <c r="E9" s="240">
        <v>70.855266931279425045665629410</v>
      </c>
      <c r="F9" s="241">
        <v>-4.7726062200879409715440544500</v>
      </c>
      <c r="G9" s="240">
        <v>72.124347376480649689986698110</v>
      </c>
      <c r="H9" s="241">
        <v>7.961118059512440268369550410</v>
      </c>
      <c r="I9" s="240">
        <v>70.823317174103584279733111720</v>
      </c>
      <c r="J9" s="241">
        <v>3.1354388202009635393270857700</v>
      </c>
      <c r="K9" s="240">
        <v>72.124347376480649689986698110</v>
      </c>
      <c r="L9" s="241">
        <v>7.961118059512440268369550410</v>
      </c>
      <c r="M9" s="540"/>
      <c r="N9" s="121">
        <v>4.6584242730082634201728379500</v>
      </c>
      <c r="O9" s="121"/>
      <c r="P9" s="121">
        <v>4.3872339412214011613599028600</v>
      </c>
      <c r="Q9" s="121"/>
      <c r="R9" s="121">
        <v>4.2775387278115652869687052500</v>
      </c>
      <c r="S9" s="121"/>
      <c r="T9" s="241">
        <v>4.3872339412214011613599028600</v>
      </c>
    </row>
    <row r="10" ht="20.1" customHeight="1">
      <c r="B10" s="706" t="s">
        <v>215</v>
      </c>
      <c r="C10" s="949"/>
      <c r="D10" s="345"/>
      <c r="E10" s="242">
        <v>71.203896194903179089486346970</v>
      </c>
      <c r="F10" s="243">
        <v>-4.448902375032215826575092600</v>
      </c>
      <c r="G10" s="242">
        <v>71.506316249742937520340380670</v>
      </c>
      <c r="H10" s="243">
        <v>9.860570586865155597533406560</v>
      </c>
      <c r="I10" s="242">
        <v>70.063737397199333887115124940</v>
      </c>
      <c r="J10" s="243">
        <v>3.9366552541250946760314543100</v>
      </c>
      <c r="K10" s="242">
        <v>71.506316249742937520340380670</v>
      </c>
      <c r="L10" s="243">
        <v>9.860570586865155597533406560</v>
      </c>
      <c r="M10" s="540"/>
      <c r="N10" s="156">
        <v>1.313183185386251925757464600</v>
      </c>
      <c r="O10" s="156"/>
      <c r="P10" s="156">
        <v>3.960150452880106589817052500</v>
      </c>
      <c r="Q10" s="156"/>
      <c r="R10" s="156">
        <v>0.9862831580462306315504062700</v>
      </c>
      <c r="S10" s="156"/>
      <c r="T10" s="243">
        <v>3.960150452880106589817052500</v>
      </c>
    </row>
    <row r="11" ht="20.1" customHeight="1">
      <c r="B11" s="708" t="s">
        <v>216</v>
      </c>
      <c r="C11" s="950"/>
      <c r="D11" s="345"/>
      <c r="E11" s="240">
        <v>66.134276958073994502543363560</v>
      </c>
      <c r="F11" s="241">
        <v>-5.965380884091404375060391400</v>
      </c>
      <c r="G11" s="240">
        <v>68.264070564478669354072193720</v>
      </c>
      <c r="H11" s="241">
        <v>5.6549045520131428964199463900</v>
      </c>
      <c r="I11" s="240">
        <v>65.602870261081135649482612690</v>
      </c>
      <c r="J11" s="241">
        <v>3.0684501218001981453205414100</v>
      </c>
      <c r="K11" s="240">
        <v>68.264070564478669354072193720</v>
      </c>
      <c r="L11" s="241">
        <v>5.6549045520131428964199463900</v>
      </c>
      <c r="M11" s="540"/>
      <c r="N11" s="121">
        <v>0.4091105778686912395263758300</v>
      </c>
      <c r="O11" s="121"/>
      <c r="P11" s="121">
        <v>3.3458388288365382897139385900</v>
      </c>
      <c r="Q11" s="121"/>
      <c r="R11" s="121">
        <v>0.6908699909459489018692691100</v>
      </c>
      <c r="S11" s="121"/>
      <c r="T11" s="241">
        <v>3.3458388288365382897139385900</v>
      </c>
    </row>
    <row r="12" ht="20.1" customHeight="1">
      <c r="B12" s="706" t="s">
        <v>217</v>
      </c>
      <c r="C12" s="949"/>
      <c r="D12" s="345"/>
      <c r="E12" s="242">
        <v>70.804143508687704267223073660</v>
      </c>
      <c r="F12" s="243">
        <v>-6.3596892705902626620634566300</v>
      </c>
      <c r="G12" s="242">
        <v>71.236349429598374746054070950</v>
      </c>
      <c r="H12" s="243">
        <v>7.1463814367454015368945828100</v>
      </c>
      <c r="I12" s="242">
        <v>69.441427993904904064433871320</v>
      </c>
      <c r="J12" s="243">
        <v>2.8472455169988888203184633900</v>
      </c>
      <c r="K12" s="242">
        <v>71.236349429598374746054070950</v>
      </c>
      <c r="L12" s="243">
        <v>7.1463814367454015368945828100</v>
      </c>
      <c r="M12" s="540"/>
      <c r="N12" s="156">
        <v>1.3811513463324048282265552500</v>
      </c>
      <c r="O12" s="156"/>
      <c r="P12" s="156">
        <v>2.5010972535024011430658384100</v>
      </c>
      <c r="Q12" s="156"/>
      <c r="R12" s="156">
        <v>1.2375046908567960125828298300</v>
      </c>
      <c r="S12" s="156"/>
      <c r="T12" s="243">
        <v>2.5010972535024011430658384100</v>
      </c>
    </row>
    <row r="13" ht="20.1" customHeight="1">
      <c r="B13" s="734" t="s">
        <v>74</v>
      </c>
      <c r="C13" s="946"/>
      <c r="D13" s="345"/>
      <c r="E13" s="244">
        <v>71.345766129032258064516129030</v>
      </c>
      <c r="F13" s="245">
        <v>13.549825044599097958301731990</v>
      </c>
      <c r="G13" s="244">
        <v>68.142525736377399429185011360</v>
      </c>
      <c r="H13" s="245">
        <v>6.1133258352292565291292786200</v>
      </c>
      <c r="I13" s="244">
        <v>72.112771739130434782608695650</v>
      </c>
      <c r="J13" s="245">
        <v>31.334540924082479144908805880</v>
      </c>
      <c r="K13" s="244">
        <v>68.142525736377399429185011360</v>
      </c>
      <c r="L13" s="245">
        <v>6.1133258352292565291292786200</v>
      </c>
      <c r="M13" s="540"/>
      <c r="N13" s="250">
        <v>-0.4640371229698375870069605600</v>
      </c>
      <c r="O13" s="250"/>
      <c r="P13" s="250">
        <v>13.522715723142595792255310500</v>
      </c>
      <c r="Q13" s="250"/>
      <c r="R13" s="250">
        <v>-0.4640371229698375870069605600</v>
      </c>
      <c r="S13" s="250"/>
      <c r="T13" s="245">
        <v>13.522715723142595792255310500</v>
      </c>
    </row>
    <row r="14" ht="9.95" customHeight="1">
      <c r="B14" s="4"/>
      <c r="C14" s="4"/>
      <c r="D14" s="4"/>
      <c r="E14" s="535"/>
      <c r="F14" s="535"/>
      <c r="G14" s="535"/>
      <c r="H14" s="535"/>
      <c r="I14" s="535"/>
      <c r="J14" s="535"/>
      <c r="K14" s="535"/>
      <c r="L14" s="535"/>
      <c r="M14" s="156"/>
      <c r="N14" s="156"/>
      <c r="O14" s="156"/>
      <c r="P14" s="156"/>
      <c r="Q14" s="156"/>
      <c r="R14" s="156"/>
      <c r="S14" s="156"/>
      <c r="T14" s="156"/>
    </row>
    <row r="15" ht="21" customHeight="1">
      <c r="B15" s="4"/>
      <c r="C15" s="4"/>
      <c r="D15" s="4"/>
      <c r="E15" s="719" t="s">
        <v>90</v>
      </c>
      <c r="F15" s="719"/>
      <c r="G15" s="719"/>
      <c r="H15" s="719"/>
      <c r="I15" s="719"/>
      <c r="J15" s="719"/>
      <c r="K15" s="719"/>
      <c r="L15" s="942"/>
      <c r="M15" s="537"/>
      <c r="N15" s="719" t="s">
        <v>29</v>
      </c>
      <c r="O15" s="719"/>
      <c r="P15" s="719"/>
      <c r="Q15" s="719"/>
      <c r="R15" s="719"/>
      <c r="S15" s="719"/>
      <c r="T15" s="942"/>
    </row>
    <row r="16" ht="22.5" customHeight="1">
      <c r="B16" s="4"/>
      <c r="C16" s="4"/>
      <c r="D16" s="4"/>
      <c r="E16" s="749" t="s">
        <v>42</v>
      </c>
      <c r="F16" s="711" t="s">
        <v>24</v>
      </c>
      <c r="G16" s="749" t="s">
        <v>37</v>
      </c>
      <c r="H16" s="711" t="s">
        <v>24</v>
      </c>
      <c r="I16" s="749" t="s">
        <v>44</v>
      </c>
      <c r="J16" s="711" t="s">
        <v>24</v>
      </c>
      <c r="K16" s="749" t="s">
        <v>45</v>
      </c>
      <c r="L16" s="711" t="s">
        <v>24</v>
      </c>
      <c r="M16" s="538"/>
      <c r="N16" s="754" t="s">
        <v>63</v>
      </c>
      <c r="O16" s="710" t="s">
        <v>64</v>
      </c>
      <c r="P16" s="754"/>
      <c r="Q16" s="710" t="s">
        <v>65</v>
      </c>
      <c r="R16" s="754"/>
      <c r="S16" s="710" t="s">
        <v>66</v>
      </c>
      <c r="T16" s="754"/>
    </row>
    <row r="17" ht="18.75" customHeight="1">
      <c r="B17" s="4"/>
      <c r="C17" s="4"/>
      <c r="D17" s="4"/>
      <c r="E17" s="940"/>
      <c r="F17" s="939"/>
      <c r="G17" s="940"/>
      <c r="H17" s="939"/>
      <c r="I17" s="940"/>
      <c r="J17" s="939"/>
      <c r="K17" s="940"/>
      <c r="L17" s="939"/>
      <c r="M17" s="539"/>
      <c r="N17" s="944"/>
      <c r="O17" s="845"/>
      <c r="P17" s="944"/>
      <c r="Q17" s="845"/>
      <c r="R17" s="944"/>
      <c r="S17" s="845"/>
      <c r="T17" s="944"/>
    </row>
    <row r="18" ht="20.1" customHeight="1">
      <c r="B18" s="736" t="s">
        <v>213</v>
      </c>
      <c r="C18" s="348"/>
      <c r="D18" s="345"/>
      <c r="E18" s="253">
        <v>319.73223889046136427964902349</v>
      </c>
      <c r="F18" s="239">
        <v>-5.1198492329308838951420960200</v>
      </c>
      <c r="G18" s="253">
        <v>275.60038567627602704615910367</v>
      </c>
      <c r="H18" s="239">
        <v>17.904096670558583726120748430</v>
      </c>
      <c r="I18" s="253">
        <v>267.60826495897538523113868321</v>
      </c>
      <c r="J18" s="239">
        <v>3.7267022814375971313477932500</v>
      </c>
      <c r="K18" s="253">
        <v>275.60038567627602704615910367</v>
      </c>
      <c r="L18" s="239">
        <v>17.904096670558583726120748430</v>
      </c>
      <c r="M18" s="540"/>
      <c r="N18" s="238">
        <v>-7.7786478726181153745758287700</v>
      </c>
      <c r="O18" s="246"/>
      <c r="P18" s="246">
        <v>1.9891455885281816371240788700</v>
      </c>
      <c r="Q18" s="246"/>
      <c r="R18" s="246">
        <v>-1.7692156477295065854137998800</v>
      </c>
      <c r="S18" s="246"/>
      <c r="T18" s="239">
        <v>1.9891455885281816371240788700</v>
      </c>
    </row>
    <row r="19" ht="20.1" customHeight="1">
      <c r="B19" s="730" t="s">
        <v>214</v>
      </c>
      <c r="C19" s="941"/>
      <c r="D19" s="345"/>
      <c r="E19" s="254">
        <v>289.73511289408659169205989005</v>
      </c>
      <c r="F19" s="241">
        <v>-7.3564517613786530376428090800</v>
      </c>
      <c r="G19" s="254">
        <v>253.1052388123383402899406838</v>
      </c>
      <c r="H19" s="241">
        <v>14.034336974637166310289888490</v>
      </c>
      <c r="I19" s="254">
        <v>246.47053838569153112418403073</v>
      </c>
      <c r="J19" s="241">
        <v>0.9761709263570660840026044100</v>
      </c>
      <c r="K19" s="254">
        <v>253.1052388123383402899406838</v>
      </c>
      <c r="L19" s="241">
        <v>14.034336974637166310289888490</v>
      </c>
      <c r="M19" s="540"/>
      <c r="N19" s="240">
        <v>-0.3365101937565804766658006600</v>
      </c>
      <c r="O19" s="121"/>
      <c r="P19" s="121">
        <v>12.697624874410547399035765540</v>
      </c>
      <c r="Q19" s="121"/>
      <c r="R19" s="121">
        <v>7.5470971578053273303413389100</v>
      </c>
      <c r="S19" s="121"/>
      <c r="T19" s="241">
        <v>12.697624874410547399035765540</v>
      </c>
    </row>
    <row r="20" ht="20.1" customHeight="1">
      <c r="B20" s="532" t="s">
        <v>215</v>
      </c>
      <c r="C20" s="345"/>
      <c r="D20" s="345"/>
      <c r="E20" s="255">
        <v>275.09691927658276225187070869</v>
      </c>
      <c r="F20" s="243">
        <v>-6.0766581563117524431057231500</v>
      </c>
      <c r="G20" s="255">
        <v>248.13929688409647509452306514</v>
      </c>
      <c r="H20" s="243">
        <v>14.135095033688020627200270010</v>
      </c>
      <c r="I20" s="255">
        <v>240.24821430176839190513436003</v>
      </c>
      <c r="J20" s="243">
        <v>3.125076021260276239103058100</v>
      </c>
      <c r="K20" s="255">
        <v>248.13929688409647509452306514</v>
      </c>
      <c r="L20" s="243">
        <v>14.135095033688020627200270010</v>
      </c>
      <c r="M20" s="540"/>
      <c r="N20" s="242">
        <v>-3.1941414276141751537843494100</v>
      </c>
      <c r="O20" s="156"/>
      <c r="P20" s="156">
        <v>14.211214470449044413333886090</v>
      </c>
      <c r="Q20" s="156"/>
      <c r="R20" s="156">
        <v>4.9617649799535966161152087300</v>
      </c>
      <c r="S20" s="156"/>
      <c r="T20" s="243">
        <v>14.211214470449044413333886090</v>
      </c>
    </row>
    <row r="21" ht="20.1" customHeight="1">
      <c r="B21" s="730" t="s">
        <v>216</v>
      </c>
      <c r="C21" s="941"/>
      <c r="D21" s="345"/>
      <c r="E21" s="254">
        <v>463.62443818507024597557060523</v>
      </c>
      <c r="F21" s="241">
        <v>-11.766919822686168323239767800</v>
      </c>
      <c r="G21" s="254">
        <v>385.71291700118641430544103351</v>
      </c>
      <c r="H21" s="241">
        <v>11.603460170554472778840470820</v>
      </c>
      <c r="I21" s="254">
        <v>377.0352898093865919371898401</v>
      </c>
      <c r="J21" s="241">
        <v>-3.9915033063536670063075420900</v>
      </c>
      <c r="K21" s="254">
        <v>385.71291700118641430544103351</v>
      </c>
      <c r="L21" s="241">
        <v>11.603460170554472778840470820</v>
      </c>
      <c r="M21" s="540"/>
      <c r="N21" s="240">
        <v>-5.5806753104284471901759906500</v>
      </c>
      <c r="O21" s="121"/>
      <c r="P21" s="121">
        <v>9.189947373077382276571785890</v>
      </c>
      <c r="Q21" s="121"/>
      <c r="R21" s="121">
        <v>3.7805191138448103103106475700</v>
      </c>
      <c r="S21" s="121"/>
      <c r="T21" s="241">
        <v>9.189947373077382276571785890</v>
      </c>
    </row>
    <row r="22" ht="20.1" customHeight="1">
      <c r="B22" s="532" t="s">
        <v>217</v>
      </c>
      <c r="C22" s="345"/>
      <c r="D22" s="345"/>
      <c r="E22" s="255">
        <v>573.99751208749941322818382387</v>
      </c>
      <c r="F22" s="243">
        <v>-12.245544118427300869077413960</v>
      </c>
      <c r="G22" s="255">
        <v>468.20543680323902129117715065</v>
      </c>
      <c r="H22" s="243">
        <v>11.498332597778946591627620290</v>
      </c>
      <c r="I22" s="255">
        <v>463.29136401334869065681218507</v>
      </c>
      <c r="J22" s="243">
        <v>-4.1232968726943411702354126200</v>
      </c>
      <c r="K22" s="255">
        <v>468.20543680323902129117715065</v>
      </c>
      <c r="L22" s="243">
        <v>11.498332597778946591627620290</v>
      </c>
      <c r="M22" s="540"/>
      <c r="N22" s="242">
        <v>-5.0663748582633108700280750100</v>
      </c>
      <c r="O22" s="156"/>
      <c r="P22" s="156">
        <v>9.826216640124127529471855670</v>
      </c>
      <c r="Q22" s="156"/>
      <c r="R22" s="156">
        <v>4.1199850046720518047548618200</v>
      </c>
      <c r="S22" s="156"/>
      <c r="T22" s="243">
        <v>9.826216640124127529471855670</v>
      </c>
    </row>
    <row r="23" ht="20.1" customHeight="1">
      <c r="B23" s="726" t="s">
        <v>74</v>
      </c>
      <c r="C23" s="349"/>
      <c r="D23" s="345"/>
      <c r="E23" s="256">
        <v>373.58801365830684092782291299</v>
      </c>
      <c r="F23" s="245">
        <v>-12.976447383096689005693377690</v>
      </c>
      <c r="G23" s="256">
        <v>325.4739442916479457233911508</v>
      </c>
      <c r="H23" s="245">
        <v>13.590463695740310542987316250</v>
      </c>
      <c r="I23" s="256">
        <v>317.18024807662113361595226881</v>
      </c>
      <c r="J23" s="245">
        <v>-3.5213964327677011398140308800</v>
      </c>
      <c r="K23" s="256">
        <v>325.4739442916479457233911508</v>
      </c>
      <c r="L23" s="245">
        <v>13.590463695740310542987316250</v>
      </c>
      <c r="M23" s="540"/>
      <c r="N23" s="244">
        <v>13.022911703394877903513996430</v>
      </c>
      <c r="O23" s="250"/>
      <c r="P23" s="250">
        <v>20.462729232325032569186350060</v>
      </c>
      <c r="Q23" s="250"/>
      <c r="R23" s="250">
        <v>30.725099898952783391512033800</v>
      </c>
      <c r="S23" s="250"/>
      <c r="T23" s="245">
        <v>20.462729232325032569186350060</v>
      </c>
    </row>
    <row r="24" ht="9.95" customHeight="1">
      <c r="B24" s="4"/>
      <c r="C24" s="4"/>
      <c r="D24" s="4"/>
      <c r="E24" s="535"/>
      <c r="F24" s="535"/>
      <c r="G24" s="535"/>
      <c r="H24" s="535"/>
      <c r="I24" s="535"/>
      <c r="J24" s="535"/>
      <c r="K24" s="535"/>
      <c r="L24" s="535"/>
      <c r="M24" s="156"/>
      <c r="N24" s="156"/>
      <c r="O24" s="156"/>
      <c r="P24" s="156"/>
      <c r="Q24" s="156"/>
      <c r="R24" s="156"/>
      <c r="S24" s="156"/>
      <c r="T24" s="156"/>
    </row>
    <row r="25" s="122" customFormat="1" ht="21" customHeight="1">
      <c r="B25" s="163"/>
      <c r="C25" s="163"/>
      <c r="D25" s="163"/>
      <c r="E25" s="719" t="s">
        <v>10</v>
      </c>
      <c r="F25" s="719"/>
      <c r="G25" s="719"/>
      <c r="H25" s="719"/>
      <c r="I25" s="719"/>
      <c r="J25" s="719"/>
      <c r="K25" s="719"/>
      <c r="L25" s="942"/>
      <c r="M25" s="537"/>
      <c r="N25" s="719" t="s">
        <v>38</v>
      </c>
      <c r="O25" s="719"/>
      <c r="P25" s="719"/>
      <c r="Q25" s="719"/>
      <c r="R25" s="719"/>
      <c r="S25" s="719"/>
      <c r="T25" s="942"/>
      <c r="V25" s="236"/>
      <c r="W25" s="236"/>
      <c r="X25" s="236"/>
      <c r="Y25" s="236"/>
      <c r="Z25" s="236"/>
      <c r="AA25" s="236"/>
      <c r="AB25" s="236"/>
      <c r="AC25" s="236"/>
      <c r="AD25" s="236"/>
      <c r="AE25" s="236"/>
      <c r="AF25" s="236"/>
      <c r="AG25" s="236"/>
      <c r="AH25" s="236"/>
      <c r="AI25" s="236"/>
    </row>
    <row r="26" s="122" customFormat="1" ht="19.5" customHeight="1">
      <c r="B26" s="163"/>
      <c r="C26" s="163"/>
      <c r="D26" s="163"/>
      <c r="E26" s="749" t="s">
        <v>42</v>
      </c>
      <c r="F26" s="711" t="s">
        <v>24</v>
      </c>
      <c r="G26" s="749" t="s">
        <v>37</v>
      </c>
      <c r="H26" s="711" t="s">
        <v>24</v>
      </c>
      <c r="I26" s="749" t="s">
        <v>44</v>
      </c>
      <c r="J26" s="711" t="s">
        <v>24</v>
      </c>
      <c r="K26" s="749" t="s">
        <v>45</v>
      </c>
      <c r="L26" s="711" t="s">
        <v>24</v>
      </c>
      <c r="M26" s="538"/>
      <c r="N26" s="754" t="s">
        <v>63</v>
      </c>
      <c r="O26" s="710" t="s">
        <v>64</v>
      </c>
      <c r="P26" s="754"/>
      <c r="Q26" s="710" t="s">
        <v>65</v>
      </c>
      <c r="R26" s="754"/>
      <c r="S26" s="710" t="s">
        <v>66</v>
      </c>
      <c r="T26" s="754"/>
      <c r="V26" s="236"/>
      <c r="W26" s="236"/>
      <c r="X26" s="236"/>
      <c r="Y26" s="236"/>
      <c r="Z26" s="236"/>
      <c r="AA26" s="236"/>
      <c r="AB26" s="236"/>
      <c r="AC26" s="236"/>
      <c r="AD26" s="236"/>
      <c r="AE26" s="236"/>
      <c r="AF26" s="236"/>
      <c r="AG26" s="236"/>
      <c r="AH26" s="236"/>
      <c r="AI26" s="236"/>
    </row>
    <row r="27" s="122" customFormat="1" ht="25.5" customHeight="1">
      <c r="B27" s="163"/>
      <c r="C27" s="163"/>
      <c r="D27" s="163"/>
      <c r="E27" s="940"/>
      <c r="F27" s="939"/>
      <c r="G27" s="940"/>
      <c r="H27" s="939"/>
      <c r="I27" s="940"/>
      <c r="J27" s="939"/>
      <c r="K27" s="940"/>
      <c r="L27" s="939"/>
      <c r="M27" s="539"/>
      <c r="N27" s="944"/>
      <c r="O27" s="845"/>
      <c r="P27" s="944"/>
      <c r="Q27" s="845"/>
      <c r="R27" s="944"/>
      <c r="S27" s="845"/>
      <c r="T27" s="944"/>
      <c r="V27" s="236"/>
      <c r="W27" s="236"/>
      <c r="X27" s="236"/>
      <c r="Y27" s="236"/>
      <c r="Z27" s="236"/>
      <c r="AA27" s="236"/>
      <c r="AB27" s="236"/>
      <c r="AC27" s="236"/>
      <c r="AD27" s="236"/>
      <c r="AE27" s="236"/>
      <c r="AF27" s="236"/>
      <c r="AG27" s="236"/>
      <c r="AH27" s="236"/>
      <c r="AI27" s="236"/>
    </row>
    <row r="28" ht="20.1" customHeight="1">
      <c r="B28" s="736" t="s">
        <v>213</v>
      </c>
      <c r="C28" s="348"/>
      <c r="D28" s="345"/>
      <c r="E28" s="253">
        <v>276.05425219941348973607038123</v>
      </c>
      <c r="F28" s="239">
        <v>-12.500242062100870585097259470</v>
      </c>
      <c r="G28" s="253">
        <v>234.34041095890410958904109589</v>
      </c>
      <c r="H28" s="239">
        <v>20.249380808160366492609650750</v>
      </c>
      <c r="I28" s="253">
        <v>220.23031949934123847167325428</v>
      </c>
      <c r="J28" s="239">
        <v>1.8915532337768083904659682600</v>
      </c>
      <c r="K28" s="253">
        <v>234.34041095890410958904109589</v>
      </c>
      <c r="L28" s="239">
        <v>20.249380808160366492609650750</v>
      </c>
      <c r="M28" s="540"/>
      <c r="N28" s="238">
        <v>-12.500242062105777654530511830</v>
      </c>
      <c r="O28" s="246"/>
      <c r="P28" s="246">
        <v>20.249380808168486211099815690</v>
      </c>
      <c r="Q28" s="246"/>
      <c r="R28" s="246">
        <v>1.8915532337940748095017309700</v>
      </c>
      <c r="S28" s="246"/>
      <c r="T28" s="239">
        <v>20.249380808168486211099815690</v>
      </c>
    </row>
    <row r="29" ht="20.1" customHeight="1">
      <c r="B29" s="730" t="s">
        <v>214</v>
      </c>
      <c r="C29" s="941"/>
      <c r="D29" s="345"/>
      <c r="E29" s="254">
        <v>205.292587634748846329202769</v>
      </c>
      <c r="F29" s="241">
        <v>-11.777963507178435004891000450</v>
      </c>
      <c r="G29" s="254">
        <v>182.55050166908183084484138051</v>
      </c>
      <c r="H29" s="241">
        <v>23.112745169608144631088852230</v>
      </c>
      <c r="I29" s="254">
        <v>174.55861114161903725327892512</v>
      </c>
      <c r="J29" s="241">
        <v>4.1422169886946835294437443300</v>
      </c>
      <c r="K29" s="254">
        <v>182.55050166908183084484138051</v>
      </c>
      <c r="L29" s="241">
        <v>23.112745169608144631088852230</v>
      </c>
      <c r="M29" s="540"/>
      <c r="N29" s="240">
        <v>-7.6682067450549213729608818800</v>
      </c>
      <c r="O29" s="121"/>
      <c r="P29" s="121">
        <v>28.513989311687963506998736410</v>
      </c>
      <c r="Q29" s="121"/>
      <c r="R29" s="121">
        <v>8.596940652392741177502426950</v>
      </c>
      <c r="S29" s="121"/>
      <c r="T29" s="241">
        <v>28.513989311687963506998736410</v>
      </c>
    </row>
    <row r="30" ht="20.1" customHeight="1">
      <c r="B30" s="532" t="s">
        <v>215</v>
      </c>
      <c r="C30" s="345"/>
      <c r="D30" s="345"/>
      <c r="E30" s="255">
        <v>195.87972483707458363504706734</v>
      </c>
      <c r="F30" s="243">
        <v>-10.255215942355427115775846970</v>
      </c>
      <c r="G30" s="255">
        <v>177.43527036983054840661194647</v>
      </c>
      <c r="H30" s="243">
        <v>25.389466643856978739666623020</v>
      </c>
      <c r="I30" s="255">
        <v>168.32687796985169933585553382</v>
      </c>
      <c r="J30" s="243">
        <v>7.1847547447954970766482941600</v>
      </c>
      <c r="K30" s="255">
        <v>177.43527036983054840661194647</v>
      </c>
      <c r="L30" s="243">
        <v>25.389466643856978739666623020</v>
      </c>
      <c r="M30" s="540"/>
      <c r="N30" s="242">
        <v>-9.076702528344982340404605850</v>
      </c>
      <c r="O30" s="156"/>
      <c r="P30" s="156">
        <v>30.355078174983340564164160840</v>
      </c>
      <c r="Q30" s="156"/>
      <c r="R30" s="156">
        <v>8.241899928830058873867386450</v>
      </c>
      <c r="S30" s="156"/>
      <c r="T30" s="243">
        <v>30.355078174983340564164160840</v>
      </c>
    </row>
    <row r="31" ht="20.1" customHeight="1">
      <c r="B31" s="730" t="s">
        <v>216</v>
      </c>
      <c r="C31" s="941"/>
      <c r="D31" s="345"/>
      <c r="E31" s="254">
        <v>306.6146699946289216770402199</v>
      </c>
      <c r="F31" s="241">
        <v>-17.030359121028743404178683330</v>
      </c>
      <c r="G31" s="254">
        <v>263.30333783799893610703025329</v>
      </c>
      <c r="H31" s="241">
        <v>17.914529319937158252301894420</v>
      </c>
      <c r="I31" s="254">
        <v>247.34597201214315013964963425</v>
      </c>
      <c r="J31" s="241">
        <v>-1.0455304726083791127813773400</v>
      </c>
      <c r="K31" s="254">
        <v>263.30333783799893610703025329</v>
      </c>
      <c r="L31" s="241">
        <v>17.914529319937158252301894420</v>
      </c>
      <c r="M31" s="540"/>
      <c r="N31" s="240">
        <v>-16.690921543778560925165828460</v>
      </c>
      <c r="O31" s="121"/>
      <c r="P31" s="121">
        <v>21.859759426761944693329043820</v>
      </c>
      <c r="Q31" s="121"/>
      <c r="R31" s="121">
        <v>-0.3618837379434380711644383100</v>
      </c>
      <c r="S31" s="121"/>
      <c r="T31" s="241">
        <v>21.859759426761944693329043820</v>
      </c>
    </row>
    <row r="32" ht="20.1" customHeight="1">
      <c r="B32" s="532" t="s">
        <v>217</v>
      </c>
      <c r="C32" s="345"/>
      <c r="D32" s="345"/>
      <c r="E32" s="255">
        <v>406.41402219473013645512122163</v>
      </c>
      <c r="F32" s="243">
        <v>-17.826454833618437915917834480</v>
      </c>
      <c r="G32" s="255">
        <v>333.53246100953273949054539772</v>
      </c>
      <c r="H32" s="243">
        <v>19.466428740885430043726251570</v>
      </c>
      <c r="I32" s="255">
        <v>321.7161389433093883135864664</v>
      </c>
      <c r="J32" s="243">
        <v>-1.393451741072530029806143600</v>
      </c>
      <c r="K32" s="255">
        <v>333.53246100953273949054539772</v>
      </c>
      <c r="L32" s="243">
        <v>19.466428740885430043726251570</v>
      </c>
      <c r="M32" s="540"/>
      <c r="N32" s="242">
        <v>-16.691513808216120631241518140</v>
      </c>
      <c r="O32" s="156"/>
      <c r="P32" s="156">
        <v>22.454400308966804269100558560</v>
      </c>
      <c r="Q32" s="156"/>
      <c r="R32" s="156">
        <v>-0.1731910808756737062451296300</v>
      </c>
      <c r="S32" s="156"/>
      <c r="T32" s="243">
        <v>22.454400308966804269100558560</v>
      </c>
    </row>
    <row r="33" ht="20.1" customHeight="1">
      <c r="B33" s="726" t="s">
        <v>74</v>
      </c>
      <c r="C33" s="349"/>
      <c r="D33" s="345"/>
      <c r="E33" s="256">
        <v>266.53923051075268817204301075</v>
      </c>
      <c r="F33" s="245">
        <v>-1.1849082558581411484459643500</v>
      </c>
      <c r="G33" s="256">
        <v>221.78616625413884112097974751</v>
      </c>
      <c r="H33" s="245">
        <v>20.534618859240013532904122520</v>
      </c>
      <c r="I33" s="256">
        <v>228.72746829710144927536231884</v>
      </c>
      <c r="J33" s="245">
        <v>26.709731085045564630684386750</v>
      </c>
      <c r="K33" s="256">
        <v>221.78616625413884112097974751</v>
      </c>
      <c r="L33" s="245">
        <v>20.534618859240013532904122520</v>
      </c>
      <c r="M33" s="540"/>
      <c r="N33" s="244">
        <v>-1.6434469646373682035023521800</v>
      </c>
      <c r="O33" s="250"/>
      <c r="P33" s="250">
        <v>36.834172715560636469094134740</v>
      </c>
      <c r="Q33" s="250"/>
      <c r="R33" s="250">
        <v>26.121750894361750174270033220</v>
      </c>
      <c r="S33" s="250"/>
      <c r="T33" s="245">
        <v>36.834172715560636469094134740</v>
      </c>
    </row>
    <row r="34" ht="9.95" customHeight="1">
      <c r="B34" s="4"/>
      <c r="C34" s="4"/>
      <c r="D34" s="4"/>
      <c r="E34" s="535"/>
      <c r="F34" s="535"/>
      <c r="G34" s="535"/>
      <c r="H34" s="535"/>
      <c r="I34" s="535"/>
      <c r="J34" s="535"/>
      <c r="K34" s="535"/>
      <c r="L34" s="535"/>
      <c r="M34" s="156"/>
      <c r="N34" s="156"/>
      <c r="O34" s="156"/>
      <c r="P34" s="156"/>
      <c r="Q34" s="156"/>
      <c r="R34" s="156"/>
      <c r="S34" s="156"/>
      <c r="T34" s="156"/>
    </row>
    <row r="35" ht="21" customHeight="1">
      <c r="B35" s="9"/>
      <c r="C35" s="155"/>
      <c r="D35" s="252"/>
      <c r="E35" s="719" t="s">
        <v>30</v>
      </c>
      <c r="F35" s="719"/>
      <c r="G35" s="719"/>
      <c r="H35" s="719"/>
      <c r="I35" s="719"/>
      <c r="J35" s="719"/>
      <c r="K35" s="719"/>
      <c r="L35" s="942"/>
      <c r="M35" s="113"/>
      <c r="N35" s="756" t="s">
        <v>56</v>
      </c>
      <c r="O35" s="756"/>
      <c r="P35" s="756"/>
      <c r="Q35" s="756"/>
      <c r="R35" s="756"/>
      <c r="S35" s="756"/>
      <c r="T35" s="756"/>
      <c r="U35" s="123"/>
    </row>
    <row r="36" ht="24.95" customHeight="1">
      <c r="B36" s="9"/>
      <c r="C36" s="155"/>
      <c r="D36" s="252"/>
      <c r="E36" s="745" t="s">
        <v>31</v>
      </c>
      <c r="F36" s="747"/>
      <c r="G36" s="746"/>
      <c r="H36" s="745" t="s">
        <v>32</v>
      </c>
      <c r="I36" s="747"/>
      <c r="J36" s="746"/>
      <c r="K36" s="745" t="s">
        <v>36</v>
      </c>
      <c r="L36" s="746"/>
      <c r="M36" s="113"/>
      <c r="N36" s="741"/>
      <c r="O36" s="741"/>
      <c r="P36" s="741"/>
      <c r="Q36" s="741"/>
      <c r="R36" s="741"/>
      <c r="S36" s="741"/>
      <c r="T36" s="741"/>
      <c r="U36" s="123"/>
    </row>
    <row r="37" ht="24.95" customHeight="1">
      <c r="B37" s="9"/>
      <c r="C37" s="155"/>
      <c r="D37" s="252"/>
      <c r="E37" s="745" t="s">
        <v>33</v>
      </c>
      <c r="F37" s="746"/>
      <c r="G37" s="257" t="s">
        <v>34</v>
      </c>
      <c r="H37" s="745" t="s">
        <v>33</v>
      </c>
      <c r="I37" s="746"/>
      <c r="J37" s="257" t="s">
        <v>34</v>
      </c>
      <c r="K37" s="745" t="s">
        <v>34</v>
      </c>
      <c r="L37" s="746"/>
      <c r="M37" s="113"/>
      <c r="N37" s="741"/>
      <c r="O37" s="741"/>
      <c r="P37" s="741"/>
      <c r="Q37" s="741"/>
      <c r="R37" s="741"/>
      <c r="S37" s="741"/>
      <c r="T37" s="741"/>
      <c r="U37" s="123"/>
    </row>
    <row r="38" ht="18.95" customHeight="1">
      <c r="B38" s="743" t="s">
        <v>214</v>
      </c>
      <c r="C38" s="945"/>
      <c r="D38" s="4"/>
      <c r="E38" s="769">
        <v>564</v>
      </c>
      <c r="F38" s="769"/>
      <c r="G38" s="258">
        <v>66366</v>
      </c>
      <c r="H38" s="758">
        <v>331</v>
      </c>
      <c r="I38" s="758"/>
      <c r="J38" s="258">
        <v>54036</v>
      </c>
      <c r="K38" s="761">
        <v>81.42120965554651478166531055</v>
      </c>
      <c r="L38" s="762"/>
      <c r="N38" s="692"/>
      <c r="O38" s="741"/>
      <c r="P38" s="741"/>
      <c r="Q38" s="692"/>
      <c r="R38" s="692"/>
      <c r="S38" s="741"/>
      <c r="T38" s="741"/>
      <c r="U38" s="123"/>
    </row>
    <row r="39" ht="18.95" customHeight="1">
      <c r="B39" s="532" t="s">
        <v>215</v>
      </c>
      <c r="C39" s="345"/>
      <c r="D39" s="4"/>
      <c r="E39" s="772">
        <v>94</v>
      </c>
      <c r="F39" s="772"/>
      <c r="G39" s="4">
        <v>13810</v>
      </c>
      <c r="H39" s="765">
        <v>74</v>
      </c>
      <c r="I39" s="765"/>
      <c r="J39" s="4">
        <v>12156</v>
      </c>
      <c r="K39" s="766">
        <v>88.02317161477190441708906589</v>
      </c>
      <c r="L39" s="767"/>
      <c r="N39" s="693"/>
      <c r="O39" s="740"/>
      <c r="P39" s="740"/>
      <c r="Q39" s="740"/>
      <c r="R39" s="740"/>
      <c r="S39" s="740"/>
      <c r="T39" s="740"/>
      <c r="U39" s="123"/>
    </row>
    <row r="40" ht="18.95" customHeight="1">
      <c r="B40" s="730" t="s">
        <v>216</v>
      </c>
      <c r="C40" s="941"/>
      <c r="D40" s="4"/>
      <c r="E40" s="770">
        <v>245</v>
      </c>
      <c r="F40" s="770"/>
      <c r="G40" s="120">
        <v>25525</v>
      </c>
      <c r="H40" s="771">
        <v>128</v>
      </c>
      <c r="I40" s="771"/>
      <c r="J40" s="120">
        <v>19652</v>
      </c>
      <c r="K40" s="759">
        <v>76.991185112634671890303623900</v>
      </c>
      <c r="L40" s="760"/>
      <c r="N40" s="763"/>
      <c r="O40" s="763"/>
      <c r="P40" s="763"/>
      <c r="Q40" s="763"/>
      <c r="R40" s="763"/>
      <c r="S40" s="763"/>
      <c r="T40" s="763"/>
      <c r="U40" s="123"/>
    </row>
    <row r="41" ht="18.95" customHeight="1">
      <c r="B41" s="532" t="s">
        <v>217</v>
      </c>
      <c r="C41" s="345"/>
      <c r="D41" s="4"/>
      <c r="E41" s="772">
        <v>45</v>
      </c>
      <c r="F41" s="772"/>
      <c r="G41" s="4">
        <v>8735</v>
      </c>
      <c r="H41" s="765">
        <v>43</v>
      </c>
      <c r="I41" s="765"/>
      <c r="J41" s="4">
        <v>8676</v>
      </c>
      <c r="K41" s="766">
        <v>99.32455638236977676016027476</v>
      </c>
      <c r="L41" s="767"/>
      <c r="N41" s="763"/>
      <c r="O41" s="763"/>
      <c r="P41" s="763"/>
      <c r="Q41" s="763"/>
      <c r="R41" s="763"/>
      <c r="S41" s="763"/>
      <c r="T41" s="763"/>
      <c r="U41" s="123"/>
    </row>
    <row r="42" ht="18.95" customHeight="1">
      <c r="B42" s="726" t="s">
        <v>74</v>
      </c>
      <c r="C42" s="349"/>
      <c r="D42" s="4"/>
      <c r="E42" s="768">
        <v>5</v>
      </c>
      <c r="F42" s="768"/>
      <c r="G42" s="260">
        <v>429</v>
      </c>
      <c r="H42" s="764">
        <v>4</v>
      </c>
      <c r="I42" s="764"/>
      <c r="J42" s="260">
        <v>384</v>
      </c>
      <c r="K42" s="774">
        <v>89.51048951048951048951048951</v>
      </c>
      <c r="L42" s="775"/>
      <c r="N42" s="763"/>
      <c r="O42" s="763"/>
      <c r="P42" s="763"/>
      <c r="Q42" s="763"/>
      <c r="R42" s="763"/>
      <c r="S42" s="763"/>
      <c r="T42" s="763"/>
      <c r="U42" s="123"/>
    </row>
    <row r="43" ht="15" customHeight="1">
      <c r="B43" s="2"/>
      <c r="C43" s="44"/>
      <c r="D43" s="44"/>
      <c r="E43" s="16"/>
      <c r="F43" s="19"/>
      <c r="G43" s="123"/>
      <c r="H43" s="113"/>
      <c r="I43" s="113"/>
      <c r="J43" s="113"/>
      <c r="K43" s="123"/>
      <c r="L43" s="123"/>
      <c r="M43" s="113"/>
      <c r="N43" s="123"/>
      <c r="O43" s="123"/>
      <c r="P43" s="113"/>
      <c r="Q43" s="113"/>
      <c r="R43" s="123"/>
      <c r="S43" s="123"/>
      <c r="T43" s="123"/>
      <c r="U43" s="123"/>
    </row>
    <row r="44" ht="39.95" customHeight="1">
      <c r="B44" s="933" t="s">
        <v>126</v>
      </c>
      <c r="C44" s="933"/>
      <c r="D44" s="933"/>
      <c r="E44" s="933"/>
      <c r="F44" s="933"/>
      <c r="G44" s="933"/>
      <c r="H44" s="933"/>
      <c r="I44" s="933"/>
      <c r="J44" s="933"/>
      <c r="K44" s="933"/>
      <c r="L44" s="933"/>
      <c r="M44" s="933"/>
      <c r="N44" s="933"/>
      <c r="O44" s="933"/>
      <c r="P44" s="933"/>
      <c r="Q44" s="933"/>
      <c r="R44" s="933"/>
      <c r="S44" s="933"/>
      <c r="T44" s="933"/>
      <c r="U44" s="2"/>
    </row>
    <row r="45" ht="12" customHeight="1">
      <c r="B45" s="2"/>
      <c r="C45" s="2"/>
      <c r="D45" s="2"/>
      <c r="E45" s="2"/>
      <c r="F45" s="2"/>
      <c r="G45" s="2"/>
      <c r="H45" s="2"/>
      <c r="I45" s="2"/>
      <c r="J45" s="2"/>
      <c r="K45" s="2"/>
      <c r="L45" s="2"/>
      <c r="M45" s="2"/>
      <c r="N45" s="2"/>
      <c r="O45" s="2"/>
      <c r="R45" s="2"/>
      <c r="S45" s="2"/>
      <c r="T45" s="2"/>
      <c r="U45" s="2"/>
    </row>
    <row r="46" s="236" customFormat="1" ht="18" customHeight="1">
      <c r="A46" s="236"/>
    </row>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sheetData>
  <mergeCells count="106">
    <mergeCell ref="H40:I40"/>
    <mergeCell ref="H39:I39"/>
    <mergeCell ref="K42:L42"/>
    <mergeCell ref="K41:L41"/>
    <mergeCell ref="F16:F17"/>
    <mergeCell ref="G16:G17"/>
    <mergeCell ref="B7:C7"/>
    <mergeCell ref="K36:L36"/>
    <mergeCell ref="B31:C31"/>
    <mergeCell ref="H36:J36"/>
    <mergeCell ref="E39:F39"/>
    <mergeCell ref="L6:L7"/>
    <mergeCell ref="E6:E7"/>
    <mergeCell ref="F6:F7"/>
    <mergeCell ref="H16:H17"/>
    <mergeCell ref="E15:L15"/>
    <mergeCell ref="I6:I7"/>
    <mergeCell ref="J6:J7"/>
    <mergeCell ref="K6:K7"/>
    <mergeCell ref="I16:I17"/>
    <mergeCell ref="J16:J17"/>
    <mergeCell ref="K16:K17"/>
    <mergeCell ref="L16:L17"/>
    <mergeCell ref="E35:L35"/>
    <mergeCell ref="B44:T44"/>
    <mergeCell ref="J26:J27"/>
    <mergeCell ref="K26:K27"/>
    <mergeCell ref="E25:L25"/>
    <mergeCell ref="E26:E27"/>
    <mergeCell ref="F26:F27"/>
    <mergeCell ref="G26:G27"/>
    <mergeCell ref="H26:H27"/>
    <mergeCell ref="I26:I27"/>
    <mergeCell ref="H38:I38"/>
    <mergeCell ref="K40:L40"/>
    <mergeCell ref="K38:L38"/>
    <mergeCell ref="N40:T42"/>
    <mergeCell ref="N37:P37"/>
    <mergeCell ref="H37:I37"/>
    <mergeCell ref="H42:I42"/>
    <mergeCell ref="H41:I41"/>
    <mergeCell ref="Q37:T37"/>
    <mergeCell ref="K39:L39"/>
    <mergeCell ref="E42:F42"/>
    <mergeCell ref="E38:F38"/>
    <mergeCell ref="E40:F40"/>
    <mergeCell ref="E41:F41"/>
    <mergeCell ref="E37:F37"/>
    <mergeCell ref="L26:L27"/>
    <mergeCell ref="E36:G36"/>
    <mergeCell ref="E16:E17"/>
    <mergeCell ref="G6:G7"/>
    <mergeCell ref="N15:T15"/>
    <mergeCell ref="N6:N7"/>
    <mergeCell ref="N16:N17"/>
    <mergeCell ref="O16:P17"/>
    <mergeCell ref="Q16:R17"/>
    <mergeCell ref="S16:T17"/>
    <mergeCell ref="N36:T36"/>
    <mergeCell ref="N25:T25"/>
    <mergeCell ref="N35:T35"/>
    <mergeCell ref="N26:N27"/>
    <mergeCell ref="O26:P27"/>
    <mergeCell ref="Q26:R27"/>
    <mergeCell ref="S26:T27"/>
    <mergeCell ref="S39:T39"/>
    <mergeCell ref="Q39:R39"/>
    <mergeCell ref="O39:P39"/>
    <mergeCell ref="O38:P38"/>
    <mergeCell ref="Q38:R38"/>
    <mergeCell ref="S38:T38"/>
    <mergeCell ref="B38:C38"/>
    <mergeCell ref="B33:C33"/>
    <mergeCell ref="B32:C32"/>
    <mergeCell ref="K37:L37"/>
    <mergeCell ref="B42:C42"/>
    <mergeCell ref="B41:C41"/>
    <mergeCell ref="B40:C40"/>
    <mergeCell ref="B39:C39"/>
    <mergeCell ref="B21:C21"/>
    <mergeCell ref="B20:C20"/>
    <mergeCell ref="B19:C19"/>
    <mergeCell ref="B13:C13"/>
    <mergeCell ref="B30:C30"/>
    <mergeCell ref="B29:C29"/>
    <mergeCell ref="B23:C23"/>
    <mergeCell ref="B22:C22"/>
    <mergeCell ref="B25:C25"/>
    <mergeCell ref="B28:C28"/>
    <mergeCell ref="B18:C18"/>
    <mergeCell ref="B4:T4"/>
    <mergeCell ref="B3:T3"/>
    <mergeCell ref="B2:T2"/>
    <mergeCell ref="B12:C12"/>
    <mergeCell ref="B11:C11"/>
    <mergeCell ref="B10:C10"/>
    <mergeCell ref="B9:C9"/>
    <mergeCell ref="O6:P7"/>
    <mergeCell ref="S6:T7"/>
    <mergeCell ref="Q6:R7"/>
    <mergeCell ref="N5:T5"/>
    <mergeCell ref="B5:C5"/>
    <mergeCell ref="B8:C8"/>
    <mergeCell ref="E5:L5"/>
    <mergeCell ref="B6:C6"/>
    <mergeCell ref="H6:H7"/>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22" max="1048575" man="1"/>
  </colBreaks>
  <drawing r:id="rId80"/>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9">
    <pageSetUpPr fitToPage="1"/>
  </sheetPr>
  <dimension ref="A1:EI109"/>
  <sheetViews>
    <sheetView showGridLines="0" zoomScale="70" workbookViewId="0"/>
  </sheetViews>
  <sheetFormatPr defaultRowHeight="12.75"/>
  <cols>
    <col min="1" max="1" width="1.5703125" style="34" customWidth="1"/>
    <col min="2" max="2" width="15.7109375" style="34" customWidth="1"/>
    <col min="3" max="3" width="18.7109375" customWidth="1"/>
    <col min="4" max="21" width="11.7109375" customWidth="1"/>
    <col min="22" max="22" width="2.7109375" customWidth="1"/>
    <col min="23" max="37" width="9.140625" style="281" customWidth="1"/>
  </cols>
  <sheetData>
    <row r="1" s="2" customFormat="1" ht="23.25">
      <c r="B1" s="657" t="s">
        <v>135</v>
      </c>
      <c r="C1" s="130"/>
      <c r="P1" s="222"/>
      <c r="Q1" s="222"/>
      <c r="R1" s="222"/>
      <c r="S1" s="222"/>
      <c r="T1" s="222"/>
      <c r="U1" s="222"/>
      <c r="W1" s="281"/>
      <c r="X1" s="281"/>
      <c r="Y1" s="281"/>
      <c r="Z1" s="281"/>
      <c r="AA1" s="281"/>
      <c r="AB1" s="281"/>
      <c r="AC1" s="281"/>
      <c r="AD1" s="281"/>
      <c r="AE1" s="281"/>
      <c r="AF1" s="281"/>
      <c r="AG1" s="281"/>
      <c r="AH1" s="281"/>
      <c r="AI1" s="281"/>
      <c r="AJ1" s="281"/>
      <c r="AK1" s="281"/>
      <c r="AL1" s="0"/>
      <c r="AM1" s="0"/>
      <c r="AN1" s="0"/>
      <c r="AO1" s="0"/>
      <c r="AP1" s="0"/>
      <c r="AQ1" s="0"/>
      <c r="AR1" s="0"/>
      <c r="AS1" s="0"/>
      <c r="AT1" s="0"/>
      <c r="AU1" s="0"/>
      <c r="AV1" s="0"/>
      <c r="AW1" s="0"/>
      <c r="AX1" s="0"/>
      <c r="AY1" s="0"/>
      <c r="AZ1" s="0"/>
      <c r="BA1" s="0"/>
      <c r="BB1" s="0"/>
      <c r="BC1" s="0"/>
      <c r="BD1" s="0"/>
      <c r="BE1" s="0"/>
      <c r="BF1" s="0"/>
      <c r="BG1" s="0"/>
      <c r="BH1" s="0"/>
      <c r="BI1" s="0"/>
      <c r="BJ1" s="0"/>
      <c r="BK1" s="0"/>
      <c r="BL1" s="0"/>
      <c r="BM1" s="0"/>
      <c r="BN1" s="0"/>
      <c r="BO1" s="0"/>
      <c r="BP1" s="0"/>
      <c r="BQ1" s="0"/>
      <c r="BR1" s="0"/>
      <c r="BS1" s="0"/>
      <c r="BT1" s="0"/>
      <c r="BU1" s="0"/>
      <c r="BV1" s="0"/>
      <c r="BW1" s="0"/>
      <c r="BX1" s="0"/>
      <c r="BY1" s="0"/>
      <c r="BZ1" s="0"/>
      <c r="CA1" s="0"/>
      <c r="CB1" s="0"/>
      <c r="CC1" s="0"/>
      <c r="CD1" s="0"/>
      <c r="CE1" s="0"/>
      <c r="CF1" s="0"/>
      <c r="CG1" s="0"/>
      <c r="CH1" s="0"/>
      <c r="CI1" s="0"/>
      <c r="CJ1" s="0"/>
      <c r="CK1" s="0"/>
      <c r="CL1" s="0"/>
      <c r="CM1" s="0"/>
      <c r="CN1" s="0"/>
      <c r="CO1" s="0"/>
      <c r="CP1" s="0"/>
      <c r="CQ1" s="0"/>
      <c r="CR1" s="0"/>
      <c r="CS1" s="0"/>
      <c r="CT1" s="0"/>
      <c r="CU1" s="0"/>
      <c r="CV1" s="0"/>
      <c r="CW1" s="0"/>
      <c r="CX1" s="0"/>
      <c r="CY1" s="0"/>
      <c r="CZ1" s="0"/>
      <c r="DA1" s="0"/>
      <c r="DB1" s="0"/>
      <c r="DC1" s="0"/>
      <c r="DD1" s="0"/>
      <c r="DE1" s="0"/>
      <c r="DF1" s="0"/>
      <c r="DG1" s="0"/>
      <c r="DH1" s="0"/>
      <c r="DI1" s="0"/>
      <c r="DJ1" s="0"/>
      <c r="DK1" s="0"/>
      <c r="DL1" s="0"/>
      <c r="DM1" s="0"/>
      <c r="DN1" s="0"/>
      <c r="DO1" s="0"/>
      <c r="DP1" s="0"/>
      <c r="DQ1" s="0"/>
      <c r="DR1" s="0"/>
      <c r="DS1" s="0"/>
      <c r="DT1" s="0"/>
      <c r="DU1" s="0"/>
      <c r="DV1" s="0"/>
      <c r="DW1" s="0"/>
      <c r="DX1" s="0"/>
      <c r="DY1" s="0"/>
      <c r="DZ1" s="0"/>
      <c r="EA1" s="0"/>
      <c r="EB1" s="0"/>
      <c r="EC1" s="0"/>
      <c r="ED1" s="0"/>
      <c r="EE1" s="0"/>
      <c r="EF1" s="0"/>
      <c r="EG1" s="0"/>
      <c r="EH1" s="0"/>
      <c r="EI1" s="0"/>
    </row>
    <row r="2" s="2" customFormat="1" ht="15" customHeight="1">
      <c r="B2" s="11" t="s">
        <v>208</v>
      </c>
      <c r="C2" s="130"/>
      <c r="W2" s="281"/>
      <c r="X2" s="281"/>
      <c r="Y2" s="281"/>
      <c r="Z2" s="281"/>
      <c r="AA2" s="281"/>
      <c r="AB2" s="281"/>
      <c r="AC2" s="281"/>
      <c r="AD2" s="281"/>
      <c r="AE2" s="281"/>
      <c r="AF2" s="281"/>
      <c r="AG2" s="281"/>
      <c r="AH2" s="281"/>
      <c r="AI2" s="281"/>
      <c r="AJ2" s="281"/>
      <c r="AK2" s="281"/>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s="0"/>
      <c r="BO2" s="0"/>
      <c r="BP2" s="0"/>
      <c r="BQ2" s="0"/>
      <c r="BR2" s="0"/>
      <c r="BS2" s="0"/>
      <c r="BT2" s="0"/>
      <c r="BU2" s="0"/>
      <c r="BV2" s="0"/>
      <c r="BW2" s="0"/>
      <c r="BX2" s="0"/>
      <c r="BY2" s="0"/>
      <c r="BZ2" s="0"/>
      <c r="CA2" s="0"/>
      <c r="CB2" s="0"/>
      <c r="CC2" s="0"/>
      <c r="CD2" s="0"/>
      <c r="CE2" s="0"/>
      <c r="CF2" s="0"/>
      <c r="CG2" s="0"/>
      <c r="CH2" s="0"/>
      <c r="CI2" s="0"/>
      <c r="CJ2" s="0"/>
      <c r="CK2" s="0"/>
      <c r="CL2" s="0"/>
      <c r="CM2" s="0"/>
      <c r="CN2" s="0"/>
      <c r="CO2" s="0"/>
      <c r="CP2" s="0"/>
      <c r="CQ2" s="0"/>
      <c r="CR2" s="0"/>
      <c r="CS2" s="0"/>
      <c r="CT2" s="0"/>
      <c r="CU2" s="0"/>
      <c r="CV2" s="0"/>
      <c r="CW2" s="0"/>
      <c r="CX2" s="0"/>
      <c r="CY2" s="0"/>
      <c r="CZ2" s="0"/>
      <c r="DA2" s="0"/>
      <c r="DB2" s="0"/>
      <c r="DC2" s="0"/>
      <c r="DD2" s="0"/>
      <c r="DE2" s="0"/>
      <c r="DF2" s="0"/>
      <c r="DG2" s="0"/>
      <c r="DH2" s="0"/>
      <c r="DI2" s="0"/>
      <c r="DJ2" s="0"/>
      <c r="DK2" s="0"/>
      <c r="DL2" s="0"/>
      <c r="DM2" s="0"/>
      <c r="DN2" s="0"/>
      <c r="DO2" s="0"/>
      <c r="DP2" s="0"/>
      <c r="DQ2" s="0"/>
      <c r="DR2" s="0"/>
      <c r="DS2" s="0"/>
      <c r="DT2" s="0"/>
      <c r="DU2" s="0"/>
      <c r="DV2" s="0"/>
      <c r="DW2" s="0"/>
      <c r="DX2" s="0"/>
      <c r="DY2" s="0"/>
      <c r="DZ2" s="0"/>
      <c r="EA2" s="0"/>
      <c r="EB2" s="0"/>
      <c r="EC2" s="0"/>
      <c r="ED2" s="0"/>
      <c r="EE2" s="0"/>
      <c r="EF2" s="0"/>
      <c r="EG2" s="0"/>
      <c r="EH2" s="0"/>
      <c r="EI2" s="0"/>
    </row>
    <row r="3" s="2" customFormat="1" ht="17.1" customHeight="1">
      <c r="B3" s="11" t="s">
        <v>209</v>
      </c>
      <c r="C3" s="130"/>
      <c r="O3" s="961"/>
      <c r="P3" s="961"/>
      <c r="Q3" s="961"/>
      <c r="R3" s="961"/>
      <c r="S3" s="961"/>
      <c r="T3" s="961"/>
      <c r="U3" s="961"/>
      <c r="W3" s="281"/>
      <c r="X3" s="281"/>
      <c r="Y3" s="281"/>
      <c r="Z3" s="281"/>
      <c r="AA3" s="281"/>
      <c r="AB3" s="281"/>
      <c r="AC3" s="281"/>
      <c r="AD3" s="281"/>
      <c r="AE3" s="281"/>
      <c r="AF3" s="281"/>
      <c r="AG3" s="281"/>
      <c r="AH3" s="281"/>
      <c r="AI3" s="281"/>
      <c r="AJ3" s="281"/>
      <c r="AK3" s="281"/>
      <c r="AL3" s="0"/>
      <c r="AM3" s="0"/>
      <c r="AN3" s="0"/>
      <c r="AO3" s="0"/>
      <c r="AP3" s="0"/>
      <c r="AQ3" s="0"/>
      <c r="AR3" s="0"/>
      <c r="AS3" s="0"/>
      <c r="AT3" s="0"/>
      <c r="AU3" s="0"/>
      <c r="AV3" s="0"/>
      <c r="AW3" s="0"/>
      <c r="AX3" s="0"/>
      <c r="AY3" s="0"/>
      <c r="AZ3" s="0"/>
      <c r="BA3" s="0"/>
      <c r="BB3" s="0"/>
      <c r="BC3" s="0"/>
      <c r="BD3" s="0"/>
      <c r="BE3" s="0"/>
      <c r="BF3" s="0"/>
      <c r="BG3" s="0"/>
      <c r="BH3" s="0"/>
      <c r="BI3" s="0"/>
      <c r="BJ3" s="0"/>
      <c r="BK3" s="0"/>
      <c r="BL3" s="0"/>
      <c r="BM3" s="0"/>
      <c r="BN3" s="0"/>
      <c r="BO3" s="0"/>
      <c r="BP3" s="0"/>
      <c r="BQ3" s="0"/>
      <c r="BR3" s="0"/>
      <c r="BS3" s="0"/>
      <c r="BT3" s="0"/>
      <c r="BU3" s="0"/>
      <c r="BV3" s="0"/>
      <c r="BW3" s="0"/>
      <c r="BX3" s="0"/>
      <c r="BY3" s="0"/>
      <c r="BZ3" s="0"/>
      <c r="CA3" s="0"/>
      <c r="CB3" s="0"/>
      <c r="CC3" s="0"/>
      <c r="CD3" s="0"/>
      <c r="CE3" s="0"/>
      <c r="CF3" s="0"/>
      <c r="CG3" s="0"/>
      <c r="CH3" s="0"/>
      <c r="CI3" s="0"/>
      <c r="CJ3" s="0"/>
      <c r="CK3" s="0"/>
      <c r="CL3" s="0"/>
      <c r="CM3" s="0"/>
      <c r="CN3" s="0"/>
      <c r="CO3" s="0"/>
      <c r="CP3" s="0"/>
      <c r="CQ3" s="0"/>
      <c r="CR3" s="0"/>
      <c r="CS3" s="0"/>
      <c r="CT3" s="0"/>
      <c r="CU3" s="0"/>
      <c r="CV3" s="0"/>
      <c r="CW3" s="0"/>
      <c r="CX3" s="0"/>
      <c r="CY3" s="0"/>
      <c r="CZ3" s="0"/>
      <c r="DA3" s="0"/>
      <c r="DB3" s="0"/>
      <c r="DC3" s="0"/>
      <c r="DD3" s="0"/>
      <c r="DE3" s="0"/>
      <c r="DF3" s="0"/>
      <c r="DG3" s="0"/>
      <c r="DH3" s="0"/>
      <c r="DI3" s="0"/>
      <c r="DJ3" s="0"/>
      <c r="DK3" s="0"/>
      <c r="DL3" s="0"/>
      <c r="DM3" s="0"/>
      <c r="DN3" s="0"/>
      <c r="DO3" s="0"/>
      <c r="DP3" s="0"/>
      <c r="DQ3" s="0"/>
      <c r="DR3" s="0"/>
      <c r="DS3" s="0"/>
      <c r="DT3" s="0"/>
      <c r="DU3" s="0"/>
      <c r="DV3" s="0"/>
      <c r="DW3" s="0"/>
      <c r="DX3" s="0"/>
      <c r="DY3" s="0"/>
      <c r="DZ3" s="0"/>
      <c r="EA3" s="0"/>
      <c r="EB3" s="0"/>
      <c r="EC3" s="0"/>
      <c r="ED3" s="0"/>
      <c r="EE3" s="0"/>
      <c r="EF3" s="0"/>
      <c r="EG3" s="0"/>
      <c r="EH3" s="0"/>
      <c r="EI3" s="0"/>
    </row>
    <row r="4" s="2" customFormat="1" ht="15.75" customHeight="1">
      <c r="A4" s="9"/>
      <c r="B4" s="11" t="s">
        <v>210</v>
      </c>
      <c r="C4" s="131"/>
      <c r="D4" s="131"/>
      <c r="E4" s="131"/>
      <c r="G4" s="132"/>
      <c r="H4" s="132"/>
      <c r="I4" s="132"/>
      <c r="J4" s="132"/>
      <c r="K4" s="132"/>
      <c r="L4" s="132"/>
      <c r="M4" s="132"/>
      <c r="N4" s="132"/>
      <c r="O4" s="132"/>
      <c r="P4" s="132"/>
      <c r="Q4" s="132"/>
      <c r="R4" s="132"/>
      <c r="S4" s="132"/>
      <c r="T4" s="132"/>
      <c r="U4" s="132"/>
      <c r="V4" s="132"/>
      <c r="W4" s="281"/>
      <c r="X4" s="281"/>
      <c r="Y4" s="281"/>
      <c r="Z4" s="281"/>
      <c r="AA4" s="281"/>
      <c r="AB4" s="281"/>
      <c r="AC4" s="281"/>
      <c r="AD4" s="281"/>
      <c r="AE4" s="281"/>
      <c r="AF4" s="281"/>
      <c r="AG4" s="281"/>
      <c r="AH4" s="281"/>
      <c r="AI4" s="281"/>
      <c r="AJ4" s="281"/>
      <c r="AK4" s="281"/>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c r="BY4" s="0"/>
      <c r="BZ4" s="0"/>
      <c r="CA4" s="0"/>
      <c r="CB4" s="0"/>
      <c r="CC4" s="0"/>
      <c r="CD4" s="0"/>
      <c r="CE4" s="0"/>
      <c r="CF4" s="0"/>
      <c r="CG4" s="0"/>
      <c r="CH4" s="0"/>
      <c r="CI4" s="0"/>
      <c r="CJ4" s="0"/>
      <c r="CK4" s="0"/>
      <c r="CL4" s="0"/>
      <c r="CM4" s="0"/>
      <c r="CN4" s="0"/>
      <c r="CO4" s="0"/>
      <c r="CP4" s="0"/>
      <c r="CQ4" s="0"/>
      <c r="CR4" s="0"/>
      <c r="CS4" s="0"/>
      <c r="CT4" s="0"/>
      <c r="CU4" s="0"/>
      <c r="CV4" s="0"/>
      <c r="CW4" s="0"/>
      <c r="CX4" s="0"/>
      <c r="CY4" s="0"/>
      <c r="CZ4" s="0"/>
      <c r="DA4" s="0"/>
      <c r="DB4" s="0"/>
      <c r="DC4" s="0"/>
      <c r="DD4" s="0"/>
      <c r="DE4" s="0"/>
      <c r="DF4" s="0"/>
      <c r="DG4" s="0"/>
      <c r="DH4" s="0"/>
      <c r="DI4" s="0"/>
      <c r="DJ4" s="0"/>
      <c r="DK4" s="0"/>
      <c r="DL4" s="0"/>
      <c r="DM4" s="0"/>
      <c r="DN4" s="0"/>
      <c r="DO4" s="0"/>
      <c r="DP4" s="0"/>
      <c r="DQ4" s="0"/>
      <c r="DR4" s="0"/>
      <c r="DS4" s="0"/>
      <c r="DT4" s="0"/>
      <c r="DU4" s="0"/>
      <c r="DV4" s="0"/>
      <c r="DW4" s="0"/>
      <c r="DX4" s="0"/>
      <c r="DY4" s="0"/>
      <c r="DZ4" s="0"/>
      <c r="EA4" s="0"/>
      <c r="EB4" s="0"/>
      <c r="EC4" s="0"/>
      <c r="ED4" s="0"/>
      <c r="EE4" s="0"/>
      <c r="EF4" s="0"/>
      <c r="EG4" s="0"/>
      <c r="EH4" s="0"/>
      <c r="EI4" s="0"/>
    </row>
    <row r="5" s="2" customFormat="1" ht="20.1" customHeight="1">
      <c r="A5" s="9"/>
      <c r="B5" s="11"/>
      <c r="C5" s="131"/>
      <c r="D5" s="131"/>
      <c r="E5" s="131"/>
      <c r="G5" s="132"/>
      <c r="H5" s="132"/>
      <c r="I5" s="132"/>
      <c r="J5" s="132"/>
      <c r="K5" s="132"/>
      <c r="L5" s="132"/>
      <c r="M5" s="132"/>
      <c r="N5" s="132"/>
      <c r="O5" s="132"/>
      <c r="P5" s="132"/>
      <c r="Q5" s="132"/>
      <c r="R5" s="132"/>
      <c r="S5" s="132"/>
      <c r="T5" s="132"/>
      <c r="U5" s="132"/>
      <c r="V5" s="132"/>
      <c r="W5" s="281"/>
      <c r="X5" s="281"/>
      <c r="Y5" s="281"/>
      <c r="Z5" s="281"/>
      <c r="AA5" s="281"/>
      <c r="AB5" s="281"/>
      <c r="AC5" s="281"/>
      <c r="AD5" s="281"/>
      <c r="AE5" s="281"/>
      <c r="AF5" s="281"/>
      <c r="AG5" s="281"/>
      <c r="AH5" s="281"/>
      <c r="AI5" s="281"/>
      <c r="AJ5" s="281"/>
      <c r="AK5" s="281"/>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row>
    <row r="6" s="2" customFormat="1" ht="20.1" customHeight="1">
      <c r="A6" s="9"/>
      <c r="B6" s="11"/>
      <c r="C6" s="131"/>
      <c r="D6" s="131"/>
      <c r="E6" s="131"/>
      <c r="G6" s="132"/>
      <c r="H6" s="132"/>
      <c r="I6" s="132"/>
      <c r="J6" s="132"/>
      <c r="K6" s="132"/>
      <c r="L6" s="132"/>
      <c r="M6" s="132"/>
      <c r="N6" s="132"/>
      <c r="O6" s="132"/>
      <c r="P6" s="132"/>
      <c r="Q6" s="132"/>
      <c r="R6" s="132"/>
      <c r="S6" s="132"/>
      <c r="T6" s="132"/>
      <c r="U6" s="132"/>
      <c r="V6" s="132"/>
      <c r="W6" s="281"/>
      <c r="X6" s="281"/>
      <c r="Y6" s="281"/>
      <c r="Z6" s="281"/>
      <c r="AA6" s="281"/>
      <c r="AB6" s="281"/>
      <c r="AC6" s="281"/>
      <c r="AD6" s="281"/>
      <c r="AE6" s="281"/>
      <c r="AF6" s="281"/>
      <c r="AG6" s="281"/>
      <c r="AH6" s="281"/>
      <c r="AI6" s="281"/>
      <c r="AJ6" s="281"/>
      <c r="AK6" s="281"/>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row>
    <row r="7" s="2" customFormat="1" ht="20.1" customHeight="1">
      <c r="A7" s="9"/>
      <c r="B7" s="11"/>
      <c r="C7" s="131"/>
      <c r="D7" s="131"/>
      <c r="E7" s="131"/>
      <c r="G7" s="132"/>
      <c r="H7" s="132"/>
      <c r="I7" s="132"/>
      <c r="J7" s="132"/>
      <c r="K7" s="132"/>
      <c r="L7" s="132"/>
      <c r="M7" s="132"/>
      <c r="N7" s="132"/>
      <c r="O7" s="132"/>
      <c r="P7" s="132"/>
      <c r="Q7" s="132"/>
      <c r="R7" s="132"/>
      <c r="S7" s="132"/>
      <c r="T7" s="132"/>
      <c r="U7" s="132"/>
      <c r="V7" s="132"/>
      <c r="W7" s="281"/>
      <c r="X7" s="281"/>
      <c r="Y7" s="281"/>
      <c r="Z7" s="281"/>
      <c r="AA7" s="281"/>
      <c r="AB7" s="281"/>
      <c r="AC7" s="281"/>
      <c r="AD7" s="281"/>
      <c r="AE7" s="281"/>
      <c r="AF7" s="281"/>
      <c r="AG7" s="281"/>
      <c r="AH7" s="281"/>
      <c r="AI7" s="281"/>
      <c r="AJ7" s="281"/>
      <c r="AK7" s="281"/>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c r="DM7" s="0"/>
      <c r="DN7" s="0"/>
      <c r="DO7" s="0"/>
      <c r="DP7" s="0"/>
      <c r="DQ7" s="0"/>
      <c r="DR7" s="0"/>
      <c r="DS7" s="0"/>
      <c r="DT7" s="0"/>
      <c r="DU7" s="0"/>
      <c r="DV7" s="0"/>
      <c r="DW7" s="0"/>
      <c r="DX7" s="0"/>
      <c r="DY7" s="0"/>
      <c r="DZ7" s="0"/>
      <c r="EA7" s="0"/>
      <c r="EB7" s="0"/>
      <c r="EC7" s="0"/>
      <c r="ED7" s="0"/>
      <c r="EE7" s="0"/>
      <c r="EF7" s="0"/>
      <c r="EG7" s="0"/>
      <c r="EH7" s="0"/>
      <c r="EI7" s="0"/>
    </row>
    <row r="8" s="2" customFormat="1" ht="20.1" customHeight="1">
      <c r="A8" s="9"/>
      <c r="B8" s="11"/>
      <c r="C8" s="131"/>
      <c r="D8" s="131"/>
      <c r="E8" s="131"/>
      <c r="G8" s="132"/>
      <c r="H8" s="132"/>
      <c r="I8" s="132"/>
      <c r="J8" s="132"/>
      <c r="K8" s="132"/>
      <c r="L8" s="132"/>
      <c r="M8" s="132"/>
      <c r="N8" s="132"/>
      <c r="O8" s="132"/>
      <c r="P8" s="132"/>
      <c r="Q8" s="132"/>
      <c r="R8" s="132"/>
      <c r="S8" s="132"/>
      <c r="T8" s="132"/>
      <c r="U8" s="132"/>
      <c r="V8" s="132"/>
      <c r="W8" s="281"/>
      <c r="X8" s="281"/>
      <c r="Y8" s="281"/>
      <c r="Z8" s="281"/>
      <c r="AA8" s="281"/>
      <c r="AB8" s="281"/>
      <c r="AC8" s="281"/>
      <c r="AD8" s="281"/>
      <c r="AE8" s="281"/>
      <c r="AF8" s="281"/>
      <c r="AG8" s="281"/>
      <c r="AH8" s="281"/>
      <c r="AI8" s="281"/>
      <c r="AJ8" s="281"/>
      <c r="AK8" s="281"/>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row>
    <row r="9" s="2" customFormat="1" ht="20.1" customHeight="1">
      <c r="A9" s="9"/>
      <c r="B9" s="11"/>
      <c r="C9" s="131"/>
      <c r="D9" s="131"/>
      <c r="E9" s="131"/>
      <c r="G9" s="132"/>
      <c r="H9" s="132"/>
      <c r="I9" s="132"/>
      <c r="J9" s="132"/>
      <c r="K9" s="132"/>
      <c r="L9" s="132"/>
      <c r="M9" s="132"/>
      <c r="N9" s="132"/>
      <c r="O9" s="132"/>
      <c r="P9" s="132"/>
      <c r="Q9" s="132"/>
      <c r="R9" s="132"/>
      <c r="S9" s="132"/>
      <c r="T9" s="132"/>
      <c r="U9" s="132"/>
      <c r="V9" s="132"/>
      <c r="W9" s="281"/>
      <c r="X9" s="281"/>
      <c r="Y9" s="281"/>
      <c r="Z9" s="281"/>
      <c r="AA9" s="281"/>
      <c r="AB9" s="281"/>
      <c r="AC9" s="281"/>
      <c r="AD9" s="281"/>
      <c r="AE9" s="281"/>
      <c r="AF9" s="281"/>
      <c r="AG9" s="281"/>
      <c r="AH9" s="281"/>
      <c r="AI9" s="281"/>
      <c r="AJ9" s="281"/>
      <c r="AK9" s="281"/>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c r="DM9" s="0"/>
      <c r="DN9" s="0"/>
      <c r="DO9" s="0"/>
      <c r="DP9" s="0"/>
      <c r="DQ9" s="0"/>
      <c r="DR9" s="0"/>
      <c r="DS9" s="0"/>
      <c r="DT9" s="0"/>
      <c r="DU9" s="0"/>
      <c r="DV9" s="0"/>
      <c r="DW9" s="0"/>
      <c r="DX9" s="0"/>
      <c r="DY9" s="0"/>
      <c r="DZ9" s="0"/>
      <c r="EA9" s="0"/>
      <c r="EB9" s="0"/>
      <c r="EC9" s="0"/>
      <c r="ED9" s="0"/>
      <c r="EE9" s="0"/>
      <c r="EF9" s="0"/>
      <c r="EG9" s="0"/>
      <c r="EH9" s="0"/>
      <c r="EI9" s="0"/>
    </row>
    <row r="10" s="2" customFormat="1" ht="20.1" customHeight="1">
      <c r="A10" s="9"/>
      <c r="B10" s="11"/>
      <c r="C10" s="131"/>
      <c r="D10" s="131"/>
      <c r="E10" s="131"/>
      <c r="G10" s="132"/>
      <c r="H10" s="132"/>
      <c r="I10" s="132"/>
      <c r="J10" s="132"/>
      <c r="K10" s="132"/>
      <c r="L10" s="132"/>
      <c r="M10" s="132"/>
      <c r="N10" s="132"/>
      <c r="O10" s="132"/>
      <c r="P10" s="132"/>
      <c r="Q10" s="132"/>
      <c r="R10" s="132"/>
      <c r="S10" s="132"/>
      <c r="T10" s="132"/>
      <c r="U10" s="132"/>
      <c r="V10" s="132"/>
      <c r="W10" s="281"/>
      <c r="X10" s="281"/>
      <c r="Y10" s="281"/>
      <c r="Z10" s="281"/>
      <c r="AA10" s="281"/>
      <c r="AB10" s="281"/>
      <c r="AC10" s="281"/>
      <c r="AD10" s="281"/>
      <c r="AE10" s="281"/>
      <c r="AF10" s="281"/>
      <c r="AG10" s="281"/>
      <c r="AH10" s="281"/>
      <c r="AI10" s="281"/>
      <c r="AJ10" s="281"/>
      <c r="AK10" s="281"/>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c r="BY10" s="0"/>
      <c r="BZ10" s="0"/>
      <c r="CA10" s="0"/>
      <c r="CB10" s="0"/>
      <c r="CC10" s="0"/>
      <c r="CD10" s="0"/>
      <c r="CE10" s="0"/>
      <c r="CF10" s="0"/>
      <c r="CG10" s="0"/>
      <c r="CH10" s="0"/>
      <c r="CI10" s="0"/>
      <c r="CJ10" s="0"/>
      <c r="CK10" s="0"/>
      <c r="CL10" s="0"/>
      <c r="CM10" s="0"/>
      <c r="CN10" s="0"/>
      <c r="CO10" s="0"/>
      <c r="CP10" s="0"/>
      <c r="CQ10" s="0"/>
      <c r="CR10" s="0"/>
      <c r="CS10" s="0"/>
      <c r="CT10" s="0"/>
      <c r="CU10" s="0"/>
      <c r="CV10" s="0"/>
      <c r="CW10" s="0"/>
      <c r="CX10" s="0"/>
      <c r="CY10" s="0"/>
      <c r="CZ10" s="0"/>
      <c r="DA10" s="0"/>
      <c r="DB10" s="0"/>
      <c r="DC10" s="0"/>
      <c r="DD10" s="0"/>
      <c r="DE10" s="0"/>
      <c r="DF10" s="0"/>
      <c r="DG10" s="0"/>
      <c r="DH10" s="0"/>
      <c r="DI10" s="0"/>
      <c r="DJ10" s="0"/>
      <c r="DK10" s="0"/>
      <c r="DL10" s="0"/>
      <c r="DM10" s="0"/>
      <c r="DN10" s="0"/>
      <c r="DO10" s="0"/>
      <c r="DP10" s="0"/>
      <c r="DQ10" s="0"/>
      <c r="DR10" s="0"/>
      <c r="DS10" s="0"/>
      <c r="DT10" s="0"/>
      <c r="DU10" s="0"/>
      <c r="DV10" s="0"/>
      <c r="DW10" s="0"/>
      <c r="DX10" s="0"/>
      <c r="DY10" s="0"/>
      <c r="DZ10" s="0"/>
      <c r="EA10" s="0"/>
      <c r="EB10" s="0"/>
      <c r="EC10" s="0"/>
      <c r="ED10" s="0"/>
      <c r="EE10" s="0"/>
      <c r="EF10" s="0"/>
      <c r="EG10" s="0"/>
      <c r="EH10" s="0"/>
      <c r="EI10" s="0"/>
    </row>
    <row r="11" s="2" customFormat="1" ht="20.1" customHeight="1">
      <c r="A11" s="9"/>
      <c r="B11" s="11"/>
      <c r="C11" s="131"/>
      <c r="D11" s="131"/>
      <c r="E11" s="131"/>
      <c r="G11" s="132"/>
      <c r="H11" s="132"/>
      <c r="I11" s="132"/>
      <c r="J11" s="132"/>
      <c r="K11" s="132"/>
      <c r="L11" s="132"/>
      <c r="M11" s="132"/>
      <c r="N11" s="132"/>
      <c r="O11" s="132"/>
      <c r="P11" s="132"/>
      <c r="Q11" s="132"/>
      <c r="R11" s="132"/>
      <c r="S11" s="132"/>
      <c r="T11" s="132"/>
      <c r="U11" s="132"/>
      <c r="V11" s="132"/>
      <c r="W11" s="281"/>
      <c r="X11" s="281"/>
      <c r="Y11" s="281"/>
      <c r="Z11" s="281"/>
      <c r="AA11" s="281"/>
      <c r="AB11" s="281"/>
      <c r="AC11" s="281"/>
      <c r="AD11" s="281"/>
      <c r="AE11" s="281"/>
      <c r="AF11" s="281"/>
      <c r="AG11" s="281"/>
      <c r="AH11" s="281"/>
      <c r="AI11" s="281"/>
      <c r="AJ11" s="281"/>
      <c r="AK11" s="281"/>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c r="BY11" s="0"/>
      <c r="BZ11" s="0"/>
      <c r="CA11" s="0"/>
      <c r="CB11" s="0"/>
      <c r="CC11" s="0"/>
      <c r="CD11" s="0"/>
      <c r="CE11" s="0"/>
      <c r="CF11" s="0"/>
      <c r="CG11" s="0"/>
      <c r="CH11" s="0"/>
      <c r="CI11" s="0"/>
      <c r="CJ11" s="0"/>
      <c r="CK11" s="0"/>
      <c r="CL11" s="0"/>
      <c r="CM11" s="0"/>
      <c r="CN11" s="0"/>
      <c r="CO11" s="0"/>
      <c r="CP11" s="0"/>
      <c r="CQ11" s="0"/>
      <c r="CR11" s="0"/>
      <c r="CS11" s="0"/>
      <c r="CT11" s="0"/>
      <c r="CU11" s="0"/>
      <c r="CV11" s="0"/>
      <c r="CW11" s="0"/>
      <c r="CX11" s="0"/>
      <c r="CY11" s="0"/>
      <c r="CZ11" s="0"/>
      <c r="DA11" s="0"/>
      <c r="DB11" s="0"/>
      <c r="DC11" s="0"/>
      <c r="DD11" s="0"/>
      <c r="DE11" s="0"/>
      <c r="DF11" s="0"/>
      <c r="DG11" s="0"/>
      <c r="DH11" s="0"/>
      <c r="DI11" s="0"/>
      <c r="DJ11" s="0"/>
      <c r="DK11" s="0"/>
      <c r="DL11" s="0"/>
      <c r="DM11" s="0"/>
      <c r="DN11" s="0"/>
      <c r="DO11" s="0"/>
      <c r="DP11" s="0"/>
      <c r="DQ11" s="0"/>
      <c r="DR11" s="0"/>
      <c r="DS11" s="0"/>
      <c r="DT11" s="0"/>
      <c r="DU11" s="0"/>
      <c r="DV11" s="0"/>
      <c r="DW11" s="0"/>
      <c r="DX11" s="0"/>
      <c r="DY11" s="0"/>
      <c r="DZ11" s="0"/>
      <c r="EA11" s="0"/>
      <c r="EB11" s="0"/>
      <c r="EC11" s="0"/>
      <c r="ED11" s="0"/>
      <c r="EE11" s="0"/>
      <c r="EF11" s="0"/>
      <c r="EG11" s="0"/>
      <c r="EH11" s="0"/>
      <c r="EI11" s="0"/>
    </row>
    <row r="12" s="2" customFormat="1" ht="20.1" customHeight="1">
      <c r="A12" s="9"/>
      <c r="B12" s="11"/>
      <c r="C12" s="131"/>
      <c r="D12" s="131"/>
      <c r="E12" s="131"/>
      <c r="G12" s="132"/>
      <c r="H12" s="132"/>
      <c r="I12" s="132"/>
      <c r="J12" s="132"/>
      <c r="K12" s="132"/>
      <c r="L12" s="132"/>
      <c r="M12" s="132"/>
      <c r="N12" s="132"/>
      <c r="O12" s="132"/>
      <c r="P12" s="132"/>
      <c r="Q12" s="132"/>
      <c r="R12" s="132"/>
      <c r="S12" s="132"/>
      <c r="T12" s="132"/>
      <c r="U12" s="132"/>
      <c r="V12" s="132"/>
      <c r="W12" s="281"/>
      <c r="X12" s="281"/>
      <c r="Y12" s="281"/>
      <c r="Z12" s="281"/>
      <c r="AA12" s="281"/>
      <c r="AB12" s="281"/>
      <c r="AC12" s="281"/>
      <c r="AD12" s="281"/>
      <c r="AE12" s="281"/>
      <c r="AF12" s="281"/>
      <c r="AG12" s="281"/>
      <c r="AH12" s="281"/>
      <c r="AI12" s="281"/>
      <c r="AJ12" s="281"/>
      <c r="AK12" s="281"/>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c r="BY12" s="0"/>
      <c r="BZ12" s="0"/>
      <c r="CA12" s="0"/>
      <c r="CB12" s="0"/>
      <c r="CC12" s="0"/>
      <c r="CD12" s="0"/>
      <c r="CE12" s="0"/>
      <c r="CF12" s="0"/>
      <c r="CG12" s="0"/>
      <c r="CH12" s="0"/>
      <c r="CI12" s="0"/>
      <c r="CJ12" s="0"/>
      <c r="CK12" s="0"/>
      <c r="CL12" s="0"/>
      <c r="CM12" s="0"/>
      <c r="CN12" s="0"/>
      <c r="CO12" s="0"/>
      <c r="CP12" s="0"/>
      <c r="CQ12" s="0"/>
      <c r="CR12" s="0"/>
      <c r="CS12" s="0"/>
      <c r="CT12" s="0"/>
      <c r="CU12" s="0"/>
      <c r="CV12" s="0"/>
      <c r="CW12" s="0"/>
      <c r="CX12" s="0"/>
      <c r="CY12" s="0"/>
      <c r="CZ12" s="0"/>
      <c r="DA12" s="0"/>
      <c r="DB12" s="0"/>
      <c r="DC12" s="0"/>
      <c r="DD12" s="0"/>
      <c r="DE12" s="0"/>
      <c r="DF12" s="0"/>
      <c r="DG12" s="0"/>
      <c r="DH12" s="0"/>
      <c r="DI12" s="0"/>
      <c r="DJ12" s="0"/>
      <c r="DK12" s="0"/>
      <c r="DL12" s="0"/>
      <c r="DM12" s="0"/>
      <c r="DN12" s="0"/>
      <c r="DO12" s="0"/>
      <c r="DP12" s="0"/>
      <c r="DQ12" s="0"/>
      <c r="DR12" s="0"/>
      <c r="DS12" s="0"/>
      <c r="DT12" s="0"/>
      <c r="DU12" s="0"/>
      <c r="DV12" s="0"/>
      <c r="DW12" s="0"/>
      <c r="DX12" s="0"/>
      <c r="DY12" s="0"/>
      <c r="DZ12" s="0"/>
      <c r="EA12" s="0"/>
      <c r="EB12" s="0"/>
      <c r="EC12" s="0"/>
      <c r="ED12" s="0"/>
      <c r="EE12" s="0"/>
      <c r="EF12" s="0"/>
      <c r="EG12" s="0"/>
      <c r="EH12" s="0"/>
      <c r="EI12" s="0"/>
    </row>
    <row r="13" s="2" customFormat="1" ht="20.1" customHeight="1">
      <c r="A13" s="9"/>
      <c r="B13" s="11"/>
      <c r="C13" s="131"/>
      <c r="D13" s="131"/>
      <c r="E13" s="131"/>
      <c r="G13" s="132"/>
      <c r="H13" s="132"/>
      <c r="I13" s="132"/>
      <c r="J13" s="132"/>
      <c r="K13" s="132"/>
      <c r="L13" s="132"/>
      <c r="M13" s="132"/>
      <c r="N13" s="132"/>
      <c r="O13" s="132"/>
      <c r="P13" s="132"/>
      <c r="Q13" s="132"/>
      <c r="R13" s="132"/>
      <c r="S13" s="132"/>
      <c r="T13" s="132"/>
      <c r="U13" s="132"/>
      <c r="V13" s="132"/>
      <c r="W13" s="281"/>
      <c r="X13" s="1014" t="s">
        <v>43</v>
      </c>
      <c r="Y13" s="1014" t="s">
        <v>46</v>
      </c>
      <c r="Z13" s="1014" t="s">
        <v>47</v>
      </c>
      <c r="AA13" s="1014" t="s">
        <v>48</v>
      </c>
      <c r="AB13" s="1014" t="s">
        <v>49</v>
      </c>
      <c r="AC13" s="1014" t="s">
        <v>50</v>
      </c>
      <c r="AD13" s="1014" t="s">
        <v>51</v>
      </c>
      <c r="AE13" s="1014" t="s">
        <v>40</v>
      </c>
      <c r="AF13" s="1014" t="s">
        <v>52</v>
      </c>
      <c r="AG13" s="281"/>
      <c r="AH13" s="281"/>
      <c r="AI13" s="281"/>
      <c r="AJ13" s="281"/>
      <c r="AK13" s="281"/>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c r="BY13" s="0"/>
      <c r="BZ13" s="0"/>
      <c r="CA13" s="0"/>
      <c r="CB13" s="0"/>
      <c r="CC13" s="0"/>
      <c r="CD13" s="0"/>
      <c r="CE13" s="0"/>
      <c r="CF13" s="0"/>
      <c r="CG13" s="0"/>
      <c r="CH13" s="0"/>
      <c r="CI13" s="0"/>
      <c r="CJ13" s="0"/>
      <c r="CK13" s="0"/>
      <c r="CL13" s="0"/>
      <c r="CM13" s="0"/>
      <c r="CN13" s="0"/>
      <c r="CO13" s="0"/>
      <c r="CP13" s="0"/>
      <c r="CQ13" s="0"/>
      <c r="CR13" s="0"/>
      <c r="CS13" s="0"/>
      <c r="CT13" s="0"/>
      <c r="CU13" s="0"/>
      <c r="CV13" s="0"/>
      <c r="CW13" s="0"/>
      <c r="CX13" s="0"/>
      <c r="CY13" s="0"/>
      <c r="CZ13" s="0"/>
      <c r="DA13" s="0"/>
      <c r="DB13" s="0"/>
      <c r="DC13" s="0"/>
      <c r="DD13" s="0"/>
      <c r="DE13" s="0"/>
      <c r="DF13" s="0"/>
      <c r="DG13" s="0"/>
      <c r="DH13" s="0"/>
      <c r="DI13" s="0"/>
      <c r="DJ13" s="0"/>
      <c r="DK13" s="0"/>
      <c r="DL13" s="0"/>
      <c r="DM13" s="0"/>
      <c r="DN13" s="0"/>
      <c r="DO13" s="0"/>
      <c r="DP13" s="0"/>
      <c r="DQ13" s="0"/>
      <c r="DR13" s="0"/>
      <c r="DS13" s="0"/>
      <c r="DT13" s="0"/>
      <c r="DU13" s="0"/>
      <c r="DV13" s="0"/>
      <c r="DW13" s="0"/>
      <c r="DX13" s="0"/>
      <c r="DY13" s="0"/>
      <c r="DZ13" s="0"/>
      <c r="EA13" s="0"/>
      <c r="EB13" s="0"/>
      <c r="EC13" s="0"/>
      <c r="ED13" s="0"/>
      <c r="EE13" s="0"/>
      <c r="EF13" s="0"/>
      <c r="EG13" s="0"/>
      <c r="EH13" s="0"/>
      <c r="EI13" s="0"/>
    </row>
    <row r="14" s="2" customFormat="1" ht="20.1" customHeight="1">
      <c r="A14" s="9"/>
      <c r="B14" s="11"/>
      <c r="C14" s="131"/>
      <c r="D14" s="131"/>
      <c r="E14" s="131"/>
      <c r="G14" s="132"/>
      <c r="H14" s="132"/>
      <c r="I14" s="132"/>
      <c r="J14" s="132"/>
      <c r="K14" s="132"/>
      <c r="L14" s="132"/>
      <c r="M14" s="132"/>
      <c r="N14" s="132"/>
      <c r="O14" s="132"/>
      <c r="P14" s="132"/>
      <c r="Q14" s="132"/>
      <c r="R14" s="132"/>
      <c r="S14" s="132"/>
      <c r="T14" s="132"/>
      <c r="U14" s="132"/>
      <c r="V14" s="132"/>
      <c r="W14" s="281"/>
      <c r="X14" s="1014" t="str">
        <f>D18</f>
      </c>
      <c r="Y14" s="1014" t="str">
        <f>D24</f>
      </c>
      <c r="Z14" s="1014" t="str">
        <f>D30</f>
      </c>
      <c r="AA14" s="1014" t="str">
        <f>D36</f>
      </c>
      <c r="AB14" s="1014" t="str">
        <f>D42</f>
      </c>
      <c r="AC14" s="1014" t="str">
        <f>D48</f>
      </c>
      <c r="AD14" s="1014" t="str">
        <f>D54</f>
      </c>
      <c r="AE14" s="1014" t="str">
        <f>D60</f>
      </c>
      <c r="AF14" s="1014" t="str">
        <f>D66</f>
      </c>
      <c r="AG14" s="281"/>
      <c r="AH14" s="281"/>
      <c r="AI14" s="281"/>
      <c r="AJ14" s="281"/>
      <c r="AK14" s="281"/>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c r="BY14" s="0"/>
      <c r="BZ14" s="0"/>
      <c r="CA14" s="0"/>
      <c r="CB14" s="0"/>
      <c r="CC14" s="0"/>
      <c r="CD14" s="0"/>
      <c r="CE14" s="0"/>
      <c r="CF14" s="0"/>
      <c r="CG14" s="0"/>
      <c r="CH14" s="0"/>
      <c r="CI14" s="0"/>
      <c r="CJ14" s="0"/>
      <c r="CK14" s="0"/>
      <c r="CL14" s="0"/>
      <c r="CM14" s="0"/>
      <c r="CN14" s="0"/>
      <c r="CO14" s="0"/>
      <c r="CP14" s="0"/>
      <c r="CQ14" s="0"/>
      <c r="CR14" s="0"/>
      <c r="CS14" s="0"/>
      <c r="CT14" s="0"/>
      <c r="CU14" s="0"/>
      <c r="CV14" s="0"/>
      <c r="CW14" s="0"/>
      <c r="CX14" s="0"/>
      <c r="CY14" s="0"/>
      <c r="CZ14" s="0"/>
      <c r="DA14" s="0"/>
      <c r="DB14" s="0"/>
      <c r="DC14" s="0"/>
      <c r="DD14" s="0"/>
      <c r="DE14" s="0"/>
      <c r="DF14" s="0"/>
      <c r="DG14" s="0"/>
      <c r="DH14" s="0"/>
      <c r="DI14" s="0"/>
      <c r="DJ14" s="0"/>
      <c r="DK14" s="0"/>
      <c r="DL14" s="0"/>
      <c r="DM14" s="0"/>
      <c r="DN14" s="0"/>
      <c r="DO14" s="0"/>
      <c r="DP14" s="0"/>
      <c r="DQ14" s="0"/>
      <c r="DR14" s="0"/>
      <c r="DS14" s="0"/>
      <c r="DT14" s="0"/>
      <c r="DU14" s="0"/>
      <c r="DV14" s="0"/>
      <c r="DW14" s="0"/>
      <c r="DX14" s="0"/>
      <c r="DY14" s="0"/>
      <c r="DZ14" s="0"/>
      <c r="EA14" s="0"/>
      <c r="EB14" s="0"/>
      <c r="EC14" s="0"/>
      <c r="ED14" s="0"/>
      <c r="EE14" s="0"/>
      <c r="EF14" s="0"/>
      <c r="EG14" s="0"/>
      <c r="EH14" s="0"/>
      <c r="EI14" s="0"/>
    </row>
    <row r="15" s="2" customFormat="1" ht="15.95" customHeight="1">
      <c r="D15" s="810" t="s">
        <v>22</v>
      </c>
      <c r="E15" s="810"/>
      <c r="F15" s="810"/>
      <c r="G15" s="810"/>
      <c r="H15" s="810"/>
      <c r="I15" s="962"/>
      <c r="J15" s="810" t="s">
        <v>90</v>
      </c>
      <c r="K15" s="810"/>
      <c r="L15" s="810"/>
      <c r="M15" s="810"/>
      <c r="N15" s="810"/>
      <c r="O15" s="962"/>
      <c r="P15" s="810" t="s">
        <v>10</v>
      </c>
      <c r="Q15" s="810"/>
      <c r="R15" s="810"/>
      <c r="S15" s="810"/>
      <c r="T15" s="810"/>
      <c r="U15" s="962"/>
      <c r="W15" s="281"/>
      <c r="X15" s="1014" t="str">
        <f>F18</f>
      </c>
      <c r="Y15" s="1014" t="str">
        <f>F24</f>
      </c>
      <c r="Z15" s="1014" t="str">
        <f>F30</f>
      </c>
      <c r="AA15" s="1014" t="str">
        <f>F36</f>
      </c>
      <c r="AB15" s="1014" t="str">
        <f>F42</f>
      </c>
      <c r="AC15" s="1014" t="str">
        <f>F48</f>
      </c>
      <c r="AD15" s="1014" t="str">
        <f>F54</f>
      </c>
      <c r="AE15" s="1014" t="str">
        <f>F60</f>
      </c>
      <c r="AF15" s="1014" t="str">
        <f>F66</f>
      </c>
      <c r="AG15" s="281"/>
      <c r="AH15" s="281"/>
      <c r="AI15" s="281"/>
      <c r="AJ15" s="281"/>
      <c r="AK15" s="281"/>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c r="BY15" s="0"/>
      <c r="BZ15" s="0"/>
      <c r="CA15" s="0"/>
      <c r="CB15" s="0"/>
      <c r="CC15" s="0"/>
      <c r="CD15" s="0"/>
      <c r="CE15" s="0"/>
      <c r="CF15" s="0"/>
      <c r="CG15" s="0"/>
      <c r="CH15" s="0"/>
      <c r="CI15" s="0"/>
      <c r="CJ15" s="0"/>
      <c r="CK15" s="0"/>
      <c r="CL15" s="0"/>
      <c r="CM15" s="0"/>
      <c r="CN15" s="0"/>
      <c r="CO15" s="0"/>
      <c r="CP15" s="0"/>
      <c r="CQ15" s="0"/>
      <c r="CR15" s="0"/>
      <c r="CS15" s="0"/>
      <c r="CT15" s="0"/>
      <c r="CU15" s="0"/>
      <c r="CV15" s="0"/>
      <c r="CW15" s="0"/>
      <c r="CX15" s="0"/>
      <c r="CY15" s="0"/>
      <c r="CZ15" s="0"/>
      <c r="DA15" s="0"/>
      <c r="DB15" s="0"/>
      <c r="DC15" s="0"/>
      <c r="DD15" s="0"/>
      <c r="DE15" s="0"/>
      <c r="DF15" s="0"/>
      <c r="DG15" s="0"/>
      <c r="DH15" s="0"/>
      <c r="DI15" s="0"/>
      <c r="DJ15" s="0"/>
      <c r="DK15" s="0"/>
      <c r="DL15" s="0"/>
      <c r="DM15" s="0"/>
      <c r="DN15" s="0"/>
      <c r="DO15" s="0"/>
      <c r="DP15" s="0"/>
      <c r="DQ15" s="0"/>
      <c r="DR15" s="0"/>
      <c r="DS15" s="0"/>
      <c r="DT15" s="0"/>
      <c r="DU15" s="0"/>
      <c r="DV15" s="0"/>
      <c r="DW15" s="0"/>
      <c r="DX15" s="0"/>
      <c r="DY15" s="0"/>
      <c r="DZ15" s="0"/>
      <c r="EA15" s="0"/>
      <c r="EB15" s="0"/>
      <c r="EC15" s="0"/>
      <c r="ED15" s="0"/>
      <c r="EE15" s="0"/>
      <c r="EF15" s="0"/>
      <c r="EG15" s="0"/>
      <c r="EH15" s="0"/>
      <c r="EI15" s="0"/>
    </row>
    <row r="16" s="2" customFormat="1" ht="15.95" customHeight="1">
      <c r="D16" s="808" t="s">
        <v>19</v>
      </c>
      <c r="E16" s="809"/>
      <c r="F16" s="808" t="s">
        <v>35</v>
      </c>
      <c r="G16" s="809"/>
      <c r="H16" s="808" t="s">
        <v>97</v>
      </c>
      <c r="I16" s="809"/>
      <c r="J16" s="808" t="s">
        <v>19</v>
      </c>
      <c r="K16" s="809"/>
      <c r="L16" s="808" t="s">
        <v>35</v>
      </c>
      <c r="M16" s="809"/>
      <c r="N16" s="808" t="s">
        <v>98</v>
      </c>
      <c r="O16" s="809"/>
      <c r="P16" s="808" t="s">
        <v>19</v>
      </c>
      <c r="Q16" s="809"/>
      <c r="R16" s="808" t="s">
        <v>35</v>
      </c>
      <c r="S16" s="809"/>
      <c r="T16" s="808" t="s">
        <v>99</v>
      </c>
      <c r="U16" s="809"/>
      <c r="W16" s="281"/>
      <c r="X16" s="1014" t="str">
        <f>J18</f>
      </c>
      <c r="Y16" s="1014" t="str">
        <f>J24</f>
      </c>
      <c r="Z16" s="1014" t="str">
        <f>J30</f>
      </c>
      <c r="AA16" s="1014" t="str">
        <f>J36</f>
      </c>
      <c r="AB16" s="1014" t="str">
        <f>J42</f>
      </c>
      <c r="AC16" s="1014" t="str">
        <f>J48</f>
      </c>
      <c r="AD16" s="1014" t="str">
        <f>J54</f>
      </c>
      <c r="AE16" s="1014" t="str">
        <f>J60</f>
      </c>
      <c r="AF16" s="1014" t="str">
        <f>J66</f>
      </c>
      <c r="AG16" s="281"/>
      <c r="AH16" s="281"/>
      <c r="AI16" s="281"/>
      <c r="AJ16" s="281"/>
      <c r="AK16" s="281"/>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c r="BY16" s="0"/>
      <c r="BZ16" s="0"/>
      <c r="CA16" s="0"/>
      <c r="CB16" s="0"/>
      <c r="CC16" s="0"/>
      <c r="CD16" s="0"/>
      <c r="CE16" s="0"/>
      <c r="CF16" s="0"/>
      <c r="CG16" s="0"/>
      <c r="CH16" s="0"/>
      <c r="CI16" s="0"/>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c r="DL16" s="0"/>
      <c r="DM16" s="0"/>
      <c r="DN16" s="0"/>
      <c r="DO16" s="0"/>
      <c r="DP16" s="0"/>
      <c r="DQ16" s="0"/>
      <c r="DR16" s="0"/>
      <c r="DS16" s="0"/>
      <c r="DT16" s="0"/>
      <c r="DU16" s="0"/>
      <c r="DV16" s="0"/>
      <c r="DW16" s="0"/>
      <c r="DX16" s="0"/>
      <c r="DY16" s="0"/>
      <c r="DZ16" s="0"/>
      <c r="EA16" s="0"/>
      <c r="EB16" s="0"/>
      <c r="EC16" s="0"/>
      <c r="ED16" s="0"/>
      <c r="EE16" s="0"/>
      <c r="EF16" s="0"/>
      <c r="EG16" s="0"/>
      <c r="EH16" s="0"/>
      <c r="EI16" s="0"/>
    </row>
    <row r="17" s="2" customFormat="1" ht="15.95" customHeight="1">
      <c r="B17" s="611" t="s">
        <v>39</v>
      </c>
      <c r="C17" s="611" t="s">
        <v>41</v>
      </c>
      <c r="D17" s="298"/>
      <c r="E17" s="298" t="s">
        <v>24</v>
      </c>
      <c r="F17" s="299"/>
      <c r="G17" s="298" t="s">
        <v>24</v>
      </c>
      <c r="H17" s="299"/>
      <c r="I17" s="298" t="s">
        <v>24</v>
      </c>
      <c r="J17" s="299"/>
      <c r="K17" s="298" t="s">
        <v>24</v>
      </c>
      <c r="L17" s="299"/>
      <c r="M17" s="298" t="s">
        <v>24</v>
      </c>
      <c r="N17" s="299"/>
      <c r="O17" s="298" t="s">
        <v>24</v>
      </c>
      <c r="P17" s="299"/>
      <c r="Q17" s="298" t="s">
        <v>24</v>
      </c>
      <c r="R17" s="299"/>
      <c r="S17" s="298" t="s">
        <v>24</v>
      </c>
      <c r="T17" s="299"/>
      <c r="U17" s="298" t="s">
        <v>24</v>
      </c>
      <c r="W17" s="281"/>
      <c r="X17" s="1014" t="str">
        <f>L18</f>
      </c>
      <c r="Y17" s="1014" t="str">
        <f>L24</f>
      </c>
      <c r="Z17" s="1014" t="str">
        <f>L30</f>
      </c>
      <c r="AA17" s="1014" t="str">
        <f>L36</f>
      </c>
      <c r="AB17" s="1014" t="str">
        <f>L42</f>
      </c>
      <c r="AC17" s="1014" t="str">
        <f>L48</f>
      </c>
      <c r="AD17" s="1014" t="str">
        <f>L54</f>
      </c>
      <c r="AE17" s="1014" t="str">
        <f>L60</f>
      </c>
      <c r="AF17" s="1014" t="str">
        <f>L66</f>
      </c>
      <c r="AG17" s="281"/>
      <c r="AH17" s="281"/>
      <c r="AI17" s="281"/>
      <c r="AJ17" s="281"/>
      <c r="AK17" s="281"/>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c r="BY17" s="0"/>
      <c r="BZ17" s="0"/>
      <c r="CA17" s="0"/>
      <c r="CB17" s="0"/>
      <c r="CC17" s="0"/>
      <c r="CD17" s="0"/>
      <c r="CE17" s="0"/>
      <c r="CF17" s="0"/>
      <c r="CG17" s="0"/>
      <c r="CH17" s="0"/>
      <c r="CI17" s="0"/>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c r="DM17" s="0"/>
      <c r="DN17" s="0"/>
      <c r="DO17" s="0"/>
      <c r="DP17" s="0"/>
      <c r="DQ17" s="0"/>
      <c r="DR17" s="0"/>
      <c r="DS17" s="0"/>
      <c r="DT17" s="0"/>
      <c r="DU17" s="0"/>
      <c r="DV17" s="0"/>
      <c r="DW17" s="0"/>
      <c r="DX17" s="0"/>
      <c r="DY17" s="0"/>
      <c r="DZ17" s="0"/>
      <c r="EA17" s="0"/>
      <c r="EB17" s="0"/>
      <c r="EC17" s="0"/>
      <c r="ED17" s="0"/>
      <c r="EE17" s="0"/>
      <c r="EF17" s="0"/>
      <c r="EG17" s="0"/>
      <c r="EH17" s="0"/>
      <c r="EI17" s="0"/>
    </row>
    <row r="18" s="2" customFormat="1" ht="15.95" customHeight="1">
      <c r="B18" s="300" t="s">
        <v>43</v>
      </c>
      <c r="C18" s="303" t="s">
        <v>42</v>
      </c>
      <c r="D18" s="307">
        <v>82.95454545454545454545454545</v>
      </c>
      <c r="E18" s="308">
        <v>-11.693548387102471383975025650</v>
      </c>
      <c r="F18" s="308">
        <v>66.783216783216783216783216780</v>
      </c>
      <c r="G18" s="308">
        <v>9.339283698266779454477606970</v>
      </c>
      <c r="H18" s="308">
        <v>124.21465968589509059510430871</v>
      </c>
      <c r="I18" s="309">
        <v>-19.236299501830256880302645020</v>
      </c>
      <c r="J18" s="317">
        <v>218.97925149242665964648907498</v>
      </c>
      <c r="K18" s="308">
        <v>-17.477831926846862943711572610</v>
      </c>
      <c r="L18" s="318">
        <v>282.82353284281703504507173257</v>
      </c>
      <c r="M18" s="308">
        <v>-13.018559997171093915089948440</v>
      </c>
      <c r="N18" s="308">
        <v>77.426107117522112290151553800</v>
      </c>
      <c r="O18" s="309">
        <v>-5.1266936136829923246631072800</v>
      </c>
      <c r="P18" s="317">
        <v>181.6532427153084790249284372</v>
      </c>
      <c r="Q18" s="308">
        <v>-27.127601580569437688945349510</v>
      </c>
      <c r="R18" s="318">
        <v>188.87865305237081711051993329</v>
      </c>
      <c r="S18" s="308">
        <v>-4.8951165504769756925539125700</v>
      </c>
      <c r="T18" s="308">
        <v>96.17457546402186671766500741</v>
      </c>
      <c r="U18" s="309">
        <v>-23.376806977412777092561194060</v>
      </c>
      <c r="W18" s="281"/>
      <c r="X18" s="1014"/>
      <c r="Y18" s="1014"/>
      <c r="Z18" s="1014"/>
      <c r="AA18" s="1014"/>
      <c r="AB18" s="1014"/>
      <c r="AC18" s="1014"/>
      <c r="AD18" s="1014"/>
      <c r="AE18" s="1014"/>
      <c r="AF18" s="1014"/>
      <c r="AG18" s="281"/>
      <c r="AH18" s="281"/>
      <c r="AI18" s="281"/>
      <c r="AJ18" s="281"/>
      <c r="AK18" s="281"/>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c r="BY18" s="0"/>
      <c r="BZ18" s="0"/>
      <c r="CA18" s="0"/>
      <c r="CB18" s="0"/>
      <c r="CC18" s="0"/>
      <c r="CD18" s="0"/>
      <c r="CE18" s="0"/>
      <c r="CF18" s="0"/>
      <c r="CG18" s="0"/>
      <c r="CH18" s="0"/>
      <c r="CI18" s="0"/>
      <c r="CJ18" s="0"/>
      <c r="CK18" s="0"/>
      <c r="CL18" s="0"/>
      <c r="CM18" s="0"/>
      <c r="CN18" s="0"/>
      <c r="CO18" s="0"/>
      <c r="CP18" s="0"/>
      <c r="CQ18" s="0"/>
      <c r="CR18" s="0"/>
      <c r="CS18" s="0"/>
      <c r="CT18" s="0"/>
      <c r="CU18" s="0"/>
      <c r="CV18" s="0"/>
      <c r="CW18" s="0"/>
      <c r="CX18" s="0"/>
      <c r="CY18" s="0"/>
      <c r="CZ18" s="0"/>
      <c r="DA18" s="0"/>
      <c r="DB18" s="0"/>
      <c r="DC18" s="0"/>
      <c r="DD18" s="0"/>
      <c r="DE18" s="0"/>
      <c r="DF18" s="0"/>
      <c r="DG18" s="0"/>
      <c r="DH18" s="0"/>
      <c r="DI18" s="0"/>
      <c r="DJ18" s="0"/>
      <c r="DK18" s="0"/>
      <c r="DL18" s="0"/>
      <c r="DM18" s="0"/>
      <c r="DN18" s="0"/>
      <c r="DO18" s="0"/>
      <c r="DP18" s="0"/>
      <c r="DQ18" s="0"/>
      <c r="DR18" s="0"/>
      <c r="DS18" s="0"/>
      <c r="DT18" s="0"/>
      <c r="DU18" s="0"/>
      <c r="DV18" s="0"/>
      <c r="DW18" s="0"/>
      <c r="DX18" s="0"/>
      <c r="DY18" s="0"/>
      <c r="DZ18" s="0"/>
      <c r="EA18" s="0"/>
      <c r="EB18" s="0"/>
      <c r="EC18" s="0"/>
      <c r="ED18" s="0"/>
      <c r="EE18" s="0"/>
      <c r="EF18" s="0"/>
      <c r="EG18" s="0"/>
      <c r="EH18" s="0"/>
      <c r="EI18" s="0"/>
    </row>
    <row r="19" s="2" customFormat="1" ht="15.95" customHeight="1">
      <c r="B19" s="301"/>
      <c r="C19" s="304" t="s">
        <v>58</v>
      </c>
      <c r="D19" s="310">
        <v>84.76107226107226107226107226</v>
      </c>
      <c r="E19" s="134">
        <v>-1.7395710184602986327807793600</v>
      </c>
      <c r="F19" s="134">
        <v>69.48110243289343747194541700</v>
      </c>
      <c r="G19" s="134">
        <v>5.5370334049644829292377511800</v>
      </c>
      <c r="H19" s="134">
        <v>121.99154776354993736837016977</v>
      </c>
      <c r="I19" s="311">
        <v>-6.8948351006378453452866642100</v>
      </c>
      <c r="J19" s="319">
        <v>244.80677985651442459363509754</v>
      </c>
      <c r="K19" s="134">
        <v>18.382639103900401890263109880</v>
      </c>
      <c r="L19" s="135">
        <v>294.0619244498040733668223229</v>
      </c>
      <c r="M19" s="134">
        <v>17.356568265311207657218757100</v>
      </c>
      <c r="N19" s="134">
        <v>83.25007745037251957239438606</v>
      </c>
      <c r="O19" s="311">
        <v>0.8743190550371774933726222300</v>
      </c>
      <c r="P19" s="319">
        <v>207.50085157418428354979152061</v>
      </c>
      <c r="Q19" s="134">
        <v>16.323289023254951395885015510</v>
      </c>
      <c r="R19" s="135">
        <v>204.31746694310608006306862089</v>
      </c>
      <c r="S19" s="134">
        <v>23.854640653204649724085823110</v>
      </c>
      <c r="T19" s="134">
        <v>101.55805799607471570189250332</v>
      </c>
      <c r="U19" s="311">
        <v>-6.0807989028719025599350317200</v>
      </c>
      <c r="W19" s="281"/>
      <c r="X19" s="281"/>
      <c r="Y19" s="281"/>
      <c r="Z19" s="281"/>
      <c r="AA19" s="281"/>
      <c r="AB19" s="281"/>
      <c r="AC19" s="281"/>
      <c r="AD19" s="281"/>
      <c r="AE19" s="281"/>
      <c r="AF19" s="281"/>
      <c r="AG19" s="281"/>
      <c r="AH19" s="281"/>
      <c r="AI19" s="281"/>
      <c r="AJ19" s="281"/>
      <c r="AK19" s="281"/>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c r="CC19" s="0"/>
      <c r="CD19" s="0"/>
      <c r="CE19" s="0"/>
      <c r="CF19" s="0"/>
      <c r="CG19" s="0"/>
      <c r="CH19" s="0"/>
      <c r="CI19" s="0"/>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c r="DM19" s="0"/>
      <c r="DN19" s="0"/>
      <c r="DO19" s="0"/>
      <c r="DP19" s="0"/>
      <c r="DQ19" s="0"/>
      <c r="DR19" s="0"/>
      <c r="DS19" s="0"/>
      <c r="DT19" s="0"/>
      <c r="DU19" s="0"/>
      <c r="DV19" s="0"/>
      <c r="DW19" s="0"/>
      <c r="DX19" s="0"/>
      <c r="DY19" s="0"/>
      <c r="DZ19" s="0"/>
      <c r="EA19" s="0"/>
      <c r="EB19" s="0"/>
      <c r="EC19" s="0"/>
      <c r="ED19" s="0"/>
      <c r="EE19" s="0"/>
      <c r="EF19" s="0"/>
      <c r="EG19" s="0"/>
      <c r="EH19" s="0"/>
      <c r="EI19" s="0"/>
    </row>
    <row r="20" s="2" customFormat="1" ht="15.95" customHeight="1">
      <c r="B20" s="301"/>
      <c r="C20" s="305" t="s">
        <v>44</v>
      </c>
      <c r="D20" s="312">
        <v>81.00233100233100233100233100</v>
      </c>
      <c r="E20" s="159">
        <v>-4.0055248618962199719178258400</v>
      </c>
      <c r="F20" s="159">
        <v>71.651425497579343733189887040</v>
      </c>
      <c r="G20" s="159">
        <v>31.497850331664815720207629830</v>
      </c>
      <c r="H20" s="159">
        <v>113.05055055051795940084229312</v>
      </c>
      <c r="I20" s="313">
        <v>-26.999205769541422417138385310</v>
      </c>
      <c r="J20" s="320">
        <v>210.10013753606301474410789927</v>
      </c>
      <c r="K20" s="159">
        <v>0.9324603463528598134438877300</v>
      </c>
      <c r="L20" s="160">
        <v>261.34567756480763116788350028</v>
      </c>
      <c r="M20" s="159">
        <v>0.7101183145912264439627880500</v>
      </c>
      <c r="N20" s="159">
        <v>80.39166344504366896663886923</v>
      </c>
      <c r="O20" s="313">
        <v>0.2207742732503404586845163500</v>
      </c>
      <c r="P20" s="320">
        <v>170.18600884331444667500581584</v>
      </c>
      <c r="Q20" s="159">
        <v>-3.1104144465526595752645676800</v>
      </c>
      <c r="R20" s="160">
        <v>187.25790345149207354256095878</v>
      </c>
      <c r="S20" s="159">
        <v>32.431640650329944683834989060</v>
      </c>
      <c r="T20" s="159">
        <v>90.88321812136106044990828927</v>
      </c>
      <c r="U20" s="313">
        <v>-26.838038796689852919088009130</v>
      </c>
      <c r="W20" s="281"/>
      <c r="X20" s="281"/>
      <c r="Y20" s="281"/>
      <c r="Z20" s="281"/>
      <c r="AA20" s="281"/>
      <c r="AB20" s="281"/>
      <c r="AC20" s="281"/>
      <c r="AD20" s="281"/>
      <c r="AE20" s="281"/>
      <c r="AF20" s="281"/>
      <c r="AG20" s="281"/>
      <c r="AH20" s="281"/>
      <c r="AI20" s="281"/>
      <c r="AJ20" s="281"/>
      <c r="AK20" s="281"/>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c r="BY20" s="0"/>
      <c r="BZ20" s="0"/>
      <c r="CA20" s="0"/>
      <c r="CB20" s="0"/>
      <c r="CC20" s="0"/>
      <c r="CD20" s="0"/>
      <c r="CE20" s="0"/>
      <c r="CF20" s="0"/>
      <c r="CG20" s="0"/>
      <c r="CH20" s="0"/>
      <c r="CI20" s="0"/>
      <c r="CJ20" s="0"/>
      <c r="CK20" s="0"/>
      <c r="CL20" s="0"/>
      <c r="CM20" s="0"/>
      <c r="CN20" s="0"/>
      <c r="CO20" s="0"/>
      <c r="CP20" s="0"/>
      <c r="CQ20" s="0"/>
      <c r="CR20" s="0"/>
      <c r="CS20" s="0"/>
      <c r="CT20" s="0"/>
      <c r="CU20" s="0"/>
      <c r="CV20" s="0"/>
      <c r="CW20" s="0"/>
      <c r="CX20" s="0"/>
      <c r="CY20" s="0"/>
      <c r="CZ20" s="0"/>
      <c r="DA20" s="0"/>
      <c r="DB20" s="0"/>
      <c r="DC20" s="0"/>
      <c r="DD20" s="0"/>
      <c r="DE20" s="0"/>
      <c r="DF20" s="0"/>
      <c r="DG20" s="0"/>
      <c r="DH20" s="0"/>
      <c r="DI20" s="0"/>
      <c r="DJ20" s="0"/>
      <c r="DK20" s="0"/>
      <c r="DL20" s="0"/>
      <c r="DM20" s="0"/>
      <c r="DN20" s="0"/>
      <c r="DO20" s="0"/>
      <c r="DP20" s="0"/>
      <c r="DQ20" s="0"/>
      <c r="DR20" s="0"/>
      <c r="DS20" s="0"/>
      <c r="DT20" s="0"/>
      <c r="DU20" s="0"/>
      <c r="DV20" s="0"/>
      <c r="DW20" s="0"/>
      <c r="DX20" s="0"/>
      <c r="DY20" s="0"/>
      <c r="DZ20" s="0"/>
      <c r="EA20" s="0"/>
      <c r="EB20" s="0"/>
      <c r="EC20" s="0"/>
      <c r="ED20" s="0"/>
      <c r="EE20" s="0"/>
      <c r="EF20" s="0"/>
      <c r="EG20" s="0"/>
      <c r="EH20" s="0"/>
      <c r="EI20" s="0"/>
    </row>
    <row r="21" s="2" customFormat="1" ht="15.95" customHeight="1">
      <c r="B21" s="302"/>
      <c r="C21" s="306" t="s">
        <v>45</v>
      </c>
      <c r="D21" s="314">
        <v>84.76107226107226107226107226</v>
      </c>
      <c r="E21" s="315">
        <v>-1.7395710184602986327807793600</v>
      </c>
      <c r="F21" s="315">
        <v>69.48110243289343747194541700</v>
      </c>
      <c r="G21" s="315">
        <v>5.5370334049644829292377511800</v>
      </c>
      <c r="H21" s="315">
        <v>121.99154776354993736837016977</v>
      </c>
      <c r="I21" s="316">
        <v>-6.8948351006378453452866642100</v>
      </c>
      <c r="J21" s="321">
        <v>244.80677985651442459363509754</v>
      </c>
      <c r="K21" s="315">
        <v>18.382639103900401890263109880</v>
      </c>
      <c r="L21" s="322">
        <v>294.0619244498040733668223229</v>
      </c>
      <c r="M21" s="315">
        <v>17.356568265311207657218757100</v>
      </c>
      <c r="N21" s="315">
        <v>83.25007745037251957239438606</v>
      </c>
      <c r="O21" s="316">
        <v>0.8743190550371774933726222300</v>
      </c>
      <c r="P21" s="321">
        <v>207.50085157418428354979152061</v>
      </c>
      <c r="Q21" s="315">
        <v>16.323289023254951395885015510</v>
      </c>
      <c r="R21" s="322">
        <v>204.31746694310608006306862089</v>
      </c>
      <c r="S21" s="315">
        <v>23.854640653204649724085823110</v>
      </c>
      <c r="T21" s="315">
        <v>101.55805799607471570189250332</v>
      </c>
      <c r="U21" s="316">
        <v>-6.0807989028719025599350317200</v>
      </c>
      <c r="W21" s="281"/>
      <c r="X21" s="281"/>
      <c r="Y21" s="281"/>
      <c r="Z21" s="281"/>
      <c r="AA21" s="281"/>
      <c r="AB21" s="281"/>
      <c r="AC21" s="281"/>
      <c r="AD21" s="281"/>
      <c r="AE21" s="281"/>
      <c r="AF21" s="281"/>
      <c r="AG21" s="281"/>
      <c r="AH21" s="281"/>
      <c r="AI21" s="281"/>
      <c r="AJ21" s="281"/>
      <c r="AK21" s="281"/>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c r="BY21" s="0"/>
      <c r="BZ21" s="0"/>
      <c r="CA21" s="0"/>
      <c r="CB21" s="0"/>
      <c r="CC21" s="0"/>
      <c r="CD21" s="0"/>
      <c r="CE21" s="0"/>
      <c r="CF21" s="0"/>
      <c r="CG21" s="0"/>
      <c r="CH21" s="0"/>
      <c r="CI21" s="0"/>
      <c r="CJ21" s="0"/>
      <c r="CK21" s="0"/>
      <c r="CL21" s="0"/>
      <c r="CM21" s="0"/>
      <c r="CN21" s="0"/>
      <c r="CO21" s="0"/>
      <c r="CP21" s="0"/>
      <c r="CQ21" s="0"/>
      <c r="CR21" s="0"/>
      <c r="CS21" s="0"/>
      <c r="CT21" s="0"/>
      <c r="CU21" s="0"/>
      <c r="CV21" s="0"/>
      <c r="CW21" s="0"/>
      <c r="CX21" s="0"/>
      <c r="CY21" s="0"/>
      <c r="CZ21" s="0"/>
      <c r="DA21" s="0"/>
      <c r="DB21" s="0"/>
      <c r="DC21" s="0"/>
      <c r="DD21" s="0"/>
      <c r="DE21" s="0"/>
      <c r="DF21" s="0"/>
      <c r="DG21" s="0"/>
      <c r="DH21" s="0"/>
      <c r="DI21" s="0"/>
      <c r="DJ21" s="0"/>
      <c r="DK21" s="0"/>
      <c r="DL21" s="0"/>
      <c r="DM21" s="0"/>
      <c r="DN21" s="0"/>
      <c r="DO21" s="0"/>
      <c r="DP21" s="0"/>
      <c r="DQ21" s="0"/>
      <c r="DR21" s="0"/>
      <c r="DS21" s="0"/>
      <c r="DT21" s="0"/>
      <c r="DU21" s="0"/>
      <c r="DV21" s="0"/>
      <c r="DW21" s="0"/>
      <c r="DX21" s="0"/>
      <c r="DY21" s="0"/>
      <c r="DZ21" s="0"/>
      <c r="EA21" s="0"/>
      <c r="EB21" s="0"/>
      <c r="EC21" s="0"/>
      <c r="ED21" s="0"/>
      <c r="EE21" s="0"/>
      <c r="EF21" s="0"/>
      <c r="EG21" s="0"/>
      <c r="EH21" s="0"/>
      <c r="EI21" s="0"/>
    </row>
    <row r="22" s="2" customFormat="1" ht="5.1" customHeight="1">
      <c r="B22" s="297"/>
      <c r="C22" s="297"/>
      <c r="D22" s="159"/>
      <c r="E22" s="159"/>
      <c r="F22" s="159"/>
      <c r="G22" s="159"/>
      <c r="H22" s="159"/>
      <c r="I22" s="159"/>
      <c r="J22" s="160"/>
      <c r="K22" s="159"/>
      <c r="L22" s="160"/>
      <c r="M22" s="159"/>
      <c r="N22" s="159"/>
      <c r="O22" s="159"/>
      <c r="P22" s="160"/>
      <c r="Q22" s="159"/>
      <c r="R22" s="160"/>
      <c r="S22" s="159"/>
      <c r="T22" s="159"/>
      <c r="U22" s="159"/>
      <c r="W22" s="281"/>
      <c r="X22" s="281"/>
      <c r="Y22" s="281"/>
      <c r="Z22" s="281"/>
      <c r="AA22" s="281"/>
      <c r="AB22" s="281"/>
      <c r="AC22" s="281"/>
      <c r="AD22" s="281"/>
      <c r="AE22" s="281"/>
      <c r="AF22" s="281"/>
      <c r="AG22" s="281"/>
      <c r="AH22" s="281"/>
      <c r="AI22" s="281"/>
      <c r="AJ22" s="281"/>
      <c r="AK22" s="281"/>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row>
    <row r="23" s="9" customFormat="1" ht="5.1" customHeight="1">
      <c r="B23" s="297"/>
      <c r="C23" s="297"/>
      <c r="D23" s="159"/>
      <c r="E23" s="159"/>
      <c r="F23" s="159"/>
      <c r="G23" s="159"/>
      <c r="H23" s="159"/>
      <c r="I23" s="159"/>
      <c r="J23" s="160"/>
      <c r="K23" s="159"/>
      <c r="L23" s="160"/>
      <c r="M23" s="159"/>
      <c r="N23" s="159"/>
      <c r="O23" s="159"/>
      <c r="P23" s="160"/>
      <c r="Q23" s="159"/>
      <c r="R23" s="160"/>
      <c r="S23" s="159"/>
      <c r="T23" s="159"/>
      <c r="U23" s="159"/>
      <c r="W23" s="281"/>
      <c r="X23" s="281"/>
      <c r="Y23" s="281"/>
      <c r="Z23" s="281"/>
      <c r="AA23" s="281"/>
      <c r="AB23" s="281"/>
      <c r="AC23" s="281"/>
      <c r="AD23" s="281"/>
      <c r="AE23" s="281"/>
      <c r="AF23" s="281"/>
      <c r="AG23" s="281"/>
      <c r="AH23" s="281"/>
      <c r="AI23" s="281"/>
      <c r="AJ23" s="281"/>
      <c r="AK23" s="281"/>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row>
    <row r="24" s="2" customFormat="1" ht="15.95" customHeight="1">
      <c r="B24" s="323" t="s">
        <v>46</v>
      </c>
      <c r="C24" s="303" t="s">
        <v>42</v>
      </c>
      <c r="D24" s="307">
        <v>78.219696969696969696969696970</v>
      </c>
      <c r="E24" s="308">
        <v>-16.227180527372491966640470260</v>
      </c>
      <c r="F24" s="308">
        <v>62.00466200466200466200466200</v>
      </c>
      <c r="G24" s="308">
        <v>8.966398874610436031146989020</v>
      </c>
      <c r="H24" s="308">
        <v>126.15131578939638096062529470</v>
      </c>
      <c r="I24" s="309">
        <v>-23.120502891032135994270144250</v>
      </c>
      <c r="J24" s="317">
        <v>215.78625468328092256303749131</v>
      </c>
      <c r="K24" s="308">
        <v>-13.744296215102948212448698530</v>
      </c>
      <c r="L24" s="318">
        <v>285.00202720673637407072064795</v>
      </c>
      <c r="M24" s="308">
        <v>-16.356437346490738407857215120</v>
      </c>
      <c r="N24" s="308">
        <v>75.713936773783091462583822700</v>
      </c>
      <c r="O24" s="309">
        <v>3.1229434142947207670699514300</v>
      </c>
      <c r="P24" s="317">
        <v>168.78735451552087314116379528</v>
      </c>
      <c r="Q24" s="308">
        <v>-27.741164983453845005339384350</v>
      </c>
      <c r="R24" s="318">
        <v>176.71454367597173776879182367</v>
      </c>
      <c r="S24" s="308">
        <v>-8.856621885996240320405105030</v>
      </c>
      <c r="T24" s="308">
        <v>95.51412747611008529312701711</v>
      </c>
      <c r="U24" s="309">
        <v>-20.719599699098508759023562490</v>
      </c>
      <c r="W24" s="281"/>
      <c r="X24" s="281"/>
      <c r="Y24" s="281"/>
      <c r="Z24" s="281"/>
      <c r="AA24" s="281"/>
      <c r="AB24" s="281"/>
      <c r="AC24" s="281"/>
      <c r="AD24" s="281"/>
      <c r="AE24" s="281"/>
      <c r="AF24" s="281"/>
      <c r="AG24" s="281"/>
      <c r="AH24" s="281"/>
      <c r="AI24" s="281"/>
      <c r="AJ24" s="281"/>
      <c r="AK24" s="281"/>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c r="DQ24" s="0"/>
      <c r="DR24" s="0"/>
      <c r="DS24" s="0"/>
      <c r="DT24" s="0"/>
      <c r="DU24" s="0"/>
      <c r="DV24" s="0"/>
      <c r="DW24" s="0"/>
      <c r="DX24" s="0"/>
      <c r="DY24" s="0"/>
      <c r="DZ24" s="0"/>
      <c r="EA24" s="0"/>
      <c r="EB24" s="0"/>
      <c r="EC24" s="0"/>
      <c r="ED24" s="0"/>
      <c r="EE24" s="0"/>
      <c r="EF24" s="0"/>
      <c r="EG24" s="0"/>
      <c r="EH24" s="0"/>
      <c r="EI24" s="0"/>
    </row>
    <row r="25" s="2" customFormat="1" ht="15.95" customHeight="1">
      <c r="B25" s="324"/>
      <c r="C25" s="304" t="s">
        <v>58</v>
      </c>
      <c r="D25" s="310">
        <v>82.10955710955710955710955711</v>
      </c>
      <c r="E25" s="134">
        <v>4.6222387228976089506432871500</v>
      </c>
      <c r="F25" s="134">
        <v>62.062929215853494322007271420</v>
      </c>
      <c r="G25" s="134">
        <v>7.1236624628604550441129927400</v>
      </c>
      <c r="H25" s="134">
        <v>132.30048621121371797824614432</v>
      </c>
      <c r="I25" s="311">
        <v>-2.3350804878980616886757976100</v>
      </c>
      <c r="J25" s="319">
        <v>216.16234738402327969311316636</v>
      </c>
      <c r="K25" s="134">
        <v>20.300738127088237633932373270</v>
      </c>
      <c r="L25" s="135">
        <v>274.4011070682390604705173992</v>
      </c>
      <c r="M25" s="134">
        <v>22.045987629528462277574900200</v>
      </c>
      <c r="N25" s="134">
        <v>78.776047842364577291818478210</v>
      </c>
      <c r="O25" s="311">
        <v>-1.429993346178852925095466800</v>
      </c>
      <c r="P25" s="319">
        <v>177.48994607464382347762030967</v>
      </c>
      <c r="Q25" s="134">
        <v>25.861325428626309381093816470</v>
      </c>
      <c r="R25" s="135">
        <v>170.30136484727956771515077332</v>
      </c>
      <c r="S25" s="134">
        <v>30.740131837619367011327605380</v>
      </c>
      <c r="T25" s="134">
        <v>104.22109431347742544183385631</v>
      </c>
      <c r="U25" s="311">
        <v>-3.7316823384317700297282450700</v>
      </c>
      <c r="W25" s="281"/>
      <c r="X25" s="281"/>
      <c r="Y25" s="281"/>
      <c r="Z25" s="281"/>
      <c r="AA25" s="281"/>
      <c r="AB25" s="281"/>
      <c r="AC25" s="281"/>
      <c r="AD25" s="281"/>
      <c r="AE25" s="281"/>
      <c r="AF25" s="281"/>
      <c r="AG25" s="281"/>
      <c r="AH25" s="281"/>
      <c r="AI25" s="281"/>
      <c r="AJ25" s="281"/>
      <c r="AK25" s="281"/>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c r="DM25" s="0"/>
      <c r="DN25" s="0"/>
      <c r="DO25" s="0"/>
      <c r="DP25" s="0"/>
      <c r="DQ25" s="0"/>
      <c r="DR25" s="0"/>
      <c r="DS25" s="0"/>
      <c r="DT25" s="0"/>
      <c r="DU25" s="0"/>
      <c r="DV25" s="0"/>
      <c r="DW25" s="0"/>
      <c r="DX25" s="0"/>
      <c r="DY25" s="0"/>
      <c r="DZ25" s="0"/>
      <c r="EA25" s="0"/>
      <c r="EB25" s="0"/>
      <c r="EC25" s="0"/>
      <c r="ED25" s="0"/>
      <c r="EE25" s="0"/>
      <c r="EF25" s="0"/>
      <c r="EG25" s="0"/>
      <c r="EH25" s="0"/>
      <c r="EI25" s="0"/>
    </row>
    <row r="26" s="2" customFormat="1" ht="15.95" customHeight="1">
      <c r="B26" s="324"/>
      <c r="C26" s="305" t="s">
        <v>44</v>
      </c>
      <c r="D26" s="312">
        <v>75.874125874125874125874125870</v>
      </c>
      <c r="E26" s="159">
        <v>-0.6106870228664702523162867600</v>
      </c>
      <c r="F26" s="159">
        <v>65.626681011296395911780527170</v>
      </c>
      <c r="G26" s="159">
        <v>40.829679703563447136053530170</v>
      </c>
      <c r="H26" s="159">
        <v>115.61475409835430640284869693</v>
      </c>
      <c r="I26" s="313">
        <v>-29.425875862014763843094147040</v>
      </c>
      <c r="J26" s="320">
        <v>209.6465839313997166582106033</v>
      </c>
      <c r="K26" s="159">
        <v>3.3504699357218871402992491600</v>
      </c>
      <c r="L26" s="160">
        <v>266.50509614742587735960406342</v>
      </c>
      <c r="M26" s="159">
        <v>-2.844297659269475172965810700</v>
      </c>
      <c r="N26" s="159">
        <v>78.665131347224712375631788020</v>
      </c>
      <c r="O26" s="313">
        <v>6.3761235272024563455828370700</v>
      </c>
      <c r="P26" s="320">
        <v>159.06751298291516963227867453</v>
      </c>
      <c r="Q26" s="159">
        <v>2.7193220277045679040736832900</v>
      </c>
      <c r="R26" s="160">
        <v>174.89844932751994103212316157</v>
      </c>
      <c r="S26" s="159">
        <v>36.824064420340133457309186980</v>
      </c>
      <c r="T26" s="159">
        <v>90.94849816824781455395701186</v>
      </c>
      <c r="U26" s="313">
        <v>-24.925982528815285677594664910</v>
      </c>
      <c r="W26" s="281"/>
      <c r="X26" s="281"/>
      <c r="Y26" s="281"/>
      <c r="Z26" s="281"/>
      <c r="AA26" s="281"/>
      <c r="AB26" s="281"/>
      <c r="AC26" s="281"/>
      <c r="AD26" s="281"/>
      <c r="AE26" s="281"/>
      <c r="AF26" s="281"/>
      <c r="AG26" s="281"/>
      <c r="AH26" s="281"/>
      <c r="AI26" s="281"/>
      <c r="AJ26" s="281"/>
      <c r="AK26" s="281"/>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c r="DQ26" s="0"/>
      <c r="DR26" s="0"/>
      <c r="DS26" s="0"/>
      <c r="DT26" s="0"/>
      <c r="DU26" s="0"/>
      <c r="DV26" s="0"/>
      <c r="DW26" s="0"/>
      <c r="DX26" s="0"/>
      <c r="DY26" s="0"/>
      <c r="DZ26" s="0"/>
      <c r="EA26" s="0"/>
      <c r="EB26" s="0"/>
      <c r="EC26" s="0"/>
      <c r="ED26" s="0"/>
      <c r="EE26" s="0"/>
      <c r="EF26" s="0"/>
      <c r="EG26" s="0"/>
      <c r="EH26" s="0"/>
      <c r="EI26" s="0"/>
    </row>
    <row r="27" s="2" customFormat="1" ht="15.95" customHeight="1">
      <c r="B27" s="325"/>
      <c r="C27" s="306" t="s">
        <v>45</v>
      </c>
      <c r="D27" s="314">
        <v>82.10955710955710955710955711</v>
      </c>
      <c r="E27" s="315">
        <v>4.6222387228976089506432871500</v>
      </c>
      <c r="F27" s="315">
        <v>62.062929215853494322007271420</v>
      </c>
      <c r="G27" s="315">
        <v>7.1236624628604550441129927400</v>
      </c>
      <c r="H27" s="315">
        <v>132.30048621121371797824614432</v>
      </c>
      <c r="I27" s="316">
        <v>-2.3350804878980616886757976100</v>
      </c>
      <c r="J27" s="321">
        <v>216.16234738402327969311316636</v>
      </c>
      <c r="K27" s="315">
        <v>20.300738127088237633932373270</v>
      </c>
      <c r="L27" s="322">
        <v>274.4011070682390604705173992</v>
      </c>
      <c r="M27" s="315">
        <v>22.045987629528462277574900200</v>
      </c>
      <c r="N27" s="315">
        <v>78.776047842364577291818478210</v>
      </c>
      <c r="O27" s="316">
        <v>-1.429993346178852925095466800</v>
      </c>
      <c r="P27" s="321">
        <v>177.48994607464382347762030967</v>
      </c>
      <c r="Q27" s="315">
        <v>25.861325428626309381093816470</v>
      </c>
      <c r="R27" s="322">
        <v>170.30136484727956771515077332</v>
      </c>
      <c r="S27" s="315">
        <v>30.740131837619367011327605380</v>
      </c>
      <c r="T27" s="315">
        <v>104.22109431347742544183385631</v>
      </c>
      <c r="U27" s="316">
        <v>-3.7316823384317700297282450700</v>
      </c>
      <c r="W27" s="281"/>
      <c r="X27" s="281"/>
      <c r="Y27" s="281"/>
      <c r="Z27" s="281"/>
      <c r="AA27" s="281"/>
      <c r="AB27" s="281"/>
      <c r="AC27" s="281"/>
      <c r="AD27" s="281"/>
      <c r="AE27" s="281"/>
      <c r="AF27" s="281"/>
      <c r="AG27" s="281"/>
      <c r="AH27" s="281"/>
      <c r="AI27" s="281"/>
      <c r="AJ27" s="281"/>
      <c r="AK27" s="281"/>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c r="BY27" s="0"/>
      <c r="BZ27" s="0"/>
      <c r="CA27" s="0"/>
      <c r="CB27" s="0"/>
      <c r="CC27" s="0"/>
      <c r="CD27" s="0"/>
      <c r="CE27" s="0"/>
      <c r="CF27" s="0"/>
      <c r="CG27" s="0"/>
      <c r="CH27" s="0"/>
      <c r="CI27" s="0"/>
      <c r="CJ27" s="0"/>
      <c r="CK27" s="0"/>
      <c r="CL27" s="0"/>
      <c r="CM27" s="0"/>
      <c r="CN27" s="0"/>
      <c r="CO27" s="0"/>
      <c r="CP27" s="0"/>
      <c r="CQ27" s="0"/>
      <c r="CR27" s="0"/>
      <c r="CS27" s="0"/>
      <c r="CT27" s="0"/>
      <c r="CU27" s="0"/>
      <c r="CV27" s="0"/>
      <c r="CW27" s="0"/>
      <c r="CX27" s="0"/>
      <c r="CY27" s="0"/>
      <c r="CZ27" s="0"/>
      <c r="DA27" s="0"/>
      <c r="DB27" s="0"/>
      <c r="DC27" s="0"/>
      <c r="DD27" s="0"/>
      <c r="DE27" s="0"/>
      <c r="DF27" s="0"/>
      <c r="DG27" s="0"/>
      <c r="DH27" s="0"/>
      <c r="DI27" s="0"/>
      <c r="DJ27" s="0"/>
      <c r="DK27" s="0"/>
      <c r="DL27" s="0"/>
      <c r="DM27" s="0"/>
      <c r="DN27" s="0"/>
      <c r="DO27" s="0"/>
      <c r="DP27" s="0"/>
      <c r="DQ27" s="0"/>
      <c r="DR27" s="0"/>
      <c r="DS27" s="0"/>
      <c r="DT27" s="0"/>
      <c r="DU27" s="0"/>
      <c r="DV27" s="0"/>
      <c r="DW27" s="0"/>
      <c r="DX27" s="0"/>
      <c r="DY27" s="0"/>
      <c r="DZ27" s="0"/>
      <c r="EA27" s="0"/>
      <c r="EB27" s="0"/>
      <c r="EC27" s="0"/>
      <c r="ED27" s="0"/>
      <c r="EE27" s="0"/>
      <c r="EF27" s="0"/>
      <c r="EG27" s="0"/>
      <c r="EH27" s="0"/>
      <c r="EI27" s="0"/>
    </row>
    <row r="28" s="2" customFormat="1" ht="5.1" customHeight="1">
      <c r="B28" s="4"/>
      <c r="C28" s="297"/>
      <c r="D28" s="159"/>
      <c r="E28" s="159"/>
      <c r="F28" s="159"/>
      <c r="G28" s="159"/>
      <c r="H28" s="159"/>
      <c r="I28" s="159"/>
      <c r="J28" s="160"/>
      <c r="K28" s="159"/>
      <c r="L28" s="160"/>
      <c r="M28" s="159"/>
      <c r="N28" s="159"/>
      <c r="O28" s="159"/>
      <c r="P28" s="160"/>
      <c r="Q28" s="159"/>
      <c r="R28" s="160"/>
      <c r="S28" s="159"/>
      <c r="T28" s="159"/>
      <c r="U28" s="159"/>
      <c r="W28" s="281"/>
      <c r="X28" s="281"/>
      <c r="Y28" s="281"/>
      <c r="Z28" s="281"/>
      <c r="AA28" s="281"/>
      <c r="AB28" s="281"/>
      <c r="AC28" s="281"/>
      <c r="AD28" s="281"/>
      <c r="AE28" s="281"/>
      <c r="AF28" s="281"/>
      <c r="AG28" s="281"/>
      <c r="AH28" s="281"/>
      <c r="AI28" s="281"/>
      <c r="AJ28" s="281"/>
      <c r="AK28" s="281"/>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c r="BY28" s="0"/>
      <c r="BZ28" s="0"/>
      <c r="CA28" s="0"/>
      <c r="CB28" s="0"/>
      <c r="CC28" s="0"/>
      <c r="CD28" s="0"/>
      <c r="CE28" s="0"/>
      <c r="CF28" s="0"/>
      <c r="CG28" s="0"/>
      <c r="CH28" s="0"/>
      <c r="CI28" s="0"/>
      <c r="CJ28" s="0"/>
      <c r="CK28" s="0"/>
      <c r="CL28" s="0"/>
      <c r="CM28" s="0"/>
      <c r="CN28" s="0"/>
      <c r="CO28" s="0"/>
      <c r="CP28" s="0"/>
      <c r="CQ28" s="0"/>
      <c r="CR28" s="0"/>
      <c r="CS28" s="0"/>
      <c r="CT28" s="0"/>
      <c r="CU28" s="0"/>
      <c r="CV28" s="0"/>
      <c r="CW28" s="0"/>
      <c r="CX28" s="0"/>
      <c r="CY28" s="0"/>
      <c r="CZ28" s="0"/>
      <c r="DA28" s="0"/>
      <c r="DB28" s="0"/>
      <c r="DC28" s="0"/>
      <c r="DD28" s="0"/>
      <c r="DE28" s="0"/>
      <c r="DF28" s="0"/>
      <c r="DG28" s="0"/>
      <c r="DH28" s="0"/>
      <c r="DI28" s="0"/>
      <c r="DJ28" s="0"/>
      <c r="DK28" s="0"/>
      <c r="DL28" s="0"/>
      <c r="DM28" s="0"/>
      <c r="DN28" s="0"/>
      <c r="DO28" s="0"/>
      <c r="DP28" s="0"/>
      <c r="DQ28" s="0"/>
      <c r="DR28" s="0"/>
      <c r="DS28" s="0"/>
      <c r="DT28" s="0"/>
      <c r="DU28" s="0"/>
      <c r="DV28" s="0"/>
      <c r="DW28" s="0"/>
      <c r="DX28" s="0"/>
      <c r="DY28" s="0"/>
      <c r="DZ28" s="0"/>
      <c r="EA28" s="0"/>
      <c r="EB28" s="0"/>
      <c r="EC28" s="0"/>
      <c r="ED28" s="0"/>
      <c r="EE28" s="0"/>
      <c r="EF28" s="0"/>
      <c r="EG28" s="0"/>
      <c r="EH28" s="0"/>
      <c r="EI28" s="0"/>
    </row>
    <row r="29" s="9" customFormat="1" ht="5.1" customHeight="1">
      <c r="B29" s="4"/>
      <c r="C29" s="297"/>
      <c r="D29" s="159"/>
      <c r="E29" s="159"/>
      <c r="F29" s="159"/>
      <c r="G29" s="159"/>
      <c r="H29" s="159"/>
      <c r="I29" s="159"/>
      <c r="J29" s="160"/>
      <c r="K29" s="159"/>
      <c r="L29" s="160"/>
      <c r="M29" s="159"/>
      <c r="N29" s="159"/>
      <c r="O29" s="159"/>
      <c r="P29" s="160"/>
      <c r="Q29" s="159"/>
      <c r="R29" s="160"/>
      <c r="S29" s="159"/>
      <c r="T29" s="159"/>
      <c r="U29" s="159"/>
      <c r="W29" s="281"/>
      <c r="X29" s="281"/>
      <c r="Y29" s="281"/>
      <c r="Z29" s="281"/>
      <c r="AA29" s="281"/>
      <c r="AB29" s="281"/>
      <c r="AC29" s="281"/>
      <c r="AD29" s="281"/>
      <c r="AE29" s="281"/>
      <c r="AF29" s="281"/>
      <c r="AG29" s="281"/>
      <c r="AH29" s="281"/>
      <c r="AI29" s="281"/>
      <c r="AJ29" s="281"/>
      <c r="AK29" s="281"/>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row>
    <row r="30" s="2" customFormat="1" ht="15.95" customHeight="1">
      <c r="B30" s="323" t="s">
        <v>47</v>
      </c>
      <c r="C30" s="303" t="s">
        <v>42</v>
      </c>
      <c r="D30" s="307">
        <v>83.90151515151515151515151515</v>
      </c>
      <c r="E30" s="308">
        <v>-10.685483870973504162330904940</v>
      </c>
      <c r="F30" s="308">
        <v>62.587412587412587412587412590</v>
      </c>
      <c r="G30" s="308">
        <v>12.162889086012180045092266250</v>
      </c>
      <c r="H30" s="308">
        <v>134.05493482311820844126796418</v>
      </c>
      <c r="I30" s="308">
        <v>-20.370706517215954456336019450</v>
      </c>
      <c r="J30" s="317">
        <v>231.01459308347568682272159034</v>
      </c>
      <c r="K30" s="308">
        <v>-7.949155130413145487352615690</v>
      </c>
      <c r="L30" s="318">
        <v>316.56491084287407976021302723</v>
      </c>
      <c r="M30" s="308">
        <v>-13.259496411111245155086115970</v>
      </c>
      <c r="N30" s="308">
        <v>72.975426261983938415808300870</v>
      </c>
      <c r="O30" s="309">
        <v>6.1221010495709455704987370600</v>
      </c>
      <c r="P30" s="317">
        <v>193.82474381814342663345769795</v>
      </c>
      <c r="Q30" s="308">
        <v>-17.785233312034988667452834430</v>
      </c>
      <c r="R30" s="318">
        <v>198.12978685620440656321025131</v>
      </c>
      <c r="S30" s="308">
        <v>-2.7093451669802439483028469600</v>
      </c>
      <c r="T30" s="308">
        <v>97.82716011238576805973572889</v>
      </c>
      <c r="U30" s="309">
        <v>-15.495720705084875578219003030</v>
      </c>
      <c r="W30" s="281"/>
      <c r="X30" s="281"/>
      <c r="Y30" s="281"/>
      <c r="Z30" s="281"/>
      <c r="AA30" s="281"/>
      <c r="AB30" s="281"/>
      <c r="AC30" s="281"/>
      <c r="AD30" s="281"/>
      <c r="AE30" s="281"/>
      <c r="AF30" s="281"/>
      <c r="AG30" s="281"/>
      <c r="AH30" s="281"/>
      <c r="AI30" s="281"/>
      <c r="AJ30" s="281"/>
      <c r="AK30" s="281"/>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c r="BY30" s="0"/>
      <c r="BZ30" s="0"/>
      <c r="CA30" s="0"/>
      <c r="CB30" s="0"/>
      <c r="CC30" s="0"/>
      <c r="CD30" s="0"/>
      <c r="CE30" s="0"/>
      <c r="CF30" s="0"/>
      <c r="CG30" s="0"/>
      <c r="CH30" s="0"/>
      <c r="CI30" s="0"/>
      <c r="CJ30" s="0"/>
      <c r="CK30" s="0"/>
      <c r="CL30" s="0"/>
      <c r="CM30" s="0"/>
      <c r="CN30" s="0"/>
      <c r="CO30" s="0"/>
      <c r="CP30" s="0"/>
      <c r="CQ30" s="0"/>
      <c r="CR30" s="0"/>
      <c r="CS30" s="0"/>
      <c r="CT30" s="0"/>
      <c r="CU30" s="0"/>
      <c r="CV30" s="0"/>
      <c r="CW30" s="0"/>
      <c r="CX30" s="0"/>
      <c r="CY30" s="0"/>
      <c r="CZ30" s="0"/>
      <c r="DA30" s="0"/>
      <c r="DB30" s="0"/>
      <c r="DC30" s="0"/>
      <c r="DD30" s="0"/>
      <c r="DE30" s="0"/>
      <c r="DF30" s="0"/>
      <c r="DG30" s="0"/>
      <c r="DH30" s="0"/>
      <c r="DI30" s="0"/>
      <c r="DJ30" s="0"/>
      <c r="DK30" s="0"/>
      <c r="DL30" s="0"/>
      <c r="DM30" s="0"/>
      <c r="DN30" s="0"/>
      <c r="DO30" s="0"/>
      <c r="DP30" s="0"/>
      <c r="DQ30" s="0"/>
      <c r="DR30" s="0"/>
      <c r="DS30" s="0"/>
      <c r="DT30" s="0"/>
      <c r="DU30" s="0"/>
      <c r="DV30" s="0"/>
      <c r="DW30" s="0"/>
      <c r="DX30" s="0"/>
      <c r="DY30" s="0"/>
      <c r="DZ30" s="0"/>
      <c r="EA30" s="0"/>
      <c r="EB30" s="0"/>
      <c r="EC30" s="0"/>
      <c r="ED30" s="0"/>
      <c r="EE30" s="0"/>
      <c r="EF30" s="0"/>
      <c r="EG30" s="0"/>
      <c r="EH30" s="0"/>
      <c r="EI30" s="0"/>
    </row>
    <row r="31" s="2" customFormat="1" ht="15.95" customHeight="1">
      <c r="B31" s="324"/>
      <c r="C31" s="304" t="s">
        <v>58</v>
      </c>
      <c r="D31" s="310">
        <v>82.61946386946386946386946387</v>
      </c>
      <c r="E31" s="134">
        <v>9.626908950346767930512827170</v>
      </c>
      <c r="F31" s="134">
        <v>59.865350089766606822262118490</v>
      </c>
      <c r="G31" s="134">
        <v>8.920290550126042076237155970</v>
      </c>
      <c r="H31" s="134">
        <v>138.00882103843366516917721612</v>
      </c>
      <c r="I31" s="134">
        <v>0.6487481777283092812082329900</v>
      </c>
      <c r="J31" s="319">
        <v>224.65726361000478672943208584</v>
      </c>
      <c r="K31" s="134">
        <v>27.424909444701285379463758640</v>
      </c>
      <c r="L31" s="135">
        <v>284.50189109853179758735035965</v>
      </c>
      <c r="M31" s="134">
        <v>24.091921558164386208450795210</v>
      </c>
      <c r="N31" s="134">
        <v>78.965121371451320925860747520</v>
      </c>
      <c r="O31" s="311">
        <v>2.6859023897245801399019353600</v>
      </c>
      <c r="P31" s="319">
        <v>185.61062673839410628534518631</v>
      </c>
      <c r="Q31" s="134">
        <v>39.691989456958331170909380580</v>
      </c>
      <c r="R31" s="135">
        <v>170.31805311814259947127823595</v>
      </c>
      <c r="S31" s="134">
        <v>35.161281510305201514699116260</v>
      </c>
      <c r="T31" s="134">
        <v>108.97883303638405522952732268</v>
      </c>
      <c r="U31" s="311">
        <v>3.3520753103290093333412537500</v>
      </c>
      <c r="W31" s="281"/>
      <c r="X31" s="281"/>
      <c r="Y31" s="281"/>
      <c r="Z31" s="281"/>
      <c r="AA31" s="281"/>
      <c r="AB31" s="281"/>
      <c r="AC31" s="281"/>
      <c r="AD31" s="281"/>
      <c r="AE31" s="281"/>
      <c r="AF31" s="281"/>
      <c r="AG31" s="281"/>
      <c r="AH31" s="281"/>
      <c r="AI31" s="281"/>
      <c r="AJ31" s="281"/>
      <c r="AK31" s="281"/>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c r="BY31" s="0"/>
      <c r="BZ31" s="0"/>
      <c r="CA31" s="0"/>
      <c r="CB31" s="0"/>
      <c r="CC31" s="0"/>
      <c r="CD31" s="0"/>
      <c r="CE31" s="0"/>
      <c r="CF31" s="0"/>
      <c r="CG31" s="0"/>
      <c r="CH31" s="0"/>
      <c r="CI31" s="0"/>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c r="DL31" s="0"/>
      <c r="DM31" s="0"/>
      <c r="DN31" s="0"/>
      <c r="DO31" s="0"/>
      <c r="DP31" s="0"/>
      <c r="DQ31" s="0"/>
      <c r="DR31" s="0"/>
      <c r="DS31" s="0"/>
      <c r="DT31" s="0"/>
      <c r="DU31" s="0"/>
      <c r="DV31" s="0"/>
      <c r="DW31" s="0"/>
      <c r="DX31" s="0"/>
      <c r="DY31" s="0"/>
      <c r="DZ31" s="0"/>
      <c r="EA31" s="0"/>
      <c r="EB31" s="0"/>
      <c r="EC31" s="0"/>
      <c r="ED31" s="0"/>
      <c r="EE31" s="0"/>
      <c r="EF31" s="0"/>
      <c r="EG31" s="0"/>
      <c r="EH31" s="0"/>
      <c r="EI31" s="0"/>
    </row>
    <row r="32" s="2" customFormat="1" ht="15.95" customHeight="1">
      <c r="B32" s="324"/>
      <c r="C32" s="305" t="s">
        <v>44</v>
      </c>
      <c r="D32" s="312">
        <v>80.47785547785547785547785548</v>
      </c>
      <c r="E32" s="159">
        <v>6.9713400464759317469869759200</v>
      </c>
      <c r="F32" s="159">
        <v>63.959117805271651425497579340</v>
      </c>
      <c r="G32" s="159">
        <v>37.938005028010015401452662400</v>
      </c>
      <c r="H32" s="159">
        <v>125.82702551157865642631516517</v>
      </c>
      <c r="I32" s="159">
        <v>-22.449697583568312142888772020</v>
      </c>
      <c r="J32" s="320">
        <v>234.24824007234282904891471338</v>
      </c>
      <c r="K32" s="159">
        <v>11.063044878581509028897226640</v>
      </c>
      <c r="L32" s="160">
        <v>302.24485426593480907879684393</v>
      </c>
      <c r="M32" s="159">
        <v>0.3086225001381524907282154300</v>
      </c>
      <c r="N32" s="159">
        <v>77.502805015916952720588432610</v>
      </c>
      <c r="O32" s="313">
        <v>10.721333929578457377036448630</v>
      </c>
      <c r="P32" s="320">
        <v>188.5179601048400040306242536</v>
      </c>
      <c r="Q32" s="159">
        <v>18.805627403057300698765198110</v>
      </c>
      <c r="R32" s="160">
        <v>193.31314240032086497831600185</v>
      </c>
      <c r="S32" s="159">
        <v>38.363712747811647528069398520</v>
      </c>
      <c r="T32" s="159">
        <v>97.51947423960940464640929937</v>
      </c>
      <c r="U32" s="313">
        <v>-14.135270698037661661778569690</v>
      </c>
      <c r="W32" s="281"/>
      <c r="X32" s="281"/>
      <c r="Y32" s="281"/>
      <c r="Z32" s="281"/>
      <c r="AA32" s="281"/>
      <c r="AB32" s="281"/>
      <c r="AC32" s="281"/>
      <c r="AD32" s="281"/>
      <c r="AE32" s="281"/>
      <c r="AF32" s="281"/>
      <c r="AG32" s="281"/>
      <c r="AH32" s="281"/>
      <c r="AI32" s="281"/>
      <c r="AJ32" s="281"/>
      <c r="AK32" s="281"/>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c r="BY32" s="0"/>
      <c r="BZ32" s="0"/>
      <c r="CA32" s="0"/>
      <c r="CB32" s="0"/>
      <c r="CC32" s="0"/>
      <c r="CD32" s="0"/>
      <c r="CE32" s="0"/>
      <c r="CF32" s="0"/>
      <c r="CG32" s="0"/>
      <c r="CH32" s="0"/>
      <c r="CI32" s="0"/>
      <c r="CJ32" s="0"/>
      <c r="CK32" s="0"/>
      <c r="CL32" s="0"/>
      <c r="CM32" s="0"/>
      <c r="CN32" s="0"/>
      <c r="CO32" s="0"/>
      <c r="CP32" s="0"/>
      <c r="CQ32" s="0"/>
      <c r="CR32" s="0"/>
      <c r="CS32" s="0"/>
      <c r="CT32" s="0"/>
      <c r="CU32" s="0"/>
      <c r="CV32" s="0"/>
      <c r="CW32" s="0"/>
      <c r="CX32" s="0"/>
      <c r="CY32" s="0"/>
      <c r="CZ32" s="0"/>
      <c r="DA32" s="0"/>
      <c r="DB32" s="0"/>
      <c r="DC32" s="0"/>
      <c r="DD32" s="0"/>
      <c r="DE32" s="0"/>
      <c r="DF32" s="0"/>
      <c r="DG32" s="0"/>
      <c r="DH32" s="0"/>
      <c r="DI32" s="0"/>
      <c r="DJ32" s="0"/>
      <c r="DK32" s="0"/>
      <c r="DL32" s="0"/>
      <c r="DM32" s="0"/>
      <c r="DN32" s="0"/>
      <c r="DO32" s="0"/>
      <c r="DP32" s="0"/>
      <c r="DQ32" s="0"/>
      <c r="DR32" s="0"/>
      <c r="DS32" s="0"/>
      <c r="DT32" s="0"/>
      <c r="DU32" s="0"/>
      <c r="DV32" s="0"/>
      <c r="DW32" s="0"/>
      <c r="DX32" s="0"/>
      <c r="DY32" s="0"/>
      <c r="DZ32" s="0"/>
      <c r="EA32" s="0"/>
      <c r="EB32" s="0"/>
      <c r="EC32" s="0"/>
      <c r="ED32" s="0"/>
      <c r="EE32" s="0"/>
      <c r="EF32" s="0"/>
      <c r="EG32" s="0"/>
      <c r="EH32" s="0"/>
      <c r="EI32" s="0"/>
    </row>
    <row r="33" s="2" customFormat="1" ht="15.95" customHeight="1">
      <c r="B33" s="325"/>
      <c r="C33" s="306" t="s">
        <v>45</v>
      </c>
      <c r="D33" s="314">
        <v>82.61946386946386946386946387</v>
      </c>
      <c r="E33" s="315">
        <v>9.626908950346767930512827170</v>
      </c>
      <c r="F33" s="315">
        <v>59.865350089766606822262118490</v>
      </c>
      <c r="G33" s="315">
        <v>8.920290550126042076237155970</v>
      </c>
      <c r="H33" s="315">
        <v>138.00882103843366516917721612</v>
      </c>
      <c r="I33" s="315">
        <v>0.6487481777283092812082329900</v>
      </c>
      <c r="J33" s="321">
        <v>224.65726361000478672943208584</v>
      </c>
      <c r="K33" s="315">
        <v>27.424909444701285379463758640</v>
      </c>
      <c r="L33" s="322">
        <v>284.50189109853179758735035965</v>
      </c>
      <c r="M33" s="315">
        <v>24.091921558164386208450795210</v>
      </c>
      <c r="N33" s="315">
        <v>78.965121371451320925860747520</v>
      </c>
      <c r="O33" s="316">
        <v>2.6859023897245801399019353600</v>
      </c>
      <c r="P33" s="321">
        <v>185.61062673839410628534518631</v>
      </c>
      <c r="Q33" s="315">
        <v>39.691989456958331170909380580</v>
      </c>
      <c r="R33" s="322">
        <v>170.31805311814259947127823595</v>
      </c>
      <c r="S33" s="315">
        <v>35.161281510305201514699116260</v>
      </c>
      <c r="T33" s="315">
        <v>108.97883303638405522952732268</v>
      </c>
      <c r="U33" s="316">
        <v>3.3520753103290093333412537500</v>
      </c>
      <c r="W33" s="281"/>
      <c r="X33" s="281"/>
      <c r="Y33" s="281"/>
      <c r="Z33" s="281"/>
      <c r="AA33" s="281"/>
      <c r="AB33" s="281"/>
      <c r="AC33" s="281"/>
      <c r="AD33" s="281"/>
      <c r="AE33" s="281"/>
      <c r="AF33" s="281"/>
      <c r="AG33" s="281"/>
      <c r="AH33" s="281"/>
      <c r="AI33" s="281"/>
      <c r="AJ33" s="281"/>
      <c r="AK33" s="281"/>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c r="BY33" s="0"/>
      <c r="BZ33" s="0"/>
      <c r="CA33" s="0"/>
      <c r="CB33" s="0"/>
      <c r="CC33" s="0"/>
      <c r="CD33" s="0"/>
      <c r="CE33" s="0"/>
      <c r="CF33" s="0"/>
      <c r="CG33" s="0"/>
      <c r="CH33" s="0"/>
      <c r="CI33" s="0"/>
      <c r="CJ33" s="0"/>
      <c r="CK33" s="0"/>
      <c r="CL33" s="0"/>
      <c r="CM33" s="0"/>
      <c r="CN33" s="0"/>
      <c r="CO33" s="0"/>
      <c r="CP33" s="0"/>
      <c r="CQ33" s="0"/>
      <c r="CR33" s="0"/>
      <c r="CS33" s="0"/>
      <c r="CT33" s="0"/>
      <c r="CU33" s="0"/>
      <c r="CV33" s="0"/>
      <c r="CW33" s="0"/>
      <c r="CX33" s="0"/>
      <c r="CY33" s="0"/>
      <c r="CZ33" s="0"/>
      <c r="DA33" s="0"/>
      <c r="DB33" s="0"/>
      <c r="DC33" s="0"/>
      <c r="DD33" s="0"/>
      <c r="DE33" s="0"/>
      <c r="DF33" s="0"/>
      <c r="DG33" s="0"/>
      <c r="DH33" s="0"/>
      <c r="DI33" s="0"/>
      <c r="DJ33" s="0"/>
      <c r="DK33" s="0"/>
      <c r="DL33" s="0"/>
      <c r="DM33" s="0"/>
      <c r="DN33" s="0"/>
      <c r="DO33" s="0"/>
      <c r="DP33" s="0"/>
      <c r="DQ33" s="0"/>
      <c r="DR33" s="0"/>
      <c r="DS33" s="0"/>
      <c r="DT33" s="0"/>
      <c r="DU33" s="0"/>
      <c r="DV33" s="0"/>
      <c r="DW33" s="0"/>
      <c r="DX33" s="0"/>
      <c r="DY33" s="0"/>
      <c r="DZ33" s="0"/>
      <c r="EA33" s="0"/>
      <c r="EB33" s="0"/>
      <c r="EC33" s="0"/>
      <c r="ED33" s="0"/>
      <c r="EE33" s="0"/>
      <c r="EF33" s="0"/>
      <c r="EG33" s="0"/>
      <c r="EH33" s="0"/>
      <c r="EI33" s="0"/>
    </row>
    <row r="34" s="2" customFormat="1" ht="5.1" customHeight="1">
      <c r="B34" s="4"/>
      <c r="C34" s="297"/>
      <c r="D34" s="159"/>
      <c r="E34" s="159"/>
      <c r="F34" s="159"/>
      <c r="G34" s="159"/>
      <c r="H34" s="159"/>
      <c r="I34" s="159"/>
      <c r="J34" s="160"/>
      <c r="K34" s="159"/>
      <c r="L34" s="160"/>
      <c r="M34" s="159"/>
      <c r="N34" s="159"/>
      <c r="O34" s="159"/>
      <c r="P34" s="160"/>
      <c r="Q34" s="159"/>
      <c r="R34" s="160"/>
      <c r="S34" s="159"/>
      <c r="T34" s="159"/>
      <c r="U34" s="159"/>
      <c r="W34" s="281"/>
      <c r="X34" s="281"/>
      <c r="Y34" s="281"/>
      <c r="Z34" s="281"/>
      <c r="AA34" s="281"/>
      <c r="AB34" s="281"/>
      <c r="AC34" s="281"/>
      <c r="AD34" s="281"/>
      <c r="AE34" s="281"/>
      <c r="AF34" s="281"/>
      <c r="AG34" s="281"/>
      <c r="AH34" s="281"/>
      <c r="AI34" s="281"/>
      <c r="AJ34" s="281"/>
      <c r="AK34" s="281"/>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c r="BY34" s="0"/>
      <c r="BZ34" s="0"/>
      <c r="CA34" s="0"/>
      <c r="CB34" s="0"/>
      <c r="CC34" s="0"/>
      <c r="CD34" s="0"/>
      <c r="CE34" s="0"/>
      <c r="CF34" s="0"/>
      <c r="CG34" s="0"/>
      <c r="CH34" s="0"/>
      <c r="CI34" s="0"/>
      <c r="CJ34" s="0"/>
      <c r="CK34" s="0"/>
      <c r="CL34" s="0"/>
      <c r="CM34" s="0"/>
      <c r="CN34" s="0"/>
      <c r="CO34" s="0"/>
      <c r="CP34" s="0"/>
      <c r="CQ34" s="0"/>
      <c r="CR34" s="0"/>
      <c r="CS34" s="0"/>
      <c r="CT34" s="0"/>
      <c r="CU34" s="0"/>
      <c r="CV34" s="0"/>
      <c r="CW34" s="0"/>
      <c r="CX34" s="0"/>
      <c r="CY34" s="0"/>
      <c r="CZ34" s="0"/>
      <c r="DA34" s="0"/>
      <c r="DB34" s="0"/>
      <c r="DC34" s="0"/>
      <c r="DD34" s="0"/>
      <c r="DE34" s="0"/>
      <c r="DF34" s="0"/>
      <c r="DG34" s="0"/>
      <c r="DH34" s="0"/>
      <c r="DI34" s="0"/>
      <c r="DJ34" s="0"/>
      <c r="DK34" s="0"/>
      <c r="DL34" s="0"/>
      <c r="DM34" s="0"/>
      <c r="DN34" s="0"/>
      <c r="DO34" s="0"/>
      <c r="DP34" s="0"/>
      <c r="DQ34" s="0"/>
      <c r="DR34" s="0"/>
      <c r="DS34" s="0"/>
      <c r="DT34" s="0"/>
      <c r="DU34" s="0"/>
      <c r="DV34" s="0"/>
      <c r="DW34" s="0"/>
      <c r="DX34" s="0"/>
      <c r="DY34" s="0"/>
      <c r="DZ34" s="0"/>
      <c r="EA34" s="0"/>
      <c r="EB34" s="0"/>
      <c r="EC34" s="0"/>
      <c r="ED34" s="0"/>
      <c r="EE34" s="0"/>
      <c r="EF34" s="0"/>
      <c r="EG34" s="0"/>
      <c r="EH34" s="0"/>
      <c r="EI34" s="0"/>
    </row>
    <row r="35" s="9" customFormat="1" ht="5.1" customHeight="1">
      <c r="B35" s="4"/>
      <c r="C35" s="297"/>
      <c r="D35" s="159"/>
      <c r="E35" s="159"/>
      <c r="F35" s="159"/>
      <c r="G35" s="159"/>
      <c r="H35" s="159"/>
      <c r="I35" s="159"/>
      <c r="J35" s="160"/>
      <c r="K35" s="159"/>
      <c r="L35" s="160"/>
      <c r="M35" s="159"/>
      <c r="N35" s="159"/>
      <c r="O35" s="159"/>
      <c r="P35" s="160"/>
      <c r="Q35" s="159"/>
      <c r="R35" s="160"/>
      <c r="S35" s="159"/>
      <c r="T35" s="159"/>
      <c r="U35" s="159"/>
      <c r="W35" s="281"/>
      <c r="X35" s="281"/>
      <c r="Y35" s="281"/>
      <c r="Z35" s="281"/>
      <c r="AA35" s="281"/>
      <c r="AB35" s="281"/>
      <c r="AC35" s="281"/>
      <c r="AD35" s="281"/>
      <c r="AE35" s="281"/>
      <c r="AF35" s="281"/>
      <c r="AG35" s="281"/>
      <c r="AH35" s="281"/>
      <c r="AI35" s="281"/>
      <c r="AJ35" s="281"/>
      <c r="AK35" s="281"/>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row>
    <row r="36" s="2" customFormat="1" ht="15.95" customHeight="1">
      <c r="B36" s="323" t="s">
        <v>48</v>
      </c>
      <c r="C36" s="303" t="s">
        <v>42</v>
      </c>
      <c r="D36" s="307">
        <v>89.20454545454545454545454545</v>
      </c>
      <c r="E36" s="308">
        <v>-5.0403225806512877211238289500</v>
      </c>
      <c r="F36" s="308">
        <v>64.160839160839160839160839160</v>
      </c>
      <c r="G36" s="308">
        <v>0.5575333756405984904352399800</v>
      </c>
      <c r="H36" s="308">
        <v>139.03269754776878289986566813</v>
      </c>
      <c r="I36" s="308">
        <v>-5.5668190818643477634882812200</v>
      </c>
      <c r="J36" s="317">
        <v>244.85106293533527672718663272</v>
      </c>
      <c r="K36" s="308">
        <v>-22.820061992499175407465797300</v>
      </c>
      <c r="L36" s="318">
        <v>324.62323606608383457497484003</v>
      </c>
      <c r="M36" s="308">
        <v>-23.941735366449127107405110280</v>
      </c>
      <c r="N36" s="308">
        <v>75.426228233852779369314754030</v>
      </c>
      <c r="O36" s="309">
        <v>1.4747554120358946690709841800</v>
      </c>
      <c r="P36" s="317">
        <v>218.41827773208885480777443941</v>
      </c>
      <c r="Q36" s="308">
        <v>-26.710179835619176647008851870</v>
      </c>
      <c r="R36" s="318">
        <v>208.28099237107127148429329771</v>
      </c>
      <c r="S36" s="308">
        <v>-23.517685156111265597498217290</v>
      </c>
      <c r="T36" s="308">
        <v>104.86711977198907009907221888</v>
      </c>
      <c r="U36" s="309">
        <v>-4.1741606357266684658297402500</v>
      </c>
      <c r="W36" s="281"/>
      <c r="X36" s="281"/>
      <c r="Y36" s="281"/>
      <c r="Z36" s="281"/>
      <c r="AA36" s="281"/>
      <c r="AB36" s="281"/>
      <c r="AC36" s="281"/>
      <c r="AD36" s="281"/>
      <c r="AE36" s="281"/>
      <c r="AF36" s="281"/>
      <c r="AG36" s="281"/>
      <c r="AH36" s="281"/>
      <c r="AI36" s="281"/>
      <c r="AJ36" s="281"/>
      <c r="AK36" s="281"/>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c r="BY36" s="0"/>
      <c r="BZ36" s="0"/>
      <c r="CA36" s="0"/>
      <c r="CB36" s="0"/>
      <c r="CC36" s="0"/>
      <c r="CD36" s="0"/>
      <c r="CE36" s="0"/>
      <c r="CF36" s="0"/>
      <c r="CG36" s="0"/>
      <c r="CH36" s="0"/>
      <c r="CI36" s="0"/>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c r="DL36" s="0"/>
      <c r="DM36" s="0"/>
      <c r="DN36" s="0"/>
      <c r="DO36" s="0"/>
      <c r="DP36" s="0"/>
      <c r="DQ36" s="0"/>
      <c r="DR36" s="0"/>
      <c r="DS36" s="0"/>
      <c r="DT36" s="0"/>
      <c r="DU36" s="0"/>
      <c r="DV36" s="0"/>
      <c r="DW36" s="0"/>
      <c r="DX36" s="0"/>
      <c r="DY36" s="0"/>
      <c r="DZ36" s="0"/>
      <c r="EA36" s="0"/>
      <c r="EB36" s="0"/>
      <c r="EC36" s="0"/>
      <c r="ED36" s="0"/>
      <c r="EE36" s="0"/>
      <c r="EF36" s="0"/>
      <c r="EG36" s="0"/>
      <c r="EH36" s="0"/>
      <c r="EI36" s="0"/>
    </row>
    <row r="37" s="2" customFormat="1" ht="15.95" customHeight="1">
      <c r="B37" s="324"/>
      <c r="C37" s="304" t="s">
        <v>58</v>
      </c>
      <c r="D37" s="310">
        <v>83.94522144522144522144522145</v>
      </c>
      <c r="E37" s="134">
        <v>7.2000000000130833860465132300</v>
      </c>
      <c r="F37" s="134">
        <v>61.059245960502692998204667860</v>
      </c>
      <c r="G37" s="134">
        <v>7.166433569501533394967028900</v>
      </c>
      <c r="H37" s="134">
        <v>137.48158878268276157652669388</v>
      </c>
      <c r="I37" s="134">
        <v>0.0313217761901248124054699200</v>
      </c>
      <c r="J37" s="319">
        <v>232.15608003786744266306637709</v>
      </c>
      <c r="K37" s="134">
        <v>27.014060100053927370693989960</v>
      </c>
      <c r="L37" s="135">
        <v>288.81033299000674360667384202</v>
      </c>
      <c r="M37" s="134">
        <v>22.511058110540428316458504280</v>
      </c>
      <c r="N37" s="134">
        <v>80.38357825857491064522399486</v>
      </c>
      <c r="O37" s="311">
        <v>3.6755881950485556274385323500</v>
      </c>
      <c r="P37" s="319">
        <v>194.88393548633336314460787657</v>
      </c>
      <c r="Q37" s="134">
        <v>36.159072427249619322306111790</v>
      </c>
      <c r="R37" s="135">
        <v>176.34541157971506912141790605</v>
      </c>
      <c r="S37" s="134">
        <v>31.290731705384117993055857090</v>
      </c>
      <c r="T37" s="134">
        <v>110.51262051026193250167391873</v>
      </c>
      <c r="U37" s="311">
        <v>3.7080612306889235399159150600</v>
      </c>
      <c r="W37" s="281"/>
      <c r="X37" s="281"/>
      <c r="Y37" s="281"/>
      <c r="Z37" s="281"/>
      <c r="AA37" s="281"/>
      <c r="AB37" s="281"/>
      <c r="AC37" s="281"/>
      <c r="AD37" s="281"/>
      <c r="AE37" s="281"/>
      <c r="AF37" s="281"/>
      <c r="AG37" s="281"/>
      <c r="AH37" s="281"/>
      <c r="AI37" s="281"/>
      <c r="AJ37" s="281"/>
      <c r="AK37" s="281"/>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c r="BY37" s="0"/>
      <c r="BZ37" s="0"/>
      <c r="CA37" s="0"/>
      <c r="CB37" s="0"/>
      <c r="CC37" s="0"/>
      <c r="CD37" s="0"/>
      <c r="CE37" s="0"/>
      <c r="CF37" s="0"/>
      <c r="CG37" s="0"/>
      <c r="CH37" s="0"/>
      <c r="CI37" s="0"/>
      <c r="CJ37" s="0"/>
      <c r="CK37" s="0"/>
      <c r="CL37" s="0"/>
      <c r="CM37" s="0"/>
      <c r="CN37" s="0"/>
      <c r="CO37" s="0"/>
      <c r="CP37" s="0"/>
      <c r="CQ37" s="0"/>
      <c r="CR37" s="0"/>
      <c r="CS37" s="0"/>
      <c r="CT37" s="0"/>
      <c r="CU37" s="0"/>
      <c r="CV37" s="0"/>
      <c r="CW37" s="0"/>
      <c r="CX37" s="0"/>
      <c r="CY37" s="0"/>
      <c r="CZ37" s="0"/>
      <c r="DA37" s="0"/>
      <c r="DB37" s="0"/>
      <c r="DC37" s="0"/>
      <c r="DD37" s="0"/>
      <c r="DE37" s="0"/>
      <c r="DF37" s="0"/>
      <c r="DG37" s="0"/>
      <c r="DH37" s="0"/>
      <c r="DI37" s="0"/>
      <c r="DJ37" s="0"/>
      <c r="DK37" s="0"/>
      <c r="DL37" s="0"/>
      <c r="DM37" s="0"/>
      <c r="DN37" s="0"/>
      <c r="DO37" s="0"/>
      <c r="DP37" s="0"/>
      <c r="DQ37" s="0"/>
      <c r="DR37" s="0"/>
      <c r="DS37" s="0"/>
      <c r="DT37" s="0"/>
      <c r="DU37" s="0"/>
      <c r="DV37" s="0"/>
      <c r="DW37" s="0"/>
      <c r="DX37" s="0"/>
      <c r="DY37" s="0"/>
      <c r="DZ37" s="0"/>
      <c r="EA37" s="0"/>
      <c r="EB37" s="0"/>
      <c r="EC37" s="0"/>
      <c r="ED37" s="0"/>
      <c r="EE37" s="0"/>
      <c r="EF37" s="0"/>
      <c r="EG37" s="0"/>
      <c r="EH37" s="0"/>
      <c r="EI37" s="0"/>
    </row>
    <row r="38" s="2" customFormat="1" ht="15.95" customHeight="1">
      <c r="B38" s="324"/>
      <c r="C38" s="305" t="s">
        <v>44</v>
      </c>
      <c r="D38" s="312">
        <v>82.28438228438228438228438228</v>
      </c>
      <c r="E38" s="159">
        <v>2.7656477438522758910013302500</v>
      </c>
      <c r="F38" s="159">
        <v>65.644611798457952304106150260</v>
      </c>
      <c r="G38" s="159">
        <v>28.738802907572129998260089150</v>
      </c>
      <c r="H38" s="159">
        <v>125.34826550114888235930068447</v>
      </c>
      <c r="I38" s="159">
        <v>-20.175078979467370861056451350</v>
      </c>
      <c r="J38" s="320">
        <v>246.36729298025376956862545432</v>
      </c>
      <c r="K38" s="159">
        <v>8.530691971070142219303946750</v>
      </c>
      <c r="L38" s="160">
        <v>319.11213940647089944179704616</v>
      </c>
      <c r="M38" s="159">
        <v>-0.6612288938120721324502194500</v>
      </c>
      <c r="N38" s="159">
        <v>77.203986485271111703462457520</v>
      </c>
      <c r="O38" s="313">
        <v>9.253105069181401331119655890</v>
      </c>
      <c r="P38" s="320">
        <v>202.721805179556132069288544</v>
      </c>
      <c r="Q38" s="159">
        <v>11.532268604900548082275949230</v>
      </c>
      <c r="R38" s="160">
        <v>209.47992511513178462550098368</v>
      </c>
      <c r="S38" s="159">
        <v>27.887544745120039437164905320</v>
      </c>
      <c r="T38" s="159">
        <v>96.77385795711423018728408703</v>
      </c>
      <c r="U38" s="313">
        <v>-12.788795165944612993122741290</v>
      </c>
      <c r="W38" s="281"/>
      <c r="X38" s="281"/>
      <c r="Y38" s="281"/>
      <c r="Z38" s="281"/>
      <c r="AA38" s="281"/>
      <c r="AB38" s="281"/>
      <c r="AC38" s="281"/>
      <c r="AD38" s="281"/>
      <c r="AE38" s="281"/>
      <c r="AF38" s="281"/>
      <c r="AG38" s="281"/>
      <c r="AH38" s="281"/>
      <c r="AI38" s="281"/>
      <c r="AJ38" s="281"/>
      <c r="AK38" s="281"/>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c r="BY38" s="0"/>
      <c r="BZ38" s="0"/>
      <c r="CA38" s="0"/>
      <c r="CB38" s="0"/>
      <c r="CC38" s="0"/>
      <c r="CD38" s="0"/>
      <c r="CE38" s="0"/>
      <c r="CF38" s="0"/>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c r="DQ38" s="0"/>
      <c r="DR38" s="0"/>
      <c r="DS38" s="0"/>
      <c r="DT38" s="0"/>
      <c r="DU38" s="0"/>
      <c r="DV38" s="0"/>
      <c r="DW38" s="0"/>
      <c r="DX38" s="0"/>
      <c r="DY38" s="0"/>
      <c r="DZ38" s="0"/>
      <c r="EA38" s="0"/>
      <c r="EB38" s="0"/>
      <c r="EC38" s="0"/>
      <c r="ED38" s="0"/>
      <c r="EE38" s="0"/>
      <c r="EF38" s="0"/>
      <c r="EG38" s="0"/>
      <c r="EH38" s="0"/>
      <c r="EI38" s="0"/>
    </row>
    <row r="39" s="2" customFormat="1" ht="15.95" customHeight="1">
      <c r="B39" s="325"/>
      <c r="C39" s="306" t="s">
        <v>45</v>
      </c>
      <c r="D39" s="314">
        <v>83.94522144522144522144522145</v>
      </c>
      <c r="E39" s="315">
        <v>7.2000000000130833860465132300</v>
      </c>
      <c r="F39" s="315">
        <v>61.059245960502692998204667860</v>
      </c>
      <c r="G39" s="315">
        <v>7.166433569501533394967028900</v>
      </c>
      <c r="H39" s="315">
        <v>137.48158878268276157652669388</v>
      </c>
      <c r="I39" s="315">
        <v>0.0313217761901248124054699200</v>
      </c>
      <c r="J39" s="321">
        <v>232.15608003786744266306637709</v>
      </c>
      <c r="K39" s="315">
        <v>27.014060100053927370693989960</v>
      </c>
      <c r="L39" s="322">
        <v>288.81033299000674360667384202</v>
      </c>
      <c r="M39" s="315">
        <v>22.511058110540428316458504280</v>
      </c>
      <c r="N39" s="315">
        <v>80.38357825857491064522399486</v>
      </c>
      <c r="O39" s="316">
        <v>3.6755881950485556274385323500</v>
      </c>
      <c r="P39" s="321">
        <v>194.88393548633336314460787657</v>
      </c>
      <c r="Q39" s="315">
        <v>36.159072427249619322306111790</v>
      </c>
      <c r="R39" s="322">
        <v>176.34541157971506912141790605</v>
      </c>
      <c r="S39" s="315">
        <v>31.290731705384117993055857090</v>
      </c>
      <c r="T39" s="315">
        <v>110.51262051026193250167391873</v>
      </c>
      <c r="U39" s="316">
        <v>3.7080612306889235399159150600</v>
      </c>
      <c r="W39" s="281"/>
      <c r="X39" s="281"/>
      <c r="Y39" s="281"/>
      <c r="Z39" s="281"/>
      <c r="AA39" s="281"/>
      <c r="AB39" s="281"/>
      <c r="AC39" s="281"/>
      <c r="AD39" s="281"/>
      <c r="AE39" s="281"/>
      <c r="AF39" s="281"/>
      <c r="AG39" s="281"/>
      <c r="AH39" s="281"/>
      <c r="AI39" s="281"/>
      <c r="AJ39" s="281"/>
      <c r="AK39" s="281"/>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c r="DS39" s="0"/>
      <c r="DT39" s="0"/>
      <c r="DU39" s="0"/>
      <c r="DV39" s="0"/>
      <c r="DW39" s="0"/>
      <c r="DX39" s="0"/>
      <c r="DY39" s="0"/>
      <c r="DZ39" s="0"/>
      <c r="EA39" s="0"/>
      <c r="EB39" s="0"/>
      <c r="EC39" s="0"/>
      <c r="ED39" s="0"/>
      <c r="EE39" s="0"/>
      <c r="EF39" s="0"/>
      <c r="EG39" s="0"/>
      <c r="EH39" s="0"/>
      <c r="EI39" s="0"/>
    </row>
    <row r="40" s="2" customFormat="1" ht="5.1" customHeight="1">
      <c r="B40" s="4"/>
      <c r="C40" s="297"/>
      <c r="D40" s="159"/>
      <c r="E40" s="159"/>
      <c r="F40" s="159"/>
      <c r="G40" s="159"/>
      <c r="H40" s="159"/>
      <c r="I40" s="159"/>
      <c r="J40" s="160"/>
      <c r="K40" s="159"/>
      <c r="L40" s="160"/>
      <c r="M40" s="159"/>
      <c r="N40" s="159"/>
      <c r="O40" s="159"/>
      <c r="P40" s="160"/>
      <c r="Q40" s="159"/>
      <c r="R40" s="160"/>
      <c r="S40" s="159"/>
      <c r="T40" s="159"/>
      <c r="U40" s="159"/>
      <c r="W40" s="281"/>
      <c r="X40" s="281"/>
      <c r="Y40" s="281"/>
      <c r="Z40" s="281"/>
      <c r="AA40" s="281"/>
      <c r="AB40" s="281"/>
      <c r="AC40" s="281"/>
      <c r="AD40" s="281"/>
      <c r="AE40" s="281"/>
      <c r="AF40" s="281"/>
      <c r="AG40" s="281"/>
      <c r="AH40" s="281"/>
      <c r="AI40" s="281"/>
      <c r="AJ40" s="281"/>
      <c r="AK40" s="281"/>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c r="BY40" s="0"/>
      <c r="BZ40" s="0"/>
      <c r="CA40" s="0"/>
      <c r="CB40" s="0"/>
      <c r="CC40" s="0"/>
      <c r="CD40" s="0"/>
      <c r="CE40" s="0"/>
      <c r="CF40" s="0"/>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c r="DQ40" s="0"/>
      <c r="DR40" s="0"/>
      <c r="DS40" s="0"/>
      <c r="DT40" s="0"/>
      <c r="DU40" s="0"/>
      <c r="DV40" s="0"/>
      <c r="DW40" s="0"/>
      <c r="DX40" s="0"/>
      <c r="DY40" s="0"/>
      <c r="DZ40" s="0"/>
      <c r="EA40" s="0"/>
      <c r="EB40" s="0"/>
      <c r="EC40" s="0"/>
      <c r="ED40" s="0"/>
      <c r="EE40" s="0"/>
      <c r="EF40" s="0"/>
      <c r="EG40" s="0"/>
      <c r="EH40" s="0"/>
      <c r="EI40" s="0"/>
    </row>
    <row r="41" s="9" customFormat="1" ht="5.1" customHeight="1">
      <c r="B41" s="4"/>
      <c r="C41" s="297"/>
      <c r="D41" s="159"/>
      <c r="E41" s="159"/>
      <c r="F41" s="159"/>
      <c r="G41" s="159"/>
      <c r="H41" s="159"/>
      <c r="I41" s="159"/>
      <c r="J41" s="160"/>
      <c r="K41" s="159"/>
      <c r="L41" s="160"/>
      <c r="M41" s="159"/>
      <c r="N41" s="159"/>
      <c r="O41" s="159"/>
      <c r="P41" s="160"/>
      <c r="Q41" s="159"/>
      <c r="R41" s="160"/>
      <c r="S41" s="159"/>
      <c r="T41" s="159"/>
      <c r="U41" s="159"/>
      <c r="W41" s="281"/>
      <c r="X41" s="281"/>
      <c r="Y41" s="281"/>
      <c r="Z41" s="281"/>
      <c r="AA41" s="281"/>
      <c r="AB41" s="281"/>
      <c r="AC41" s="281"/>
      <c r="AD41" s="281"/>
      <c r="AE41" s="281"/>
      <c r="AF41" s="281"/>
      <c r="AG41" s="281"/>
      <c r="AH41" s="281"/>
      <c r="AI41" s="281"/>
      <c r="AJ41" s="281"/>
      <c r="AK41" s="281"/>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row>
    <row r="42" s="2" customFormat="1" ht="15.95" customHeight="1">
      <c r="B42" s="323" t="s">
        <v>49</v>
      </c>
      <c r="C42" s="303" t="s">
        <v>42</v>
      </c>
      <c r="D42" s="307">
        <v>92.87878787878787878787878788</v>
      </c>
      <c r="E42" s="308">
        <v>-1.9200000000313855999999899600</v>
      </c>
      <c r="F42" s="308">
        <v>77.016317016317016317016317020</v>
      </c>
      <c r="G42" s="308">
        <v>18.550116550075057575757590290</v>
      </c>
      <c r="H42" s="308">
        <v>120.59624697339226248798140931</v>
      </c>
      <c r="I42" s="308">
        <v>-17.267057296716272899973024170</v>
      </c>
      <c r="J42" s="317">
        <v>387.49858484936752928351438069</v>
      </c>
      <c r="K42" s="308">
        <v>4.4959248430129363287603234500</v>
      </c>
      <c r="L42" s="318">
        <v>428.97471989553698661129407119</v>
      </c>
      <c r="M42" s="308">
        <v>-10.866965715196703406876088730</v>
      </c>
      <c r="N42" s="308">
        <v>90.33133349763915523706089205</v>
      </c>
      <c r="O42" s="309">
        <v>17.235911109209284660141325380</v>
      </c>
      <c r="P42" s="317">
        <v>359.90398865554893250120350812</v>
      </c>
      <c r="Q42" s="308">
        <v>2.4896030860228869517230677900</v>
      </c>
      <c r="R42" s="318">
        <v>330.380530194604709502031611</v>
      </c>
      <c r="S42" s="308">
        <v>5.6673160292880834390756120600</v>
      </c>
      <c r="T42" s="308">
        <v>108.93619803913962215540903800</v>
      </c>
      <c r="U42" s="309">
        <v>-3.0072808344695829543550078700</v>
      </c>
      <c r="W42" s="281"/>
      <c r="X42" s="281"/>
      <c r="Y42" s="281"/>
      <c r="Z42" s="281"/>
      <c r="AA42" s="281"/>
      <c r="AB42" s="281"/>
      <c r="AC42" s="281"/>
      <c r="AD42" s="281"/>
      <c r="AE42" s="281"/>
      <c r="AF42" s="281"/>
      <c r="AG42" s="281"/>
      <c r="AH42" s="281"/>
      <c r="AI42" s="281"/>
      <c r="AJ42" s="281"/>
      <c r="AK42" s="281"/>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c r="BY42" s="0"/>
      <c r="BZ42" s="0"/>
      <c r="CA42" s="0"/>
      <c r="CB42" s="0"/>
      <c r="CC42" s="0"/>
      <c r="CD42" s="0"/>
      <c r="CE42" s="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c r="DS42" s="0"/>
      <c r="DT42" s="0"/>
      <c r="DU42" s="0"/>
      <c r="DV42" s="0"/>
      <c r="DW42" s="0"/>
      <c r="DX42" s="0"/>
      <c r="DY42" s="0"/>
      <c r="DZ42" s="0"/>
      <c r="EA42" s="0"/>
      <c r="EB42" s="0"/>
      <c r="EC42" s="0"/>
      <c r="ED42" s="0"/>
      <c r="EE42" s="0"/>
      <c r="EF42" s="0"/>
      <c r="EG42" s="0"/>
      <c r="EH42" s="0"/>
      <c r="EI42" s="0"/>
    </row>
    <row r="43" s="2" customFormat="1" ht="15.95" customHeight="1">
      <c r="B43" s="324"/>
      <c r="C43" s="304" t="s">
        <v>58</v>
      </c>
      <c r="D43" s="310">
        <v>86.97552447552447552447552448</v>
      </c>
      <c r="E43" s="134">
        <v>2.6302217638000053727390943800</v>
      </c>
      <c r="F43" s="134">
        <v>69.208671843440010772476322990</v>
      </c>
      <c r="G43" s="134">
        <v>6.5087091513608311274500391900</v>
      </c>
      <c r="H43" s="134">
        <v>125.67142550044296162505358055</v>
      </c>
      <c r="I43" s="134">
        <v>-3.6414744093584078148214258700</v>
      </c>
      <c r="J43" s="319">
        <v>265.8904740386776050266619367</v>
      </c>
      <c r="K43" s="134">
        <v>24.809488475657247619919783290</v>
      </c>
      <c r="L43" s="135">
        <v>318.74306324625066828515955899</v>
      </c>
      <c r="M43" s="134">
        <v>15.530731894142862613167685540</v>
      </c>
      <c r="N43" s="134">
        <v>83.41843468863760036984633199</v>
      </c>
      <c r="O43" s="311">
        <v>8.031418506043562609381135290</v>
      </c>
      <c r="P43" s="319">
        <v>231.25963432559809178455299564</v>
      </c>
      <c r="Q43" s="134">
        <v>28.092254804832950242832674720</v>
      </c>
      <c r="R43" s="135">
        <v>220.59784066582607182947507698</v>
      </c>
      <c r="S43" s="134">
        <v>23.050291213621593097074783980</v>
      </c>
      <c r="T43" s="134">
        <v>104.83313600333487955926919662</v>
      </c>
      <c r="U43" s="311">
        <v>4.0974820469986017959416629700</v>
      </c>
      <c r="W43" s="281"/>
      <c r="X43" s="281"/>
      <c r="Y43" s="281"/>
      <c r="Z43" s="281"/>
      <c r="AA43" s="281"/>
      <c r="AB43" s="281"/>
      <c r="AC43" s="281"/>
      <c r="AD43" s="281"/>
      <c r="AE43" s="281"/>
      <c r="AF43" s="281"/>
      <c r="AG43" s="281"/>
      <c r="AH43" s="281"/>
      <c r="AI43" s="281"/>
      <c r="AJ43" s="281"/>
      <c r="AK43" s="281"/>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c r="BY43" s="0"/>
      <c r="BZ43" s="0"/>
      <c r="CA43" s="0"/>
      <c r="CB43" s="0"/>
      <c r="CC43" s="0"/>
      <c r="CD43" s="0"/>
      <c r="CE43" s="0"/>
      <c r="CF43" s="0"/>
      <c r="CG43" s="0"/>
      <c r="CH43" s="0"/>
      <c r="CI43" s="0"/>
      <c r="CJ43" s="0"/>
      <c r="CK43" s="0"/>
      <c r="CL43" s="0"/>
      <c r="CM43" s="0"/>
      <c r="CN43" s="0"/>
      <c r="CO43" s="0"/>
      <c r="CP43" s="0"/>
      <c r="CQ43" s="0"/>
      <c r="CR43" s="0"/>
      <c r="CS43" s="0"/>
      <c r="CT43" s="0"/>
      <c r="CU43" s="0"/>
      <c r="CV43" s="0"/>
      <c r="CW43" s="0"/>
      <c r="CX43" s="0"/>
      <c r="CY43" s="0"/>
      <c r="CZ43" s="0"/>
      <c r="DA43" s="0"/>
      <c r="DB43" s="0"/>
      <c r="DC43" s="0"/>
      <c r="DD43" s="0"/>
      <c r="DE43" s="0"/>
      <c r="DF43" s="0"/>
      <c r="DG43" s="0"/>
      <c r="DH43" s="0"/>
      <c r="DI43" s="0"/>
      <c r="DJ43" s="0"/>
      <c r="DK43" s="0"/>
      <c r="DL43" s="0"/>
      <c r="DM43" s="0"/>
      <c r="DN43" s="0"/>
      <c r="DO43" s="0"/>
      <c r="DP43" s="0"/>
      <c r="DQ43" s="0"/>
      <c r="DR43" s="0"/>
      <c r="DS43" s="0"/>
      <c r="DT43" s="0"/>
      <c r="DU43" s="0"/>
      <c r="DV43" s="0"/>
      <c r="DW43" s="0"/>
      <c r="DX43" s="0"/>
      <c r="DY43" s="0"/>
      <c r="DZ43" s="0"/>
      <c r="EA43" s="0"/>
      <c r="EB43" s="0"/>
      <c r="EC43" s="0"/>
      <c r="ED43" s="0"/>
      <c r="EE43" s="0"/>
      <c r="EF43" s="0"/>
      <c r="EG43" s="0"/>
      <c r="EH43" s="0"/>
      <c r="EI43" s="0"/>
    </row>
    <row r="44" s="2" customFormat="1" ht="15.95" customHeight="1">
      <c r="B44" s="324"/>
      <c r="C44" s="305" t="s">
        <v>44</v>
      </c>
      <c r="D44" s="312">
        <v>87.06293706293706293706293706</v>
      </c>
      <c r="E44" s="159">
        <v>-0.5326231690652083950205579200</v>
      </c>
      <c r="F44" s="159">
        <v>74.125874125874125874125874130</v>
      </c>
      <c r="G44" s="159">
        <v>28.464977645381289819083518360</v>
      </c>
      <c r="H44" s="159">
        <v>117.45283018863824759700962627</v>
      </c>
      <c r="I44" s="159">
        <v>-22.572378360247220296893947700</v>
      </c>
      <c r="J44" s="320">
        <v>275.21901905414952341747431474</v>
      </c>
      <c r="K44" s="159">
        <v>6.0215859067478079513468092900</v>
      </c>
      <c r="L44" s="160">
        <v>326.34492915043582087797334378</v>
      </c>
      <c r="M44" s="159">
        <v>-6.0968418322474871655158547700</v>
      </c>
      <c r="N44" s="159">
        <v>84.33378136766191830132920178</v>
      </c>
      <c r="O44" s="313">
        <v>12.905239797584864853712235440</v>
      </c>
      <c r="P44" s="320">
        <v>239.61376134434696269563323206</v>
      </c>
      <c r="Q44" s="159">
        <v>5.4568903759411411006727405400</v>
      </c>
      <c r="R44" s="160">
        <v>241.90603139822515393751870238</v>
      </c>
      <c r="S44" s="159">
        <v>20.632671148456859873258223870</v>
      </c>
      <c r="T44" s="159">
        <v>99.05241302145139739993244220</v>
      </c>
      <c r="U44" s="313">
        <v>-12.580158118058067760634741470</v>
      </c>
      <c r="W44" s="281"/>
      <c r="X44" s="281"/>
      <c r="Y44" s="281"/>
      <c r="Z44" s="281"/>
      <c r="AA44" s="281"/>
      <c r="AB44" s="281"/>
      <c r="AC44" s="281"/>
      <c r="AD44" s="281"/>
      <c r="AE44" s="281"/>
      <c r="AF44" s="281"/>
      <c r="AG44" s="281"/>
      <c r="AH44" s="281"/>
      <c r="AI44" s="281"/>
      <c r="AJ44" s="281"/>
      <c r="AK44" s="281"/>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c r="BY44" s="0"/>
      <c r="BZ44" s="0"/>
      <c r="CA44" s="0"/>
      <c r="CB44" s="0"/>
      <c r="CC44" s="0"/>
      <c r="CD44" s="0"/>
      <c r="CE44" s="0"/>
      <c r="CF44" s="0"/>
      <c r="CG44" s="0"/>
      <c r="CH44" s="0"/>
      <c r="CI44" s="0"/>
      <c r="CJ44" s="0"/>
      <c r="CK44" s="0"/>
      <c r="CL44" s="0"/>
      <c r="CM44" s="0"/>
      <c r="CN44" s="0"/>
      <c r="CO44" s="0"/>
      <c r="CP44" s="0"/>
      <c r="CQ44" s="0"/>
      <c r="CR44" s="0"/>
      <c r="CS44" s="0"/>
      <c r="CT44" s="0"/>
      <c r="CU44" s="0"/>
      <c r="CV44" s="0"/>
      <c r="CW44" s="0"/>
      <c r="CX44" s="0"/>
      <c r="CY44" s="0"/>
      <c r="CZ44" s="0"/>
      <c r="DA44" s="0"/>
      <c r="DB44" s="0"/>
      <c r="DC44" s="0"/>
      <c r="DD44" s="0"/>
      <c r="DE44" s="0"/>
      <c r="DF44" s="0"/>
      <c r="DG44" s="0"/>
      <c r="DH44" s="0"/>
      <c r="DI44" s="0"/>
      <c r="DJ44" s="0"/>
      <c r="DK44" s="0"/>
      <c r="DL44" s="0"/>
      <c r="DM44" s="0"/>
      <c r="DN44" s="0"/>
      <c r="DO44" s="0"/>
      <c r="DP44" s="0"/>
      <c r="DQ44" s="0"/>
      <c r="DR44" s="0"/>
      <c r="DS44" s="0"/>
      <c r="DT44" s="0"/>
      <c r="DU44" s="0"/>
      <c r="DV44" s="0"/>
      <c r="DW44" s="0"/>
      <c r="DX44" s="0"/>
      <c r="DY44" s="0"/>
      <c r="DZ44" s="0"/>
      <c r="EA44" s="0"/>
      <c r="EB44" s="0"/>
      <c r="EC44" s="0"/>
      <c r="ED44" s="0"/>
      <c r="EE44" s="0"/>
      <c r="EF44" s="0"/>
      <c r="EG44" s="0"/>
      <c r="EH44" s="0"/>
      <c r="EI44" s="0"/>
    </row>
    <row r="45" s="2" customFormat="1" ht="15.95" customHeight="1">
      <c r="B45" s="325"/>
      <c r="C45" s="306" t="s">
        <v>45</v>
      </c>
      <c r="D45" s="314">
        <v>86.97552447552447552447552448</v>
      </c>
      <c r="E45" s="315">
        <v>2.6302217638000053727390943800</v>
      </c>
      <c r="F45" s="315">
        <v>69.208671843440010772476322990</v>
      </c>
      <c r="G45" s="315">
        <v>6.5087091513608311274500391900</v>
      </c>
      <c r="H45" s="315">
        <v>125.67142550044296162505358055</v>
      </c>
      <c r="I45" s="315">
        <v>-3.6414744093584078148214258700</v>
      </c>
      <c r="J45" s="321">
        <v>265.8904740386776050266619367</v>
      </c>
      <c r="K45" s="315">
        <v>24.809488475657247619919783290</v>
      </c>
      <c r="L45" s="322">
        <v>318.74306324625066828515955899</v>
      </c>
      <c r="M45" s="315">
        <v>15.530731894142862613167685540</v>
      </c>
      <c r="N45" s="315">
        <v>83.41843468863760036984633199</v>
      </c>
      <c r="O45" s="316">
        <v>8.031418506043562609381135290</v>
      </c>
      <c r="P45" s="321">
        <v>231.25963432559809178455299564</v>
      </c>
      <c r="Q45" s="315">
        <v>28.092254804832950242832674720</v>
      </c>
      <c r="R45" s="322">
        <v>220.59784066582607182947507698</v>
      </c>
      <c r="S45" s="315">
        <v>23.050291213621593097074783980</v>
      </c>
      <c r="T45" s="315">
        <v>104.83313600333487955926919662</v>
      </c>
      <c r="U45" s="316">
        <v>4.0974820469986017959416629700</v>
      </c>
      <c r="W45" s="281"/>
      <c r="X45" s="281"/>
      <c r="Y45" s="281"/>
      <c r="Z45" s="281"/>
      <c r="AA45" s="281"/>
      <c r="AB45" s="281"/>
      <c r="AC45" s="281"/>
      <c r="AD45" s="281"/>
      <c r="AE45" s="281"/>
      <c r="AF45" s="281"/>
      <c r="AG45" s="281"/>
      <c r="AH45" s="281"/>
      <c r="AI45" s="281"/>
      <c r="AJ45" s="281"/>
      <c r="AK45" s="281"/>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c r="BY45" s="0"/>
      <c r="BZ45" s="0"/>
      <c r="CA45" s="0"/>
      <c r="CB45" s="0"/>
      <c r="CC45" s="0"/>
      <c r="CD45" s="0"/>
      <c r="CE45" s="0"/>
      <c r="CF45" s="0"/>
      <c r="CG45" s="0"/>
      <c r="CH45" s="0"/>
      <c r="CI45" s="0"/>
      <c r="CJ45" s="0"/>
      <c r="CK45" s="0"/>
      <c r="CL45" s="0"/>
      <c r="CM45" s="0"/>
      <c r="CN45" s="0"/>
      <c r="CO45" s="0"/>
      <c r="CP45" s="0"/>
      <c r="CQ45" s="0"/>
      <c r="CR45" s="0"/>
      <c r="CS45" s="0"/>
      <c r="CT45" s="0"/>
      <c r="CU45" s="0"/>
      <c r="CV45" s="0"/>
      <c r="CW45" s="0"/>
      <c r="CX45" s="0"/>
      <c r="CY45" s="0"/>
      <c r="CZ45" s="0"/>
      <c r="DA45" s="0"/>
      <c r="DB45" s="0"/>
      <c r="DC45" s="0"/>
      <c r="DD45" s="0"/>
      <c r="DE45" s="0"/>
      <c r="DF45" s="0"/>
      <c r="DG45" s="0"/>
      <c r="DH45" s="0"/>
      <c r="DI45" s="0"/>
      <c r="DJ45" s="0"/>
      <c r="DK45" s="0"/>
      <c r="DL45" s="0"/>
      <c r="DM45" s="0"/>
      <c r="DN45" s="0"/>
      <c r="DO45" s="0"/>
      <c r="DP45" s="0"/>
      <c r="DQ45" s="0"/>
      <c r="DR45" s="0"/>
      <c r="DS45" s="0"/>
      <c r="DT45" s="0"/>
      <c r="DU45" s="0"/>
      <c r="DV45" s="0"/>
      <c r="DW45" s="0"/>
      <c r="DX45" s="0"/>
      <c r="DY45" s="0"/>
      <c r="DZ45" s="0"/>
      <c r="EA45" s="0"/>
      <c r="EB45" s="0"/>
      <c r="EC45" s="0"/>
      <c r="ED45" s="0"/>
      <c r="EE45" s="0"/>
      <c r="EF45" s="0"/>
      <c r="EG45" s="0"/>
      <c r="EH45" s="0"/>
      <c r="EI45" s="0"/>
    </row>
    <row r="46" s="2" customFormat="1" ht="5.1" customHeight="1">
      <c r="A46" s="4"/>
      <c r="B46" s="4"/>
      <c r="C46" s="297"/>
      <c r="D46" s="159"/>
      <c r="E46" s="159"/>
      <c r="F46" s="159"/>
      <c r="G46" s="159"/>
      <c r="H46" s="159"/>
      <c r="I46" s="159"/>
      <c r="J46" s="160"/>
      <c r="K46" s="159"/>
      <c r="L46" s="160"/>
      <c r="M46" s="159"/>
      <c r="N46" s="159"/>
      <c r="O46" s="159"/>
      <c r="P46" s="160"/>
      <c r="Q46" s="159"/>
      <c r="R46" s="160"/>
      <c r="S46" s="159"/>
      <c r="T46" s="159"/>
      <c r="U46" s="159"/>
      <c r="W46" s="281"/>
      <c r="X46" s="281"/>
      <c r="Y46" s="281"/>
      <c r="Z46" s="281"/>
      <c r="AA46" s="281"/>
      <c r="AB46" s="281"/>
      <c r="AC46" s="281"/>
      <c r="AD46" s="281"/>
      <c r="AE46" s="281"/>
      <c r="AF46" s="281"/>
      <c r="AG46" s="281"/>
      <c r="AH46" s="281"/>
      <c r="AI46" s="281"/>
      <c r="AJ46" s="281"/>
      <c r="AK46" s="281"/>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c r="BY46" s="0"/>
      <c r="BZ46" s="0"/>
      <c r="CA46" s="0"/>
      <c r="CB46" s="0"/>
      <c r="CC46" s="0"/>
      <c r="CD46" s="0"/>
      <c r="CE46" s="0"/>
      <c r="CF46" s="0"/>
      <c r="CG46" s="0"/>
      <c r="CH46" s="0"/>
      <c r="CI46" s="0"/>
      <c r="CJ46" s="0"/>
      <c r="CK46" s="0"/>
      <c r="CL46" s="0"/>
      <c r="CM46" s="0"/>
      <c r="CN46" s="0"/>
      <c r="CO46" s="0"/>
      <c r="CP46" s="0"/>
      <c r="CQ46" s="0"/>
      <c r="CR46" s="0"/>
      <c r="CS46" s="0"/>
      <c r="CT46" s="0"/>
      <c r="CU46" s="0"/>
      <c r="CV46" s="0"/>
      <c r="CW46" s="0"/>
      <c r="CX46" s="0"/>
      <c r="CY46" s="0"/>
      <c r="CZ46" s="0"/>
      <c r="DA46" s="0"/>
      <c r="DB46" s="0"/>
      <c r="DC46" s="0"/>
      <c r="DD46" s="0"/>
      <c r="DE46" s="0"/>
      <c r="DF46" s="0"/>
      <c r="DG46" s="0"/>
      <c r="DH46" s="0"/>
      <c r="DI46" s="0"/>
      <c r="DJ46" s="0"/>
      <c r="DK46" s="0"/>
      <c r="DL46" s="0"/>
      <c r="DM46" s="0"/>
      <c r="DN46" s="0"/>
      <c r="DO46" s="0"/>
      <c r="DP46" s="0"/>
      <c r="DQ46" s="0"/>
      <c r="DR46" s="0"/>
      <c r="DS46" s="0"/>
      <c r="DT46" s="0"/>
      <c r="DU46" s="0"/>
      <c r="DV46" s="0"/>
      <c r="DW46" s="0"/>
      <c r="DX46" s="0"/>
      <c r="DY46" s="0"/>
      <c r="DZ46" s="0"/>
      <c r="EA46" s="0"/>
      <c r="EB46" s="0"/>
      <c r="EC46" s="0"/>
      <c r="ED46" s="0"/>
      <c r="EE46" s="0"/>
      <c r="EF46" s="0"/>
      <c r="EG46" s="0"/>
      <c r="EH46" s="0"/>
      <c r="EI46" s="0"/>
    </row>
    <row r="47" s="9" customFormat="1" ht="5.1" customHeight="1">
      <c r="A47" s="4"/>
      <c r="B47" s="4"/>
      <c r="C47" s="297"/>
      <c r="D47" s="159"/>
      <c r="E47" s="159"/>
      <c r="F47" s="159"/>
      <c r="G47" s="159"/>
      <c r="H47" s="159"/>
      <c r="I47" s="159"/>
      <c r="J47" s="160"/>
      <c r="K47" s="159"/>
      <c r="L47" s="160"/>
      <c r="M47" s="159"/>
      <c r="N47" s="159"/>
      <c r="O47" s="159"/>
      <c r="P47" s="160"/>
      <c r="Q47" s="159"/>
      <c r="R47" s="160"/>
      <c r="S47" s="159"/>
      <c r="T47" s="159"/>
      <c r="U47" s="159"/>
      <c r="W47" s="281"/>
      <c r="X47" s="281"/>
      <c r="Y47" s="281"/>
      <c r="Z47" s="281"/>
      <c r="AA47" s="281"/>
      <c r="AB47" s="281"/>
      <c r="AC47" s="281"/>
      <c r="AD47" s="281"/>
      <c r="AE47" s="281"/>
      <c r="AF47" s="281"/>
      <c r="AG47" s="281"/>
      <c r="AH47" s="281"/>
      <c r="AI47" s="281"/>
      <c r="AJ47" s="281"/>
      <c r="AK47" s="281"/>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row>
    <row r="48" s="2" customFormat="1" ht="15.95" customHeight="1">
      <c r="B48" s="323" t="s">
        <v>50</v>
      </c>
      <c r="C48" s="303" t="s">
        <v>42</v>
      </c>
      <c r="D48" s="307">
        <v>87.12121212121212121212121212</v>
      </c>
      <c r="E48" s="308">
        <v>-4.9586776859849737039819558800</v>
      </c>
      <c r="F48" s="308">
        <v>79.62703962703962703962703963</v>
      </c>
      <c r="G48" s="308">
        <v>16.732156732098763126518257350</v>
      </c>
      <c r="H48" s="308">
        <v>109.41159250590925049978338575</v>
      </c>
      <c r="I48" s="308">
        <v>-18.581713064514578744540150760</v>
      </c>
      <c r="J48" s="317">
        <v>429.69639663217558639600476882</v>
      </c>
      <c r="K48" s="308">
        <v>-10.301640386357677913066496310</v>
      </c>
      <c r="L48" s="318">
        <v>446.27483425893501530984528208</v>
      </c>
      <c r="M48" s="308">
        <v>-19.654187243483750689618264820</v>
      </c>
      <c r="N48" s="308">
        <v>96.2851506842739268767325500</v>
      </c>
      <c r="O48" s="309">
        <v>11.640366232208693668938128770</v>
      </c>
      <c r="P48" s="317">
        <v>374.35670918712266996621627586</v>
      </c>
      <c r="Q48" s="308">
        <v>-14.749492929195859491679041950</v>
      </c>
      <c r="R48" s="318">
        <v>355.35543912086760193436631319</v>
      </c>
      <c r="S48" s="308">
        <v>-6.2105999253403422022799437500</v>
      </c>
      <c r="T48" s="308">
        <v>105.34711671030818410055451024</v>
      </c>
      <c r="U48" s="309">
        <v>-9.104326285371221363734569790</v>
      </c>
      <c r="W48" s="281"/>
      <c r="X48" s="281"/>
      <c r="Y48" s="281"/>
      <c r="Z48" s="281"/>
      <c r="AA48" s="281"/>
      <c r="AB48" s="281"/>
      <c r="AC48" s="281"/>
      <c r="AD48" s="281"/>
      <c r="AE48" s="281"/>
      <c r="AF48" s="281"/>
      <c r="AG48" s="281"/>
      <c r="AH48" s="281"/>
      <c r="AI48" s="281"/>
      <c r="AJ48" s="281"/>
      <c r="AK48" s="281"/>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c r="BY48" s="0"/>
      <c r="BZ48" s="0"/>
      <c r="CA48" s="0"/>
      <c r="CB48" s="0"/>
      <c r="CC48" s="0"/>
      <c r="CD48" s="0"/>
      <c r="CE48" s="0"/>
      <c r="CF48" s="0"/>
      <c r="CG48" s="0"/>
      <c r="CH48" s="0"/>
      <c r="CI48" s="0"/>
      <c r="CJ48" s="0"/>
      <c r="CK48" s="0"/>
      <c r="CL48" s="0"/>
      <c r="CM48" s="0"/>
      <c r="CN48" s="0"/>
      <c r="CO48" s="0"/>
      <c r="CP48" s="0"/>
      <c r="CQ48" s="0"/>
      <c r="CR48" s="0"/>
      <c r="CS48" s="0"/>
      <c r="CT48" s="0"/>
      <c r="CU48" s="0"/>
      <c r="CV48" s="0"/>
      <c r="CW48" s="0"/>
      <c r="CX48" s="0"/>
      <c r="CY48" s="0"/>
      <c r="CZ48" s="0"/>
      <c r="DA48" s="0"/>
      <c r="DB48" s="0"/>
      <c r="DC48" s="0"/>
      <c r="DD48" s="0"/>
      <c r="DE48" s="0"/>
      <c r="DF48" s="0"/>
      <c r="DG48" s="0"/>
      <c r="DH48" s="0"/>
      <c r="DI48" s="0"/>
      <c r="DJ48" s="0"/>
      <c r="DK48" s="0"/>
      <c r="DL48" s="0"/>
      <c r="DM48" s="0"/>
      <c r="DN48" s="0"/>
      <c r="DO48" s="0"/>
      <c r="DP48" s="0"/>
      <c r="DQ48" s="0"/>
      <c r="DR48" s="0"/>
      <c r="DS48" s="0"/>
      <c r="DT48" s="0"/>
      <c r="DU48" s="0"/>
      <c r="DV48" s="0"/>
      <c r="DW48" s="0"/>
      <c r="DX48" s="0"/>
      <c r="DY48" s="0"/>
      <c r="DZ48" s="0"/>
      <c r="EA48" s="0"/>
      <c r="EB48" s="0"/>
      <c r="EC48" s="0"/>
      <c r="ED48" s="0"/>
      <c r="EE48" s="0"/>
      <c r="EF48" s="0"/>
      <c r="EG48" s="0"/>
      <c r="EH48" s="0"/>
      <c r="EI48" s="0"/>
    </row>
    <row r="49" s="2" customFormat="1" ht="15.95" customHeight="1">
      <c r="B49" s="324"/>
      <c r="C49" s="304" t="s">
        <v>58</v>
      </c>
      <c r="D49" s="310">
        <v>85.94114219114219114219114219</v>
      </c>
      <c r="E49" s="134">
        <v>-3.0563961997566900895846299300</v>
      </c>
      <c r="F49" s="134">
        <v>76.008797522330445711207863910</v>
      </c>
      <c r="G49" s="134">
        <v>5.1493494843995302615741140600</v>
      </c>
      <c r="H49" s="134">
        <v>113.06736192731922832011512125</v>
      </c>
      <c r="I49" s="134">
        <v>-7.8038958151525362566772214300</v>
      </c>
      <c r="J49" s="319">
        <v>364.36465468760626826739930612</v>
      </c>
      <c r="K49" s="134">
        <v>12.520008966144228330386044890</v>
      </c>
      <c r="L49" s="135">
        <v>388.91713578575376712178556648</v>
      </c>
      <c r="M49" s="134">
        <v>3.9905599650275978760463912200</v>
      </c>
      <c r="N49" s="134">
        <v>93.68696340710576041201225058</v>
      </c>
      <c r="O49" s="311">
        <v>8.202137774808151887418376830</v>
      </c>
      <c r="P49" s="319">
        <v>313.13914597933994413015566824</v>
      </c>
      <c r="Q49" s="134">
        <v>9.080951688178644107855212440</v>
      </c>
      <c r="R49" s="135">
        <v>295.61123826904054456844188621</v>
      </c>
      <c r="S49" s="134">
        <v>9.345397328414301474486956220</v>
      </c>
      <c r="T49" s="134">
        <v>105.92937799421208652619801805</v>
      </c>
      <c r="U49" s="311">
        <v>-0.2418443269334405833980388100</v>
      </c>
      <c r="W49" s="281"/>
      <c r="X49" s="281"/>
      <c r="Y49" s="281"/>
      <c r="Z49" s="281"/>
      <c r="AA49" s="281"/>
      <c r="AB49" s="281"/>
      <c r="AC49" s="281"/>
      <c r="AD49" s="281"/>
      <c r="AE49" s="281"/>
      <c r="AF49" s="281"/>
      <c r="AG49" s="281"/>
      <c r="AH49" s="281"/>
      <c r="AI49" s="281"/>
      <c r="AJ49" s="281"/>
      <c r="AK49" s="281"/>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c r="BY49" s="0"/>
      <c r="BZ49" s="0"/>
      <c r="CA49" s="0"/>
      <c r="CB49" s="0"/>
      <c r="CC49" s="0"/>
      <c r="CD49" s="0"/>
      <c r="CE49" s="0"/>
      <c r="CF49" s="0"/>
      <c r="CG49" s="0"/>
      <c r="CH49" s="0"/>
      <c r="CI49" s="0"/>
      <c r="CJ49" s="0"/>
      <c r="CK49" s="0"/>
      <c r="CL49" s="0"/>
      <c r="CM49" s="0"/>
      <c r="CN49" s="0"/>
      <c r="CO49" s="0"/>
      <c r="CP49" s="0"/>
      <c r="CQ49" s="0"/>
      <c r="CR49" s="0"/>
      <c r="CS49" s="0"/>
      <c r="CT49" s="0"/>
      <c r="CU49" s="0"/>
      <c r="CV49" s="0"/>
      <c r="CW49" s="0"/>
      <c r="CX49" s="0"/>
      <c r="CY49" s="0"/>
      <c r="CZ49" s="0"/>
      <c r="DA49" s="0"/>
      <c r="DB49" s="0"/>
      <c r="DC49" s="0"/>
      <c r="DD49" s="0"/>
      <c r="DE49" s="0"/>
      <c r="DF49" s="0"/>
      <c r="DG49" s="0"/>
      <c r="DH49" s="0"/>
      <c r="DI49" s="0"/>
      <c r="DJ49" s="0"/>
      <c r="DK49" s="0"/>
      <c r="DL49" s="0"/>
      <c r="DM49" s="0"/>
      <c r="DN49" s="0"/>
      <c r="DO49" s="0"/>
      <c r="DP49" s="0"/>
      <c r="DQ49" s="0"/>
      <c r="DR49" s="0"/>
      <c r="DS49" s="0"/>
      <c r="DT49" s="0"/>
      <c r="DU49" s="0"/>
      <c r="DV49" s="0"/>
      <c r="DW49" s="0"/>
      <c r="DX49" s="0"/>
      <c r="DY49" s="0"/>
      <c r="DZ49" s="0"/>
      <c r="EA49" s="0"/>
      <c r="EB49" s="0"/>
      <c r="EC49" s="0"/>
      <c r="ED49" s="0"/>
      <c r="EE49" s="0"/>
      <c r="EF49" s="0"/>
      <c r="EG49" s="0"/>
      <c r="EH49" s="0"/>
      <c r="EI49" s="0"/>
    </row>
    <row r="50" s="2" customFormat="1" ht="15.95" customHeight="1">
      <c r="B50" s="324"/>
      <c r="C50" s="305" t="s">
        <v>44</v>
      </c>
      <c r="D50" s="312">
        <v>84.14918414918414918414918415</v>
      </c>
      <c r="E50" s="159">
        <v>-6.4333981301855135172707265200</v>
      </c>
      <c r="F50" s="159">
        <v>80.90371167294244217321140398</v>
      </c>
      <c r="G50" s="159">
        <v>28.095774398931500785431051210</v>
      </c>
      <c r="H50" s="159">
        <v>104.01152482274960001756548056</v>
      </c>
      <c r="I50" s="159">
        <v>-26.955746737968001502334135760</v>
      </c>
      <c r="J50" s="320">
        <v>347.94799653130237921481677537</v>
      </c>
      <c r="K50" s="159">
        <v>-1.0377360146175360097254234800</v>
      </c>
      <c r="L50" s="160">
        <v>363.79035711964397325040393593</v>
      </c>
      <c r="M50" s="159">
        <v>-10.413946865799725188164614710</v>
      </c>
      <c r="N50" s="159">
        <v>95.64519502008425307732827253</v>
      </c>
      <c r="O50" s="313">
        <v>10.466150168661352539703490050</v>
      </c>
      <c r="P50" s="320">
        <v>292.79540034452251491037029349</v>
      </c>
      <c r="Q50" s="159">
        <v>-7.4043724554097037290850695700</v>
      </c>
      <c r="R50" s="160">
        <v>294.31990161804439793900350706</v>
      </c>
      <c r="S50" s="159">
        <v>14.755948515725649270929705530</v>
      </c>
      <c r="T50" s="159">
        <v>99.48202576003299067206685801</v>
      </c>
      <c r="U50" s="313">
        <v>-19.310825502050688943029534660</v>
      </c>
      <c r="W50" s="281"/>
      <c r="X50" s="281"/>
      <c r="Y50" s="281"/>
      <c r="Z50" s="281"/>
      <c r="AA50" s="281"/>
      <c r="AB50" s="281"/>
      <c r="AC50" s="281"/>
      <c r="AD50" s="281"/>
      <c r="AE50" s="281"/>
      <c r="AF50" s="281"/>
      <c r="AG50" s="281"/>
      <c r="AH50" s="281"/>
      <c r="AI50" s="281"/>
      <c r="AJ50" s="281"/>
      <c r="AK50" s="281"/>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c r="BY50" s="0"/>
      <c r="BZ50" s="0"/>
      <c r="CA50" s="0"/>
      <c r="CB50" s="0"/>
      <c r="CC50" s="0"/>
      <c r="CD50" s="0"/>
      <c r="CE50" s="0"/>
      <c r="CF50" s="0"/>
      <c r="CG50" s="0"/>
      <c r="CH50" s="0"/>
      <c r="CI50" s="0"/>
      <c r="CJ50" s="0"/>
      <c r="CK50" s="0"/>
      <c r="CL50" s="0"/>
      <c r="CM50" s="0"/>
      <c r="CN50" s="0"/>
      <c r="CO50" s="0"/>
      <c r="CP50" s="0"/>
      <c r="CQ50" s="0"/>
      <c r="CR50" s="0"/>
      <c r="CS50" s="0"/>
      <c r="CT50" s="0"/>
      <c r="CU50" s="0"/>
      <c r="CV50" s="0"/>
      <c r="CW50" s="0"/>
      <c r="CX50" s="0"/>
      <c r="CY50" s="0"/>
      <c r="CZ50" s="0"/>
      <c r="DA50" s="0"/>
      <c r="DB50" s="0"/>
      <c r="DC50" s="0"/>
      <c r="DD50" s="0"/>
      <c r="DE50" s="0"/>
      <c r="DF50" s="0"/>
      <c r="DG50" s="0"/>
      <c r="DH50" s="0"/>
      <c r="DI50" s="0"/>
      <c r="DJ50" s="0"/>
      <c r="DK50" s="0"/>
      <c r="DL50" s="0"/>
      <c r="DM50" s="0"/>
      <c r="DN50" s="0"/>
      <c r="DO50" s="0"/>
      <c r="DP50" s="0"/>
      <c r="DQ50" s="0"/>
      <c r="DR50" s="0"/>
      <c r="DS50" s="0"/>
      <c r="DT50" s="0"/>
      <c r="DU50" s="0"/>
      <c r="DV50" s="0"/>
      <c r="DW50" s="0"/>
      <c r="DX50" s="0"/>
      <c r="DY50" s="0"/>
      <c r="DZ50" s="0"/>
      <c r="EA50" s="0"/>
      <c r="EB50" s="0"/>
      <c r="EC50" s="0"/>
      <c r="ED50" s="0"/>
      <c r="EE50" s="0"/>
      <c r="EF50" s="0"/>
      <c r="EG50" s="0"/>
      <c r="EH50" s="0"/>
      <c r="EI50" s="0"/>
    </row>
    <row r="51" s="2" customFormat="1" ht="15.95" customHeight="1">
      <c r="B51" s="325"/>
      <c r="C51" s="306" t="s">
        <v>45</v>
      </c>
      <c r="D51" s="314">
        <v>85.94114219114219114219114219</v>
      </c>
      <c r="E51" s="315">
        <v>-3.0563961997566900895846299300</v>
      </c>
      <c r="F51" s="315">
        <v>76.008797522330445711207863910</v>
      </c>
      <c r="G51" s="315">
        <v>5.1493494843995302615741140600</v>
      </c>
      <c r="H51" s="315">
        <v>113.06736192731922832011512125</v>
      </c>
      <c r="I51" s="315">
        <v>-7.8038958151525362566772214300</v>
      </c>
      <c r="J51" s="321">
        <v>364.36465468760626826739930612</v>
      </c>
      <c r="K51" s="315">
        <v>12.520008966144228330386044890</v>
      </c>
      <c r="L51" s="322">
        <v>388.91713578575376712178556648</v>
      </c>
      <c r="M51" s="315">
        <v>3.9905599650275978760463912200</v>
      </c>
      <c r="N51" s="315">
        <v>93.68696340710576041201225058</v>
      </c>
      <c r="O51" s="316">
        <v>8.202137774808151887418376830</v>
      </c>
      <c r="P51" s="321">
        <v>313.13914597933994413015566824</v>
      </c>
      <c r="Q51" s="315">
        <v>9.080951688178644107855212440</v>
      </c>
      <c r="R51" s="322">
        <v>295.61123826904054456844188621</v>
      </c>
      <c r="S51" s="315">
        <v>9.345397328414301474486956220</v>
      </c>
      <c r="T51" s="315">
        <v>105.92937799421208652619801805</v>
      </c>
      <c r="U51" s="316">
        <v>-0.2418443269334405833980388100</v>
      </c>
      <c r="W51" s="281"/>
      <c r="X51" s="281"/>
      <c r="Y51" s="281"/>
      <c r="Z51" s="281"/>
      <c r="AA51" s="281"/>
      <c r="AB51" s="281"/>
      <c r="AC51" s="281"/>
      <c r="AD51" s="281"/>
      <c r="AE51" s="281"/>
      <c r="AF51" s="281"/>
      <c r="AG51" s="281"/>
      <c r="AH51" s="281"/>
      <c r="AI51" s="281"/>
      <c r="AJ51" s="281"/>
      <c r="AK51" s="281"/>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c r="BY51" s="0"/>
      <c r="BZ51" s="0"/>
      <c r="CA51" s="0"/>
      <c r="CB51" s="0"/>
      <c r="CC51" s="0"/>
      <c r="CD51" s="0"/>
      <c r="CE51" s="0"/>
      <c r="CF51" s="0"/>
      <c r="CG51" s="0"/>
      <c r="CH51" s="0"/>
      <c r="CI51" s="0"/>
      <c r="CJ51" s="0"/>
      <c r="CK51" s="0"/>
      <c r="CL51" s="0"/>
      <c r="CM51" s="0"/>
      <c r="CN51" s="0"/>
      <c r="CO51" s="0"/>
      <c r="CP51" s="0"/>
      <c r="CQ51" s="0"/>
      <c r="CR51" s="0"/>
      <c r="CS51" s="0"/>
      <c r="CT51" s="0"/>
      <c r="CU51" s="0"/>
      <c r="CV51" s="0"/>
      <c r="CW51" s="0"/>
      <c r="CX51" s="0"/>
      <c r="CY51" s="0"/>
      <c r="CZ51" s="0"/>
      <c r="DA51" s="0"/>
      <c r="DB51" s="0"/>
      <c r="DC51" s="0"/>
      <c r="DD51" s="0"/>
      <c r="DE51" s="0"/>
      <c r="DF51" s="0"/>
      <c r="DG51" s="0"/>
      <c r="DH51" s="0"/>
      <c r="DI51" s="0"/>
      <c r="DJ51" s="0"/>
      <c r="DK51" s="0"/>
      <c r="DL51" s="0"/>
      <c r="DM51" s="0"/>
      <c r="DN51" s="0"/>
      <c r="DO51" s="0"/>
      <c r="DP51" s="0"/>
      <c r="DQ51" s="0"/>
      <c r="DR51" s="0"/>
      <c r="DS51" s="0"/>
      <c r="DT51" s="0"/>
      <c r="DU51" s="0"/>
      <c r="DV51" s="0"/>
      <c r="DW51" s="0"/>
      <c r="DX51" s="0"/>
      <c r="DY51" s="0"/>
      <c r="DZ51" s="0"/>
      <c r="EA51" s="0"/>
      <c r="EB51" s="0"/>
      <c r="EC51" s="0"/>
      <c r="ED51" s="0"/>
      <c r="EE51" s="0"/>
      <c r="EF51" s="0"/>
      <c r="EG51" s="0"/>
      <c r="EH51" s="0"/>
      <c r="EI51" s="0"/>
    </row>
    <row r="52" s="2" customFormat="1" ht="5.1" customHeight="1">
      <c r="B52" s="4"/>
      <c r="C52" s="297"/>
      <c r="D52" s="159"/>
      <c r="E52" s="159"/>
      <c r="F52" s="159"/>
      <c r="G52" s="159"/>
      <c r="H52" s="159"/>
      <c r="I52" s="159"/>
      <c r="J52" s="160"/>
      <c r="K52" s="159"/>
      <c r="L52" s="160"/>
      <c r="M52" s="159"/>
      <c r="N52" s="159"/>
      <c r="O52" s="159"/>
      <c r="P52" s="160"/>
      <c r="Q52" s="159"/>
      <c r="R52" s="160"/>
      <c r="S52" s="159"/>
      <c r="T52" s="159"/>
      <c r="U52" s="159"/>
      <c r="W52" s="281"/>
      <c r="X52" s="281"/>
      <c r="Y52" s="281"/>
      <c r="Z52" s="281"/>
      <c r="AA52" s="281"/>
      <c r="AB52" s="281"/>
      <c r="AC52" s="281"/>
      <c r="AD52" s="281"/>
      <c r="AE52" s="281"/>
      <c r="AF52" s="281"/>
      <c r="AG52" s="281"/>
      <c r="AH52" s="281"/>
      <c r="AI52" s="281"/>
      <c r="AJ52" s="281"/>
      <c r="AK52" s="281"/>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c r="BY52" s="0"/>
      <c r="BZ52" s="0"/>
      <c r="CA52" s="0"/>
      <c r="CB52" s="0"/>
      <c r="CC52" s="0"/>
      <c r="CD52" s="0"/>
      <c r="CE52" s="0"/>
      <c r="CF52" s="0"/>
      <c r="CG52" s="0"/>
      <c r="CH52" s="0"/>
      <c r="CI52" s="0"/>
      <c r="CJ52" s="0"/>
      <c r="CK52" s="0"/>
      <c r="CL52" s="0"/>
      <c r="CM52" s="0"/>
      <c r="CN52" s="0"/>
      <c r="CO52" s="0"/>
      <c r="CP52" s="0"/>
      <c r="CQ52" s="0"/>
      <c r="CR52" s="0"/>
      <c r="CS52" s="0"/>
      <c r="CT52" s="0"/>
      <c r="CU52" s="0"/>
      <c r="CV52" s="0"/>
      <c r="CW52" s="0"/>
      <c r="CX52" s="0"/>
      <c r="CY52" s="0"/>
      <c r="CZ52" s="0"/>
      <c r="DA52" s="0"/>
      <c r="DB52" s="0"/>
      <c r="DC52" s="0"/>
      <c r="DD52" s="0"/>
      <c r="DE52" s="0"/>
      <c r="DF52" s="0"/>
      <c r="DG52" s="0"/>
      <c r="DH52" s="0"/>
      <c r="DI52" s="0"/>
      <c r="DJ52" s="0"/>
      <c r="DK52" s="0"/>
      <c r="DL52" s="0"/>
      <c r="DM52" s="0"/>
      <c r="DN52" s="0"/>
      <c r="DO52" s="0"/>
      <c r="DP52" s="0"/>
      <c r="DQ52" s="0"/>
      <c r="DR52" s="0"/>
      <c r="DS52" s="0"/>
      <c r="DT52" s="0"/>
      <c r="DU52" s="0"/>
      <c r="DV52" s="0"/>
      <c r="DW52" s="0"/>
      <c r="DX52" s="0"/>
      <c r="DY52" s="0"/>
      <c r="DZ52" s="0"/>
      <c r="EA52" s="0"/>
      <c r="EB52" s="0"/>
      <c r="EC52" s="0"/>
      <c r="ED52" s="0"/>
      <c r="EE52" s="0"/>
      <c r="EF52" s="0"/>
      <c r="EG52" s="0"/>
      <c r="EH52" s="0"/>
      <c r="EI52" s="0"/>
    </row>
    <row r="53" s="9" customFormat="1" ht="5.1" customHeight="1">
      <c r="B53" s="4"/>
      <c r="C53" s="297"/>
      <c r="D53" s="159"/>
      <c r="E53" s="159"/>
      <c r="F53" s="159"/>
      <c r="G53" s="159"/>
      <c r="H53" s="159"/>
      <c r="I53" s="159"/>
      <c r="J53" s="160"/>
      <c r="K53" s="159"/>
      <c r="L53" s="160"/>
      <c r="M53" s="159"/>
      <c r="N53" s="159"/>
      <c r="O53" s="159"/>
      <c r="P53" s="160"/>
      <c r="Q53" s="159"/>
      <c r="R53" s="160"/>
      <c r="S53" s="159"/>
      <c r="T53" s="159"/>
      <c r="U53" s="159"/>
      <c r="W53" s="281"/>
      <c r="X53" s="281"/>
      <c r="Y53" s="281"/>
      <c r="Z53" s="281"/>
      <c r="AA53" s="281"/>
      <c r="AB53" s="281"/>
      <c r="AC53" s="281"/>
      <c r="AD53" s="281"/>
      <c r="AE53" s="281"/>
      <c r="AF53" s="281"/>
      <c r="AG53" s="281"/>
      <c r="AH53" s="281"/>
      <c r="AI53" s="281"/>
      <c r="AJ53" s="281"/>
      <c r="AK53" s="281"/>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row>
    <row r="54" s="2" customFormat="1" ht="15.95" customHeight="1">
      <c r="B54" s="323" t="s">
        <v>51</v>
      </c>
      <c r="C54" s="303" t="s">
        <v>42</v>
      </c>
      <c r="D54" s="307">
        <v>87.87878787878787878787878788</v>
      </c>
      <c r="E54" s="308">
        <v>-6.4516129032318418314255979400</v>
      </c>
      <c r="F54" s="308">
        <v>81.30536130536130536130536131</v>
      </c>
      <c r="G54" s="308">
        <v>21.464855191023350957718705830</v>
      </c>
      <c r="H54" s="308">
        <v>108.08486238526966144737398290</v>
      </c>
      <c r="I54" s="308">
        <v>-22.983165007191545861657188480</v>
      </c>
      <c r="J54" s="317">
        <v>417.76722190937275832213047524</v>
      </c>
      <c r="K54" s="308">
        <v>7.2092435483608943302332610600</v>
      </c>
      <c r="L54" s="318">
        <v>429.49698947303383272162350201</v>
      </c>
      <c r="M54" s="308">
        <v>-0.6837933138111691129156545700</v>
      </c>
      <c r="N54" s="308">
        <v>97.26895232070896167450829010</v>
      </c>
      <c r="O54" s="309">
        <v>7.947380518780986639354829360</v>
      </c>
      <c r="P54" s="317">
        <v>367.1287707688427270103570843</v>
      </c>
      <c r="Q54" s="308">
        <v>0.2925181581374205017773833800</v>
      </c>
      <c r="R54" s="318">
        <v>349.20407908669976888881649767</v>
      </c>
      <c r="S54" s="308">
        <v>20.634286632581707936780571710</v>
      </c>
      <c r="T54" s="308">
        <v>105.13301325947352536921355315</v>
      </c>
      <c r="U54" s="309">
        <v>-16.862344066733063324599062760</v>
      </c>
      <c r="W54" s="281"/>
      <c r="X54" s="281"/>
      <c r="Y54" s="281"/>
      <c r="Z54" s="281"/>
      <c r="AA54" s="281"/>
      <c r="AB54" s="281"/>
      <c r="AC54" s="281"/>
      <c r="AD54" s="281"/>
      <c r="AE54" s="281"/>
      <c r="AF54" s="281"/>
      <c r="AG54" s="281"/>
      <c r="AH54" s="281"/>
      <c r="AI54" s="281"/>
      <c r="AJ54" s="281"/>
      <c r="AK54" s="281"/>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c r="BY54" s="0"/>
      <c r="BZ54" s="0"/>
      <c r="CA54" s="0"/>
      <c r="CB54" s="0"/>
      <c r="CC54" s="0"/>
      <c r="CD54" s="0"/>
      <c r="CE54" s="0"/>
      <c r="CF54" s="0"/>
      <c r="CG54" s="0"/>
      <c r="CH54" s="0"/>
      <c r="CI54" s="0"/>
      <c r="CJ54" s="0"/>
      <c r="CK54" s="0"/>
      <c r="CL54" s="0"/>
      <c r="CM54" s="0"/>
      <c r="CN54" s="0"/>
      <c r="CO54" s="0"/>
      <c r="CP54" s="0"/>
      <c r="CQ54" s="0"/>
      <c r="CR54" s="0"/>
      <c r="CS54" s="0"/>
      <c r="CT54" s="0"/>
      <c r="CU54" s="0"/>
      <c r="CV54" s="0"/>
      <c r="CW54" s="0"/>
      <c r="CX54" s="0"/>
      <c r="CY54" s="0"/>
      <c r="CZ54" s="0"/>
      <c r="DA54" s="0"/>
      <c r="DB54" s="0"/>
      <c r="DC54" s="0"/>
      <c r="DD54" s="0"/>
      <c r="DE54" s="0"/>
      <c r="DF54" s="0"/>
      <c r="DG54" s="0"/>
      <c r="DH54" s="0"/>
      <c r="DI54" s="0"/>
      <c r="DJ54" s="0"/>
      <c r="DK54" s="0"/>
      <c r="DL54" s="0"/>
      <c r="DM54" s="0"/>
      <c r="DN54" s="0"/>
      <c r="DO54" s="0"/>
      <c r="DP54" s="0"/>
      <c r="DQ54" s="0"/>
      <c r="DR54" s="0"/>
      <c r="DS54" s="0"/>
      <c r="DT54" s="0"/>
      <c r="DU54" s="0"/>
      <c r="DV54" s="0"/>
      <c r="DW54" s="0"/>
      <c r="DX54" s="0"/>
      <c r="DY54" s="0"/>
      <c r="DZ54" s="0"/>
      <c r="EA54" s="0"/>
      <c r="EB54" s="0"/>
      <c r="EC54" s="0"/>
      <c r="ED54" s="0"/>
      <c r="EE54" s="0"/>
      <c r="EF54" s="0"/>
      <c r="EG54" s="0"/>
      <c r="EH54" s="0"/>
      <c r="EI54" s="0"/>
    </row>
    <row r="55" s="2" customFormat="1" ht="15.95" customHeight="1">
      <c r="B55" s="324"/>
      <c r="C55" s="304" t="s">
        <v>58</v>
      </c>
      <c r="D55" s="310">
        <v>88.70783304745568896512292739</v>
      </c>
      <c r="E55" s="134">
        <v>-3.381376382508274666306042600</v>
      </c>
      <c r="F55" s="134">
        <v>79.019685559519091029198044660</v>
      </c>
      <c r="G55" s="134">
        <v>3.5490428604175922936597556900</v>
      </c>
      <c r="H55" s="134">
        <v>112.26042272803115299914018432</v>
      </c>
      <c r="I55" s="134">
        <v>-6.6928858552700990396551222800</v>
      </c>
      <c r="J55" s="319">
        <v>370.52469574844019411506398717</v>
      </c>
      <c r="K55" s="134">
        <v>13.637522107285963826348108350</v>
      </c>
      <c r="L55" s="135">
        <v>396.31920395748938110115630056</v>
      </c>
      <c r="M55" s="134">
        <v>7.6722344438692595092671249700</v>
      </c>
      <c r="N55" s="134">
        <v>93.49148162605162928368616970</v>
      </c>
      <c r="O55" s="311">
        <v>5.5402283553083183139754431800</v>
      </c>
      <c r="P55" s="319">
        <v>328.68442850411947465381462327</v>
      </c>
      <c r="Q55" s="134">
        <v>9.795009773131378105798375880</v>
      </c>
      <c r="R55" s="135">
        <v>313.17018877919725041168130977</v>
      </c>
      <c r="S55" s="134">
        <v>11.493568193092260196550755130</v>
      </c>
      <c r="T55" s="134">
        <v>104.95393248808166654313924593</v>
      </c>
      <c r="U55" s="311">
        <v>-1.5234586599885769483905487700</v>
      </c>
      <c r="W55" s="281"/>
      <c r="X55" s="281"/>
      <c r="Y55" s="281"/>
      <c r="Z55" s="281"/>
      <c r="AA55" s="281"/>
      <c r="AB55" s="281"/>
      <c r="AC55" s="281"/>
      <c r="AD55" s="281"/>
      <c r="AE55" s="281"/>
      <c r="AF55" s="281"/>
      <c r="AG55" s="281"/>
      <c r="AH55" s="281"/>
      <c r="AI55" s="281"/>
      <c r="AJ55" s="281"/>
      <c r="AK55" s="281"/>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c r="BY55" s="0"/>
      <c r="BZ55" s="0"/>
      <c r="CA55" s="0"/>
      <c r="CB55" s="0"/>
      <c r="CC55" s="0"/>
      <c r="CD55" s="0"/>
      <c r="CE55" s="0"/>
      <c r="CF55" s="0"/>
      <c r="CG55" s="0"/>
      <c r="CH55" s="0"/>
      <c r="CI55" s="0"/>
      <c r="CJ55" s="0"/>
      <c r="CK55" s="0"/>
      <c r="CL55" s="0"/>
      <c r="CM55" s="0"/>
      <c r="CN55" s="0"/>
      <c r="CO55" s="0"/>
      <c r="CP55" s="0"/>
      <c r="CQ55" s="0"/>
      <c r="CR55" s="0"/>
      <c r="CS55" s="0"/>
      <c r="CT55" s="0"/>
      <c r="CU55" s="0"/>
      <c r="CV55" s="0"/>
      <c r="CW55" s="0"/>
      <c r="CX55" s="0"/>
      <c r="CY55" s="0"/>
      <c r="CZ55" s="0"/>
      <c r="DA55" s="0"/>
      <c r="DB55" s="0"/>
      <c r="DC55" s="0"/>
      <c r="DD55" s="0"/>
      <c r="DE55" s="0"/>
      <c r="DF55" s="0"/>
      <c r="DG55" s="0"/>
      <c r="DH55" s="0"/>
      <c r="DI55" s="0"/>
      <c r="DJ55" s="0"/>
      <c r="DK55" s="0"/>
      <c r="DL55" s="0"/>
      <c r="DM55" s="0"/>
      <c r="DN55" s="0"/>
      <c r="DO55" s="0"/>
      <c r="DP55" s="0"/>
      <c r="DQ55" s="0"/>
      <c r="DR55" s="0"/>
      <c r="DS55" s="0"/>
      <c r="DT55" s="0"/>
      <c r="DU55" s="0"/>
      <c r="DV55" s="0"/>
      <c r="DW55" s="0"/>
      <c r="DX55" s="0"/>
      <c r="DY55" s="0"/>
      <c r="DZ55" s="0"/>
      <c r="EA55" s="0"/>
      <c r="EB55" s="0"/>
      <c r="EC55" s="0"/>
      <c r="ED55" s="0"/>
      <c r="EE55" s="0"/>
      <c r="EF55" s="0"/>
      <c r="EG55" s="0"/>
      <c r="EH55" s="0"/>
      <c r="EI55" s="0"/>
    </row>
    <row r="56" s="2" customFormat="1" ht="15.95" customHeight="1">
      <c r="B56" s="324"/>
      <c r="C56" s="305" t="s">
        <v>44</v>
      </c>
      <c r="D56" s="312">
        <v>85.01082251082251082251082251</v>
      </c>
      <c r="E56" s="159">
        <v>-8.079035016635787737288228930</v>
      </c>
      <c r="F56" s="159">
        <v>82.25108225108225108225108225</v>
      </c>
      <c r="G56" s="159">
        <v>27.624706134911897743290495750</v>
      </c>
      <c r="H56" s="159">
        <v>103.35526315787243386426593279</v>
      </c>
      <c r="I56" s="159">
        <v>-27.975571684245507851261995660</v>
      </c>
      <c r="J56" s="320">
        <v>333.86148813498802374115048017</v>
      </c>
      <c r="K56" s="159">
        <v>6.130577330164524840749786700</v>
      </c>
      <c r="L56" s="160">
        <v>358.45359784130268766419736255</v>
      </c>
      <c r="M56" s="159">
        <v>1.3218885733015320640728352600</v>
      </c>
      <c r="N56" s="159">
        <v>93.13938823479189428299872063</v>
      </c>
      <c r="O56" s="313">
        <v>4.7459525523235409035855191700</v>
      </c>
      <c r="P56" s="320">
        <v>283.81839711042542494445205863</v>
      </c>
      <c r="Q56" s="159">
        <v>-2.4437491757275325052715614700</v>
      </c>
      <c r="R56" s="160">
        <v>294.83196359241346604414501682</v>
      </c>
      <c r="S56" s="159">
        <v>29.311762541926758438278824980</v>
      </c>
      <c r="T56" s="159">
        <v>96.26445981372608674994261756</v>
      </c>
      <c r="U56" s="313">
        <v>-24.557326490227050795159226030</v>
      </c>
      <c r="W56" s="281"/>
      <c r="X56" s="281"/>
      <c r="Y56" s="281"/>
      <c r="Z56" s="281"/>
      <c r="AA56" s="281"/>
      <c r="AB56" s="281"/>
      <c r="AC56" s="281"/>
      <c r="AD56" s="281"/>
      <c r="AE56" s="281"/>
      <c r="AF56" s="281"/>
      <c r="AG56" s="281"/>
      <c r="AH56" s="281"/>
      <c r="AI56" s="281"/>
      <c r="AJ56" s="281"/>
      <c r="AK56" s="281"/>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c r="BY56" s="0"/>
      <c r="BZ56" s="0"/>
      <c r="CA56" s="0"/>
      <c r="CB56" s="0"/>
      <c r="CC56" s="0"/>
      <c r="CD56" s="0"/>
      <c r="CE56" s="0"/>
      <c r="CF56" s="0"/>
      <c r="CG56" s="0"/>
      <c r="CH56" s="0"/>
      <c r="CI56" s="0"/>
      <c r="CJ56" s="0"/>
      <c r="CK56" s="0"/>
      <c r="CL56" s="0"/>
      <c r="CM56" s="0"/>
      <c r="CN56" s="0"/>
      <c r="CO56" s="0"/>
      <c r="CP56" s="0"/>
      <c r="CQ56" s="0"/>
      <c r="CR56" s="0"/>
      <c r="CS56" s="0"/>
      <c r="CT56" s="0"/>
      <c r="CU56" s="0"/>
      <c r="CV56" s="0"/>
      <c r="CW56" s="0"/>
      <c r="CX56" s="0"/>
      <c r="CY56" s="0"/>
      <c r="CZ56" s="0"/>
      <c r="DA56" s="0"/>
      <c r="DB56" s="0"/>
      <c r="DC56" s="0"/>
      <c r="DD56" s="0"/>
      <c r="DE56" s="0"/>
      <c r="DF56" s="0"/>
      <c r="DG56" s="0"/>
      <c r="DH56" s="0"/>
      <c r="DI56" s="0"/>
      <c r="DJ56" s="0"/>
      <c r="DK56" s="0"/>
      <c r="DL56" s="0"/>
      <c r="DM56" s="0"/>
      <c r="DN56" s="0"/>
      <c r="DO56" s="0"/>
      <c r="DP56" s="0"/>
      <c r="DQ56" s="0"/>
      <c r="DR56" s="0"/>
      <c r="DS56" s="0"/>
      <c r="DT56" s="0"/>
      <c r="DU56" s="0"/>
      <c r="DV56" s="0"/>
      <c r="DW56" s="0"/>
      <c r="DX56" s="0"/>
      <c r="DY56" s="0"/>
      <c r="DZ56" s="0"/>
      <c r="EA56" s="0"/>
      <c r="EB56" s="0"/>
      <c r="EC56" s="0"/>
      <c r="ED56" s="0"/>
      <c r="EE56" s="0"/>
      <c r="EF56" s="0"/>
      <c r="EG56" s="0"/>
      <c r="EH56" s="0"/>
      <c r="EI56" s="0"/>
    </row>
    <row r="57" s="2" customFormat="1" ht="15.95" customHeight="1">
      <c r="B57" s="325"/>
      <c r="C57" s="306" t="s">
        <v>45</v>
      </c>
      <c r="D57" s="314">
        <v>88.70783304745568896512292739</v>
      </c>
      <c r="E57" s="315">
        <v>-3.381376382508274666306042600</v>
      </c>
      <c r="F57" s="315">
        <v>79.019685559519091029198044660</v>
      </c>
      <c r="G57" s="315">
        <v>3.5490428604175922936597556900</v>
      </c>
      <c r="H57" s="315">
        <v>112.26042272803115299914018432</v>
      </c>
      <c r="I57" s="315">
        <v>-6.6928858552700990396551222800</v>
      </c>
      <c r="J57" s="321">
        <v>370.52469574844019411506398717</v>
      </c>
      <c r="K57" s="315">
        <v>13.637522107285963826348108350</v>
      </c>
      <c r="L57" s="322">
        <v>396.31920395748938110115630056</v>
      </c>
      <c r="M57" s="315">
        <v>7.6722344438692595092671249700</v>
      </c>
      <c r="N57" s="315">
        <v>93.49148162605162928368616970</v>
      </c>
      <c r="O57" s="316">
        <v>5.5402283553083183139754431800</v>
      </c>
      <c r="P57" s="321">
        <v>328.68442850411947465381462327</v>
      </c>
      <c r="Q57" s="315">
        <v>9.795009773131378105798375880</v>
      </c>
      <c r="R57" s="322">
        <v>313.17018877919725041168130977</v>
      </c>
      <c r="S57" s="315">
        <v>11.493568193092260196550755130</v>
      </c>
      <c r="T57" s="315">
        <v>104.95393248808166654313924593</v>
      </c>
      <c r="U57" s="316">
        <v>-1.5234586599885769483905487700</v>
      </c>
      <c r="W57" s="281"/>
      <c r="X57" s="281"/>
      <c r="Y57" s="281"/>
      <c r="Z57" s="281"/>
      <c r="AA57" s="281"/>
      <c r="AB57" s="281"/>
      <c r="AC57" s="281"/>
      <c r="AD57" s="281"/>
      <c r="AE57" s="281"/>
      <c r="AF57" s="281"/>
      <c r="AG57" s="281"/>
      <c r="AH57" s="281"/>
      <c r="AI57" s="281"/>
      <c r="AJ57" s="281"/>
      <c r="AK57" s="281"/>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c r="BY57" s="0"/>
      <c r="BZ57" s="0"/>
      <c r="CA57" s="0"/>
      <c r="CB57" s="0"/>
      <c r="CC57" s="0"/>
      <c r="CD57" s="0"/>
      <c r="CE57" s="0"/>
      <c r="CF57" s="0"/>
      <c r="CG57" s="0"/>
      <c r="CH57" s="0"/>
      <c r="CI57" s="0"/>
      <c r="CJ57" s="0"/>
      <c r="CK57" s="0"/>
      <c r="CL57" s="0"/>
      <c r="CM57" s="0"/>
      <c r="CN57" s="0"/>
      <c r="CO57" s="0"/>
      <c r="CP57" s="0"/>
      <c r="CQ57" s="0"/>
      <c r="CR57" s="0"/>
      <c r="CS57" s="0"/>
      <c r="CT57" s="0"/>
      <c r="CU57" s="0"/>
      <c r="CV57" s="0"/>
      <c r="CW57" s="0"/>
      <c r="CX57" s="0"/>
      <c r="CY57" s="0"/>
      <c r="CZ57" s="0"/>
      <c r="DA57" s="0"/>
      <c r="DB57" s="0"/>
      <c r="DC57" s="0"/>
      <c r="DD57" s="0"/>
      <c r="DE57" s="0"/>
      <c r="DF57" s="0"/>
      <c r="DG57" s="0"/>
      <c r="DH57" s="0"/>
      <c r="DI57" s="0"/>
      <c r="DJ57" s="0"/>
      <c r="DK57" s="0"/>
      <c r="DL57" s="0"/>
      <c r="DM57" s="0"/>
      <c r="DN57" s="0"/>
      <c r="DO57" s="0"/>
      <c r="DP57" s="0"/>
      <c r="DQ57" s="0"/>
      <c r="DR57" s="0"/>
      <c r="DS57" s="0"/>
      <c r="DT57" s="0"/>
      <c r="DU57" s="0"/>
      <c r="DV57" s="0"/>
      <c r="DW57" s="0"/>
      <c r="DX57" s="0"/>
      <c r="DY57" s="0"/>
      <c r="DZ57" s="0"/>
      <c r="EA57" s="0"/>
      <c r="EB57" s="0"/>
      <c r="EC57" s="0"/>
      <c r="ED57" s="0"/>
      <c r="EE57" s="0"/>
      <c r="EF57" s="0"/>
      <c r="EG57" s="0"/>
      <c r="EH57" s="0"/>
      <c r="EI57" s="0"/>
    </row>
    <row r="58" s="2" customFormat="1" ht="5.1" customHeight="1">
      <c r="B58" s="4"/>
      <c r="C58" s="297"/>
      <c r="D58" s="159"/>
      <c r="E58" s="159"/>
      <c r="F58" s="159"/>
      <c r="G58" s="159"/>
      <c r="H58" s="159"/>
      <c r="I58" s="159"/>
      <c r="J58" s="160"/>
      <c r="K58" s="159"/>
      <c r="L58" s="160"/>
      <c r="M58" s="159"/>
      <c r="N58" s="159"/>
      <c r="O58" s="159"/>
      <c r="P58" s="160"/>
      <c r="Q58" s="159"/>
      <c r="R58" s="160"/>
      <c r="S58" s="159"/>
      <c r="T58" s="159"/>
      <c r="U58" s="159"/>
      <c r="W58" s="281"/>
      <c r="X58" s="281"/>
      <c r="Y58" s="281"/>
      <c r="Z58" s="281"/>
      <c r="AA58" s="281"/>
      <c r="AB58" s="281"/>
      <c r="AC58" s="281"/>
      <c r="AD58" s="281"/>
      <c r="AE58" s="281"/>
      <c r="AF58" s="281"/>
      <c r="AG58" s="281"/>
      <c r="AH58" s="281"/>
      <c r="AI58" s="281"/>
      <c r="AJ58" s="281"/>
      <c r="AK58" s="281"/>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c r="BY58" s="0"/>
      <c r="BZ58" s="0"/>
      <c r="CA58" s="0"/>
      <c r="CB58" s="0"/>
      <c r="CC58" s="0"/>
      <c r="CD58" s="0"/>
      <c r="CE58" s="0"/>
      <c r="CF58" s="0"/>
      <c r="CG58" s="0"/>
      <c r="CH58" s="0"/>
      <c r="CI58" s="0"/>
      <c r="CJ58" s="0"/>
      <c r="CK58" s="0"/>
      <c r="CL58" s="0"/>
      <c r="CM58" s="0"/>
      <c r="CN58" s="0"/>
      <c r="CO58" s="0"/>
      <c r="CP58" s="0"/>
      <c r="CQ58" s="0"/>
      <c r="CR58" s="0"/>
      <c r="CS58" s="0"/>
      <c r="CT58" s="0"/>
      <c r="CU58" s="0"/>
      <c r="CV58" s="0"/>
      <c r="CW58" s="0"/>
      <c r="CX58" s="0"/>
      <c r="CY58" s="0"/>
      <c r="CZ58" s="0"/>
      <c r="DA58" s="0"/>
      <c r="DB58" s="0"/>
      <c r="DC58" s="0"/>
      <c r="DD58" s="0"/>
      <c r="DE58" s="0"/>
      <c r="DF58" s="0"/>
      <c r="DG58" s="0"/>
      <c r="DH58" s="0"/>
      <c r="DI58" s="0"/>
      <c r="DJ58" s="0"/>
      <c r="DK58" s="0"/>
      <c r="DL58" s="0"/>
      <c r="DM58" s="0"/>
      <c r="DN58" s="0"/>
      <c r="DO58" s="0"/>
      <c r="DP58" s="0"/>
      <c r="DQ58" s="0"/>
      <c r="DR58" s="0"/>
      <c r="DS58" s="0"/>
      <c r="DT58" s="0"/>
      <c r="DU58" s="0"/>
      <c r="DV58" s="0"/>
      <c r="DW58" s="0"/>
      <c r="DX58" s="0"/>
      <c r="DY58" s="0"/>
      <c r="DZ58" s="0"/>
      <c r="EA58" s="0"/>
      <c r="EB58" s="0"/>
      <c r="EC58" s="0"/>
      <c r="ED58" s="0"/>
      <c r="EE58" s="0"/>
      <c r="EF58" s="0"/>
      <c r="EG58" s="0"/>
      <c r="EH58" s="0"/>
      <c r="EI58" s="0"/>
    </row>
    <row r="59" s="2" customFormat="1" ht="15.95" customHeight="1">
      <c r="B59" s="806" t="s">
        <v>57</v>
      </c>
      <c r="C59" s="611"/>
      <c r="D59" s="526"/>
      <c r="E59" s="527"/>
      <c r="F59" s="527"/>
      <c r="G59" s="527"/>
      <c r="H59" s="527"/>
      <c r="I59" s="527"/>
      <c r="J59" s="527"/>
      <c r="K59" s="527"/>
      <c r="L59" s="527"/>
      <c r="M59" s="527"/>
      <c r="N59" s="527"/>
      <c r="O59" s="527"/>
      <c r="P59" s="527"/>
      <c r="Q59" s="527"/>
      <c r="R59" s="527"/>
      <c r="S59" s="527"/>
      <c r="T59" s="527"/>
      <c r="U59" s="528"/>
      <c r="W59" s="281"/>
      <c r="X59" s="281"/>
      <c r="Y59" s="281"/>
      <c r="Z59" s="281"/>
      <c r="AA59" s="281"/>
      <c r="AB59" s="281"/>
      <c r="AC59" s="281"/>
      <c r="AD59" s="281"/>
      <c r="AE59" s="281"/>
      <c r="AF59" s="281"/>
      <c r="AG59" s="281"/>
      <c r="AH59" s="281"/>
      <c r="AI59" s="281"/>
      <c r="AJ59" s="281"/>
      <c r="AK59" s="281"/>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c r="BY59" s="0"/>
      <c r="BZ59" s="0"/>
      <c r="CA59" s="0"/>
      <c r="CB59" s="0"/>
      <c r="CC59" s="0"/>
      <c r="CD59" s="0"/>
      <c r="CE59" s="0"/>
      <c r="CF59" s="0"/>
      <c r="CG59" s="0"/>
      <c r="CH59" s="0"/>
      <c r="CI59" s="0"/>
      <c r="CJ59" s="0"/>
      <c r="CK59" s="0"/>
      <c r="CL59" s="0"/>
      <c r="CM59" s="0"/>
      <c r="CN59" s="0"/>
      <c r="CO59" s="0"/>
      <c r="CP59" s="0"/>
      <c r="CQ59" s="0"/>
      <c r="CR59" s="0"/>
      <c r="CS59" s="0"/>
      <c r="CT59" s="0"/>
      <c r="CU59" s="0"/>
      <c r="CV59" s="0"/>
      <c r="CW59" s="0"/>
      <c r="CX59" s="0"/>
      <c r="CY59" s="0"/>
      <c r="CZ59" s="0"/>
      <c r="DA59" s="0"/>
      <c r="DB59" s="0"/>
      <c r="DC59" s="0"/>
      <c r="DD59" s="0"/>
      <c r="DE59" s="0"/>
      <c r="DF59" s="0"/>
      <c r="DG59" s="0"/>
      <c r="DH59" s="0"/>
      <c r="DI59" s="0"/>
      <c r="DJ59" s="0"/>
      <c r="DK59" s="0"/>
      <c r="DL59" s="0"/>
      <c r="DM59" s="0"/>
      <c r="DN59" s="0"/>
      <c r="DO59" s="0"/>
      <c r="DP59" s="0"/>
      <c r="DQ59" s="0"/>
      <c r="DR59" s="0"/>
      <c r="DS59" s="0"/>
      <c r="DT59" s="0"/>
      <c r="DU59" s="0"/>
      <c r="DV59" s="0"/>
      <c r="DW59" s="0"/>
      <c r="DX59" s="0"/>
      <c r="DY59" s="0"/>
      <c r="DZ59" s="0"/>
      <c r="EA59" s="0"/>
      <c r="EB59" s="0"/>
      <c r="EC59" s="0"/>
      <c r="ED59" s="0"/>
      <c r="EE59" s="0"/>
      <c r="EF59" s="0"/>
      <c r="EG59" s="0"/>
      <c r="EH59" s="0"/>
      <c r="EI59" s="0"/>
    </row>
    <row r="60" ht="15.95" customHeight="1">
      <c r="B60" s="344" t="s">
        <v>40</v>
      </c>
      <c r="C60" s="348" t="s">
        <v>42</v>
      </c>
      <c r="D60" s="238">
        <v>85.78643578643578643578643579</v>
      </c>
      <c r="E60" s="246">
        <v>-8.745857317276261903803504040</v>
      </c>
      <c r="F60" s="246">
        <v>67.010767010767010767010767010</v>
      </c>
      <c r="G60" s="246">
        <v>10.101558273441236803886777100</v>
      </c>
      <c r="H60" s="246">
        <v>128.01888355136980750009695693</v>
      </c>
      <c r="I60" s="239">
        <v>-17.118209665966253768953729300</v>
      </c>
      <c r="J60" s="326">
        <v>269.23195257740237089800739388</v>
      </c>
      <c r="K60" s="246">
        <v>-9.021818337933264787146503950</v>
      </c>
      <c r="L60" s="328">
        <v>336.82707636363557886106888698</v>
      </c>
      <c r="M60" s="246">
        <v>-15.056596212464466141423346110</v>
      </c>
      <c r="N60" s="246">
        <v>79.93180224227886535614537100</v>
      </c>
      <c r="O60" s="239">
        <v>7.1044691000341852776416110100</v>
      </c>
      <c r="P60" s="326">
        <v>230.96449611438053318739595333</v>
      </c>
      <c r="Q60" s="246">
        <v>-16.978640295944903876926272160</v>
      </c>
      <c r="R60" s="328">
        <v>225.71040737121411805797234662</v>
      </c>
      <c r="S60" s="246">
        <v>-6.4759887794041400919216724800</v>
      </c>
      <c r="T60" s="246">
        <v>102.32780083310014876492965657</v>
      </c>
      <c r="U60" s="239">
        <v>-11.229898482195336962570155080</v>
      </c>
    </row>
    <row r="61" ht="15.95" customHeight="1">
      <c r="B61" s="345" t="s">
        <v>67</v>
      </c>
      <c r="C61" s="304" t="s">
        <v>58</v>
      </c>
      <c r="D61" s="240">
        <v>84.08216783216783216783216783</v>
      </c>
      <c r="E61" s="121">
        <v>4.2785386477592262144634846400</v>
      </c>
      <c r="F61" s="121">
        <v>64.335344177528816115479909510</v>
      </c>
      <c r="G61" s="121">
        <v>6.9798135160589111341313627500</v>
      </c>
      <c r="H61" s="121">
        <v>130.69358516243686907853749133</v>
      </c>
      <c r="I61" s="241">
        <v>-2.5250323210137784239686745700</v>
      </c>
      <c r="J61" s="329">
        <v>237.0883196514880541571377617</v>
      </c>
      <c r="K61" s="121">
        <v>23.185014837771049900304362480</v>
      </c>
      <c r="L61" s="136">
        <v>292.80268354547095108355354766</v>
      </c>
      <c r="M61" s="121">
        <v>19.814430288570163529333129970</v>
      </c>
      <c r="N61" s="121">
        <v>80.97204464816517770822363581</v>
      </c>
      <c r="O61" s="241">
        <v>2.813170785129857446170438600</v>
      </c>
      <c r="P61" s="329">
        <v>199.34899883983073364838357778</v>
      </c>
      <c r="Q61" s="121">
        <v>28.455533305861634474518829700</v>
      </c>
      <c r="R61" s="136">
        <v>188.3756142200192704523055774</v>
      </c>
      <c r="S61" s="121">
        <v>28.177254088070277079521876630</v>
      </c>
      <c r="T61" s="121">
        <v>105.82526812999008659496944614</v>
      </c>
      <c r="U61" s="241">
        <v>0.2171049925060202493696873600</v>
      </c>
    </row>
    <row r="62" ht="15.95" customHeight="1">
      <c r="B62" s="345"/>
      <c r="C62" s="305" t="s">
        <v>44</v>
      </c>
      <c r="D62" s="242">
        <v>81.34032634032634032634032634</v>
      </c>
      <c r="E62" s="156">
        <v>0.7797833934465035123617188900</v>
      </c>
      <c r="F62" s="156">
        <v>68.201542047695893849740003590</v>
      </c>
      <c r="G62" s="156">
        <v>33.128915862951796282117847670</v>
      </c>
      <c r="H62" s="156">
        <v>119.26464402144617951322933243</v>
      </c>
      <c r="I62" s="243">
        <v>-24.29910306094609792993037900</v>
      </c>
      <c r="J62" s="330">
        <v>236.07159982070972619522240612</v>
      </c>
      <c r="K62" s="156">
        <v>6.0700955531102223761453605400</v>
      </c>
      <c r="L62" s="186">
        <v>295.25885235514413269707868708</v>
      </c>
      <c r="M62" s="156">
        <v>-2.1946737149900683568086707600</v>
      </c>
      <c r="N62" s="156">
        <v>79.95411414008771763556505354</v>
      </c>
      <c r="O62" s="243">
        <v>8.450224115595216876422728480</v>
      </c>
      <c r="P62" s="330">
        <v>192.021409690994543020566104</v>
      </c>
      <c r="Q62" s="156">
        <v>6.8972125436814295216768649300</v>
      </c>
      <c r="R62" s="186">
        <v>201.37109033853796362320396166</v>
      </c>
      <c r="S62" s="156">
        <v>30.207170539573678008639334820</v>
      </c>
      <c r="T62" s="156">
        <v>95.35698960968584576454322022</v>
      </c>
      <c r="U62" s="243">
        <v>-17.902207612148318745480475090</v>
      </c>
    </row>
    <row r="63" ht="15.95" customHeight="1">
      <c r="B63" s="346"/>
      <c r="C63" s="349" t="s">
        <v>45</v>
      </c>
      <c r="D63" s="244">
        <v>84.08216783216783216783216783</v>
      </c>
      <c r="E63" s="250">
        <v>4.2785386477592262144634846400</v>
      </c>
      <c r="F63" s="250">
        <v>64.335344177528816115479909510</v>
      </c>
      <c r="G63" s="250">
        <v>6.9798135160589111341313627500</v>
      </c>
      <c r="H63" s="250">
        <v>130.69358516243686907853749133</v>
      </c>
      <c r="I63" s="245">
        <v>-2.5250323210137784239686745700</v>
      </c>
      <c r="J63" s="332">
        <v>237.0883196514880541571377617</v>
      </c>
      <c r="K63" s="250">
        <v>23.185014837771049900304362480</v>
      </c>
      <c r="L63" s="334">
        <v>292.80268354547095108355354766</v>
      </c>
      <c r="M63" s="250">
        <v>19.814430288570163529333129970</v>
      </c>
      <c r="N63" s="250">
        <v>80.97204464816517770822363581</v>
      </c>
      <c r="O63" s="245">
        <v>2.813170785129857446170438600</v>
      </c>
      <c r="P63" s="332">
        <v>199.34899883983073364838357778</v>
      </c>
      <c r="Q63" s="250">
        <v>28.455533305861634474518829700</v>
      </c>
      <c r="R63" s="334">
        <v>188.3756142200192704523055774</v>
      </c>
      <c r="S63" s="250">
        <v>28.177254088070277079521876630</v>
      </c>
      <c r="T63" s="250">
        <v>105.82526812999008659496944614</v>
      </c>
      <c r="U63" s="245">
        <v>0.2171049925060202493696873600</v>
      </c>
    </row>
    <row r="64" ht="5.1" customHeight="1">
      <c r="B64" s="4"/>
      <c r="C64" s="4"/>
      <c r="D64" s="156"/>
      <c r="E64" s="156"/>
      <c r="F64" s="156"/>
      <c r="G64" s="156"/>
      <c r="H64" s="156"/>
      <c r="I64" s="156"/>
      <c r="J64" s="156"/>
      <c r="K64" s="156"/>
      <c r="L64" s="156"/>
      <c r="M64" s="156"/>
      <c r="N64" s="156"/>
      <c r="O64" s="156"/>
      <c r="P64" s="156"/>
      <c r="Q64" s="156"/>
      <c r="R64" s="156"/>
      <c r="S64" s="156"/>
      <c r="T64" s="156"/>
      <c r="U64" s="156"/>
    </row>
    <row r="65" s="4" customFormat="1" ht="5.1" customHeight="1">
      <c r="A65" s="4"/>
      <c r="B65" s="4"/>
      <c r="C65" s="4"/>
      <c r="D65" s="156"/>
      <c r="E65" s="156"/>
      <c r="F65" s="156"/>
      <c r="G65" s="156"/>
      <c r="H65" s="156"/>
      <c r="I65" s="156"/>
      <c r="J65" s="156"/>
      <c r="K65" s="156"/>
      <c r="L65" s="156"/>
      <c r="M65" s="156"/>
      <c r="N65" s="156"/>
      <c r="O65" s="156"/>
      <c r="P65" s="156"/>
      <c r="Q65" s="156"/>
      <c r="R65" s="156"/>
      <c r="S65" s="156"/>
      <c r="T65" s="156"/>
      <c r="U65" s="156"/>
      <c r="W65" s="281"/>
      <c r="X65" s="281"/>
      <c r="Y65" s="281"/>
      <c r="Z65" s="281"/>
      <c r="AA65" s="281"/>
      <c r="AB65" s="281"/>
      <c r="AC65" s="281"/>
      <c r="AD65" s="281"/>
      <c r="AE65" s="281"/>
      <c r="AF65" s="281"/>
      <c r="AG65" s="281"/>
      <c r="AH65" s="281"/>
      <c r="AI65" s="281"/>
      <c r="AJ65" s="281"/>
      <c r="AK65" s="281"/>
    </row>
    <row r="66" ht="15.95" customHeight="1">
      <c r="B66" s="347" t="s">
        <v>52</v>
      </c>
      <c r="C66" s="348" t="s">
        <v>42</v>
      </c>
      <c r="D66" s="238">
        <v>87.500</v>
      </c>
      <c r="E66" s="246">
        <v>-5.5858310627032289199563323900</v>
      </c>
      <c r="F66" s="246">
        <v>80.46620046620046620046620047</v>
      </c>
      <c r="G66" s="246">
        <v>18.951368753261894386502186600</v>
      </c>
      <c r="H66" s="246">
        <v>108.74130938586389769008914174</v>
      </c>
      <c r="I66" s="239">
        <v>-20.627925574188411012240199800</v>
      </c>
      <c r="J66" s="326">
        <v>423.70598854626594112947049152</v>
      </c>
      <c r="K66" s="246">
        <v>-3.4363689043778992622048089600</v>
      </c>
      <c r="L66" s="328">
        <v>437.79842600093627184696614406</v>
      </c>
      <c r="M66" s="246">
        <v>-12.676764041658157556300971680</v>
      </c>
      <c r="N66" s="246">
        <v>96.78106712640280518626918642</v>
      </c>
      <c r="O66" s="239">
        <v>10.581828577291506087325474810</v>
      </c>
      <c r="P66" s="326">
        <v>370.74273997798269848828668008</v>
      </c>
      <c r="Q66" s="246">
        <v>-8.830250205357307247423519630</v>
      </c>
      <c r="R66" s="328">
        <v>352.27975910378368541159140543</v>
      </c>
      <c r="S66" s="246">
        <v>3.8721844120201078348534133100</v>
      </c>
      <c r="T66" s="246">
        <v>105.24099963084808993282704123</v>
      </c>
      <c r="U66" s="239">
        <v>-12.228908720125523389869455420</v>
      </c>
    </row>
    <row r="67" ht="15.95" customHeight="1">
      <c r="B67" s="345" t="s">
        <v>55</v>
      </c>
      <c r="C67" s="304" t="s">
        <v>58</v>
      </c>
      <c r="D67" s="240">
        <v>87.33766233766233766233766234</v>
      </c>
      <c r="E67" s="121">
        <v>-3.1909788868096594886181232700</v>
      </c>
      <c r="F67" s="121">
        <v>77.528564442270928733383719380</v>
      </c>
      <c r="G67" s="121">
        <v>4.3775204875624212771598260700</v>
      </c>
      <c r="H67" s="121">
        <v>112.65223723143058910225677176</v>
      </c>
      <c r="I67" s="241">
        <v>-7.251081783739259989100545600</v>
      </c>
      <c r="J67" s="329">
        <v>367.52278891507717647149736564</v>
      </c>
      <c r="K67" s="121">
        <v>13.101615118271394050371725530</v>
      </c>
      <c r="L67" s="136">
        <v>392.72524167804530944571965146</v>
      </c>
      <c r="M67" s="121">
        <v>5.8592718083142321908180517900</v>
      </c>
      <c r="N67" s="121">
        <v>93.58267559904219039233877885</v>
      </c>
      <c r="O67" s="241">
        <v>6.8414822681661050954504175300</v>
      </c>
      <c r="P67" s="329">
        <v>320.98581239660961191828828363</v>
      </c>
      <c r="Q67" s="121">
        <v>9.492566459252921216493442980</v>
      </c>
      <c r="R67" s="136">
        <v>304.47424207542760542253955195</v>
      </c>
      <c r="S67" s="121">
        <v>10.493283119613951243671689870</v>
      </c>
      <c r="T67" s="121">
        <v>105.42297772339004187909340195</v>
      </c>
      <c r="U67" s="241">
        <v>-0.9056809899171923354292512200</v>
      </c>
    </row>
    <row r="68" ht="15.95" customHeight="1">
      <c r="B68" s="345"/>
      <c r="C68" s="305" t="s">
        <v>44</v>
      </c>
      <c r="D68" s="342">
        <v>84.59595959595959595959595960</v>
      </c>
      <c r="E68" s="161">
        <v>-7.2022160664655427751475174300</v>
      </c>
      <c r="F68" s="161">
        <v>81.60234826901493568160234827</v>
      </c>
      <c r="G68" s="161">
        <v>27.944829804142189927360197640</v>
      </c>
      <c r="H68" s="161">
        <v>103.66853575964656650093781090</v>
      </c>
      <c r="I68" s="336">
        <v>-27.470469830178630233859619070</v>
      </c>
      <c r="J68" s="335">
        <v>340.60806131053625899951669254</v>
      </c>
      <c r="K68" s="161">
        <v>2.1271608839350338130051066900</v>
      </c>
      <c r="L68" s="162">
        <v>361.00114945618587435113812207</v>
      </c>
      <c r="M68" s="161">
        <v>-5.1576442464674483092124118800</v>
      </c>
      <c r="N68" s="161">
        <v>94.35096309904187184226598492</v>
      </c>
      <c r="O68" s="336">
        <v>7.6809618156277613015938190300</v>
      </c>
      <c r="P68" s="335">
        <v>288.14065792684254233544972727</v>
      </c>
      <c r="Q68" s="161">
        <v>-5.2282579054713881617576500600</v>
      </c>
      <c r="R68" s="162">
        <v>294.58541523438391473426206767</v>
      </c>
      <c r="S68" s="161">
        <v>21.345890651127148772346155160</v>
      </c>
      <c r="T68" s="161">
        <v>97.81226191988174309147210206</v>
      </c>
      <c r="U68" s="336">
        <v>-21.899504312834832541505708330</v>
      </c>
    </row>
    <row r="69" ht="15.95" customHeight="1">
      <c r="B69" s="346"/>
      <c r="C69" s="349" t="s">
        <v>45</v>
      </c>
      <c r="D69" s="343">
        <v>87.33766233766233766233766234</v>
      </c>
      <c r="E69" s="338">
        <v>-3.1909788868096594886181232700</v>
      </c>
      <c r="F69" s="338">
        <v>77.528564442270928733383719380</v>
      </c>
      <c r="G69" s="338">
        <v>4.3775204875624212771598260700</v>
      </c>
      <c r="H69" s="338">
        <v>112.65223723143058910225677176</v>
      </c>
      <c r="I69" s="340">
        <v>-7.251081783739259989100545600</v>
      </c>
      <c r="J69" s="337">
        <v>367.52278891507717647149736564</v>
      </c>
      <c r="K69" s="338">
        <v>13.101615118271394050371725530</v>
      </c>
      <c r="L69" s="339">
        <v>392.72524167804530944571965146</v>
      </c>
      <c r="M69" s="338">
        <v>5.8592718083142321908180517900</v>
      </c>
      <c r="N69" s="338">
        <v>93.58267559904219039233877885</v>
      </c>
      <c r="O69" s="340">
        <v>6.8414822681661050954504175300</v>
      </c>
      <c r="P69" s="337">
        <v>320.98581239660961191828828363</v>
      </c>
      <c r="Q69" s="338">
        <v>9.492566459252921216493442980</v>
      </c>
      <c r="R69" s="339">
        <v>304.47424207542760542253955195</v>
      </c>
      <c r="S69" s="338">
        <v>10.493283119613951243671689870</v>
      </c>
      <c r="T69" s="338">
        <v>105.42297772339004187909340195</v>
      </c>
      <c r="U69" s="340">
        <v>-0.9056809899171923354292512200</v>
      </c>
    </row>
    <row r="70" ht="5.1" customHeight="1">
      <c r="B70" s="4"/>
      <c r="C70" s="4"/>
      <c r="D70" s="161"/>
      <c r="E70" s="161"/>
      <c r="F70" s="161"/>
      <c r="G70" s="161"/>
      <c r="H70" s="161"/>
      <c r="I70" s="161"/>
      <c r="J70" s="162"/>
      <c r="K70" s="161"/>
      <c r="L70" s="162"/>
      <c r="M70" s="161"/>
      <c r="N70" s="161"/>
      <c r="O70" s="161"/>
      <c r="P70" s="162"/>
      <c r="Q70" s="161"/>
      <c r="R70" s="162"/>
      <c r="S70" s="161"/>
      <c r="T70" s="161"/>
      <c r="U70" s="161"/>
    </row>
    <row r="71" s="4" customFormat="1" ht="5.1" customHeight="1">
      <c r="A71" s="4"/>
      <c r="B71" s="4"/>
      <c r="C71" s="4"/>
      <c r="D71" s="161"/>
      <c r="E71" s="161"/>
      <c r="F71" s="161"/>
      <c r="G71" s="161"/>
      <c r="H71" s="161"/>
      <c r="I71" s="161"/>
      <c r="J71" s="162"/>
      <c r="K71" s="161"/>
      <c r="L71" s="162"/>
      <c r="M71" s="161"/>
      <c r="N71" s="161"/>
      <c r="O71" s="161"/>
      <c r="P71" s="162"/>
      <c r="Q71" s="161"/>
      <c r="R71" s="162"/>
      <c r="S71" s="161"/>
      <c r="T71" s="161"/>
      <c r="U71" s="161"/>
      <c r="W71" s="281"/>
      <c r="X71" s="281"/>
      <c r="Y71" s="281"/>
      <c r="Z71" s="281"/>
      <c r="AA71" s="281"/>
      <c r="AB71" s="281"/>
      <c r="AC71" s="281"/>
      <c r="AD71" s="281"/>
      <c r="AE71" s="281"/>
      <c r="AF71" s="281"/>
      <c r="AG71" s="281"/>
      <c r="AH71" s="281"/>
      <c r="AI71" s="281"/>
      <c r="AJ71" s="281"/>
      <c r="AK71" s="281"/>
    </row>
    <row r="72" ht="15.95" customHeight="1">
      <c r="B72" s="347" t="s">
        <v>12</v>
      </c>
      <c r="C72" s="348" t="s">
        <v>42</v>
      </c>
      <c r="D72" s="238">
        <v>86.33919843597262952101661779</v>
      </c>
      <c r="E72" s="246">
        <v>-7.7786478726522018884396566100</v>
      </c>
      <c r="F72" s="246">
        <v>71.345766129032258064516129030</v>
      </c>
      <c r="G72" s="246">
        <v>13.549825044599097958301731990</v>
      </c>
      <c r="H72" s="246">
        <v>121.01516757120957024157014752</v>
      </c>
      <c r="I72" s="239">
        <v>-18.783360440053229451018440160</v>
      </c>
      <c r="J72" s="326">
        <v>319.73223889046136427964902349</v>
      </c>
      <c r="K72" s="246">
        <v>-5.1198492329308838951420960200</v>
      </c>
      <c r="L72" s="328">
        <v>373.58801365830684092782291299</v>
      </c>
      <c r="M72" s="246">
        <v>-12.976447383096689005693377690</v>
      </c>
      <c r="N72" s="246">
        <v>85.58418022022047744073031072</v>
      </c>
      <c r="O72" s="239">
        <v>9.028128493857597995173151010</v>
      </c>
      <c r="P72" s="326">
        <v>276.05425219941348973607038123</v>
      </c>
      <c r="Q72" s="246">
        <v>-12.500242062100870585097259470</v>
      </c>
      <c r="R72" s="328">
        <v>266.53923051075268817204301075</v>
      </c>
      <c r="S72" s="246">
        <v>-1.1849082558581411484459643500</v>
      </c>
      <c r="T72" s="246">
        <v>103.56983910787869822128096893</v>
      </c>
      <c r="U72" s="239">
        <v>-11.451017862299144093358157120</v>
      </c>
    </row>
    <row r="73" ht="15.95" customHeight="1">
      <c r="B73" s="345"/>
      <c r="C73" s="304" t="s">
        <v>58</v>
      </c>
      <c r="D73" s="240">
        <v>85.02905770029057700290577003</v>
      </c>
      <c r="E73" s="121">
        <v>1.989145588536662112782954400</v>
      </c>
      <c r="F73" s="121">
        <v>68.142525736377399429185011360</v>
      </c>
      <c r="G73" s="121">
        <v>6.1133258352292565291292786200</v>
      </c>
      <c r="H73" s="121">
        <v>124.78119468188456381020198787</v>
      </c>
      <c r="I73" s="241">
        <v>-3.8865808928874147870007314100</v>
      </c>
      <c r="J73" s="329">
        <v>275.60038567627602704615910367</v>
      </c>
      <c r="K73" s="121">
        <v>17.904096670558583726120748430</v>
      </c>
      <c r="L73" s="136">
        <v>325.4739442916479457233911508</v>
      </c>
      <c r="M73" s="121">
        <v>13.590463695740310542987316250</v>
      </c>
      <c r="N73" s="121">
        <v>84.67663556790246709584700569</v>
      </c>
      <c r="O73" s="241">
        <v>3.7975309146087264515578459700</v>
      </c>
      <c r="P73" s="329">
        <v>234.34041095890410958904109589</v>
      </c>
      <c r="Q73" s="121">
        <v>20.249380808160366492609650750</v>
      </c>
      <c r="R73" s="136">
        <v>221.78616625413884112097974751</v>
      </c>
      <c r="S73" s="121">
        <v>20.534618859240013532904122520</v>
      </c>
      <c r="T73" s="121">
        <v>105.66051747809226959503355085</v>
      </c>
      <c r="U73" s="241">
        <v>-0.2366440892350585880210638100</v>
      </c>
    </row>
    <row r="74" ht="15.95" customHeight="1">
      <c r="B74" s="345"/>
      <c r="C74" s="305" t="s">
        <v>44</v>
      </c>
      <c r="D74" s="242">
        <v>82.29578392621870882740447958</v>
      </c>
      <c r="E74" s="156">
        <v>-1.7692156477835750336517015900</v>
      </c>
      <c r="F74" s="156">
        <v>72.112771739130434782608695650</v>
      </c>
      <c r="G74" s="156">
        <v>31.334540924082479144908805880</v>
      </c>
      <c r="H74" s="156">
        <v>114.12095519495531378414200087</v>
      </c>
      <c r="I74" s="243">
        <v>-25.205674256639557499999890340</v>
      </c>
      <c r="J74" s="330">
        <v>267.60826495897538523113868321</v>
      </c>
      <c r="K74" s="156">
        <v>3.7267022814375971313477932500</v>
      </c>
      <c r="L74" s="186">
        <v>317.18024807662113361595226881</v>
      </c>
      <c r="M74" s="156">
        <v>-3.5213964327677011398140308800</v>
      </c>
      <c r="N74" s="156">
        <v>84.37103715687465215960506458</v>
      </c>
      <c r="O74" s="243">
        <v>7.5126488633434807791035964100</v>
      </c>
      <c r="P74" s="330">
        <v>220.23031949934123847167325428</v>
      </c>
      <c r="Q74" s="156">
        <v>1.8915532337768083904659682600</v>
      </c>
      <c r="R74" s="186">
        <v>228.72746829710144927536231884</v>
      </c>
      <c r="S74" s="156">
        <v>26.709731085045564630684386750</v>
      </c>
      <c r="T74" s="156">
        <v>96.28503351126957952845931626</v>
      </c>
      <c r="U74" s="243">
        <v>-19.586639193933120944521819900</v>
      </c>
    </row>
    <row r="75" ht="15.95" customHeight="1">
      <c r="B75" s="346"/>
      <c r="C75" s="349" t="s">
        <v>45</v>
      </c>
      <c r="D75" s="244">
        <v>85.02905770029057700290577003</v>
      </c>
      <c r="E75" s="250">
        <v>1.989145588536662112782954400</v>
      </c>
      <c r="F75" s="250">
        <v>68.142525736377399429185011360</v>
      </c>
      <c r="G75" s="250">
        <v>6.1133258352292565291292786200</v>
      </c>
      <c r="H75" s="250">
        <v>124.78119468188456381020198787</v>
      </c>
      <c r="I75" s="245">
        <v>-3.8865808928874147870007314100</v>
      </c>
      <c r="J75" s="332">
        <v>275.60038567627602704615910367</v>
      </c>
      <c r="K75" s="250">
        <v>17.904096670558583726120748430</v>
      </c>
      <c r="L75" s="334">
        <v>325.4739442916479457233911508</v>
      </c>
      <c r="M75" s="250">
        <v>13.590463695740310542987316250</v>
      </c>
      <c r="N75" s="250">
        <v>84.67663556790246709584700569</v>
      </c>
      <c r="O75" s="245">
        <v>3.7975309146087264515578459700</v>
      </c>
      <c r="P75" s="332">
        <v>234.34041095890410958904109589</v>
      </c>
      <c r="Q75" s="250">
        <v>20.249380808160366492609650750</v>
      </c>
      <c r="R75" s="334">
        <v>221.78616625413884112097974751</v>
      </c>
      <c r="S75" s="250">
        <v>20.534618859240013532904122520</v>
      </c>
      <c r="T75" s="250">
        <v>105.66051747809226959503355085</v>
      </c>
      <c r="U75" s="245">
        <v>-0.2366440892350585880210638100</v>
      </c>
    </row>
    <row r="76" ht="9.95" customHeight="1"/>
    <row r="77" ht="24" customHeight="1">
      <c r="B77" s="816" t="s">
        <v>126</v>
      </c>
      <c r="C77" s="816"/>
      <c r="D77" s="816"/>
      <c r="E77" s="816"/>
      <c r="F77" s="816"/>
      <c r="G77" s="816"/>
      <c r="H77" s="816"/>
      <c r="I77" s="816"/>
      <c r="J77" s="816"/>
      <c r="K77" s="816"/>
      <c r="L77" s="816"/>
      <c r="M77" s="816"/>
      <c r="N77" s="816"/>
      <c r="O77" s="816"/>
      <c r="P77" s="816"/>
      <c r="Q77" s="816"/>
      <c r="R77" s="816"/>
      <c r="S77" s="816"/>
      <c r="T77" s="816"/>
      <c r="U77" s="816"/>
    </row>
    <row r="78" ht="9.95" customHeight="1">
      <c r="S78" s="55"/>
    </row>
    <row r="79" s="235" customFormat="1">
      <c r="A79" s="235"/>
    </row>
    <row r="80" s="235" customFormat="1"/>
    <row r="81" s="235" customFormat="1"/>
    <row r="82" s="235" customFormat="1"/>
    <row r="83" s="235" customFormat="1"/>
    <row r="84" s="235" customFormat="1"/>
    <row r="85" s="235" customFormat="1"/>
    <row r="86" s="235" customFormat="1"/>
    <row r="87" s="235" customFormat="1"/>
    <row r="88" s="235" customFormat="1"/>
    <row r="89" s="235" customFormat="1"/>
    <row r="90" s="235" customFormat="1"/>
    <row r="91" s="235" customFormat="1"/>
    <row r="92" s="235" customFormat="1"/>
    <row r="93" s="235" customFormat="1"/>
    <row r="94" s="235" customFormat="1"/>
    <row r="95" s="235" customFormat="1"/>
    <row r="96" s="235" customFormat="1"/>
    <row r="97" s="235" customFormat="1"/>
    <row r="98" s="235" customFormat="1"/>
    <row r="99" s="235" customFormat="1"/>
    <row r="100" s="235" customFormat="1"/>
    <row r="101" s="235" customFormat="1"/>
    <row r="102" s="235" customFormat="1"/>
    <row r="103" s="235" customFormat="1"/>
    <row r="104" s="235" customFormat="1"/>
    <row r="105" s="235" customFormat="1"/>
    <row r="106" s="235" customFormat="1"/>
    <row r="107" s="235" customFormat="1"/>
    <row r="108" s="235" customFormat="1"/>
    <row r="109" s="235" customFormat="1"/>
  </sheetData>
  <mergeCells count="15">
    <mergeCell ref="B77:U77"/>
    <mergeCell ref="J16:K16"/>
    <mergeCell ref="T16:U16"/>
    <mergeCell ref="L16:M16"/>
    <mergeCell ref="N16:O16"/>
    <mergeCell ref="O3:U3"/>
    <mergeCell ref="B59:C59"/>
    <mergeCell ref="P16:Q16"/>
    <mergeCell ref="R16:S16"/>
    <mergeCell ref="D15:I15"/>
    <mergeCell ref="J15:O15"/>
    <mergeCell ref="P15:U15"/>
    <mergeCell ref="D16:E16"/>
    <mergeCell ref="F16:G16"/>
    <mergeCell ref="H16:I16"/>
  </mergeCells>
  <phoneticPr fontId="12" type="noConversion"/>
  <printOptions horizontalCentered="1" verticalCentered="1"/>
  <pageMargins left="0.25" right="0.25" top="0.25" bottom="0.25" header="0" footer="0"/>
  <pageSetup scale="53" fitToWidth="1" fitToHeight="1" orientation="landscape" r:id="rId1"/>
  <headerFooter alignWithMargins="0">
    <oddHeader/>
    <oddFooter/>
  </headerFooter>
  <rowBreaks count="1" manualBreakCount="1">
    <brk id="79" max="16383" man="1"/>
  </rowBreaks>
  <colBreaks count="1" manualBreakCount="1">
    <brk id="23" max="1048575" man="1"/>
  </colBreaks>
  <drawing r:id="rId91"/>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8">
    <pageSetUpPr fitToPage="1"/>
  </sheetPr>
  <dimension ref="A1:AW94"/>
  <sheetViews>
    <sheetView showGridLines="0" zoomScale="55" zoomScaleNormal="75" workbookViewId="0"/>
  </sheetViews>
  <sheetFormatPr defaultRowHeight="12.75"/>
  <cols>
    <col min="1" max="1" width="2.140625" customWidth="1"/>
    <col min="2" max="2" width="23" customWidth="1"/>
    <col min="3" max="33" width="10.28515625" customWidth="1"/>
    <col min="34" max="34" width="2.7109375" customWidth="1"/>
    <col min="35" max="38" width="9.28515625" style="236" customWidth="1"/>
    <col min="39" max="49" width="9.140625" style="236" customWidth="1"/>
  </cols>
  <sheetData>
    <row r="1" ht="39.95" customHeight="1">
      <c r="A1" s="7"/>
      <c r="B1" s="656" t="s">
        <v>137</v>
      </c>
      <c r="AA1" s="955"/>
      <c r="AB1" s="955"/>
      <c r="AC1" s="955"/>
      <c r="AD1" s="955"/>
      <c r="AE1" s="955"/>
      <c r="AF1" s="955"/>
      <c r="AG1" s="955"/>
      <c r="AH1"/>
    </row>
    <row r="2" ht="21.95" customHeight="1">
      <c r="A2" s="6"/>
      <c r="B2" s="935" t="s">
        <v>208</v>
      </c>
      <c r="C2" s="935"/>
      <c r="D2" s="935"/>
      <c r="E2" s="935"/>
      <c r="F2" s="935"/>
      <c r="G2" s="935"/>
      <c r="H2" s="935"/>
      <c r="I2" s="935"/>
      <c r="J2" s="935"/>
      <c r="K2" s="935"/>
      <c r="L2" s="935"/>
      <c r="M2" s="935"/>
      <c r="N2" s="935"/>
      <c r="O2" s="935"/>
      <c r="P2" s="935"/>
      <c r="Q2" s="935"/>
      <c r="R2" s="935"/>
      <c r="S2" s="935"/>
      <c r="T2" s="935"/>
      <c r="U2" s="935"/>
      <c r="V2" s="935"/>
      <c r="W2" s="935"/>
      <c r="X2" s="935"/>
      <c r="Y2" s="935"/>
      <c r="Z2" s="935"/>
      <c r="AA2" s="935"/>
      <c r="AB2" s="935"/>
      <c r="AC2" s="935"/>
      <c r="AD2" s="935"/>
      <c r="AE2" s="935"/>
      <c r="AF2" s="935"/>
      <c r="AG2" s="935"/>
    </row>
    <row r="3" ht="21.95" customHeight="1">
      <c r="A3" s="6"/>
      <c r="B3" s="935" t="s">
        <v>209</v>
      </c>
      <c r="C3" s="935"/>
      <c r="D3" s="935"/>
      <c r="E3" s="935"/>
      <c r="F3" s="935"/>
      <c r="G3" s="935"/>
      <c r="H3" s="935"/>
      <c r="I3" s="935"/>
      <c r="J3" s="935"/>
      <c r="K3" s="935"/>
      <c r="L3" s="935"/>
      <c r="M3" s="935"/>
      <c r="N3" s="935"/>
      <c r="O3" s="935"/>
      <c r="P3" s="935"/>
      <c r="Q3" s="935"/>
      <c r="R3" s="935"/>
      <c r="S3" s="935"/>
      <c r="T3" s="935"/>
      <c r="U3" s="956"/>
      <c r="V3" s="956"/>
      <c r="W3" s="956"/>
      <c r="X3" s="956"/>
      <c r="Y3" s="956"/>
      <c r="Z3" s="956"/>
      <c r="AA3" s="956"/>
      <c r="AB3" s="956"/>
      <c r="AC3" s="956"/>
      <c r="AD3" s="956"/>
      <c r="AE3" s="956"/>
      <c r="AF3" s="956"/>
      <c r="AG3" s="956"/>
    </row>
    <row r="4" ht="21.95" customHeight="1">
      <c r="A4" s="6"/>
      <c r="B4" s="935" t="s">
        <v>292</v>
      </c>
      <c r="C4" s="935"/>
      <c r="D4" s="935"/>
      <c r="E4" s="935"/>
      <c r="F4" s="935"/>
      <c r="G4" s="935"/>
      <c r="H4" s="935"/>
      <c r="I4" s="935"/>
      <c r="J4" s="935"/>
      <c r="K4" s="935"/>
      <c r="L4" s="935"/>
      <c r="M4" s="935"/>
      <c r="N4" s="935"/>
      <c r="O4" s="935"/>
      <c r="P4" s="935"/>
      <c r="Q4" s="935"/>
      <c r="R4" s="935"/>
      <c r="S4" s="935"/>
      <c r="T4" s="935"/>
      <c r="U4" s="935"/>
      <c r="V4" s="935"/>
      <c r="W4" s="935"/>
      <c r="X4" s="935"/>
      <c r="Y4" s="935"/>
      <c r="Z4" s="935"/>
      <c r="AA4" s="935"/>
      <c r="AB4" s="935"/>
      <c r="AC4" s="935"/>
      <c r="AD4" s="935"/>
      <c r="AE4" s="935"/>
      <c r="AF4" s="935"/>
      <c r="AG4" s="935"/>
      <c r="AH4" s="4"/>
    </row>
    <row r="5" ht="21.95" customHeight="1">
      <c r="A5" s="6"/>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row>
    <row r="6" ht="21.95" customHeight="1">
      <c r="A6" s="6"/>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row>
    <row r="7" ht="21.95" customHeight="1">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row>
    <row r="8" ht="21.95" customHeight="1">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row>
    <row r="9" ht="21.95" customHeight="1">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row>
    <row r="10" ht="21.95" customHeight="1">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row>
    <row r="11" ht="21.95" customHeight="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row>
    <row r="12" ht="21.95" customHeight="1">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row>
    <row r="13" ht="21.95" customHeight="1">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row>
    <row r="14" ht="21.95" customHeight="1">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row>
    <row r="15" ht="21.95" customHeight="1">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row>
    <row r="16" ht="21.95" customHeight="1">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row>
    <row r="17" ht="21.95" customHeight="1">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row>
    <row r="18" ht="21.95" customHeight="1">
      <c r="AE18"/>
      <c r="AF18"/>
      <c r="AG18"/>
    </row>
    <row r="19" ht="21.95" customHeight="1">
      <c r="AE19"/>
      <c r="AF19"/>
      <c r="AG19"/>
    </row>
    <row r="20" ht="30" customHeight="1">
      <c r="AE20"/>
      <c r="AF20"/>
      <c r="AG20"/>
    </row>
    <row r="21" ht="31.5" customHeight="1">
      <c r="AE21"/>
      <c r="AF21"/>
      <c r="AG21"/>
    </row>
    <row r="22" ht="30" customHeight="1">
      <c r="A22" s="8"/>
      <c r="B22" s="25"/>
      <c r="X22" s="792"/>
      <c r="Y22" s="792"/>
      <c r="Z22" s="792"/>
      <c r="AA22" s="792"/>
      <c r="AB22" s="792"/>
      <c r="AC22" s="792"/>
      <c r="AD22" s="792"/>
      <c r="AE22"/>
      <c r="AF22"/>
      <c r="AG22"/>
    </row>
    <row r="23" s="82" customFormat="1" ht="21.95" customHeight="1">
      <c r="B23" s="25"/>
      <c r="C23" s="41" t="s">
        <v>293</v>
      </c>
      <c r="D23" s="41" t="s">
        <v>295</v>
      </c>
      <c r="E23" s="41" t="s">
        <v>296</v>
      </c>
      <c r="F23" s="41" t="s">
        <v>297</v>
      </c>
      <c r="G23" s="41" t="s">
        <v>298</v>
      </c>
      <c r="H23" s="41" t="s">
        <v>299</v>
      </c>
      <c r="I23" s="41" t="s">
        <v>300</v>
      </c>
      <c r="J23" s="41" t="s">
        <v>293</v>
      </c>
      <c r="K23" s="41" t="s">
        <v>295</v>
      </c>
      <c r="L23" s="41" t="s">
        <v>296</v>
      </c>
      <c r="M23" s="41" t="s">
        <v>297</v>
      </c>
      <c r="N23" s="41" t="s">
        <v>298</v>
      </c>
      <c r="O23" s="41" t="s">
        <v>299</v>
      </c>
      <c r="P23" s="41" t="s">
        <v>300</v>
      </c>
      <c r="Q23" s="41" t="s">
        <v>293</v>
      </c>
      <c r="R23" s="41" t="s">
        <v>295</v>
      </c>
      <c r="S23" s="41" t="s">
        <v>296</v>
      </c>
      <c r="T23" s="41" t="s">
        <v>297</v>
      </c>
      <c r="U23" s="41" t="s">
        <v>298</v>
      </c>
      <c r="V23" s="41" t="s">
        <v>299</v>
      </c>
      <c r="W23" s="41" t="s">
        <v>300</v>
      </c>
      <c r="X23" s="41" t="s">
        <v>293</v>
      </c>
      <c r="Y23" s="41" t="s">
        <v>295</v>
      </c>
      <c r="Z23" s="41" t="s">
        <v>296</v>
      </c>
      <c r="AA23" s="41" t="s">
        <v>297</v>
      </c>
      <c r="AB23" s="41" t="s">
        <v>298</v>
      </c>
      <c r="AC23" s="41" t="s">
        <v>299</v>
      </c>
      <c r="AD23" s="41" t="s">
        <v>300</v>
      </c>
      <c r="AE23" s="41" t="s">
        <v>293</v>
      </c>
      <c r="AF23" s="41" t="s">
        <v>295</v>
      </c>
      <c r="AG23" s="41" t="s">
        <v>296</v>
      </c>
      <c r="AH23" s="93"/>
      <c r="AI23" s="236"/>
      <c r="AJ23" s="236"/>
      <c r="AK23" s="236"/>
      <c r="AL23" s="236"/>
      <c r="AM23" s="236"/>
      <c r="AN23" s="236"/>
      <c r="AO23" s="236"/>
      <c r="AP23" s="236"/>
      <c r="AQ23" s="236"/>
      <c r="AR23" s="236"/>
      <c r="AS23" s="236"/>
      <c r="AT23" s="236"/>
      <c r="AU23" s="236"/>
      <c r="AV23" s="236"/>
      <c r="AW23" s="236"/>
    </row>
    <row r="24" s="35" customFormat="1" ht="20.1" customHeight="1">
      <c r="B24" s="784" t="s">
        <v>22</v>
      </c>
      <c r="C24" s="350" t="s">
        <v>294</v>
      </c>
      <c r="D24" s="351"/>
      <c r="E24" s="351"/>
      <c r="F24" s="351"/>
      <c r="G24" s="351"/>
      <c r="H24" s="351"/>
      <c r="I24" s="351"/>
      <c r="J24" s="351"/>
      <c r="K24" s="351"/>
      <c r="L24" s="351"/>
      <c r="M24" s="351"/>
      <c r="N24" s="351"/>
      <c r="O24" s="351"/>
      <c r="P24" s="351"/>
      <c r="Q24" s="351"/>
      <c r="R24" s="351"/>
      <c r="S24" s="352"/>
      <c r="T24" s="352"/>
      <c r="U24" s="352"/>
      <c r="V24" s="352"/>
      <c r="W24" s="352"/>
      <c r="X24" s="352"/>
      <c r="Y24" s="352"/>
      <c r="Z24" s="352"/>
      <c r="AA24" s="352"/>
      <c r="AB24" s="352"/>
      <c r="AC24" s="352"/>
      <c r="AD24" s="352"/>
      <c r="AE24" s="352"/>
      <c r="AF24" s="352"/>
      <c r="AG24" s="353"/>
      <c r="AH24" s="529"/>
      <c r="AI24" s="236"/>
      <c r="AJ24" s="236"/>
      <c r="AK24" s="236"/>
      <c r="AL24" s="236"/>
      <c r="AM24" s="236"/>
      <c r="AN24" s="236"/>
      <c r="AO24" s="236"/>
      <c r="AP24" s="236"/>
      <c r="AQ24" s="236"/>
      <c r="AR24" s="236"/>
      <c r="AS24" s="236"/>
      <c r="AT24" s="236"/>
      <c r="AU24" s="236"/>
      <c r="AV24" s="236"/>
      <c r="AW24" s="236"/>
    </row>
    <row r="25" s="36" customFormat="1" ht="20.1" customHeight="1">
      <c r="B25" s="964"/>
      <c r="C25" s="354">
        <v>1</v>
      </c>
      <c r="D25" s="355">
        <v>2</v>
      </c>
      <c r="E25" s="355">
        <v>3</v>
      </c>
      <c r="F25" s="355">
        <v>4</v>
      </c>
      <c r="G25" s="355">
        <v>5</v>
      </c>
      <c r="H25" s="355">
        <v>6</v>
      </c>
      <c r="I25" s="355">
        <v>7</v>
      </c>
      <c r="J25" s="355">
        <v>8</v>
      </c>
      <c r="K25" s="355">
        <v>9</v>
      </c>
      <c r="L25" s="355">
        <v>10</v>
      </c>
      <c r="M25" s="355">
        <v>11</v>
      </c>
      <c r="N25" s="355">
        <v>12</v>
      </c>
      <c r="O25" s="355">
        <v>13</v>
      </c>
      <c r="P25" s="355">
        <v>14</v>
      </c>
      <c r="Q25" s="355">
        <v>15</v>
      </c>
      <c r="R25" s="355">
        <v>16</v>
      </c>
      <c r="S25" s="355">
        <v>17</v>
      </c>
      <c r="T25" s="355">
        <v>18</v>
      </c>
      <c r="U25" s="355">
        <v>19</v>
      </c>
      <c r="V25" s="355">
        <v>20</v>
      </c>
      <c r="W25" s="355">
        <v>21</v>
      </c>
      <c r="X25" s="355">
        <v>22</v>
      </c>
      <c r="Y25" s="355">
        <v>23</v>
      </c>
      <c r="Z25" s="355">
        <v>24</v>
      </c>
      <c r="AA25" s="355">
        <v>25</v>
      </c>
      <c r="AB25" s="355">
        <v>26</v>
      </c>
      <c r="AC25" s="355">
        <v>27</v>
      </c>
      <c r="AD25" s="355">
        <v>28</v>
      </c>
      <c r="AE25" s="355">
        <v>29</v>
      </c>
      <c r="AF25" s="355">
        <v>30</v>
      </c>
      <c r="AG25" s="356">
        <v>31</v>
      </c>
      <c r="AH25" s="529"/>
      <c r="AI25" s="236"/>
      <c r="AJ25" s="236"/>
      <c r="AK25" s="236"/>
      <c r="AL25" s="236"/>
      <c r="AM25" s="236"/>
      <c r="AN25" s="236"/>
      <c r="AO25" s="236"/>
      <c r="AP25" s="236"/>
      <c r="AQ25" s="236"/>
      <c r="AR25" s="236"/>
      <c r="AS25" s="236"/>
      <c r="AT25" s="236"/>
      <c r="AU25" s="236"/>
      <c r="AV25" s="236"/>
      <c r="AW25" s="236"/>
    </row>
    <row r="26" ht="24.95" customHeight="1">
      <c r="B26" s="263" t="s">
        <v>19</v>
      </c>
      <c r="C26" s="573">
        <v>99.24242424242424242424242424</v>
      </c>
      <c r="D26" s="574">
        <v>99.24242424242424242424242424</v>
      </c>
      <c r="E26" s="574">
        <v>94.69696969696969696969696970</v>
      </c>
      <c r="F26" s="574">
        <v>93.18181818181818181818181818</v>
      </c>
      <c r="G26" s="574">
        <v>84.84848484848484848484848485</v>
      </c>
      <c r="H26" s="574">
        <v>87.87878787878787878787878788</v>
      </c>
      <c r="I26" s="574">
        <v>88.63636363636363636363636364</v>
      </c>
      <c r="J26" s="574">
        <v>93.18181818181818181818181818</v>
      </c>
      <c r="K26" s="574">
        <v>87.12121212121212121212121212</v>
      </c>
      <c r="L26" s="574">
        <v>91.66666666666666666666666667</v>
      </c>
      <c r="M26" s="574">
        <v>84.09090909090909090909090909</v>
      </c>
      <c r="N26" s="574">
        <v>80.30303030303030303030303030</v>
      </c>
      <c r="O26" s="574">
        <v>78.030303030303030303030303030</v>
      </c>
      <c r="P26" s="574">
        <v>75.757575757575757575757575760</v>
      </c>
      <c r="Q26" s="574">
        <v>80.30303030303030303030303030</v>
      </c>
      <c r="R26" s="574">
        <v>75.00</v>
      </c>
      <c r="S26" s="574">
        <v>78.030303030303030303030303030</v>
      </c>
      <c r="T26" s="574">
        <v>74.242424242424242424242424240</v>
      </c>
      <c r="U26" s="574">
        <v>67.424242424242424242424242420</v>
      </c>
      <c r="V26" s="574">
        <v>80.30303030303030303030303030</v>
      </c>
      <c r="W26" s="574">
        <v>96.21212121212121212121212121</v>
      </c>
      <c r="X26" s="574">
        <v>96.21212121212121212121212121</v>
      </c>
      <c r="Y26" s="574">
        <v>81.06060606060606060606060606</v>
      </c>
      <c r="Z26" s="574">
        <v>78.030303030303030303030303030</v>
      </c>
      <c r="AA26" s="574">
        <v>80.30303030303030303030303030</v>
      </c>
      <c r="AB26" s="574">
        <v>80.30303030303030303030303030</v>
      </c>
      <c r="AC26" s="574">
        <v>89.39393939393939393939393939</v>
      </c>
      <c r="AD26" s="574">
        <v>96.21212121212121212121212121</v>
      </c>
      <c r="AE26" s="574">
        <v>95.45454545454545454545454545</v>
      </c>
      <c r="AF26" s="574">
        <v>93.18181818181818181818181818</v>
      </c>
      <c r="AG26" s="575">
        <v>96.96969696969696969696969697</v>
      </c>
      <c r="AH26" s="342"/>
    </row>
    <row r="27" ht="24.95" customHeight="1">
      <c r="B27" s="38" t="s">
        <v>35</v>
      </c>
      <c r="C27" s="271">
        <v>95.57291666666666666666666667</v>
      </c>
      <c r="D27" s="92">
        <v>91.14583333333333333333333333</v>
      </c>
      <c r="E27" s="92">
        <v>82.55208333333333333333333333</v>
      </c>
      <c r="F27" s="92">
        <v>64.062500</v>
      </c>
      <c r="G27" s="92">
        <v>58.5937500</v>
      </c>
      <c r="H27" s="92">
        <v>63.802083333333333333333333330</v>
      </c>
      <c r="I27" s="92">
        <v>62.500</v>
      </c>
      <c r="J27" s="92">
        <v>72.395833333333333333333333330</v>
      </c>
      <c r="K27" s="92">
        <v>81.51041666666666666666666667</v>
      </c>
      <c r="L27" s="92">
        <v>83.85416666666666666666666667</v>
      </c>
      <c r="M27" s="92">
        <v>68.489583333333333333333333330</v>
      </c>
      <c r="N27" s="92">
        <v>56.510416666666666666666666670</v>
      </c>
      <c r="O27" s="92">
        <v>58.072916666666666666666666670</v>
      </c>
      <c r="P27" s="92">
        <v>55.729166666666666666666666670</v>
      </c>
      <c r="Q27" s="92">
        <v>63.541666666666666666666666670</v>
      </c>
      <c r="R27" s="92">
        <v>72.916666666666666666666666670</v>
      </c>
      <c r="S27" s="92">
        <v>84.37500</v>
      </c>
      <c r="T27" s="92">
        <v>70.833333333333333333333333330</v>
      </c>
      <c r="U27" s="92">
        <v>70.052083333333333333333333330</v>
      </c>
      <c r="V27" s="92">
        <v>63.541666666666666666666666670</v>
      </c>
      <c r="W27" s="92">
        <v>66.4062500</v>
      </c>
      <c r="X27" s="92">
        <v>76.822916666666666666666666670</v>
      </c>
      <c r="Y27" s="92">
        <v>68.229166666666666666666666670</v>
      </c>
      <c r="Z27" s="92">
        <v>65.364583333333333333333333330</v>
      </c>
      <c r="AA27" s="92">
        <v>63.541666666666666666666666670</v>
      </c>
      <c r="AB27" s="92">
        <v>63.020833333333333333333333330</v>
      </c>
      <c r="AC27" s="92">
        <v>64.8437500</v>
      </c>
      <c r="AD27" s="92">
        <v>72.135416666666666666666666670</v>
      </c>
      <c r="AE27" s="92">
        <v>76.562500</v>
      </c>
      <c r="AF27" s="92">
        <v>84.11458333333333333333333333</v>
      </c>
      <c r="AG27" s="272">
        <v>90.36458333333333333333333333</v>
      </c>
      <c r="AH27" s="342"/>
    </row>
    <row r="28" ht="24.95" customHeight="1">
      <c r="A28" s="23"/>
      <c r="B28" s="40" t="s">
        <v>97</v>
      </c>
      <c r="C28" s="581">
        <v>103.83948476587906713040615364</v>
      </c>
      <c r="D28" s="582">
        <v>108.88311688315670322820038562</v>
      </c>
      <c r="E28" s="582">
        <v>114.71178663612317585190239789</v>
      </c>
      <c r="F28" s="582">
        <v>145.45454545454545454545454545</v>
      </c>
      <c r="G28" s="582">
        <v>144.80808080808080808080808081</v>
      </c>
      <c r="H28" s="582">
        <v>137.73654916519255401158611915</v>
      </c>
      <c r="I28" s="582">
        <v>141.81818181818181818181818182</v>
      </c>
      <c r="J28" s="582">
        <v>128.71157619364984496379354447</v>
      </c>
      <c r="K28" s="582">
        <v>106.88353180361588962742390613</v>
      </c>
      <c r="L28" s="582">
        <v>109.31677018629194861309364793</v>
      </c>
      <c r="M28" s="582">
        <v>122.77912201872550051980724698</v>
      </c>
      <c r="N28" s="582">
        <v>142.10305823200666899623348747</v>
      </c>
      <c r="O28" s="582">
        <v>134.36608234806800348799589085</v>
      </c>
      <c r="P28" s="582">
        <v>135.93882752753126513629619201</v>
      </c>
      <c r="Q28" s="582">
        <v>126.37853949322729471549684648</v>
      </c>
      <c r="R28" s="582">
        <v>102.85714285709583673469389905</v>
      </c>
      <c r="S28" s="582">
        <v>92.48035914702581369248035915</v>
      </c>
      <c r="T28" s="582">
        <v>104.81283422464825416797737458</v>
      </c>
      <c r="U28" s="582">
        <v>96.24873268000524441217081695</v>
      </c>
      <c r="V28" s="582">
        <v>126.37853949322729471549684648</v>
      </c>
      <c r="W28" s="582">
        <v>144.88413547237076648841354723</v>
      </c>
      <c r="X28" s="582">
        <v>125.23882896758818604894102799</v>
      </c>
      <c r="Y28" s="582">
        <v>118.80638445518137425769850958</v>
      </c>
      <c r="Z28" s="582">
        <v>119.37703730538503544676783127</v>
      </c>
      <c r="AA28" s="582">
        <v>126.37853949322729471549684648</v>
      </c>
      <c r="AB28" s="582">
        <v>127.42299023297498556357927452</v>
      </c>
      <c r="AC28" s="582">
        <v>137.86053304125593282219788243</v>
      </c>
      <c r="AD28" s="582">
        <v>133.37709222179593208209770637</v>
      </c>
      <c r="AE28" s="582">
        <v>124.67532467532467532467532467</v>
      </c>
      <c r="AF28" s="582">
        <v>110.77962285397015978299419926</v>
      </c>
      <c r="AG28" s="583">
        <v>107.30940529215380970465060324</v>
      </c>
      <c r="AH28" s="342"/>
    </row>
    <row r="29" ht="24.95" customHeight="1">
      <c r="B29" s="25" t="s">
        <v>68</v>
      </c>
      <c r="R29" s="4"/>
      <c r="S29" s="4"/>
      <c r="T29" s="4"/>
      <c r="U29" s="4"/>
      <c r="V29" s="4"/>
      <c r="W29" s="4"/>
      <c r="X29" s="4"/>
      <c r="Y29" s="4"/>
      <c r="Z29" s="4"/>
      <c r="AA29" s="4"/>
      <c r="AB29" s="4"/>
      <c r="AC29" s="4"/>
      <c r="AD29" s="4"/>
      <c r="AE29" s="4"/>
      <c r="AF29" s="4"/>
      <c r="AG29" s="4"/>
      <c r="AH29" s="4"/>
    </row>
    <row r="30" ht="24.95" customHeight="1">
      <c r="B30" s="37" t="s">
        <v>19</v>
      </c>
      <c r="C30" s="573">
        <v>1.5503875968708851631512608400</v>
      </c>
      <c r="D30" s="574">
        <v>0.000000000024427480916036500</v>
      </c>
      <c r="E30" s="574">
        <v>-3.8461538461065088757396216600</v>
      </c>
      <c r="F30" s="574">
        <v>-2.3809523809058956916099551900</v>
      </c>
      <c r="G30" s="574">
        <v>-14.503816793872245207155755050</v>
      </c>
      <c r="H30" s="574">
        <v>-10.077519379870055886064532390</v>
      </c>
      <c r="I30" s="574">
        <v>-10.687022900741541868189494110</v>
      </c>
      <c r="J30" s="574">
        <v>-3.1496062991912455824911602800</v>
      </c>
      <c r="K30" s="574">
        <v>-4.1666666666762499999999990400</v>
      </c>
      <c r="L30" s="574">
        <v>-5.468750000002954101562499900</v>
      </c>
      <c r="M30" s="574">
        <v>-4.3103448275994054696789518100</v>
      </c>
      <c r="N30" s="574">
        <v>-7.8260869565089149338374273300</v>
      </c>
      <c r="O30" s="574">
        <v>-10.434782608683190926275990710</v>
      </c>
      <c r="P30" s="574">
        <v>-13.793103448287752675386443070</v>
      </c>
      <c r="Q30" s="574">
        <v>-5.3571428571597576530612214800</v>
      </c>
      <c r="R30" s="574">
        <v>-13.913043478248892249527408540</v>
      </c>
      <c r="S30" s="574">
        <v>-19.531250000002514648437499920</v>
      </c>
      <c r="T30" s="574">
        <v>-22.834645669274325748651493550</v>
      </c>
      <c r="U30" s="574">
        <v>-24.576271186407440390692315150</v>
      </c>
      <c r="V30" s="574">
        <v>-17.829457364364016585541727870</v>
      </c>
      <c r="W30" s="574">
        <v>8.547008546964014902476459210</v>
      </c>
      <c r="X30" s="574">
        <v>0.0000000000220472440944930500</v>
      </c>
      <c r="Y30" s="574">
        <v>-4.4642857143027742346938745100</v>
      </c>
      <c r="Z30" s="574">
        <v>-6.3636363635989090909090759300</v>
      </c>
      <c r="AA30" s="574">
        <v>-16.535433070847740095480186910</v>
      </c>
      <c r="AB30" s="574">
        <v>-17.829457364364016585541727870</v>
      </c>
      <c r="AC30" s="574">
        <v>-4.0650406503877850485821894900</v>
      </c>
      <c r="AD30" s="574">
        <v>0.7936507936987906273620787900</v>
      </c>
      <c r="AE30" s="574">
        <v>-3.0769230768753609467455386400</v>
      </c>
      <c r="AF30" s="574">
        <v>-3.1496062991912455824911602800</v>
      </c>
      <c r="AG30" s="575">
        <v>4.918032786933404998656297300</v>
      </c>
      <c r="AH30" s="342"/>
    </row>
    <row r="31" ht="24.95" customHeight="1">
      <c r="B31" s="38" t="s">
        <v>35</v>
      </c>
      <c r="C31" s="271">
        <v>15.061248836127915023264463260</v>
      </c>
      <c r="D31" s="92">
        <v>6.1725788288535067795836434200</v>
      </c>
      <c r="E31" s="92">
        <v>5.2661180966503686212003840800</v>
      </c>
      <c r="F31" s="92">
        <v>-8.269310631281043910939143600</v>
      </c>
      <c r="G31" s="92">
        <v>-2.4945704633302515103009784300</v>
      </c>
      <c r="H31" s="92">
        <v>4.5577867554442112005559166400</v>
      </c>
      <c r="I31" s="92">
        <v>-2.7527075811933827170952193400</v>
      </c>
      <c r="J31" s="92">
        <v>5.7715395479469453282103385100</v>
      </c>
      <c r="K31" s="92">
        <v>11.882132430943361041628659240</v>
      </c>
      <c r="L31" s="92">
        <v>13.295128004163035932028644740</v>
      </c>
      <c r="M31" s="92">
        <v>15.308634440180288382371316930</v>
      </c>
      <c r="N31" s="92">
        <v>12.239583333394366839477759770</v>
      </c>
      <c r="O31" s="92">
        <v>38.284127532130568867454257580</v>
      </c>
      <c r="P31" s="92">
        <v>8.194913663562779217139530810</v>
      </c>
      <c r="Q31" s="92">
        <v>15.554676512009113512346693440</v>
      </c>
      <c r="R31" s="92">
        <v>24.217720685079093857894992240</v>
      </c>
      <c r="S31" s="92">
        <v>27.152534965009623445828651930</v>
      </c>
      <c r="T31" s="92">
        <v>7.1198830409386793885298041200</v>
      </c>
      <c r="U31" s="92">
        <v>13.080329275856413591011023140</v>
      </c>
      <c r="V31" s="92">
        <v>2.5710049937136242238166901400</v>
      </c>
      <c r="W31" s="92">
        <v>11.366123540901097575285033910</v>
      </c>
      <c r="X31" s="92">
        <v>46.507420722690526841536798570</v>
      </c>
      <c r="Y31" s="92">
        <v>47.772717755440173214796764490</v>
      </c>
      <c r="Z31" s="92">
        <v>33.517229462923921769361667330</v>
      </c>
      <c r="AA31" s="92">
        <v>29.793641390252736700096600930</v>
      </c>
      <c r="AB31" s="92">
        <v>14.125962885176119583862961200</v>
      </c>
      <c r="AC31" s="92">
        <v>11.345244023932329682762979030</v>
      </c>
      <c r="AD31" s="92">
        <v>13.884119352838483181323162220</v>
      </c>
      <c r="AE31" s="92">
        <v>16.191681338058035185696050130</v>
      </c>
      <c r="AF31" s="92">
        <v>8.543070109728442441464401540</v>
      </c>
      <c r="AG31" s="272">
        <v>33.827133794657302754197557370</v>
      </c>
      <c r="AH31" s="342"/>
    </row>
    <row r="32" ht="24.95" customHeight="1">
      <c r="A32" s="23"/>
      <c r="B32" s="40" t="s">
        <v>97</v>
      </c>
      <c r="C32" s="581">
        <v>-11.742321047238606096083798920</v>
      </c>
      <c r="D32" s="582">
        <v>-5.8137222405912722437971865600</v>
      </c>
      <c r="E32" s="582">
        <v>-8.656414910668255034009855470</v>
      </c>
      <c r="F32" s="582">
        <v>6.4191802011339464269799731700</v>
      </c>
      <c r="G32" s="582">
        <v>-12.316489848455192989772121220</v>
      </c>
      <c r="H32" s="582">
        <v>-13.997337347527428817837942250</v>
      </c>
      <c r="I32" s="582">
        <v>-8.158906147657095675777441870</v>
      </c>
      <c r="J32" s="582">
        <v>-8.434353782902118066670507370</v>
      </c>
      <c r="K32" s="582">
        <v>-14.344380777299772406474993190</v>
      </c>
      <c r="L32" s="582">
        <v>-16.561946073705744491771083690</v>
      </c>
      <c r="M32" s="582">
        <v>-17.014319320464580390814875720</v>
      </c>
      <c r="N32" s="582">
        <v>-17.877534550660173947977112460</v>
      </c>
      <c r="O32" s="582">
        <v>-35.231021094260906017935479960</v>
      </c>
      <c r="P32" s="582">
        <v>-20.322597770429788149883479870</v>
      </c>
      <c r="Q32" s="582">
        <v>-18.096904426933405474681625130</v>
      </c>
      <c r="R32" s="582">
        <v>-30.696718594646929889745304840</v>
      </c>
      <c r="S32" s="582">
        <v>-36.714789034946797356424920060</v>
      </c>
      <c r="T32" s="582">
        <v>-27.963556213667556227345398110</v>
      </c>
      <c r="U32" s="582">
        <v>-33.300752397356586549376829400</v>
      </c>
      <c r="V32" s="582">
        <v>-19.889112287954174751377632460</v>
      </c>
      <c r="W32" s="582">
        <v>-2.5313936628903444993066769600</v>
      </c>
      <c r="X32" s="582">
        <v>-31.744071729148818590702695770</v>
      </c>
      <c r="Y32" s="582">
        <v>-35.349558608135413589895167090</v>
      </c>
      <c r="Z32" s="582">
        <v>-29.869452794171848118463818100</v>
      </c>
      <c r="AA32" s="582">
        <v>-35.694409961016764966403642550</v>
      </c>
      <c r="AB32" s="582">
        <v>-28.000131995948233207613277770</v>
      </c>
      <c r="AC32" s="582">
        <v>-13.840092416523730720883214790</v>
      </c>
      <c r="AD32" s="582">
        <v>-11.49455133310020049564436700</v>
      </c>
      <c r="AE32" s="582">
        <v>-16.583462940814569165590337280</v>
      </c>
      <c r="AF32" s="582">
        <v>-10.772384084095216454194208650</v>
      </c>
      <c r="AG32" s="583">
        <v>-21.601823328385410611335331390</v>
      </c>
      <c r="AH32" s="342"/>
    </row>
    <row r="33" ht="30" customHeight="1">
      <c r="A33" s="8"/>
      <c r="B33" s="25"/>
      <c r="X33" s="792"/>
      <c r="Y33" s="792"/>
      <c r="Z33" s="792"/>
      <c r="AA33" s="792"/>
      <c r="AB33" s="792"/>
      <c r="AC33" s="792"/>
      <c r="AD33" s="792"/>
      <c r="AE33"/>
      <c r="AF33"/>
      <c r="AG33" s="4"/>
      <c r="AH33" s="4"/>
    </row>
    <row r="34" s="35" customFormat="1" ht="20.1" customHeight="1">
      <c r="B34" s="784" t="s">
        <v>9</v>
      </c>
      <c r="C34" s="350" t="s">
        <v>294</v>
      </c>
      <c r="D34" s="351"/>
      <c r="E34" s="351"/>
      <c r="F34" s="351"/>
      <c r="G34" s="351"/>
      <c r="H34" s="351"/>
      <c r="I34" s="351"/>
      <c r="J34" s="351"/>
      <c r="K34" s="351"/>
      <c r="L34" s="351"/>
      <c r="M34" s="351"/>
      <c r="N34" s="351"/>
      <c r="O34" s="351"/>
      <c r="P34" s="351"/>
      <c r="Q34" s="351"/>
      <c r="R34" s="351"/>
      <c r="S34" s="352"/>
      <c r="T34" s="352"/>
      <c r="U34" s="352"/>
      <c r="V34" s="352"/>
      <c r="W34" s="352"/>
      <c r="X34" s="352"/>
      <c r="Y34" s="352"/>
      <c r="Z34" s="352"/>
      <c r="AA34" s="352"/>
      <c r="AB34" s="352"/>
      <c r="AC34" s="352"/>
      <c r="AD34" s="352"/>
      <c r="AE34" s="352"/>
      <c r="AF34" s="352"/>
      <c r="AG34" s="353"/>
      <c r="AH34" s="529"/>
      <c r="AI34" s="236"/>
      <c r="AJ34" s="236"/>
      <c r="AK34" s="236"/>
      <c r="AL34" s="236"/>
      <c r="AM34" s="236"/>
      <c r="AN34" s="236"/>
      <c r="AO34" s="236"/>
      <c r="AP34" s="236"/>
      <c r="AQ34" s="236"/>
      <c r="AR34" s="236"/>
      <c r="AS34" s="236"/>
      <c r="AT34" s="236"/>
      <c r="AU34" s="236"/>
      <c r="AV34" s="236"/>
      <c r="AW34" s="236"/>
    </row>
    <row r="35" s="36" customFormat="1" ht="20.1" customHeight="1">
      <c r="B35" s="964"/>
      <c r="C35" s="354">
        <v>1</v>
      </c>
      <c r="D35" s="355">
        <v>2</v>
      </c>
      <c r="E35" s="355">
        <v>3</v>
      </c>
      <c r="F35" s="355">
        <v>4</v>
      </c>
      <c r="G35" s="355">
        <v>5</v>
      </c>
      <c r="H35" s="355">
        <v>6</v>
      </c>
      <c r="I35" s="355">
        <v>7</v>
      </c>
      <c r="J35" s="355">
        <v>8</v>
      </c>
      <c r="K35" s="355">
        <v>9</v>
      </c>
      <c r="L35" s="355">
        <v>10</v>
      </c>
      <c r="M35" s="355">
        <v>11</v>
      </c>
      <c r="N35" s="355">
        <v>12</v>
      </c>
      <c r="O35" s="355">
        <v>13</v>
      </c>
      <c r="P35" s="355">
        <v>14</v>
      </c>
      <c r="Q35" s="355">
        <v>15</v>
      </c>
      <c r="R35" s="355">
        <v>16</v>
      </c>
      <c r="S35" s="355">
        <v>17</v>
      </c>
      <c r="T35" s="355">
        <v>18</v>
      </c>
      <c r="U35" s="355">
        <v>19</v>
      </c>
      <c r="V35" s="355">
        <v>20</v>
      </c>
      <c r="W35" s="355">
        <v>21</v>
      </c>
      <c r="X35" s="355">
        <v>22</v>
      </c>
      <c r="Y35" s="355">
        <v>23</v>
      </c>
      <c r="Z35" s="355">
        <v>24</v>
      </c>
      <c r="AA35" s="355">
        <v>25</v>
      </c>
      <c r="AB35" s="355">
        <v>26</v>
      </c>
      <c r="AC35" s="355">
        <v>27</v>
      </c>
      <c r="AD35" s="355">
        <v>28</v>
      </c>
      <c r="AE35" s="355">
        <v>29</v>
      </c>
      <c r="AF35" s="355">
        <v>30</v>
      </c>
      <c r="AG35" s="356">
        <v>31</v>
      </c>
      <c r="AH35" s="529"/>
      <c r="AI35" s="236"/>
      <c r="AJ35" s="236"/>
      <c r="AK35" s="236"/>
      <c r="AL35" s="236"/>
      <c r="AM35" s="236"/>
      <c r="AN35" s="236"/>
      <c r="AO35" s="236"/>
      <c r="AP35" s="236"/>
      <c r="AQ35" s="236"/>
      <c r="AR35" s="236"/>
      <c r="AS35" s="236"/>
      <c r="AT35" s="236"/>
      <c r="AU35" s="236"/>
      <c r="AV35" s="236"/>
      <c r="AW35" s="236"/>
    </row>
    <row r="36" ht="24.95" customHeight="1">
      <c r="B36" s="263" t="s">
        <v>19</v>
      </c>
      <c r="C36" s="578">
        <v>761.48854961832061068702290076</v>
      </c>
      <c r="D36" s="579">
        <v>642.60305343511450381679389313</v>
      </c>
      <c r="E36" s="579">
        <v>478.944000000</v>
      </c>
      <c r="F36" s="579">
        <v>221.44715447154471544715447154</v>
      </c>
      <c r="G36" s="579">
        <v>157.32142857142857142857142857</v>
      </c>
      <c r="H36" s="579">
        <v>163.46551724137931034482758621</v>
      </c>
      <c r="I36" s="579">
        <v>163.17948717948717948717948718</v>
      </c>
      <c r="J36" s="579">
        <v>210.9918699186991869918699187</v>
      </c>
      <c r="K36" s="579">
        <v>263.18260869565217391304347826</v>
      </c>
      <c r="L36" s="579">
        <v>273.8760330578512396694214876</v>
      </c>
      <c r="M36" s="579">
        <v>153.45045045045045045045045045</v>
      </c>
      <c r="N36" s="579">
        <v>151.000000000</v>
      </c>
      <c r="O36" s="579">
        <v>152.79611650485436893203883495</v>
      </c>
      <c r="P36" s="579">
        <v>166.190000000</v>
      </c>
      <c r="Q36" s="579">
        <v>173.1226415094339622641509434</v>
      </c>
      <c r="R36" s="579">
        <v>230.84848484848484848484848485</v>
      </c>
      <c r="S36" s="579">
        <v>259.04854368932038834951456311</v>
      </c>
      <c r="T36" s="579">
        <v>174.71428571428571428571428571</v>
      </c>
      <c r="U36" s="579">
        <v>190.20224719101123595505617978</v>
      </c>
      <c r="V36" s="579">
        <v>170.63207547169811320754716981</v>
      </c>
      <c r="W36" s="579">
        <v>181.77165354330708661417322835</v>
      </c>
      <c r="X36" s="579">
        <v>224.70078740157480314960629921</v>
      </c>
      <c r="Y36" s="579">
        <v>280.85981308411214953271028037</v>
      </c>
      <c r="Z36" s="579">
        <v>269.21359223300970873786407767</v>
      </c>
      <c r="AA36" s="579">
        <v>289.53773584905660377358490566</v>
      </c>
      <c r="AB36" s="579">
        <v>330.26415094339622641509433962</v>
      </c>
      <c r="AC36" s="579">
        <v>385.31355932203389830508474576</v>
      </c>
      <c r="AD36" s="579">
        <v>408.85826771653543307086614173</v>
      </c>
      <c r="AE36" s="579">
        <v>440.15079365079365079365079365</v>
      </c>
      <c r="AF36" s="579">
        <v>567.9593495934959349593495935</v>
      </c>
      <c r="AG36" s="580">
        <v>665.734375000</v>
      </c>
      <c r="AH36" s="342"/>
    </row>
    <row r="37" ht="24.95" customHeight="1">
      <c r="B37" s="38" t="s">
        <v>35</v>
      </c>
      <c r="C37" s="276">
        <v>761.31416893732970027247956401</v>
      </c>
      <c r="D37" s="94">
        <v>658.1497142857142857142857143</v>
      </c>
      <c r="E37" s="94">
        <v>557.13375394321766561514195585</v>
      </c>
      <c r="F37" s="94">
        <v>320.22138211382113821138211382</v>
      </c>
      <c r="G37" s="94">
        <v>205.55542222222222222222222222</v>
      </c>
      <c r="H37" s="94">
        <v>234.46191836734693877551020409</v>
      </c>
      <c r="I37" s="94">
        <v>217.519625</v>
      </c>
      <c r="J37" s="94">
        <v>234.62255395683453237410071943</v>
      </c>
      <c r="K37" s="94">
        <v>287.80734824281150159744408945</v>
      </c>
      <c r="L37" s="94">
        <v>294.61273291925465838509316769</v>
      </c>
      <c r="M37" s="94">
        <v>212.2314068441064638783269962</v>
      </c>
      <c r="N37" s="94">
        <v>214.95760368663594470046082948</v>
      </c>
      <c r="O37" s="94">
        <v>219.69713004484304932735426008</v>
      </c>
      <c r="P37" s="94">
        <v>197.84696261682242990654205607</v>
      </c>
      <c r="Q37" s="94">
        <v>217.10467213114754098360655737</v>
      </c>
      <c r="R37" s="94">
        <v>281.58057142857142857142857142</v>
      </c>
      <c r="S37" s="94">
        <v>284.64496913580246913580246914</v>
      </c>
      <c r="T37" s="94">
        <v>211.87117647058823529411764707</v>
      </c>
      <c r="U37" s="94">
        <v>248.05368029739776951672862454</v>
      </c>
      <c r="V37" s="94">
        <v>229.26143442622950819672131146</v>
      </c>
      <c r="W37" s="94">
        <v>246.40121568627450980392156863</v>
      </c>
      <c r="X37" s="94">
        <v>264.18962711864406779661016948</v>
      </c>
      <c r="Y37" s="94">
        <v>358.34851145038167938931297709</v>
      </c>
      <c r="Z37" s="94">
        <v>371.08362549800796812749003985</v>
      </c>
      <c r="AA37" s="94">
        <v>401.21844262295081967213114753</v>
      </c>
      <c r="AB37" s="94">
        <v>462.03016528925619834710743803</v>
      </c>
      <c r="AC37" s="94">
        <v>570.08795180722891566265060241</v>
      </c>
      <c r="AD37" s="94">
        <v>586.79891696750902527075812272</v>
      </c>
      <c r="AE37" s="94">
        <v>540.11462585034013605442176871</v>
      </c>
      <c r="AF37" s="94">
        <v>585.49969040247678018575851395</v>
      </c>
      <c r="AG37" s="277">
        <v>615.64293948126801152737752163</v>
      </c>
      <c r="AH37" s="342"/>
    </row>
    <row r="38" ht="24.95" customHeight="1">
      <c r="A38" s="23"/>
      <c r="B38" s="40" t="s">
        <v>98</v>
      </c>
      <c r="C38" s="581">
        <v>100.02290521943969917885655326</v>
      </c>
      <c r="D38" s="582">
        <v>97.63782304950803995401408364</v>
      </c>
      <c r="E38" s="582">
        <v>85.96571229264068688651377424</v>
      </c>
      <c r="F38" s="582">
        <v>69.154393441736821843601302140</v>
      </c>
      <c r="G38" s="582">
        <v>76.534798678951046479300460040</v>
      </c>
      <c r="H38" s="582">
        <v>69.719431786487320893220559840</v>
      </c>
      <c r="I38" s="582">
        <v>75.018282685751770437807387350</v>
      </c>
      <c r="J38" s="582">
        <v>89.92821293623296547199062533</v>
      </c>
      <c r="K38" s="582">
        <v>91.44401986346300431653861172</v>
      </c>
      <c r="L38" s="582">
        <v>92.96137011595865591898912357</v>
      </c>
      <c r="M38" s="582">
        <v>72.303365808233744473779443060</v>
      </c>
      <c r="N38" s="582">
        <v>70.246410180563907618679675310</v>
      </c>
      <c r="O38" s="582">
        <v>69.548526407102645856892554580</v>
      </c>
      <c r="P38" s="582">
        <v>83.99926781887735839641775920</v>
      </c>
      <c r="Q38" s="582">
        <v>79.74155498822834345756667324</v>
      </c>
      <c r="R38" s="582">
        <v>81.98310120519830777648665885</v>
      </c>
      <c r="S38" s="582">
        <v>91.00759605054957880280267139</v>
      </c>
      <c r="T38" s="582">
        <v>82.46250793747288773814465259</v>
      </c>
      <c r="U38" s="582">
        <v>76.677857374650232208950251890</v>
      </c>
      <c r="V38" s="582">
        <v>74.426855043788506099512819420</v>
      </c>
      <c r="W38" s="582">
        <v>73.770599319901674787475392230</v>
      </c>
      <c r="X38" s="582">
        <v>85.05284247995934070809469031</v>
      </c>
      <c r="Y38" s="582">
        <v>78.376162900005997745329899400</v>
      </c>
      <c r="Z38" s="582">
        <v>72.547957854976995716283260680</v>
      </c>
      <c r="AA38" s="582">
        <v>72.164612861806353767888695830</v>
      </c>
      <c r="AB38" s="582">
        <v>71.481079755171713232919018010</v>
      </c>
      <c r="AC38" s="582">
        <v>67.588441064326230959728424330</v>
      </c>
      <c r="AD38" s="582">
        <v>69.676043341978449349627742710</v>
      </c>
      <c r="AE38" s="582">
        <v>81.49210789429489293471016805</v>
      </c>
      <c r="AF38" s="582">
        <v>97.00421006252863933329696898</v>
      </c>
      <c r="AG38" s="583">
        <v>108.13644278303649981198685142</v>
      </c>
      <c r="AH38" s="342"/>
    </row>
    <row r="39" ht="24.95" customHeight="1">
      <c r="B39" s="25" t="s">
        <v>68</v>
      </c>
      <c r="S39" s="4"/>
      <c r="T39" s="4"/>
      <c r="U39" s="4"/>
      <c r="V39" s="4"/>
      <c r="W39" s="4"/>
      <c r="X39" s="4"/>
      <c r="Y39" s="4"/>
      <c r="Z39" s="4"/>
      <c r="AA39" s="4"/>
      <c r="AB39" s="4"/>
      <c r="AC39" s="4"/>
      <c r="AD39" s="4"/>
      <c r="AE39" s="4"/>
      <c r="AF39" s="4"/>
      <c r="AG39" s="4"/>
      <c r="AH39" s="4"/>
    </row>
    <row r="40" ht="24.95" customHeight="1">
      <c r="B40" s="37" t="s">
        <v>19</v>
      </c>
      <c r="C40" s="573">
        <v>19.046030952494813999604981840</v>
      </c>
      <c r="D40" s="574">
        <v>-1.8514848022020625629381065300</v>
      </c>
      <c r="E40" s="574">
        <v>-15.609157077221669626474892770</v>
      </c>
      <c r="F40" s="574">
        <v>-18.488091310756448266260931940</v>
      </c>
      <c r="G40" s="574">
        <v>-17.039259548938306344501445640</v>
      </c>
      <c r="H40" s="574">
        <v>-4.6611279313856605664460848700</v>
      </c>
      <c r="I40" s="574">
        <v>-3.2299102738368784079669664500</v>
      </c>
      <c r="J40" s="574">
        <v>1.2735457865767440642234033700</v>
      </c>
      <c r="K40" s="574">
        <v>-12.713744283138661712076328180</v>
      </c>
      <c r="L40" s="574">
        <v>-9.590890441250912501132300680</v>
      </c>
      <c r="M40" s="574">
        <v>-2.8900586347331283603456876500</v>
      </c>
      <c r="N40" s="574">
        <v>-7.4902775557918451704165723500</v>
      </c>
      <c r="O40" s="574">
        <v>-3.8755284569933436340893257500</v>
      </c>
      <c r="P40" s="574">
        <v>1.5061078348992220109172070800</v>
      </c>
      <c r="Q40" s="574">
        <v>-6.878609888300385573784012800</v>
      </c>
      <c r="R40" s="574">
        <v>-21.426655939930276213462054170</v>
      </c>
      <c r="S40" s="574">
        <v>-13.955227340063811218762030110</v>
      </c>
      <c r="T40" s="574">
        <v>-19.745680390220928906039491630</v>
      </c>
      <c r="U40" s="574">
        <v>-9.961627277508146864675714860</v>
      </c>
      <c r="V40" s="574">
        <v>-19.057373921277629176449491260</v>
      </c>
      <c r="W40" s="574">
        <v>-18.120876782294105128750798040</v>
      </c>
      <c r="X40" s="574">
        <v>2.9176283900831801349703614700</v>
      </c>
      <c r="Y40" s="574">
        <v>-26.264506070135765735072610640</v>
      </c>
      <c r="Z40" s="574">
        <v>-29.471527232470318480429233960</v>
      </c>
      <c r="AA40" s="574">
        <v>-28.281922973889188815737016460</v>
      </c>
      <c r="AB40" s="574">
        <v>-22.064765170865609113562618880</v>
      </c>
      <c r="AC40" s="574">
        <v>-16.497405083752350138924007430</v>
      </c>
      <c r="AD40" s="574">
        <v>-14.028000179756083643865921300</v>
      </c>
      <c r="AE40" s="574">
        <v>-22.677256828151905425580720840</v>
      </c>
      <c r="AF40" s="574">
        <v>-20.842336843199443019925568780</v>
      </c>
      <c r="AG40" s="575">
        <v>21.049829721582838335423261240</v>
      </c>
      <c r="AH40" s="342"/>
    </row>
    <row r="41" ht="24.95" customHeight="1">
      <c r="B41" s="38" t="s">
        <v>35</v>
      </c>
      <c r="C41" s="271">
        <v>4.6059758135718497259810624900</v>
      </c>
      <c r="D41" s="92">
        <v>-10.661659088355688899189736830</v>
      </c>
      <c r="E41" s="92">
        <v>-5.2655443761232637168355200</v>
      </c>
      <c r="F41" s="92">
        <v>1.8157576620866026146758837600</v>
      </c>
      <c r="G41" s="92">
        <v>-13.616592273957685770075102300</v>
      </c>
      <c r="H41" s="92">
        <v>-19.984931480282104450145010110</v>
      </c>
      <c r="I41" s="92">
        <v>-13.919962288056324255856076610</v>
      </c>
      <c r="J41" s="92">
        <v>-15.584571394759071312990408140</v>
      </c>
      <c r="K41" s="92">
        <v>-15.609894546120941566679422480</v>
      </c>
      <c r="L41" s="92">
        <v>-14.340261837595508479701928410</v>
      </c>
      <c r="M41" s="92">
        <v>-11.128362438676199820933035980</v>
      </c>
      <c r="N41" s="92">
        <v>-4.9740432530242558123501546400</v>
      </c>
      <c r="O41" s="92">
        <v>-6.3211100865832373057729739800</v>
      </c>
      <c r="P41" s="92">
        <v>-15.579260247521487508116233110</v>
      </c>
      <c r="Q41" s="92">
        <v>-15.762636683101763091932839430</v>
      </c>
      <c r="R41" s="92">
        <v>-17.515717864596190582137937650</v>
      </c>
      <c r="S41" s="92">
        <v>-16.684377577415938581342402890</v>
      </c>
      <c r="T41" s="92">
        <v>-27.623779563800179857616855050</v>
      </c>
      <c r="U41" s="92">
        <v>-7.9161377313521848614981567900</v>
      </c>
      <c r="V41" s="92">
        <v>-18.572817533782308873380840510</v>
      </c>
      <c r="W41" s="92">
        <v>-15.051411168457352154453247570</v>
      </c>
      <c r="X41" s="92">
        <v>-11.351475347674380659505194270</v>
      </c>
      <c r="Y41" s="92">
        <v>-19.532634896069916704077269760</v>
      </c>
      <c r="Z41" s="92">
        <v>-16.707432527519892521931884350</v>
      </c>
      <c r="AA41" s="92">
        <v>-18.558433403843135208500364330</v>
      </c>
      <c r="AB41" s="92">
        <v>-27.841947106816042725732101010</v>
      </c>
      <c r="AC41" s="92">
        <v>-8.982102827291563636631840280</v>
      </c>
      <c r="AD41" s="92">
        <v>-8.780633138091417245805660860</v>
      </c>
      <c r="AE41" s="92">
        <v>-24.943629762570792561011321070</v>
      </c>
      <c r="AF41" s="92">
        <v>-25.851929916741097609328649560</v>
      </c>
      <c r="AG41" s="272">
        <v>-3.9335451713049821003533050100</v>
      </c>
      <c r="AH41" s="342"/>
    </row>
    <row r="42" ht="24.95" customHeight="1">
      <c r="A42" s="23"/>
      <c r="B42" s="40" t="s">
        <v>98</v>
      </c>
      <c r="C42" s="581">
        <v>13.804235395423760236878483120</v>
      </c>
      <c r="D42" s="582">
        <v>9.861582604111990716797487230</v>
      </c>
      <c r="E42" s="582">
        <v>-10.918532895945168636958933320</v>
      </c>
      <c r="F42" s="582">
        <v>-19.941755028003855858981863310</v>
      </c>
      <c r="G42" s="582">
        <v>-3.9621813552898240151590026600</v>
      </c>
      <c r="H42" s="582">
        <v>19.151147193116443110319080440</v>
      </c>
      <c r="I42" s="582">
        <v>12.418735282116589437929429990</v>
      </c>
      <c r="J42" s="582">
        <v>19.970421829130390310503732060</v>
      </c>
      <c r="K42" s="582">
        <v>3.4318599881607966915465988100</v>
      </c>
      <c r="L42" s="582">
        <v>5.5444617252591250317226830300</v>
      </c>
      <c r="M42" s="582">
        <v>9.269890856019440211421267560</v>
      </c>
      <c r="N42" s="582">
        <v>-2.6479441922251109621067638600</v>
      </c>
      <c r="O42" s="582">
        <v>2.6106005652424844397526495200</v>
      </c>
      <c r="P42" s="582">
        <v>20.238353907396135728370507420</v>
      </c>
      <c r="Q42" s="582">
        <v>10.546420786421390261499237840</v>
      </c>
      <c r="R42" s="582">
        <v>-4.7414343364366582257979967600</v>
      </c>
      <c r="S42" s="582">
        <v>3.2756764674055565063041866800</v>
      </c>
      <c r="T42" s="582">
        <v>10.884927571710864312834922190</v>
      </c>
      <c r="U42" s="582">
        <v>-2.2213333539506744936972641700</v>
      </c>
      <c r="V42" s="582">
        <v>-0.595079398357236530950846800</v>
      </c>
      <c r="W42" s="582">
        <v>-3.6133214877896528421888758700</v>
      </c>
      <c r="X42" s="582">
        <v>16.096267584507095933549232050</v>
      </c>
      <c r="Y42" s="582">
        <v>-8.365964469375014158990590800</v>
      </c>
      <c r="Z42" s="582">
        <v>-15.324410199238086333856305400</v>
      </c>
      <c r="AA42" s="582">
        <v>-11.939222164385089534967860330</v>
      </c>
      <c r="AB42" s="582">
        <v>8.006288562811251711409427910</v>
      </c>
      <c r="AC42" s="582">
        <v>-8.256949995435776724085100950</v>
      </c>
      <c r="AD42" s="582">
        <v>-5.7524703603447577951293745200</v>
      </c>
      <c r="AE42" s="582">
        <v>3.0195610676044912363642834800</v>
      </c>
      <c r="AF42" s="582">
        <v>6.7562015678810665142543009400</v>
      </c>
      <c r="AG42" s="583">
        <v>26.006346270882618355476759960</v>
      </c>
      <c r="AH42" s="342"/>
    </row>
    <row r="43" ht="30" customHeight="1">
      <c r="A43" s="8"/>
      <c r="B43" s="25"/>
      <c r="X43" s="792"/>
      <c r="Y43" s="792"/>
      <c r="Z43" s="792"/>
      <c r="AA43" s="792"/>
      <c r="AB43" s="792"/>
      <c r="AC43" s="792"/>
      <c r="AD43" s="792"/>
      <c r="AE43"/>
      <c r="AF43"/>
      <c r="AG43" s="4"/>
      <c r="AH43" s="4"/>
    </row>
    <row r="44" s="35" customFormat="1" ht="20.1" customHeight="1">
      <c r="B44" s="784" t="s">
        <v>10</v>
      </c>
      <c r="C44" s="350" t="s">
        <v>294</v>
      </c>
      <c r="D44" s="351"/>
      <c r="E44" s="351"/>
      <c r="F44" s="351"/>
      <c r="G44" s="351"/>
      <c r="H44" s="351"/>
      <c r="I44" s="351"/>
      <c r="J44" s="351"/>
      <c r="K44" s="351"/>
      <c r="L44" s="351"/>
      <c r="M44" s="351"/>
      <c r="N44" s="351"/>
      <c r="O44" s="351"/>
      <c r="P44" s="351"/>
      <c r="Q44" s="351"/>
      <c r="R44" s="351"/>
      <c r="S44" s="352"/>
      <c r="T44" s="352"/>
      <c r="U44" s="352"/>
      <c r="V44" s="352"/>
      <c r="W44" s="352"/>
      <c r="X44" s="352"/>
      <c r="Y44" s="352"/>
      <c r="Z44" s="352"/>
      <c r="AA44" s="352"/>
      <c r="AB44" s="352"/>
      <c r="AC44" s="352"/>
      <c r="AD44" s="352"/>
      <c r="AE44" s="352"/>
      <c r="AF44" s="352"/>
      <c r="AG44" s="353"/>
      <c r="AH44" s="529"/>
      <c r="AI44" s="236"/>
      <c r="AJ44" s="236"/>
      <c r="AK44" s="236"/>
      <c r="AL44" s="236"/>
      <c r="AM44" s="236"/>
      <c r="AN44" s="236"/>
      <c r="AO44" s="236"/>
      <c r="AP44" s="236"/>
      <c r="AQ44" s="236"/>
      <c r="AR44" s="236"/>
      <c r="AS44" s="236"/>
      <c r="AT44" s="236"/>
      <c r="AU44" s="236"/>
      <c r="AV44" s="236"/>
      <c r="AW44" s="236"/>
    </row>
    <row r="45" s="36" customFormat="1" ht="20.1" customHeight="1">
      <c r="B45" s="964"/>
      <c r="C45" s="354">
        <v>1</v>
      </c>
      <c r="D45" s="355">
        <v>2</v>
      </c>
      <c r="E45" s="355">
        <v>3</v>
      </c>
      <c r="F45" s="355">
        <v>4</v>
      </c>
      <c r="G45" s="355">
        <v>5</v>
      </c>
      <c r="H45" s="355">
        <v>6</v>
      </c>
      <c r="I45" s="355">
        <v>7</v>
      </c>
      <c r="J45" s="355">
        <v>8</v>
      </c>
      <c r="K45" s="355">
        <v>9</v>
      </c>
      <c r="L45" s="355">
        <v>10</v>
      </c>
      <c r="M45" s="355">
        <v>11</v>
      </c>
      <c r="N45" s="355">
        <v>12</v>
      </c>
      <c r="O45" s="355">
        <v>13</v>
      </c>
      <c r="P45" s="355">
        <v>14</v>
      </c>
      <c r="Q45" s="355">
        <v>15</v>
      </c>
      <c r="R45" s="355">
        <v>16</v>
      </c>
      <c r="S45" s="355">
        <v>17</v>
      </c>
      <c r="T45" s="355">
        <v>18</v>
      </c>
      <c r="U45" s="355">
        <v>19</v>
      </c>
      <c r="V45" s="355">
        <v>20</v>
      </c>
      <c r="W45" s="355">
        <v>21</v>
      </c>
      <c r="X45" s="355">
        <v>22</v>
      </c>
      <c r="Y45" s="355">
        <v>23</v>
      </c>
      <c r="Z45" s="355">
        <v>24</v>
      </c>
      <c r="AA45" s="355">
        <v>25</v>
      </c>
      <c r="AB45" s="355">
        <v>26</v>
      </c>
      <c r="AC45" s="355">
        <v>27</v>
      </c>
      <c r="AD45" s="355">
        <v>28</v>
      </c>
      <c r="AE45" s="355">
        <v>29</v>
      </c>
      <c r="AF45" s="355">
        <v>30</v>
      </c>
      <c r="AG45" s="356">
        <v>31</v>
      </c>
      <c r="AH45" s="529"/>
      <c r="AI45" s="236"/>
      <c r="AJ45" s="236"/>
      <c r="AK45" s="236"/>
      <c r="AL45" s="236"/>
      <c r="AM45" s="236"/>
      <c r="AN45" s="236"/>
      <c r="AO45" s="236"/>
      <c r="AP45" s="236"/>
      <c r="AQ45" s="236"/>
      <c r="AR45" s="236"/>
      <c r="AS45" s="236"/>
      <c r="AT45" s="236"/>
      <c r="AU45" s="236"/>
      <c r="AV45" s="236"/>
      <c r="AW45" s="236"/>
    </row>
    <row r="46" ht="24.95" customHeight="1">
      <c r="B46" s="263" t="s">
        <v>19</v>
      </c>
      <c r="C46" s="578">
        <v>755.71969696969696969696969697</v>
      </c>
      <c r="D46" s="579">
        <v>637.73484848484848484848484848</v>
      </c>
      <c r="E46" s="579">
        <v>453.54545454545454545454545455</v>
      </c>
      <c r="F46" s="579">
        <v>206.34848484848484848484848485</v>
      </c>
      <c r="G46" s="579">
        <v>133.48484848484848484848484848</v>
      </c>
      <c r="H46" s="579">
        <v>143.65151515151515151515151515</v>
      </c>
      <c r="I46" s="579">
        <v>144.63636363636363636363636364</v>
      </c>
      <c r="J46" s="579">
        <v>196.60606060606060606060606061</v>
      </c>
      <c r="K46" s="579">
        <v>229.28787878787878787878787879</v>
      </c>
      <c r="L46" s="579">
        <v>251.0530303030303030303030303</v>
      </c>
      <c r="M46" s="579">
        <v>129.03787878787878787878787879</v>
      </c>
      <c r="N46" s="579">
        <v>121.25757575757575757575757576</v>
      </c>
      <c r="O46" s="579">
        <v>119.22727272727272727272727273</v>
      </c>
      <c r="P46" s="579">
        <v>125.90151515151515151515151515</v>
      </c>
      <c r="Q46" s="579">
        <v>139.02272727272727272727272727</v>
      </c>
      <c r="R46" s="579">
        <v>173.13636363636363636363636364</v>
      </c>
      <c r="S46" s="579">
        <v>202.13636363636363636363636364</v>
      </c>
      <c r="T46" s="579">
        <v>129.71212121212121212121212121</v>
      </c>
      <c r="U46" s="579">
        <v>128.24242424242424242424242424</v>
      </c>
      <c r="V46" s="579">
        <v>137.02272727272727272727272727</v>
      </c>
      <c r="W46" s="579">
        <v>174.88636363636363636363636364</v>
      </c>
      <c r="X46" s="579">
        <v>216.18939393939393939393939394</v>
      </c>
      <c r="Y46" s="579">
        <v>227.66666666666666666666666667</v>
      </c>
      <c r="Z46" s="579">
        <v>210.06818181818181818181818182</v>
      </c>
      <c r="AA46" s="579">
        <v>232.50757575757575757575757576</v>
      </c>
      <c r="AB46" s="579">
        <v>265.21212121212121212121212121</v>
      </c>
      <c r="AC46" s="579">
        <v>344.4469696969696969696969697</v>
      </c>
      <c r="AD46" s="579">
        <v>393.37121212121212121212121212</v>
      </c>
      <c r="AE46" s="579">
        <v>420.14393939393939393939393939</v>
      </c>
      <c r="AF46" s="579">
        <v>529.23484848484848484848484848</v>
      </c>
      <c r="AG46" s="580">
        <v>645.56060606060606060606060606</v>
      </c>
      <c r="AH46" s="342"/>
    </row>
    <row r="47" ht="24.95" customHeight="1">
      <c r="B47" s="38" t="s">
        <v>35</v>
      </c>
      <c r="C47" s="276">
        <v>727.610156250</v>
      </c>
      <c r="D47" s="94">
        <v>599.87604166666666666666666667</v>
      </c>
      <c r="E47" s="94">
        <v>459.92552083333333333333333333</v>
      </c>
      <c r="F47" s="94">
        <v>205.14182291666666666666666667</v>
      </c>
      <c r="G47" s="94">
        <v>120.44263020833333333333333333</v>
      </c>
      <c r="H47" s="94">
        <v>149.59158854166666666666666667</v>
      </c>
      <c r="I47" s="94">
        <v>135.949765625</v>
      </c>
      <c r="J47" s="94">
        <v>169.856953125</v>
      </c>
      <c r="K47" s="94">
        <v>234.592968750</v>
      </c>
      <c r="L47" s="94">
        <v>247.04505208333333333333333333</v>
      </c>
      <c r="M47" s="94">
        <v>145.356406250</v>
      </c>
      <c r="N47" s="94">
        <v>121.473437500</v>
      </c>
      <c r="O47" s="94">
        <v>127.584531250</v>
      </c>
      <c r="P47" s="94">
        <v>110.25846354166666666666666667</v>
      </c>
      <c r="Q47" s="94">
        <v>137.95192708333333333333333333</v>
      </c>
      <c r="R47" s="94">
        <v>205.31916666666666666666666667</v>
      </c>
      <c r="S47" s="94">
        <v>240.16919270833333333333333333</v>
      </c>
      <c r="T47" s="94">
        <v>150.07541666666666666666666667</v>
      </c>
      <c r="U47" s="94">
        <v>173.76677083333333333333333333</v>
      </c>
      <c r="V47" s="94">
        <v>145.67653645833333333333333333</v>
      </c>
      <c r="W47" s="94">
        <v>163.62580729166666666666666667</v>
      </c>
      <c r="X47" s="94">
        <v>202.95817708333333333333333333</v>
      </c>
      <c r="Y47" s="94">
        <v>244.498203125</v>
      </c>
      <c r="Z47" s="94">
        <v>242.557265625</v>
      </c>
      <c r="AA47" s="94">
        <v>254.94088541666666666666666667</v>
      </c>
      <c r="AB47" s="94">
        <v>291.17526041666666666666666667</v>
      </c>
      <c r="AC47" s="94">
        <v>369.666406250</v>
      </c>
      <c r="AD47" s="94">
        <v>423.289843750</v>
      </c>
      <c r="AE47" s="94">
        <v>413.52526041666666666666666667</v>
      </c>
      <c r="AF47" s="94">
        <v>492.490625000</v>
      </c>
      <c r="AG47" s="277">
        <v>556.32317708333333333333333333</v>
      </c>
      <c r="AH47" s="342"/>
    </row>
    <row r="48" ht="24.95" customHeight="1">
      <c r="A48" s="23"/>
      <c r="B48" s="40" t="s">
        <v>99</v>
      </c>
      <c r="C48" s="581">
        <v>103.86326942776191762331103346</v>
      </c>
      <c r="D48" s="582">
        <v>106.31110499311846126212666447</v>
      </c>
      <c r="E48" s="582">
        <v>98.61280446532169944494920244</v>
      </c>
      <c r="F48" s="582">
        <v>100.58820864250330186646227440</v>
      </c>
      <c r="G48" s="582">
        <v>110.82857311733608527568169414</v>
      </c>
      <c r="H48" s="582">
        <v>96.02913944019720090651305730</v>
      </c>
      <c r="I48" s="582">
        <v>106.38956453615705625725411297</v>
      </c>
      <c r="J48" s="582">
        <v>115.74802031293683966498269342</v>
      </c>
      <c r="K48" s="582">
        <v>97.73859805330537549573845818</v>
      </c>
      <c r="L48" s="582">
        <v>101.62236733176055314920716952</v>
      </c>
      <c r="M48" s="582">
        <v>88.77343772929085323942361762</v>
      </c>
      <c r="N48" s="582">
        <v>99.82229716482318002712121797</v>
      </c>
      <c r="O48" s="582">
        <v>93.44963026407069020973282976</v>
      </c>
      <c r="P48" s="582">
        <v>114.18761980471359829586773142</v>
      </c>
      <c r="Q48" s="582">
        <v>100.77621256336686595323030749</v>
      </c>
      <c r="R48" s="582">
        <v>84.32547552534169705140107056</v>
      </c>
      <c r="S48" s="582">
        <v>84.16415167863368171879180741</v>
      </c>
      <c r="T48" s="582">
        <v>86.43129174193579451928767544</v>
      </c>
      <c r="U48" s="582">
        <v>73.801465969262492766815008420</v>
      </c>
      <c r="V48" s="582">
        <v>94.05957239514004674050314668</v>
      </c>
      <c r="W48" s="582">
        <v>106.88189505741545310218423365</v>
      </c>
      <c r="X48" s="582">
        <v>106.51918392559441405700015084</v>
      </c>
      <c r="Y48" s="582">
        <v>93.11588541625060937415290735</v>
      </c>
      <c r="Z48" s="582">
        <v>86.60560271278487627526337135</v>
      </c>
      <c r="AA48" s="582">
        <v>91.20058376573962431483697142</v>
      </c>
      <c r="AB48" s="582">
        <v>91.08332927480754341323129163</v>
      </c>
      <c r="AC48" s="582">
        <v>93.17778512555053059266106080</v>
      </c>
      <c r="AD48" s="582">
        <v>92.93188058477061468879649020</v>
      </c>
      <c r="AE48" s="582">
        <v>101.60055010196230858170961540</v>
      </c>
      <c r="AF48" s="582">
        <v>107.46089805970387453537513500</v>
      </c>
      <c r="AG48" s="583">
        <v>116.04057365453682379151200307</v>
      </c>
      <c r="AH48" s="342"/>
    </row>
    <row r="49" ht="24.95" customHeight="1">
      <c r="B49" s="25" t="s">
        <v>68</v>
      </c>
      <c r="S49" s="4"/>
      <c r="T49" s="4"/>
      <c r="U49" s="4"/>
      <c r="V49" s="4"/>
      <c r="W49" s="4"/>
      <c r="X49" s="4"/>
      <c r="Y49" s="4"/>
      <c r="Z49" s="4"/>
      <c r="AA49" s="4"/>
      <c r="AB49" s="4"/>
      <c r="AC49" s="4"/>
      <c r="AD49" s="4"/>
      <c r="AE49" s="4"/>
      <c r="AF49" s="4"/>
      <c r="AG49" s="4"/>
      <c r="AH49" s="4"/>
    </row>
    <row r="50" ht="24.95" customHeight="1">
      <c r="B50" s="37" t="s">
        <v>19</v>
      </c>
      <c r="C50" s="573">
        <v>20.891705850988819462035987960</v>
      </c>
      <c r="D50" s="574">
        <v>-1.8514848022085852755338859600</v>
      </c>
      <c r="E50" s="574">
        <v>-18.854958728090720284917760040</v>
      </c>
      <c r="F50" s="574">
        <v>-20.428851041466670516028389080</v>
      </c>
      <c r="G50" s="574">
        <v>-29.071733354813771558915576240</v>
      </c>
      <c r="H50" s="574">
        <v>-14.268921240615399906727212780</v>
      </c>
      <c r="I50" s="574">
        <v>-13.571751923955312652609872760</v>
      </c>
      <c r="J50" s="574">
        <v>-1.9161721909517493220165612100</v>
      </c>
      <c r="K50" s="574">
        <v>-16.350671604677325092799062460</v>
      </c>
      <c r="L50" s="574">
        <v>-14.535138620245003223726627980</v>
      </c>
      <c r="M50" s="574">
        <v>-7.0758319694246570645637336800</v>
      </c>
      <c r="N50" s="574">
        <v>-14.730168877496584146463426530</v>
      </c>
      <c r="O50" s="574">
        <v>-13.905908096249945175701094070</v>
      </c>
      <c r="P50" s="574">
        <v>-12.494734625112679466333183430</v>
      </c>
      <c r="Q50" s="574">
        <v>-11.867255787134664067741755400</v>
      </c>
      <c r="R50" s="574">
        <v>-32.358599461325675676398961490</v>
      </c>
      <c r="S50" s="574">
        <v>-30.760847000209035481689844110</v>
      </c>
      <c r="T50" s="574">
        <v>-38.071469907393968056258838390</v>
      </c>
      <c r="U50" s="574">
        <v>-32.089701929631263595391164500</v>
      </c>
      <c r="V50" s="574">
        <v>-33.489004927573202558228415520</v>
      </c>
      <c r="W50" s="574">
        <v>-11.122661122648804249635848760</v>
      </c>
      <c r="X50" s="574">
        <v>2.9176283900779837746217564300</v>
      </c>
      <c r="Y50" s="574">
        <v>-29.55626919200338376935951800</v>
      </c>
      <c r="Z50" s="574">
        <v>-33.959702772218747062096948230</v>
      </c>
      <c r="AA50" s="574">
        <v>-40.140817600243111027043247020</v>
      </c>
      <c r="AB50" s="574">
        <v>-35.960194636525580636332357910</v>
      </c>
      <c r="AC50" s="574">
        <v>-19.891819511254794817375116420</v>
      </c>
      <c r="AD50" s="574">
        <v>-13.34568272086178822629960900</v>
      </c>
      <c r="AE50" s="574">
        <v>-25.056418156506537354997246410</v>
      </c>
      <c r="AF50" s="574">
        <v>-23.335491588297458613600359230</v>
      </c>
      <c r="AG50" s="575">
        <v>27.003100035777214921905077930</v>
      </c>
      <c r="AH50" s="342"/>
    </row>
    <row r="51" ht="24.95" customHeight="1">
      <c r="B51" s="38" t="s">
        <v>35</v>
      </c>
      <c r="C51" s="271">
        <v>20.360942128321490029593717640</v>
      </c>
      <c r="D51" s="92">
        <v>-5.1471795712130585841407388800</v>
      </c>
      <c r="E51" s="92">
        <v>-0.2767160647489053065012700300</v>
      </c>
      <c r="F51" s="92">
        <v>-6.60370361055923467425571400</v>
      </c>
      <c r="G51" s="92">
        <v>-15.771487248291111145946007860</v>
      </c>
      <c r="H51" s="92">
        <v>-16.338015284996566628381402390</v>
      </c>
      <c r="I51" s="92">
        <v>-16.289494012093057830916274600</v>
      </c>
      <c r="J51" s="92">
        <v>-10.712501548181234374071058290</v>
      </c>
      <c r="K51" s="92">
        <v>-5.5825504574105805471700762700</v>
      </c>
      <c r="L51" s="92">
        <v>-2.9516900008681038095052079100</v>
      </c>
      <c r="M51" s="92">
        <v>2.4766716764878088371631324500</v>
      </c>
      <c r="N51" s="92">
        <v>6.6567379113299935001520846200</v>
      </c>
      <c r="O51" s="92">
        <v>29.543035598651760423059514890</v>
      </c>
      <c r="P51" s="92">
        <v>-8.661053510570379112058061670</v>
      </c>
      <c r="Q51" s="92">
        <v>-2.6597873169246953892314162300</v>
      </c>
      <c r="R51" s="92">
        <v>2.4600951920999507916333739400</v>
      </c>
      <c r="S51" s="92">
        <v>5.9379259322115174712412535500</v>
      </c>
      <c r="T51" s="92">
        <v>-22.470677319323450724081508340</v>
      </c>
      <c r="U51" s="92">
        <v>4.1287346633806324791313786700</v>
      </c>
      <c r="V51" s="92">
        <v>-16.479320606278020318699250350</v>
      </c>
      <c r="W51" s="92">
        <v>-5.3960496156624422220763521100</v>
      </c>
      <c r="X51" s="92">
        <v>29.876666976877610923949371350</v>
      </c>
      <c r="Y51" s="92">
        <v>18.908812320279722476403750790</v>
      </c>
      <c r="Z51" s="92">
        <v>11.209928437763006937806201220</v>
      </c>
      <c r="AA51" s="92">
        <v>5.7059748903779757515727522800</v>
      </c>
      <c r="AB51" s="92">
        <v>-17.648927336468609724574019690</v>
      </c>
      <c r="AC51" s="92">
        <v>1.3440997123727100120210211500</v>
      </c>
      <c r="AD51" s="92">
        <v>3.8843726299561846376526707500</v>
      </c>
      <c r="AE51" s="92">
        <v>-12.790741469832907623563727450</v>
      </c>
      <c r="AF51" s="92">
        <v>-19.517408304485776347345743590</v>
      </c>
      <c r="AG51" s="272">
        <v>28.562983035398965049226546440</v>
      </c>
      <c r="AH51" s="342"/>
    </row>
    <row r="52" ht="24.95" customHeight="1">
      <c r="A52" s="23"/>
      <c r="B52" s="40" t="s">
        <v>99</v>
      </c>
      <c r="C52" s="581">
        <v>0.4409767099105773680626107200</v>
      </c>
      <c r="D52" s="582">
        <v>3.474535342381872369045567500</v>
      </c>
      <c r="E52" s="582">
        <v>-18.629794296982592075566114630</v>
      </c>
      <c r="F52" s="582">
        <v>-14.802672017406494616738583560</v>
      </c>
      <c r="G52" s="582">
        <v>-15.790669539274572887250491890</v>
      </c>
      <c r="H52" s="582">
        <v>2.4731591670631113498396937200</v>
      </c>
      <c r="I52" s="582">
        <v>3.2465961782272771088607310100</v>
      </c>
      <c r="J52" s="582">
        <v>9.851692017131365004904423740</v>
      </c>
      <c r="K52" s="582">
        <v>-11.404799853642700061643631270</v>
      </c>
      <c r="L52" s="582">
        <v>-11.935755109443581818522999570</v>
      </c>
      <c r="M52" s="582">
        <v>-9.321637295243000234243531480</v>
      </c>
      <c r="N52" s="582">
        <v>-20.052091604958950697149489170</v>
      </c>
      <c r="O52" s="582">
        <v>-33.540161764882531910253494810</v>
      </c>
      <c r="P52" s="582">
        <v>-4.1972031230191108122955723400</v>
      </c>
      <c r="Q52" s="582">
        <v>-9.459059330597652106092468910</v>
      </c>
      <c r="R52" s="582">
        <v>-33.982688175492729016601745540</v>
      </c>
      <c r="S52" s="582">
        <v>-34.641770272070491994442015920</v>
      </c>
      <c r="T52" s="582">
        <v>-20.122441482359772291843148200</v>
      </c>
      <c r="U52" s="582">
        <v>-34.782365031227129308103346110</v>
      </c>
      <c r="V52" s="582">
        <v>-20.365835676569096644597094380</v>
      </c>
      <c r="W52" s="582">
        <v>-6.0532477594549348612072903800</v>
      </c>
      <c r="X52" s="582">
        <v>-20.757414872342239611366946300</v>
      </c>
      <c r="Y52" s="582">
        <v>-40.758191564240022389775278170</v>
      </c>
      <c r="Z52" s="582">
        <v>-40.616545522985811530125775980</v>
      </c>
      <c r="AA52" s="582">
        <v>-43.371997219818746990831338180</v>
      </c>
      <c r="AB52" s="582">
        <v>-22.235614798676834786931932110</v>
      </c>
      <c r="AC52" s="582">
        <v>-20.954272901820136130287209700</v>
      </c>
      <c r="AD52" s="582">
        <v>-16.585801034946986446848266790</v>
      </c>
      <c r="AE52" s="582">
        <v>-14.064649663804787954183777040</v>
      </c>
      <c r="AF52" s="582">
        <v>-4.7439864986757376225027841200</v>
      </c>
      <c r="AG52" s="583">
        <v>-1.2133220331394489950362546300</v>
      </c>
      <c r="AH52" s="342"/>
    </row>
    <row r="53" ht="16.5" customHeight="1">
      <c r="B53" s="99"/>
      <c r="C53" s="100"/>
      <c r="D53" s="100"/>
      <c r="E53" s="100"/>
      <c r="F53" s="100"/>
      <c r="G53" s="100"/>
      <c r="H53" s="100"/>
      <c r="I53" s="100"/>
      <c r="J53" s="100"/>
      <c r="K53" s="100"/>
      <c r="L53" s="100"/>
      <c r="M53" s="100"/>
      <c r="N53" s="100"/>
      <c r="O53" s="100"/>
      <c r="P53" s="100"/>
      <c r="Q53" s="100"/>
      <c r="R53" s="100"/>
      <c r="S53" s="100"/>
      <c r="T53" s="100"/>
      <c r="U53" s="100"/>
      <c r="V53" s="100"/>
      <c r="W53" s="100"/>
      <c r="X53" s="100"/>
      <c r="Y53" s="100"/>
      <c r="Z53" s="100"/>
      <c r="AA53" s="100"/>
      <c r="AB53" s="100"/>
      <c r="AC53" s="100"/>
      <c r="AD53" s="100"/>
      <c r="AE53" s="100"/>
      <c r="AF53" s="100"/>
      <c r="AG53" s="100"/>
      <c r="AH53" s="4"/>
    </row>
    <row r="54" ht="0" hidden="1" customHeight="1">
      <c r="B54" s="223" t="s">
        <v>89</v>
      </c>
      <c r="C54" s="357"/>
      <c r="D54" s="358"/>
      <c r="E54" s="358"/>
      <c r="F54" s="358"/>
      <c r="G54" s="358"/>
      <c r="H54" s="358"/>
      <c r="I54" s="358"/>
      <c r="J54" s="358"/>
      <c r="K54" s="358"/>
      <c r="L54" s="358"/>
      <c r="M54" s="358"/>
      <c r="N54" s="358"/>
      <c r="O54" s="358"/>
      <c r="P54" s="358"/>
      <c r="Q54" s="358"/>
      <c r="R54" s="358"/>
      <c r="S54" s="358"/>
      <c r="T54" s="358"/>
      <c r="U54" s="358"/>
      <c r="V54" s="358"/>
      <c r="W54" s="358"/>
      <c r="X54" s="358"/>
      <c r="Y54" s="358"/>
      <c r="Z54" s="358"/>
      <c r="AA54" s="358"/>
      <c r="AB54" s="358"/>
      <c r="AC54" s="358"/>
      <c r="AD54" s="358"/>
      <c r="AE54" s="358"/>
      <c r="AF54" s="358"/>
      <c r="AG54" s="359"/>
      <c r="AH54" s="532"/>
    </row>
    <row r="55" ht="0" hidden="1" customHeight="1">
      <c r="B55" s="99"/>
      <c r="C55" s="100"/>
      <c r="D55" s="100"/>
      <c r="E55" s="100"/>
      <c r="F55" s="100"/>
      <c r="G55" s="100"/>
      <c r="H55" s="100"/>
      <c r="I55" s="100"/>
      <c r="J55" s="100"/>
      <c r="K55" s="100"/>
      <c r="L55" s="100"/>
      <c r="M55" s="100"/>
      <c r="N55" s="100"/>
      <c r="O55" s="100"/>
      <c r="P55" s="100"/>
      <c r="Q55" s="100"/>
      <c r="R55" s="100"/>
      <c r="S55" s="100"/>
      <c r="T55" s="100"/>
      <c r="U55" s="100"/>
      <c r="V55" s="100"/>
      <c r="W55" s="100"/>
      <c r="X55" s="100"/>
      <c r="Y55" s="100"/>
      <c r="Z55" s="100"/>
      <c r="AA55" s="100"/>
      <c r="AB55" s="100"/>
      <c r="AC55" s="100"/>
      <c r="AD55" s="100"/>
      <c r="AE55" s="100"/>
      <c r="AF55" s="100"/>
      <c r="AG55" s="100"/>
      <c r="AH55" s="4"/>
    </row>
    <row r="56" ht="24" customHeight="1">
      <c r="B56" s="816" t="s">
        <v>126</v>
      </c>
      <c r="C56" s="816"/>
      <c r="D56" s="816"/>
      <c r="E56" s="816"/>
      <c r="F56" s="816"/>
      <c r="G56" s="816"/>
      <c r="H56" s="816"/>
      <c r="I56" s="816"/>
      <c r="J56" s="816"/>
      <c r="K56" s="816"/>
      <c r="L56" s="816"/>
      <c r="M56" s="816"/>
      <c r="N56" s="816"/>
      <c r="O56" s="816"/>
      <c r="P56" s="816"/>
      <c r="Q56" s="816"/>
      <c r="R56" s="816"/>
      <c r="S56" s="816"/>
      <c r="T56" s="816"/>
      <c r="U56" s="816"/>
      <c r="V56" s="816"/>
      <c r="W56" s="816"/>
      <c r="X56" s="816"/>
      <c r="Y56" s="816"/>
      <c r="Z56" s="816"/>
      <c r="AA56" s="816"/>
      <c r="AB56" s="816"/>
      <c r="AC56" s="816"/>
      <c r="AD56" s="816"/>
      <c r="AE56" s="816"/>
      <c r="AF56" s="816"/>
      <c r="AG56" s="816"/>
    </row>
    <row r="57" ht="15" customHeight="1">
      <c r="A57"/>
      <c r="AE57"/>
      <c r="AF57"/>
      <c r="AG57"/>
    </row>
    <row r="58" s="282" customFormat="1"/>
    <row r="59" s="282" customFormat="1"/>
    <row r="60" s="282" customFormat="1">
      <c r="C60" s="282">
        <v>100</v>
      </c>
      <c r="D60" s="282">
        <v>100</v>
      </c>
      <c r="E60" s="282">
        <v>100</v>
      </c>
      <c r="F60" s="282">
        <v>100</v>
      </c>
      <c r="G60" s="282">
        <v>100</v>
      </c>
      <c r="H60" s="282">
        <v>100</v>
      </c>
      <c r="I60" s="282">
        <v>100</v>
      </c>
      <c r="J60" s="282">
        <v>100</v>
      </c>
      <c r="K60" s="282">
        <v>100</v>
      </c>
      <c r="L60" s="282">
        <v>100</v>
      </c>
      <c r="M60" s="282">
        <v>100</v>
      </c>
      <c r="N60" s="282">
        <v>100</v>
      </c>
      <c r="O60" s="282">
        <v>100</v>
      </c>
      <c r="P60" s="282">
        <v>100</v>
      </c>
      <c r="Q60" s="282">
        <v>100</v>
      </c>
      <c r="R60" s="282">
        <v>100</v>
      </c>
      <c r="S60" s="282">
        <v>100</v>
      </c>
      <c r="T60" s="282">
        <v>100</v>
      </c>
      <c r="U60" s="282">
        <v>100</v>
      </c>
      <c r="V60" s="282">
        <v>100</v>
      </c>
      <c r="W60" s="282">
        <v>100</v>
      </c>
      <c r="X60" s="282">
        <v>100</v>
      </c>
      <c r="Y60" s="282">
        <v>100</v>
      </c>
      <c r="Z60" s="282">
        <v>100</v>
      </c>
      <c r="AA60" s="282">
        <v>100</v>
      </c>
      <c r="AB60" s="282">
        <v>100</v>
      </c>
      <c r="AC60" s="282">
        <v>100</v>
      </c>
      <c r="AD60" s="282">
        <v>100</v>
      </c>
      <c r="AE60" s="282">
        <v>100</v>
      </c>
      <c r="AF60" s="282">
        <v>100</v>
      </c>
      <c r="AG60" s="282">
        <v>100</v>
      </c>
    </row>
    <row r="61" s="282" customFormat="1"/>
    <row r="62" s="282" customFormat="1"/>
    <row r="63" s="282" customFormat="1"/>
    <row r="64" s="282" customFormat="1"/>
    <row r="65" s="282" customFormat="1" ht="10.5" customHeight="1">
      <c r="B65" s="1014"/>
      <c r="C65" s="1014"/>
      <c r="D65" s="1014"/>
      <c r="E65" s="1014"/>
      <c r="F65" s="1014"/>
      <c r="G65" s="1014"/>
      <c r="H65" s="1014"/>
      <c r="I65" s="1014"/>
      <c r="J65" s="1014"/>
      <c r="K65" s="1014"/>
      <c r="L65" s="1014"/>
      <c r="M65" s="1014"/>
      <c r="N65" s="1014"/>
      <c r="O65" s="1014"/>
      <c r="P65" s="1014"/>
      <c r="Q65" s="1014"/>
      <c r="R65" s="1014"/>
      <c r="S65" s="1014"/>
      <c r="T65" s="1014"/>
      <c r="U65" s="1014"/>
      <c r="V65" s="1014"/>
      <c r="W65" s="1014"/>
      <c r="X65" s="1014"/>
      <c r="Y65" s="1014"/>
      <c r="Z65" s="1014"/>
      <c r="AA65" s="1014"/>
      <c r="AB65" s="1014"/>
      <c r="AC65" s="1014"/>
      <c r="AD65" s="1014"/>
      <c r="AE65" s="1014"/>
      <c r="AF65" s="1014"/>
      <c r="AG65" s="1014"/>
      <c r="AH65" s="1014"/>
      <c r="AI65" s="1014"/>
    </row>
    <row r="66" s="282" customFormat="1">
      <c r="B66" s="1014"/>
      <c r="C66" s="1014"/>
      <c r="D66" s="1014"/>
      <c r="E66" s="1014"/>
      <c r="F66" s="1014"/>
      <c r="G66" s="1014"/>
      <c r="H66" s="1014"/>
      <c r="I66" s="1014"/>
      <c r="J66" s="1014"/>
      <c r="K66" s="1014"/>
      <c r="L66" s="1014"/>
      <c r="M66" s="1014"/>
      <c r="N66" s="1014"/>
      <c r="O66" s="1014"/>
      <c r="P66" s="1014"/>
      <c r="Q66" s="1014"/>
      <c r="R66" s="1014"/>
      <c r="S66" s="1014"/>
      <c r="T66" s="1014"/>
      <c r="U66" s="1014"/>
      <c r="V66" s="1014"/>
      <c r="W66" s="1014"/>
      <c r="X66" s="1014"/>
      <c r="Y66" s="1014"/>
      <c r="Z66" s="1014"/>
      <c r="AA66" s="1014"/>
      <c r="AB66" s="1014"/>
      <c r="AC66" s="1014"/>
      <c r="AD66" s="1014"/>
      <c r="AE66" s="1014"/>
      <c r="AF66" s="1014"/>
      <c r="AG66" s="1014"/>
      <c r="AH66" s="1014"/>
      <c r="AI66" s="1014"/>
    </row>
    <row r="67" s="282" customFormat="1">
      <c r="B67" s="1014"/>
      <c r="C67" s="1014"/>
      <c r="D67" s="1014"/>
      <c r="E67" s="1014"/>
      <c r="F67" s="1014"/>
      <c r="G67" s="1014"/>
      <c r="H67" s="1014"/>
      <c r="I67" s="1014"/>
      <c r="J67" s="1014"/>
      <c r="K67" s="1014"/>
      <c r="L67" s="1014"/>
      <c r="M67" s="1014"/>
      <c r="N67" s="1014"/>
      <c r="O67" s="1014"/>
      <c r="P67" s="1014"/>
      <c r="Q67" s="1014"/>
      <c r="R67" s="1014"/>
      <c r="S67" s="1014"/>
      <c r="T67" s="1014"/>
      <c r="U67" s="1014"/>
      <c r="V67" s="1014"/>
      <c r="W67" s="1014"/>
      <c r="X67" s="1014"/>
      <c r="Y67" s="1014"/>
      <c r="Z67" s="1014"/>
      <c r="AA67" s="1014"/>
      <c r="AB67" s="1014"/>
      <c r="AC67" s="1014"/>
      <c r="AD67" s="1014"/>
      <c r="AE67" s="1014"/>
      <c r="AF67" s="1014"/>
      <c r="AG67" s="1014"/>
      <c r="AH67" s="1014"/>
      <c r="AI67" s="1014"/>
    </row>
    <row r="68" s="282" customFormat="1">
      <c r="B68" s="1014"/>
      <c r="C68" s="1014"/>
      <c r="D68" s="1014"/>
      <c r="E68" s="1014"/>
      <c r="F68" s="1014"/>
      <c r="G68" s="1014"/>
      <c r="H68" s="1014"/>
      <c r="I68" s="1014"/>
      <c r="J68" s="1014"/>
      <c r="K68" s="1014"/>
      <c r="L68" s="1014"/>
      <c r="M68" s="1014"/>
      <c r="N68" s="1014"/>
      <c r="O68" s="1014"/>
      <c r="P68" s="1014"/>
      <c r="Q68" s="1014"/>
      <c r="R68" s="1014"/>
      <c r="S68" s="1014"/>
      <c r="T68" s="1014"/>
      <c r="U68" s="1014"/>
      <c r="V68" s="1014"/>
      <c r="W68" s="1014"/>
      <c r="X68" s="1014"/>
      <c r="Y68" s="1014"/>
      <c r="Z68" s="1014"/>
      <c r="AA68" s="1014"/>
      <c r="AB68" s="1014"/>
      <c r="AC68" s="1014"/>
      <c r="AD68" s="1014"/>
      <c r="AE68" s="1014"/>
      <c r="AF68" s="1014"/>
      <c r="AG68" s="1014"/>
      <c r="AH68" s="1014"/>
      <c r="AI68" s="1014"/>
    </row>
    <row r="69" s="282" customFormat="1">
      <c r="B69" s="1014"/>
      <c r="C69" s="1014"/>
      <c r="D69" s="1014"/>
      <c r="E69" s="1014"/>
      <c r="F69" s="1014"/>
      <c r="G69" s="1014"/>
      <c r="H69" s="1014"/>
      <c r="I69" s="1014"/>
      <c r="J69" s="1014"/>
      <c r="K69" s="1014"/>
      <c r="L69" s="1014"/>
      <c r="M69" s="1014"/>
      <c r="N69" s="1014"/>
      <c r="O69" s="1014"/>
      <c r="P69" s="1014"/>
      <c r="Q69" s="1014"/>
      <c r="R69" s="1014"/>
      <c r="S69" s="1014"/>
      <c r="T69" s="1014"/>
      <c r="U69" s="1014"/>
      <c r="V69" s="1014"/>
      <c r="W69" s="1014"/>
      <c r="X69" s="1014"/>
      <c r="Y69" s="1014"/>
      <c r="Z69" s="1014"/>
      <c r="AA69" s="1014"/>
      <c r="AB69" s="1014"/>
      <c r="AC69" s="1014"/>
      <c r="AD69" s="1014"/>
      <c r="AE69" s="1014"/>
      <c r="AF69" s="1014"/>
      <c r="AG69" s="1014"/>
      <c r="AH69" s="1014"/>
      <c r="AI69" s="1014"/>
    </row>
    <row r="70" s="282" customFormat="1">
      <c r="B70" s="1014"/>
      <c r="C70" s="1014"/>
      <c r="D70" s="1014"/>
      <c r="E70" s="1014"/>
      <c r="F70" s="1014"/>
      <c r="G70" s="1014"/>
      <c r="H70" s="1014"/>
      <c r="I70" s="1014"/>
      <c r="J70" s="1014"/>
      <c r="K70" s="1014"/>
      <c r="L70" s="1014"/>
      <c r="M70" s="1014"/>
      <c r="N70" s="1014"/>
      <c r="O70" s="1014"/>
      <c r="P70" s="1014"/>
      <c r="Q70" s="1014"/>
      <c r="R70" s="1014"/>
      <c r="S70" s="1014"/>
      <c r="T70" s="1014"/>
      <c r="U70" s="1014"/>
      <c r="V70" s="1014"/>
      <c r="W70" s="1014"/>
      <c r="X70" s="1014"/>
      <c r="Y70" s="1014"/>
      <c r="Z70" s="1014"/>
      <c r="AA70" s="1014"/>
      <c r="AB70" s="1014"/>
      <c r="AC70" s="1014"/>
      <c r="AD70" s="1014"/>
      <c r="AE70" s="1014"/>
      <c r="AF70" s="1014"/>
      <c r="AG70" s="1014"/>
      <c r="AH70" s="1014"/>
      <c r="AI70" s="1014"/>
    </row>
    <row r="71" s="282" customFormat="1"/>
    <row r="72" s="282" customFormat="1"/>
    <row r="73" s="282" customFormat="1"/>
    <row r="74" s="282" customFormat="1"/>
    <row r="75" s="282" customFormat="1"/>
    <row r="76" s="282" customFormat="1"/>
    <row r="77" s="282" customFormat="1"/>
    <row r="78" s="282" customFormat="1"/>
    <row r="79" s="282" customFormat="1"/>
    <row r="80" s="282" customFormat="1"/>
    <row r="81" s="282" customFormat="1"/>
    <row r="82" s="282" customFormat="1"/>
    <row r="83" s="282" customFormat="1"/>
    <row r="84" s="282" customFormat="1"/>
    <row r="85" s="282" customFormat="1"/>
    <row r="86" s="282" customFormat="1"/>
    <row r="87" s="282" customFormat="1"/>
    <row r="88" s="282" customFormat="1"/>
    <row r="89" s="282" customFormat="1"/>
    <row r="90" s="282" customFormat="1"/>
    <row r="91" s="282" customFormat="1"/>
    <row r="92" s="282" customFormat="1"/>
    <row r="93" s="282" customFormat="1"/>
    <row r="94" s="282" customFormat="1"/>
  </sheetData>
  <mergeCells count="12">
    <mergeCell ref="B56:AG56"/>
    <mergeCell ref="B34:B35"/>
    <mergeCell ref="B3:T3"/>
    <mergeCell ref="AA1:AG1"/>
    <mergeCell ref="U3:AG3"/>
    <mergeCell ref="B44:B45"/>
    <mergeCell ref="B4:AG4"/>
    <mergeCell ref="B2:AG2"/>
    <mergeCell ref="X22:AD22"/>
    <mergeCell ref="X33:AD33"/>
    <mergeCell ref="X43:AD43"/>
    <mergeCell ref="B24:B25"/>
  </mergeCells>
  <phoneticPr fontId="0" type="noConversion"/>
  <printOptions horizontalCentered="1" verticalCentered="1"/>
  <pageMargins left="0.25" right="0.25" top="0.25" bottom="0.25" header="0" footer="0"/>
  <pageSetup scale="41" fitToWidth="1" fitToHeight="1" orientation="landscape" r:id="rId1"/>
  <headerFooter alignWithMargins="0">
    <oddHeader/>
    <oddFooter/>
  </headerFooter>
  <rowBreaks count="1" manualBreakCount="1">
    <brk id="57" max="16383" man="1"/>
  </rowBreaks>
  <colBreaks count="1" manualBreakCount="1">
    <brk id="34" max="1048575" man="1"/>
  </colBreaks>
  <drawing r:id="rId95"/>
</worksheet>
</file>

<file path=xl/worksheets/sheet2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4">
    <pageSetUpPr fitToPage="1"/>
  </sheetPr>
  <dimension ref="A1:AI86"/>
  <sheetViews>
    <sheetView showGridLines="0" zoomScale="75" workbookViewId="0"/>
  </sheetViews>
  <sheetFormatPr defaultRowHeight="12.75"/>
  <cols>
    <col min="1" max="1" width="1.7109375" customWidth="1"/>
    <col min="2" max="2" width="6.7109375" customWidth="1"/>
    <col min="3" max="3" width="6.7109375" style="26"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9" width="9.140625" style="236" customWidth="1"/>
  </cols>
  <sheetData>
    <row r="1" ht="39.95" customHeight="1">
      <c r="B1" s="656" t="s">
        <v>159</v>
      </c>
      <c r="AD1" s="5"/>
      <c r="AG1" s="685"/>
      <c r="AI1" s="236"/>
    </row>
    <row r="2" ht="21" customHeight="1">
      <c r="B2" s="11" t="s">
        <v>208</v>
      </c>
    </row>
    <row r="3" ht="21" customHeight="1">
      <c r="B3" s="11" t="s">
        <v>209</v>
      </c>
      <c r="U3" s="99" t="s">
        <v>301</v>
      </c>
      <c r="V3" s="99"/>
      <c r="W3" s="99"/>
      <c r="X3" s="99"/>
      <c r="Y3" s="99"/>
      <c r="Z3" s="99"/>
      <c r="AA3" s="99"/>
      <c r="AB3" s="99"/>
      <c r="AC3" s="99"/>
      <c r="AD3" s="99"/>
      <c r="AE3" s="99"/>
      <c r="AF3" s="99"/>
      <c r="AG3" s="99"/>
    </row>
    <row r="4" ht="21" customHeight="1">
      <c r="A4" s="4"/>
      <c r="B4" s="211" t="s">
        <v>210</v>
      </c>
      <c r="C4" s="5"/>
      <c r="D4" s="5"/>
      <c r="E4" s="5"/>
      <c r="F4" s="5"/>
      <c r="G4" s="5"/>
      <c r="H4" s="212"/>
      <c r="I4" s="212"/>
      <c r="J4" s="212"/>
      <c r="K4" s="212"/>
      <c r="L4" s="212"/>
      <c r="M4" s="212"/>
      <c r="N4" s="212"/>
      <c r="O4" s="212"/>
      <c r="P4" s="212"/>
      <c r="Q4" s="212"/>
      <c r="R4" s="212"/>
      <c r="S4" s="212"/>
      <c r="T4" s="212"/>
      <c r="U4" s="212"/>
      <c r="V4" s="212"/>
      <c r="W4" s="212"/>
      <c r="X4" s="4"/>
      <c r="Y4" s="4"/>
      <c r="AC4" s="212"/>
    </row>
    <row r="5" ht="24.95" customHeight="1"/>
    <row r="6" ht="24.95" customHeight="1">
      <c r="D6" s="802" t="s">
        <v>91</v>
      </c>
      <c r="E6" s="802"/>
      <c r="F6" s="802"/>
      <c r="G6" s="802"/>
      <c r="H6" s="802"/>
      <c r="I6" s="802"/>
      <c r="J6" s="802"/>
      <c r="K6" s="802"/>
      <c r="L6" s="802"/>
      <c r="M6" s="802"/>
      <c r="N6" s="802"/>
      <c r="O6" s="960"/>
      <c r="Q6" s="802" t="s">
        <v>70</v>
      </c>
      <c r="R6" s="802"/>
      <c r="S6" s="802"/>
      <c r="T6" s="802"/>
      <c r="U6" s="802"/>
      <c r="V6" s="802"/>
      <c r="W6" s="802"/>
      <c r="X6" s="802"/>
      <c r="Y6" s="802"/>
      <c r="Z6" s="802"/>
      <c r="AA6" s="802"/>
      <c r="AB6" s="960"/>
      <c r="AD6" s="802" t="s">
        <v>77</v>
      </c>
      <c r="AE6" s="802"/>
      <c r="AF6" s="802"/>
      <c r="AG6" s="960"/>
    </row>
    <row r="7" ht="24.95" customHeight="1">
      <c r="D7" s="839" t="s">
        <v>20</v>
      </c>
      <c r="E7" s="839"/>
      <c r="F7" s="283"/>
      <c r="G7" s="839" t="s">
        <v>18</v>
      </c>
      <c r="H7" s="839"/>
      <c r="I7" s="283"/>
      <c r="J7" s="839" t="s">
        <v>17</v>
      </c>
      <c r="K7" s="839"/>
      <c r="L7" s="283"/>
      <c r="M7" s="839" t="s">
        <v>101</v>
      </c>
      <c r="N7" s="839"/>
      <c r="O7" s="283"/>
      <c r="Q7" s="839" t="s">
        <v>20</v>
      </c>
      <c r="R7" s="839"/>
      <c r="S7" s="283"/>
      <c r="T7" s="839" t="s">
        <v>18</v>
      </c>
      <c r="U7" s="839"/>
      <c r="V7" s="283"/>
      <c r="W7" s="839" t="s">
        <v>17</v>
      </c>
      <c r="X7" s="839"/>
      <c r="Y7" s="283"/>
      <c r="Z7" s="839" t="s">
        <v>101</v>
      </c>
      <c r="AA7" s="839"/>
      <c r="AB7" s="283"/>
      <c r="AD7" s="839" t="s">
        <v>78</v>
      </c>
      <c r="AE7" s="839"/>
      <c r="AF7" s="839"/>
      <c r="AG7" s="283"/>
    </row>
    <row r="8" ht="30" customHeight="1">
      <c r="A8" s="57"/>
      <c r="B8" s="845"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c r="AC8" s="63"/>
      <c r="AD8" s="412" t="s">
        <v>20</v>
      </c>
      <c r="AE8" s="413" t="s">
        <v>18</v>
      </c>
      <c r="AF8" s="413" t="s">
        <v>17</v>
      </c>
      <c r="AG8" s="414" t="s">
        <v>12</v>
      </c>
    </row>
    <row r="9" ht="20.1" customHeight="1">
      <c r="A9" s="57"/>
      <c r="B9" s="284">
        <v>2021</v>
      </c>
      <c r="C9" s="285" t="s">
        <v>218</v>
      </c>
      <c r="D9" s="434">
        <v>267.21810005621135469364811692</v>
      </c>
      <c r="E9" s="435">
        <v>287.93819883720930232558139536</v>
      </c>
      <c r="F9" s="436">
        <v>205.24939347791839521083862837</v>
      </c>
      <c r="G9" s="434">
        <v>42.230747611017425519955030916</v>
      </c>
      <c r="H9" s="435">
        <v>64.838951316338532352007505802</v>
      </c>
      <c r="I9" s="436">
        <v>33.069034215902920734846290185</v>
      </c>
      <c r="J9" s="434">
        <v>25.591905564924114671163575042</v>
      </c>
      <c r="K9" s="435">
        <v>23.810984594394711435305428838</v>
      </c>
      <c r="L9" s="436">
        <v>19.931468095973198094464074716</v>
      </c>
      <c r="M9" s="434">
        <v>335.04075323215289488476672288</v>
      </c>
      <c r="N9" s="435">
        <v>376.58813474794254611289433</v>
      </c>
      <c r="O9" s="436">
        <v>258.24989578979451404014899327</v>
      </c>
      <c r="P9" s="5"/>
      <c r="Q9" s="415">
        <v>94.56747579283222250525818635</v>
      </c>
      <c r="R9" s="416"/>
      <c r="S9" s="417">
        <v>81.34520602196220431315120058</v>
      </c>
      <c r="T9" s="415">
        <v>367.58274570401827540705064231</v>
      </c>
      <c r="U9" s="416"/>
      <c r="V9" s="417">
        <v>69.813684112425754321312261500</v>
      </c>
      <c r="W9" s="415">
        <v>60.154832257255328750860985100</v>
      </c>
      <c r="X9" s="416"/>
      <c r="Y9" s="417">
        <v>-14.682766927605936959597901440</v>
      </c>
      <c r="Z9" s="415">
        <v>106.36847130818900732347904345</v>
      </c>
      <c r="AA9" s="416"/>
      <c r="AB9" s="417">
        <v>65.526866578158002579872453030</v>
      </c>
      <c r="AC9" s="5"/>
      <c r="AD9" s="427" t="s">
        <v>220</v>
      </c>
      <c r="AE9" s="428" t="s">
        <v>236</v>
      </c>
      <c r="AF9" s="428" t="s">
        <v>238</v>
      </c>
      <c r="AG9" s="429" t="s">
        <v>236</v>
      </c>
    </row>
    <row r="10" ht="20.1" customHeight="1">
      <c r="A10" s="58"/>
      <c r="B10" s="286"/>
      <c r="C10" s="287" t="s">
        <v>221</v>
      </c>
      <c r="D10" s="276">
        <v>206.73171670515781370284834488</v>
      </c>
      <c r="E10" s="94">
        <v>232.55804276057223706964313787</v>
      </c>
      <c r="F10" s="277">
        <v>167.34759534561756271219962422</v>
      </c>
      <c r="G10" s="276">
        <v>38.190531177829099307159353349</v>
      </c>
      <c r="H10" s="94"/>
      <c r="I10" s="277">
        <v>34.477564965191538929053553649</v>
      </c>
      <c r="J10" s="276">
        <v>24.960739030023094688221709007</v>
      </c>
      <c r="K10" s="94"/>
      <c r="L10" s="277">
        <v>20.580156104438131289832155694</v>
      </c>
      <c r="M10" s="276">
        <v>269.88298691301000769822940724</v>
      </c>
      <c r="N10" s="94"/>
      <c r="O10" s="277">
        <v>222.40531641524723293108533356</v>
      </c>
      <c r="P10" s="5"/>
      <c r="Q10" s="271">
        <v>87.50565808009448037464337649</v>
      </c>
      <c r="R10" s="92"/>
      <c r="S10" s="272">
        <v>51.981440731285173536237678020</v>
      </c>
      <c r="T10" s="271">
        <v>325.10763827123644092977880746</v>
      </c>
      <c r="U10" s="92"/>
      <c r="V10" s="272">
        <v>77.798424865587101504968208700</v>
      </c>
      <c r="W10" s="271">
        <v>-0.1570438799076212471131639700</v>
      </c>
      <c r="X10" s="92"/>
      <c r="Y10" s="272">
        <v>13.841496877529413560686719650</v>
      </c>
      <c r="Z10" s="271">
        <v>87.11037187783456623826852017</v>
      </c>
      <c r="AA10" s="92"/>
      <c r="AB10" s="272">
        <v>50.701704003559402272051245170</v>
      </c>
      <c r="AC10" s="5"/>
      <c r="AD10" s="271" t="s">
        <v>220</v>
      </c>
      <c r="AE10" s="92"/>
      <c r="AF10" s="92"/>
      <c r="AG10" s="272"/>
    </row>
    <row r="11" ht="20.1" customHeight="1">
      <c r="A11" s="58"/>
      <c r="B11" s="288"/>
      <c r="C11" s="289" t="s">
        <v>222</v>
      </c>
      <c r="D11" s="439">
        <v>182.90093936806148590947907771</v>
      </c>
      <c r="E11" s="95">
        <v>215.0378582995951417004048583</v>
      </c>
      <c r="F11" s="442">
        <v>157.66694268169360866442923512</v>
      </c>
      <c r="G11" s="439">
        <v>38.356105892399658411614005124</v>
      </c>
      <c r="H11" s="95"/>
      <c r="I11" s="442">
        <v>36.170525551580443944975643724</v>
      </c>
      <c r="J11" s="439">
        <v>23.562339880444064901793339026</v>
      </c>
      <c r="K11" s="95"/>
      <c r="L11" s="442">
        <v>23.355384944471091920903392359</v>
      </c>
      <c r="M11" s="439">
        <v>244.81938514090520922288642186</v>
      </c>
      <c r="N11" s="95"/>
      <c r="O11" s="442">
        <v>217.1928531777451445303082712</v>
      </c>
      <c r="P11" s="5"/>
      <c r="Q11" s="497">
        <v>62.854565603148828120779834780</v>
      </c>
      <c r="R11" s="216"/>
      <c r="S11" s="498">
        <v>36.625824246936828589026390030</v>
      </c>
      <c r="T11" s="497">
        <v>373.96214545219227973150038222</v>
      </c>
      <c r="U11" s="216"/>
      <c r="V11" s="498">
        <v>60.730018842760147625542746580</v>
      </c>
      <c r="W11" s="497">
        <v>-1.8627760134360865599498341300</v>
      </c>
      <c r="X11" s="216"/>
      <c r="Y11" s="498">
        <v>-15.455333552600608333290887760</v>
      </c>
      <c r="Z11" s="497">
        <v>69.528882319527005397993780250</v>
      </c>
      <c r="AA11" s="216"/>
      <c r="AB11" s="498">
        <v>31.211082536902368643990589220</v>
      </c>
      <c r="AC11" s="5"/>
      <c r="AD11" s="420" t="s">
        <v>220</v>
      </c>
      <c r="AE11" s="91"/>
      <c r="AF11" s="91"/>
      <c r="AG11" s="421"/>
    </row>
    <row r="12" ht="20.1" customHeight="1">
      <c r="A12" s="58"/>
      <c r="B12" s="286"/>
      <c r="C12" s="287" t="s">
        <v>224</v>
      </c>
      <c r="D12" s="276">
        <v>185.16122584943371085942704863</v>
      </c>
      <c r="E12" s="94">
        <v>231.03938126009693053311793215</v>
      </c>
      <c r="F12" s="277">
        <v>168.82767779540384977724291766</v>
      </c>
      <c r="G12" s="276">
        <v>39.429380413057961359093937375</v>
      </c>
      <c r="H12" s="94">
        <v>81.50068036287276521409476154</v>
      </c>
      <c r="I12" s="277">
        <v>41.428235333212462919807631731</v>
      </c>
      <c r="J12" s="276">
        <v>22.919720186542305129913391073</v>
      </c>
      <c r="K12" s="94">
        <v>26.049337686116994213361325928</v>
      </c>
      <c r="L12" s="277">
        <v>19.059783763844209934966191126</v>
      </c>
      <c r="M12" s="276">
        <v>247.51032644903397734843437708</v>
      </c>
      <c r="N12" s="94">
        <v>338.58939930908668996057401962</v>
      </c>
      <c r="O12" s="277">
        <v>229.31569689246052263201674052</v>
      </c>
      <c r="P12" s="5"/>
      <c r="Q12" s="271">
        <v>55.268010149497998698846866090</v>
      </c>
      <c r="R12" s="92"/>
      <c r="S12" s="272">
        <v>42.114996168168317656453011340</v>
      </c>
      <c r="T12" s="271">
        <v>241.11731705899959382475174714</v>
      </c>
      <c r="U12" s="92"/>
      <c r="V12" s="272">
        <v>60.486770350420436518213741290</v>
      </c>
      <c r="W12" s="271">
        <v>-4.8290258656023985550536030200</v>
      </c>
      <c r="X12" s="92"/>
      <c r="Y12" s="272">
        <v>-20.879203369783592385946827480</v>
      </c>
      <c r="Z12" s="271">
        <v>59.793126133102157570413504250</v>
      </c>
      <c r="AA12" s="92"/>
      <c r="AB12" s="272">
        <v>35.930968917848658068233993380</v>
      </c>
      <c r="AC12" s="5"/>
      <c r="AD12" s="271" t="s">
        <v>226</v>
      </c>
      <c r="AE12" s="92" t="s">
        <v>223</v>
      </c>
      <c r="AF12" s="92" t="s">
        <v>220</v>
      </c>
      <c r="AG12" s="272" t="s">
        <v>220</v>
      </c>
    </row>
    <row r="13" ht="20.1" customHeight="1">
      <c r="A13" s="58"/>
      <c r="B13" s="288"/>
      <c r="C13" s="289" t="s">
        <v>227</v>
      </c>
      <c r="D13" s="439">
        <v>232.85902424423825202035318767</v>
      </c>
      <c r="E13" s="95">
        <v>295.48234172812021705857798805</v>
      </c>
      <c r="F13" s="442">
        <v>193.28462060540247047644902946</v>
      </c>
      <c r="G13" s="439">
        <v>45.228674049685722837473810236</v>
      </c>
      <c r="H13" s="95">
        <v>117.95572011727745714142663614</v>
      </c>
      <c r="I13" s="442">
        <v>44.189124780817107065686627425</v>
      </c>
      <c r="J13" s="439">
        <v>20.830888955402574079616881173</v>
      </c>
      <c r="K13" s="95">
        <v>43.753265367288639439549780487</v>
      </c>
      <c r="L13" s="442">
        <v>19.05685642336725436427482004</v>
      </c>
      <c r="M13" s="439">
        <v>298.91858724932654893744387908</v>
      </c>
      <c r="N13" s="95">
        <v>457.19132721268631363955440468</v>
      </c>
      <c r="O13" s="442">
        <v>256.53060180958683190641047692</v>
      </c>
      <c r="P13" s="5"/>
      <c r="Q13" s="420">
        <v>84.30857304858609216838980761</v>
      </c>
      <c r="R13" s="91"/>
      <c r="S13" s="498">
        <v>63.028743966457563735996518730</v>
      </c>
      <c r="T13" s="420">
        <v>236.53897221510090501100582272</v>
      </c>
      <c r="U13" s="91"/>
      <c r="V13" s="498">
        <v>117.39335069977052423445607120</v>
      </c>
      <c r="W13" s="420">
        <v>-12.404622863713235298959173440</v>
      </c>
      <c r="X13" s="91"/>
      <c r="Y13" s="498">
        <v>-3.3389232615890880428982261500</v>
      </c>
      <c r="Z13" s="420">
        <v>82.75540574784789358958688622</v>
      </c>
      <c r="AA13" s="91"/>
      <c r="AB13" s="498">
        <v>61.746350343846822988563509410</v>
      </c>
      <c r="AC13" s="5"/>
      <c r="AD13" s="420" t="s">
        <v>226</v>
      </c>
      <c r="AE13" s="91" t="s">
        <v>223</v>
      </c>
      <c r="AF13" s="91" t="s">
        <v>240</v>
      </c>
      <c r="AG13" s="421" t="s">
        <v>220</v>
      </c>
    </row>
    <row r="14" ht="20.1" customHeight="1">
      <c r="A14" s="58"/>
      <c r="B14" s="286"/>
      <c r="C14" s="287" t="s">
        <v>229</v>
      </c>
      <c r="D14" s="276">
        <v>336.98538240668232837379274341</v>
      </c>
      <c r="E14" s="94">
        <v>429.2952912447885646217986897</v>
      </c>
      <c r="F14" s="277">
        <v>254.36990810252999261494519898</v>
      </c>
      <c r="G14" s="276">
        <v>55.808144087705559906029757244</v>
      </c>
      <c r="H14" s="94">
        <v>92.58761167361524717093508041</v>
      </c>
      <c r="I14" s="277">
        <v>46.549761632212722176503027227</v>
      </c>
      <c r="J14" s="276">
        <v>23.361785434612372748629600626</v>
      </c>
      <c r="K14" s="94">
        <v>31.537105419892793329362715902</v>
      </c>
      <c r="L14" s="277">
        <v>19.698439062833795560226904122</v>
      </c>
      <c r="M14" s="276">
        <v>416.15531192900026102845210128</v>
      </c>
      <c r="N14" s="94">
        <v>553.420008338296605122096486</v>
      </c>
      <c r="O14" s="277">
        <v>320.61810879757651035167513033</v>
      </c>
      <c r="P14" s="5"/>
      <c r="Q14" s="271">
        <v>103.97519524991013283641442340</v>
      </c>
      <c r="R14" s="92">
        <v>90.25392971206590858291768503</v>
      </c>
      <c r="S14" s="272">
        <v>68.232584494329951884435292440</v>
      </c>
      <c r="T14" s="271">
        <v>221.12784785549498123732471312</v>
      </c>
      <c r="U14" s="92"/>
      <c r="V14" s="272">
        <v>106.50146279280276545202084470</v>
      </c>
      <c r="W14" s="271">
        <v>4.9521599702573256314312728300</v>
      </c>
      <c r="X14" s="92"/>
      <c r="Y14" s="272">
        <v>-9.027786261783185146622485810</v>
      </c>
      <c r="Z14" s="271">
        <v>103.15396033866002340902672808</v>
      </c>
      <c r="AA14" s="92"/>
      <c r="AB14" s="272">
        <v>64.085752603750362389152047340</v>
      </c>
      <c r="AC14" s="5"/>
      <c r="AD14" s="271" t="s">
        <v>226</v>
      </c>
      <c r="AE14" s="92" t="s">
        <v>225</v>
      </c>
      <c r="AF14" s="92" t="s">
        <v>226</v>
      </c>
      <c r="AG14" s="272" t="s">
        <v>226</v>
      </c>
    </row>
    <row r="15" ht="20.1" customHeight="1">
      <c r="A15" s="58"/>
      <c r="B15" s="288">
        <v>2022</v>
      </c>
      <c r="C15" s="289" t="s">
        <v>230</v>
      </c>
      <c r="D15" s="439">
        <v>272.61063829787234042553191489</v>
      </c>
      <c r="E15" s="95">
        <v>382.42658162512903701518950007</v>
      </c>
      <c r="F15" s="442">
        <v>234.94315109516426064517573566</v>
      </c>
      <c r="G15" s="439">
        <v>48.246276595744680851063829787</v>
      </c>
      <c r="H15" s="95">
        <v>124.47853203343818259927830024</v>
      </c>
      <c r="I15" s="442">
        <v>43.800214618452532790053256049</v>
      </c>
      <c r="J15" s="439">
        <v>22.39547872340425531914893617</v>
      </c>
      <c r="K15" s="95">
        <v>39.802617893303081458562226512</v>
      </c>
      <c r="L15" s="442">
        <v>23.312772224775353485020090911</v>
      </c>
      <c r="M15" s="439">
        <v>343.25239361702127659574468085</v>
      </c>
      <c r="N15" s="95">
        <v>546.70773155187030107303002682</v>
      </c>
      <c r="O15" s="442">
        <v>302.05613793839214692024908262</v>
      </c>
      <c r="P15" s="5"/>
      <c r="Q15" s="420">
        <v>62.573534812503983902355966970</v>
      </c>
      <c r="R15" s="91">
        <v>70.278409454863836068720882420</v>
      </c>
      <c r="S15" s="498">
        <v>45.539693264829258931072888500</v>
      </c>
      <c r="T15" s="420">
        <v>157.72567885837909393045880524</v>
      </c>
      <c r="U15" s="91"/>
      <c r="V15" s="498">
        <v>76.654258828156704016270533500</v>
      </c>
      <c r="W15" s="420">
        <v>-5.3979185391307909347422180600</v>
      </c>
      <c r="X15" s="91"/>
      <c r="Y15" s="498">
        <v>1.0210276570822067974642657800</v>
      </c>
      <c r="Z15" s="420">
        <v>63.392933094221633081787957730</v>
      </c>
      <c r="AA15" s="91"/>
      <c r="AB15" s="498">
        <v>44.317051053396029197889213080</v>
      </c>
      <c r="AC15" s="5"/>
      <c r="AD15" s="420" t="s">
        <v>226</v>
      </c>
      <c r="AE15" s="91" t="s">
        <v>223</v>
      </c>
      <c r="AF15" s="91" t="s">
        <v>239</v>
      </c>
      <c r="AG15" s="421" t="s">
        <v>220</v>
      </c>
    </row>
    <row r="16" ht="20.1" customHeight="1">
      <c r="A16" s="58"/>
      <c r="B16" s="286"/>
      <c r="C16" s="287" t="s">
        <v>231</v>
      </c>
      <c r="D16" s="276">
        <v>360.40734510793383795906924586</v>
      </c>
      <c r="E16" s="94">
        <v>459.912699876998769987699877</v>
      </c>
      <c r="F16" s="277">
        <v>293.00395363139751825647439442</v>
      </c>
      <c r="G16" s="276">
        <v>77.062797869358003924866834875</v>
      </c>
      <c r="H16" s="94">
        <v>99.39311193111931119311193112</v>
      </c>
      <c r="I16" s="277">
        <v>51.998094972638645466290818014</v>
      </c>
      <c r="J16" s="276">
        <v>22.520325203252032520325203252</v>
      </c>
      <c r="K16" s="94">
        <v>22.467404674046740467404674047</v>
      </c>
      <c r="L16" s="277">
        <v>22.612839833504153582270604576</v>
      </c>
      <c r="M16" s="276">
        <v>459.99046818054387440426128399</v>
      </c>
      <c r="N16" s="94">
        <v>581.77321648216482164821648216</v>
      </c>
      <c r="O16" s="277">
        <v>367.61488843754031730503581701</v>
      </c>
      <c r="P16" s="5"/>
      <c r="Q16" s="271">
        <v>77.237971075308441506482345590</v>
      </c>
      <c r="R16" s="92">
        <v>72.214042959264246428943124560</v>
      </c>
      <c r="S16" s="272">
        <v>66.876034430160056317628574600</v>
      </c>
      <c r="T16" s="271">
        <v>126.93826313582854492628833109</v>
      </c>
      <c r="U16" s="92"/>
      <c r="V16" s="272">
        <v>99.84274084007794052619378825</v>
      </c>
      <c r="W16" s="271">
        <v>22.950142291345216228627069350</v>
      </c>
      <c r="X16" s="92"/>
      <c r="Y16" s="272">
        <v>8.711205435640085434010376890</v>
      </c>
      <c r="Z16" s="271">
        <v>79.95031937421019155881287386</v>
      </c>
      <c r="AA16" s="92"/>
      <c r="AB16" s="272">
        <v>65.292867834055812892768038140</v>
      </c>
      <c r="AC16" s="5"/>
      <c r="AD16" s="271" t="s">
        <v>226</v>
      </c>
      <c r="AE16" s="92" t="s">
        <v>225</v>
      </c>
      <c r="AF16" s="92" t="s">
        <v>226</v>
      </c>
      <c r="AG16" s="272" t="s">
        <v>226</v>
      </c>
    </row>
    <row r="17" ht="20.1" customHeight="1">
      <c r="A17" s="58"/>
      <c r="B17" s="288"/>
      <c r="C17" s="289" t="s">
        <v>232</v>
      </c>
      <c r="D17" s="439">
        <v>335.71802853437094682230869001</v>
      </c>
      <c r="E17" s="95">
        <v>441.75091732611411911703456888</v>
      </c>
      <c r="F17" s="442">
        <v>298.76376692300346077410376865</v>
      </c>
      <c r="G17" s="439">
        <v>79.70090791180285343709468223</v>
      </c>
      <c r="H17" s="95">
        <v>89.71876301541024573094543939</v>
      </c>
      <c r="I17" s="442">
        <v>56.422799245620250844622371872</v>
      </c>
      <c r="J17" s="439">
        <v>22.543450064850843060959792477</v>
      </c>
      <c r="K17" s="95">
        <v>23.814764681382757184506455641</v>
      </c>
      <c r="L17" s="442">
        <v>19.80061714523101530415938744</v>
      </c>
      <c r="M17" s="439">
        <v>437.96238651102464332036316472</v>
      </c>
      <c r="N17" s="95">
        <v>555.28444502290712203248646392</v>
      </c>
      <c r="O17" s="442">
        <v>374.98718331385472692288552796</v>
      </c>
      <c r="P17" s="5"/>
      <c r="Q17" s="420">
        <v>41.999754707629583918543983940</v>
      </c>
      <c r="R17" s="91">
        <v>46.372741115885638736265476710</v>
      </c>
      <c r="S17" s="498">
        <v>46.063719315118038056085057200</v>
      </c>
      <c r="T17" s="420">
        <v>104.66055763978465626180737795</v>
      </c>
      <c r="U17" s="91"/>
      <c r="V17" s="498">
        <v>108.15436185898000666633160941</v>
      </c>
      <c r="W17" s="420">
        <v>2.5058242819270360772797208600</v>
      </c>
      <c r="X17" s="91"/>
      <c r="Y17" s="498">
        <v>1.9003115302220698967538700900</v>
      </c>
      <c r="Z17" s="420">
        <v>47.285098137298859534563940200</v>
      </c>
      <c r="AA17" s="91"/>
      <c r="AB17" s="498">
        <v>49.349065397550297786836071300</v>
      </c>
      <c r="AC17" s="5"/>
      <c r="AD17" s="420" t="s">
        <v>226</v>
      </c>
      <c r="AE17" s="91" t="s">
        <v>225</v>
      </c>
      <c r="AF17" s="91" t="s">
        <v>226</v>
      </c>
      <c r="AG17" s="421" t="s">
        <v>225</v>
      </c>
    </row>
    <row r="18" ht="20.1" customHeight="1">
      <c r="A18" s="58"/>
      <c r="B18" s="286"/>
      <c r="C18" s="287" t="s">
        <v>233</v>
      </c>
      <c r="D18" s="276">
        <v>354.76223581757508342602892102</v>
      </c>
      <c r="E18" s="94">
        <v>418.42689672343392092421073598</v>
      </c>
      <c r="F18" s="277">
        <v>272.49100010448427511659495246</v>
      </c>
      <c r="G18" s="276">
        <v>77.347052280311457174638487208</v>
      </c>
      <c r="H18" s="94">
        <v>105.22607818358575383041874973</v>
      </c>
      <c r="I18" s="277">
        <v>54.127244570547317906956779538</v>
      </c>
      <c r="J18" s="276">
        <v>23.857063403781979977753058954</v>
      </c>
      <c r="K18" s="94">
        <v>31.006489712016357059265763775</v>
      </c>
      <c r="L18" s="277">
        <v>19.913404672585069810135010813</v>
      </c>
      <c r="M18" s="276">
        <v>455.96635150166852057842046719</v>
      </c>
      <c r="N18" s="94">
        <v>554.65946461903603181389524949</v>
      </c>
      <c r="O18" s="277">
        <v>346.53164934761666283368674281</v>
      </c>
      <c r="P18" s="5"/>
      <c r="Q18" s="271">
        <v>47.627193746327478596713406380</v>
      </c>
      <c r="R18" s="92">
        <v>42.565529146288920996458715140</v>
      </c>
      <c r="S18" s="272">
        <v>32.169441112747475936012335680</v>
      </c>
      <c r="T18" s="271">
        <v>75.372667320887031661579397560</v>
      </c>
      <c r="U18" s="92">
        <v>-2.6229949141577564646015323700</v>
      </c>
      <c r="V18" s="272">
        <v>68.847087687340374141957564160</v>
      </c>
      <c r="W18" s="271">
        <v>1.1657953948231542413388663100</v>
      </c>
      <c r="X18" s="92">
        <v>94.45424413624590100849087678</v>
      </c>
      <c r="Y18" s="272">
        <v>5.8549338968536348305560511500</v>
      </c>
      <c r="Z18" s="271">
        <v>48.042906568618928960209536410</v>
      </c>
      <c r="AA18" s="92">
        <v>32.851346193670375937516522520</v>
      </c>
      <c r="AB18" s="272">
        <v>34.817878318462868376049441620</v>
      </c>
      <c r="AC18" s="5"/>
      <c r="AD18" s="271" t="s">
        <v>226</v>
      </c>
      <c r="AE18" s="92" t="s">
        <v>223</v>
      </c>
      <c r="AF18" s="92" t="s">
        <v>220</v>
      </c>
      <c r="AG18" s="272" t="s">
        <v>223</v>
      </c>
    </row>
    <row r="19" ht="20.1" customHeight="1">
      <c r="A19" s="58"/>
      <c r="B19" s="288"/>
      <c r="C19" s="289" t="s">
        <v>234</v>
      </c>
      <c r="D19" s="439">
        <v>316.9294710327455919395465995</v>
      </c>
      <c r="E19" s="95">
        <v>342.64543624928530588907947402</v>
      </c>
      <c r="F19" s="442">
        <v>246.5949452861101559497562653</v>
      </c>
      <c r="G19" s="439">
        <v>69.830954380072767982087881332</v>
      </c>
      <c r="H19" s="95">
        <v>73.203887935963407661520869076</v>
      </c>
      <c r="I19" s="442">
        <v>56.175705476279530040002279193</v>
      </c>
      <c r="J19" s="439">
        <v>22.58158410299468233977050098</v>
      </c>
      <c r="K19" s="95">
        <v>20.029273870783304745568896515</v>
      </c>
      <c r="L19" s="442">
        <v>21.632248741400979331440975866</v>
      </c>
      <c r="M19" s="439">
        <v>409.34200951581304226140498181</v>
      </c>
      <c r="N19" s="95">
        <v>435.87859805603201829616923962</v>
      </c>
      <c r="O19" s="442">
        <v>324.40289950379066532119952035</v>
      </c>
      <c r="P19" s="5"/>
      <c r="Q19" s="420">
        <v>17.329605123397602146698247530</v>
      </c>
      <c r="R19" s="91">
        <v>10.850584335175944932952143920</v>
      </c>
      <c r="S19" s="498">
        <v>12.961558114266492611570465390</v>
      </c>
      <c r="T19" s="420">
        <v>83.49007411326432205465569019</v>
      </c>
      <c r="U19" s="91">
        <v>-22.617948027203829835697150690</v>
      </c>
      <c r="V19" s="498">
        <v>67.036922496687325465789285840</v>
      </c>
      <c r="W19" s="420">
        <v>-0.1117574964101888037773454300</v>
      </c>
      <c r="X19" s="91">
        <v>4.8936550620788040197415204600</v>
      </c>
      <c r="Y19" s="498">
        <v>11.211457150778944537772030240</v>
      </c>
      <c r="Z19" s="420">
        <v>23.749465301898977169066981030</v>
      </c>
      <c r="AA19" s="91">
        <v>3.0930598212418644798615532500</v>
      </c>
      <c r="AB19" s="498">
        <v>19.537346665855938135296282700</v>
      </c>
      <c r="AC19" s="5"/>
      <c r="AD19" s="420" t="s">
        <v>226</v>
      </c>
      <c r="AE19" s="91" t="s">
        <v>225</v>
      </c>
      <c r="AF19" s="91" t="s">
        <v>226</v>
      </c>
      <c r="AG19" s="421" t="s">
        <v>225</v>
      </c>
    </row>
    <row r="20" ht="20.1" customHeight="1">
      <c r="A20" s="58"/>
      <c r="B20" s="286"/>
      <c r="C20" s="287" t="s">
        <v>235</v>
      </c>
      <c r="D20" s="276">
        <v>212.63477718915550015581177937</v>
      </c>
      <c r="E20" s="94">
        <v>233.16957076073098172545686359</v>
      </c>
      <c r="F20" s="277">
        <v>190.27995344266255263779160101</v>
      </c>
      <c r="G20" s="276">
        <v>55.302898099096291679650981614</v>
      </c>
      <c r="H20" s="94">
        <v>80.81245646119081500058517566</v>
      </c>
      <c r="I20" s="277">
        <v>50.026259399618316608675926963</v>
      </c>
      <c r="J20" s="276">
        <v>21.436272982237457151760673107</v>
      </c>
      <c r="K20" s="94">
        <v>24.577240312280199939685346121</v>
      </c>
      <c r="L20" s="277">
        <v>23.20827468384652940086117028</v>
      </c>
      <c r="M20" s="276">
        <v>289.37394827048924898722343409</v>
      </c>
      <c r="N20" s="94">
        <v>338.55926753420199666572738537</v>
      </c>
      <c r="O20" s="277">
        <v>263.51448752612739864732869826</v>
      </c>
      <c r="P20" s="5"/>
      <c r="Q20" s="271">
        <v>-7.5738200557158284056744327100</v>
      </c>
      <c r="R20" s="92">
        <v>-14.053303094894458698038893560</v>
      </c>
      <c r="S20" s="272">
        <v>-7.1557813975970680721520806300</v>
      </c>
      <c r="T20" s="271">
        <v>45.521265377513086775825206830</v>
      </c>
      <c r="U20" s="92">
        <v>-10.629085010276241408499944580</v>
      </c>
      <c r="V20" s="272">
        <v>39.509735722618804933975827980</v>
      </c>
      <c r="W20" s="271">
        <v>-22.171319410796067555414006540</v>
      </c>
      <c r="X20" s="92">
        <v>8.050268670216295174786370680</v>
      </c>
      <c r="Y20" s="272">
        <v>18.156372395911399903668408990</v>
      </c>
      <c r="Z20" s="271">
        <v>-2.10797788284653278631811100</v>
      </c>
      <c r="AA20" s="92">
        <v>-11.940236740376400425172529190</v>
      </c>
      <c r="AB20" s="272">
        <v>1.1781612944391182317141996100</v>
      </c>
      <c r="AC20" s="5"/>
      <c r="AD20" s="271" t="s">
        <v>223</v>
      </c>
      <c r="AE20" s="92" t="s">
        <v>236</v>
      </c>
      <c r="AF20" s="92" t="s">
        <v>236</v>
      </c>
      <c r="AG20" s="272" t="s">
        <v>236</v>
      </c>
    </row>
    <row r="21" ht="20.1" customHeight="1">
      <c r="A21" s="58"/>
      <c r="B21" s="288"/>
      <c r="C21" s="289" t="s">
        <v>218</v>
      </c>
      <c r="D21" s="439">
        <v>229.13482501434308663224325875</v>
      </c>
      <c r="E21" s="95">
        <v>248.47312815801561782269177768</v>
      </c>
      <c r="F21" s="442">
        <v>186.03759799228997956068407027</v>
      </c>
      <c r="G21" s="439">
        <v>57.35312679288582903040734366</v>
      </c>
      <c r="H21" s="95">
        <v>68.917609038754591391880147935</v>
      </c>
      <c r="I21" s="442">
        <v>36.527157605803137013479790115</v>
      </c>
      <c r="J21" s="439">
        <v>26.154618473895582329317269076</v>
      </c>
      <c r="K21" s="95">
        <v>23.553069077530553506434356763</v>
      </c>
      <c r="L21" s="442">
        <v>20.270347504982105501407780202</v>
      </c>
      <c r="M21" s="439">
        <v>312.64257028112449799196787149</v>
      </c>
      <c r="N21" s="95">
        <v>340.94380627430076272100628238</v>
      </c>
      <c r="O21" s="442">
        <v>242.83510310307522207557164059</v>
      </c>
      <c r="P21" s="5"/>
      <c r="Q21" s="420">
        <v>-14.251757285096864985392944240</v>
      </c>
      <c r="R21" s="91">
        <v>-13.706090695350184443342414110</v>
      </c>
      <c r="S21" s="498">
        <v>-9.360220344660180024106053940</v>
      </c>
      <c r="T21" s="420">
        <v>35.808930784703528772220824940</v>
      </c>
      <c r="U21" s="91">
        <v>6.2904436911046232023652337400</v>
      </c>
      <c r="V21" s="498">
        <v>10.457285711236249486213378580</v>
      </c>
      <c r="W21" s="420">
        <v>2.1987925344932442581548042700</v>
      </c>
      <c r="X21" s="91">
        <v>-1.0831787146261247071013863900</v>
      </c>
      <c r="Y21" s="498">
        <v>1.7002230209530547438495129800</v>
      </c>
      <c r="Z21" s="420">
        <v>-6.685211495913883919225817300</v>
      </c>
      <c r="AA21" s="91">
        <v>-9.465069444490245915090667310</v>
      </c>
      <c r="AB21" s="498">
        <v>-5.9689443976664753616486608800</v>
      </c>
      <c r="AC21" s="5"/>
      <c r="AD21" s="420" t="s">
        <v>223</v>
      </c>
      <c r="AE21" s="91" t="s">
        <v>236</v>
      </c>
      <c r="AF21" s="91" t="s">
        <v>236</v>
      </c>
      <c r="AG21" s="421" t="s">
        <v>236</v>
      </c>
    </row>
    <row r="22" ht="20.1" customHeight="1">
      <c r="A22" s="58"/>
      <c r="B22" s="286"/>
      <c r="C22" s="287" t="s">
        <v>221</v>
      </c>
      <c r="D22" s="276">
        <v>193.212000000</v>
      </c>
      <c r="E22" s="94">
        <v>218.77487413090385998561496043</v>
      </c>
      <c r="F22" s="277">
        <v>169.26024937060508724715687126</v>
      </c>
      <c r="G22" s="276">
        <v>44.247384615384615384615384615</v>
      </c>
      <c r="H22" s="94">
        <v>60.498450978726418987825591699</v>
      </c>
      <c r="I22" s="277">
        <v>37.169675009597684658261765901</v>
      </c>
      <c r="J22" s="276">
        <v>25.852307692307692307692307692</v>
      </c>
      <c r="K22" s="94">
        <v>26.411549294562595453457007047</v>
      </c>
      <c r="L22" s="277">
        <v>21.331200064567534713782112015</v>
      </c>
      <c r="M22" s="276">
        <v>263.31169230769230769230769231</v>
      </c>
      <c r="N22" s="94">
        <v>305.68487440419287442689755917</v>
      </c>
      <c r="O22" s="277">
        <v>227.76112444477030661920074918</v>
      </c>
      <c r="P22" s="5"/>
      <c r="Q22" s="271">
        <v>-6.5397399686276264166636040100</v>
      </c>
      <c r="R22" s="92">
        <v>-5.9267649770706125908928835100</v>
      </c>
      <c r="S22" s="272">
        <v>1.1429229210345960645931644600</v>
      </c>
      <c r="T22" s="271">
        <v>15.859568460533587924678673060</v>
      </c>
      <c r="U22" s="92"/>
      <c r="V22" s="272">
        <v>7.80829518301240642124837800</v>
      </c>
      <c r="W22" s="271">
        <v>3.5718840745705769581627154700</v>
      </c>
      <c r="X22" s="92"/>
      <c r="Y22" s="272">
        <v>3.6493598802535947676847497100</v>
      </c>
      <c r="Z22" s="271">
        <v>-2.4348680442854397139974741100</v>
      </c>
      <c r="AA22" s="92"/>
      <c r="AB22" s="272">
        <v>2.4081294979350911485291344100</v>
      </c>
      <c r="AC22" s="5"/>
      <c r="AD22" s="271" t="s">
        <v>223</v>
      </c>
      <c r="AE22" s="92" t="s">
        <v>236</v>
      </c>
      <c r="AF22" s="92" t="s">
        <v>238</v>
      </c>
      <c r="AG22" s="272" t="s">
        <v>236</v>
      </c>
    </row>
    <row r="23" ht="20.1" customHeight="1">
      <c r="A23" s="58"/>
      <c r="B23" s="288"/>
      <c r="C23" s="289" t="s">
        <v>222</v>
      </c>
      <c r="D23" s="439">
        <v>184.57228240567799775868509526</v>
      </c>
      <c r="E23" s="95">
        <v>201.78964585407481154885507041</v>
      </c>
      <c r="F23" s="442">
        <v>170.88192967051099966408740799</v>
      </c>
      <c r="G23" s="439">
        <v>43.204333208815838625326858424</v>
      </c>
      <c r="H23" s="95">
        <v>68.614245523979124026651822053</v>
      </c>
      <c r="I23" s="442">
        <v>52.958489308923262343794062609</v>
      </c>
      <c r="J23" s="439">
        <v>26.465819947702652222637280538</v>
      </c>
      <c r="K23" s="95">
        <v>21.547581589930750358892083722</v>
      </c>
      <c r="L23" s="442">
        <v>25.559446800728722992003200895</v>
      </c>
      <c r="M23" s="439">
        <v>254.24243556219648860664923422</v>
      </c>
      <c r="N23" s="95">
        <v>291.95147296798468593439897618</v>
      </c>
      <c r="O23" s="442">
        <v>249.3998657801629849998846715</v>
      </c>
      <c r="P23" s="5"/>
      <c r="Q23" s="420">
        <v>0.9137968582076615383711579200</v>
      </c>
      <c r="R23" s="91">
        <v>-6.1608744387080011896211122200</v>
      </c>
      <c r="S23" s="498">
        <v>8.381583839987042196135028320</v>
      </c>
      <c r="T23" s="420">
        <v>12.640040493204712167640606470</v>
      </c>
      <c r="U23" s="91"/>
      <c r="V23" s="498">
        <v>46.413380788105934090261974820</v>
      </c>
      <c r="W23" s="420">
        <v>12.322545562284631811312883970</v>
      </c>
      <c r="X23" s="91"/>
      <c r="Y23" s="498">
        <v>9.437060709837545756419938230</v>
      </c>
      <c r="Z23" s="420">
        <v>3.8489805110299068297259612400</v>
      </c>
      <c r="AA23" s="91"/>
      <c r="AB23" s="498">
        <v>14.828762609473284023231945750</v>
      </c>
      <c r="AC23" s="5"/>
      <c r="AD23" s="420" t="s">
        <v>223</v>
      </c>
      <c r="AE23" s="91" t="s">
        <v>236</v>
      </c>
      <c r="AF23" s="91" t="s">
        <v>236</v>
      </c>
      <c r="AG23" s="421" t="s">
        <v>236</v>
      </c>
    </row>
    <row r="24" ht="20.1" customHeight="1">
      <c r="A24" s="59"/>
      <c r="B24" s="286"/>
      <c r="C24" s="287" t="s">
        <v>224</v>
      </c>
      <c r="D24" s="276">
        <v>212.23740533421139282186368126</v>
      </c>
      <c r="E24" s="94">
        <v>265.29831260007390072669047912</v>
      </c>
      <c r="F24" s="277">
        <v>199.96778282285365892791246169</v>
      </c>
      <c r="G24" s="276">
        <v>46.308528152782351004280540007</v>
      </c>
      <c r="H24" s="94">
        <v>104.1810322088069990937853384</v>
      </c>
      <c r="I24" s="277">
        <v>58.173867688537285205349731507</v>
      </c>
      <c r="J24" s="276">
        <v>23.584129074744813961145867633</v>
      </c>
      <c r="K24" s="94">
        <v>24.840391318801110880672654788</v>
      </c>
      <c r="L24" s="277">
        <v>19.248565111773436344290508699</v>
      </c>
      <c r="M24" s="276">
        <v>282.1300625617385577872900889</v>
      </c>
      <c r="N24" s="94">
        <v>394.31973612768201070114847232</v>
      </c>
      <c r="O24" s="277">
        <v>277.3902156231643804775527019</v>
      </c>
      <c r="P24" s="93"/>
      <c r="Q24" s="271">
        <v>14.623028855314273128633840750</v>
      </c>
      <c r="R24" s="92">
        <v>14.828178275549400399400519810</v>
      </c>
      <c r="S24" s="272">
        <v>18.444905144754721352076299700</v>
      </c>
      <c r="T24" s="271">
        <v>17.446755864814010584832584940</v>
      </c>
      <c r="U24" s="92">
        <v>27.828420259705393833909685390</v>
      </c>
      <c r="V24" s="272">
        <v>40.420819812031851204038992480</v>
      </c>
      <c r="W24" s="271">
        <v>2.8988525289072204840805272900</v>
      </c>
      <c r="X24" s="92">
        <v>-4.6409869681407919553321898600</v>
      </c>
      <c r="Y24" s="272">
        <v>0.9904695158818449401285263700</v>
      </c>
      <c r="Z24" s="271">
        <v>13.987188578926634789333798820</v>
      </c>
      <c r="AA24" s="92">
        <v>16.459563392209305482665010750</v>
      </c>
      <c r="AB24" s="272">
        <v>20.964338412996230376468144510</v>
      </c>
      <c r="AC24" s="93"/>
      <c r="AD24" s="271" t="s">
        <v>223</v>
      </c>
      <c r="AE24" s="92" t="s">
        <v>236</v>
      </c>
      <c r="AF24" s="92" t="s">
        <v>236</v>
      </c>
      <c r="AG24" s="272" t="s">
        <v>236</v>
      </c>
    </row>
    <row r="25" ht="20.1" customHeight="1">
      <c r="A25" s="60"/>
      <c r="B25" s="288"/>
      <c r="C25" s="289" t="s">
        <v>227</v>
      </c>
      <c r="D25" s="439">
        <v>262.937500000</v>
      </c>
      <c r="E25" s="95">
        <v>310.65478339350180505415162458</v>
      </c>
      <c r="F25" s="442">
        <v>221.200369219919207214308309</v>
      </c>
      <c r="G25" s="439">
        <v>59.242698598130841121495327103</v>
      </c>
      <c r="H25" s="95">
        <v>96.01398411937873496475948573</v>
      </c>
      <c r="I25" s="442">
        <v>67.766177626763497163933669787</v>
      </c>
      <c r="J25" s="439">
        <v>24.851051401869158878504672897</v>
      </c>
      <c r="K25" s="95">
        <v>24.071842355620261445874010565</v>
      </c>
      <c r="L25" s="442">
        <v>21.134873719656810742511632047</v>
      </c>
      <c r="M25" s="439">
        <v>347.031250000</v>
      </c>
      <c r="N25" s="95">
        <v>430.74060986850080146478512087</v>
      </c>
      <c r="O25" s="442">
        <v>310.10142056633951512075361084</v>
      </c>
      <c r="P25" s="93"/>
      <c r="Q25" s="420">
        <v>12.917032463494567736462841820</v>
      </c>
      <c r="R25" s="91">
        <v>5.1348048674134779562052040100</v>
      </c>
      <c r="S25" s="498">
        <v>14.442819365080562942933887310</v>
      </c>
      <c r="T25" s="420">
        <v>30.984822886984005205777813680</v>
      </c>
      <c r="U25" s="91">
        <v>-18.601671861357383891063784750</v>
      </c>
      <c r="V25" s="498">
        <v>53.354876257263265384536913800</v>
      </c>
      <c r="W25" s="420">
        <v>19.299044102613827706875304530</v>
      </c>
      <c r="X25" s="91">
        <v>-44.982752364784866039759950420</v>
      </c>
      <c r="Y25" s="498">
        <v>10.904302630444357690535215180</v>
      </c>
      <c r="Z25" s="420">
        <v>16.095574113821745629435344600</v>
      </c>
      <c r="AA25" s="91">
        <v>-5.7854809944575961870780571600</v>
      </c>
      <c r="AB25" s="498">
        <v>20.882818025936882431725410670</v>
      </c>
      <c r="AC25" s="93"/>
      <c r="AD25" s="420" t="s">
        <v>223</v>
      </c>
      <c r="AE25" s="91" t="s">
        <v>236</v>
      </c>
      <c r="AF25" s="91" t="s">
        <v>236</v>
      </c>
      <c r="AG25" s="421" t="s">
        <v>236</v>
      </c>
    </row>
    <row r="26" ht="20.1" customHeight="1">
      <c r="A26" s="60"/>
      <c r="B26" s="290"/>
      <c r="C26" s="291" t="s">
        <v>229</v>
      </c>
      <c r="D26" s="443">
        <v>319.73223889046136427964902349</v>
      </c>
      <c r="E26" s="444">
        <v>373.58801365830684092782291299</v>
      </c>
      <c r="F26" s="445">
        <v>249.26622795551891250578133483</v>
      </c>
      <c r="G26" s="443">
        <v>53.470138692329465043872063402</v>
      </c>
      <c r="H26" s="444">
        <v>110.62567217486023447647496194</v>
      </c>
      <c r="I26" s="445">
        <v>61.937652509817008134919911169</v>
      </c>
      <c r="J26" s="443">
        <v>26.12935182564392867251627512</v>
      </c>
      <c r="K26" s="444">
        <v>29.426686043693979892817797833</v>
      </c>
      <c r="L26" s="445">
        <v>25.55374343970519645103972306</v>
      </c>
      <c r="M26" s="443">
        <v>399.33172940843475799603736202</v>
      </c>
      <c r="N26" s="444">
        <v>513.64037187686105529711567276</v>
      </c>
      <c r="O26" s="445">
        <v>336.75762390504111709174096906</v>
      </c>
      <c r="P26" s="184"/>
      <c r="Q26" s="273">
        <v>-5.1198492329308838951420960200</v>
      </c>
      <c r="R26" s="274">
        <v>-12.976447383096689005693377690</v>
      </c>
      <c r="S26" s="275">
        <v>-2.0064009084457138550609565300</v>
      </c>
      <c r="T26" s="273">
        <v>-4.1893623835554612705805035600</v>
      </c>
      <c r="U26" s="274">
        <v>19.482153362860231294064217670</v>
      </c>
      <c r="V26" s="275">
        <v>33.056862888364820937915262760</v>
      </c>
      <c r="W26" s="273">
        <v>11.846553418579990849875704650</v>
      </c>
      <c r="X26" s="274">
        <v>-6.6918613744251230287976989900</v>
      </c>
      <c r="Y26" s="275">
        <v>29.724712492386208906305641110</v>
      </c>
      <c r="Z26" s="273">
        <v>-4.0426211172418010603705370300</v>
      </c>
      <c r="AA26" s="274">
        <v>-7.18796499260685550293572600</v>
      </c>
      <c r="AB26" s="275">
        <v>5.0338750883312334271559768700</v>
      </c>
      <c r="AC26" s="184"/>
      <c r="AD26" s="273" t="s">
        <v>223</v>
      </c>
      <c r="AE26" s="274" t="s">
        <v>236</v>
      </c>
      <c r="AF26" s="274" t="s">
        <v>238</v>
      </c>
      <c r="AG26" s="275" t="s">
        <v>236</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115"/>
      <c r="AD27" s="113"/>
      <c r="AE27" s="113"/>
      <c r="AF27" s="113"/>
      <c r="AG27" s="113"/>
      <c r="AH27" s="9"/>
    </row>
    <row r="28" ht="24.95" customHeight="1">
      <c r="A28" s="112"/>
      <c r="B28" s="847" t="s">
        <v>58</v>
      </c>
      <c r="C28" s="847"/>
      <c r="D28" s="847"/>
      <c r="E28" s="847"/>
      <c r="F28" s="847"/>
      <c r="G28" s="847"/>
      <c r="H28" s="847"/>
      <c r="I28" s="847"/>
      <c r="J28" s="847"/>
      <c r="K28" s="847"/>
      <c r="L28" s="847"/>
      <c r="M28" s="847"/>
      <c r="N28" s="847"/>
      <c r="O28" s="973"/>
      <c r="P28" s="411"/>
      <c r="Q28" s="836"/>
      <c r="R28" s="836"/>
      <c r="S28" s="836"/>
      <c r="T28" s="836"/>
      <c r="U28" s="836"/>
      <c r="V28" s="836"/>
      <c r="W28" s="836"/>
      <c r="X28" s="836"/>
      <c r="Y28" s="836"/>
      <c r="Z28" s="836"/>
      <c r="AA28" s="836"/>
      <c r="AB28" s="971"/>
      <c r="AC28" s="411"/>
      <c r="AD28" s="836"/>
      <c r="AE28" s="836"/>
      <c r="AF28" s="836"/>
      <c r="AG28" s="971"/>
      <c r="AH28" s="9"/>
    </row>
    <row r="29" ht="20.1" customHeight="1">
      <c r="A29" s="58"/>
      <c r="B29" s="284">
        <v>2020</v>
      </c>
      <c r="C29" s="285"/>
      <c r="D29" s="454">
        <v>205.63515078286260887076473846</v>
      </c>
      <c r="E29" s="455"/>
      <c r="F29" s="436">
        <v>186.66460907780639368664792193</v>
      </c>
      <c r="G29" s="454">
        <v>31.634647334239540854855761969</v>
      </c>
      <c r="H29" s="455"/>
      <c r="I29" s="436">
        <v>39.801827682740584667877784894</v>
      </c>
      <c r="J29" s="454">
        <v>26.686401852690932890298545033</v>
      </c>
      <c r="K29" s="455"/>
      <c r="L29" s="436">
        <v>19.342631520603397779757121588</v>
      </c>
      <c r="M29" s="454">
        <v>263.95619996979308261591904546</v>
      </c>
      <c r="N29" s="455"/>
      <c r="O29" s="436">
        <v>245.80906828115037613428282842</v>
      </c>
      <c r="P29" s="217"/>
      <c r="Q29" s="427">
        <v>5.6208548544613259021366218100</v>
      </c>
      <c r="R29" s="428"/>
      <c r="S29" s="417">
        <v>2.0554258137590537445109074500</v>
      </c>
      <c r="T29" s="427">
        <v>0.1979013839834753353400674900</v>
      </c>
      <c r="U29" s="428"/>
      <c r="V29" s="417">
        <v>-20.230402711837920101877725470</v>
      </c>
      <c r="W29" s="427">
        <v>-14.629017354815327465157417590</v>
      </c>
      <c r="X29" s="428"/>
      <c r="Y29" s="417">
        <v>15.172744388698650730668777520</v>
      </c>
      <c r="Z29" s="427">
        <v>2.4979843858277179333469982800</v>
      </c>
      <c r="AA29" s="428"/>
      <c r="AB29" s="417">
        <v>-1.5170543744912634139456955500</v>
      </c>
      <c r="AC29" s="5"/>
      <c r="AD29" s="427"/>
      <c r="AE29" s="428"/>
      <c r="AF29" s="428"/>
      <c r="AG29" s="429"/>
    </row>
    <row r="30" ht="20.1" customHeight="1">
      <c r="A30" s="58"/>
      <c r="B30" s="286">
        <v>2021</v>
      </c>
      <c r="C30" s="287"/>
      <c r="D30" s="276">
        <v>233.74962656841266679944234216</v>
      </c>
      <c r="E30" s="94">
        <v>286.53280715836121913719815501</v>
      </c>
      <c r="F30" s="277">
        <v>196.71647829114544472893073168</v>
      </c>
      <c r="G30" s="276">
        <v>39.433006373232423819956184027</v>
      </c>
      <c r="H30" s="94">
        <v>105.49446181374223083111807851</v>
      </c>
      <c r="I30" s="277">
        <v>35.309007765250794374759827804</v>
      </c>
      <c r="J30" s="276">
        <v>23.235510854411471818362875921</v>
      </c>
      <c r="K30" s="94">
        <v>36.448680020761955779446988112</v>
      </c>
      <c r="L30" s="277">
        <v>20.070250883743762155095310642</v>
      </c>
      <c r="M30" s="276">
        <v>296.41814379605656243776140211</v>
      </c>
      <c r="N30" s="94">
        <v>428.47594899286540574776322164</v>
      </c>
      <c r="O30" s="277">
        <v>252.09573694014000125878587012</v>
      </c>
      <c r="P30" s="217"/>
      <c r="Q30" s="271">
        <v>13.672018464972760852009297750</v>
      </c>
      <c r="R30" s="92"/>
      <c r="S30" s="272">
        <v>5.3849892933672944177066669500</v>
      </c>
      <c r="T30" s="271">
        <v>24.651322825406279821767560300</v>
      </c>
      <c r="U30" s="92"/>
      <c r="V30" s="272">
        <v>-11.287973892219087990760973070</v>
      </c>
      <c r="W30" s="271">
        <v>-12.931271204474438576725225460</v>
      </c>
      <c r="X30" s="92"/>
      <c r="Y30" s="272">
        <v>3.7617392564648913890725934400</v>
      </c>
      <c r="Z30" s="271">
        <v>12.298231233049509073907850560</v>
      </c>
      <c r="AA30" s="92"/>
      <c r="AB30" s="272">
        <v>2.5575413888913955254178279100</v>
      </c>
      <c r="AC30" s="5"/>
      <c r="AD30" s="271" t="s">
        <v>226</v>
      </c>
      <c r="AE30" s="92" t="s">
        <v>236</v>
      </c>
      <c r="AF30" s="92" t="s">
        <v>238</v>
      </c>
      <c r="AG30" s="272" t="s">
        <v>236</v>
      </c>
    </row>
    <row r="31" ht="20.1" customHeight="1">
      <c r="A31" s="58"/>
      <c r="B31" s="425">
        <v>2022</v>
      </c>
      <c r="C31" s="426"/>
      <c r="D31" s="457">
        <v>275.60038567627602704615910367</v>
      </c>
      <c r="E31" s="458">
        <v>325.4739442916479457233911508</v>
      </c>
      <c r="F31" s="499">
        <v>229.99410822396806199078871219</v>
      </c>
      <c r="G31" s="457">
        <v>60.059071935948446310444992311</v>
      </c>
      <c r="H31" s="458">
        <v>89.78223651165113846477491211</v>
      </c>
      <c r="I31" s="499">
        <v>52.44709634074418973560478426</v>
      </c>
      <c r="J31" s="457">
        <v>23.965118265921351331559547929</v>
      </c>
      <c r="K31" s="458">
        <v>25.79985355428910456813055256</v>
      </c>
      <c r="L31" s="499">
        <v>21.891505905569562416828002244</v>
      </c>
      <c r="M31" s="457">
        <v>359.62457587814582468816364391</v>
      </c>
      <c r="N31" s="458">
        <v>441.05603435758818875629661546</v>
      </c>
      <c r="O31" s="499">
        <v>304.33271047028181414322149869</v>
      </c>
      <c r="P31" s="496"/>
      <c r="Q31" s="430">
        <v>17.904096670558583726120748430</v>
      </c>
      <c r="R31" s="431">
        <v>13.590463695740310542987316250</v>
      </c>
      <c r="S31" s="500">
        <v>16.916544166485128877790553990</v>
      </c>
      <c r="T31" s="430">
        <v>52.306601651266984180502514440</v>
      </c>
      <c r="U31" s="431">
        <v>-14.893886401161202092853374040</v>
      </c>
      <c r="V31" s="500">
        <v>48.537440330698506714643978440</v>
      </c>
      <c r="W31" s="430">
        <v>3.1400532404614163625296218100</v>
      </c>
      <c r="X31" s="431">
        <v>-29.215945434605529696744840320</v>
      </c>
      <c r="Y31" s="500">
        <v>9.074400875320844940235898940</v>
      </c>
      <c r="Z31" s="430">
        <v>21.323401891864028790921246240</v>
      </c>
      <c r="AA31" s="431">
        <v>2.9360073521645074361689074600</v>
      </c>
      <c r="AB31" s="500">
        <v>20.721085633666920927658520590</v>
      </c>
      <c r="AC31" s="184"/>
      <c r="AD31" s="430" t="s">
        <v>223</v>
      </c>
      <c r="AE31" s="431" t="s">
        <v>236</v>
      </c>
      <c r="AF31" s="431" t="s">
        <v>236</v>
      </c>
      <c r="AG31" s="432" t="s">
        <v>236</v>
      </c>
    </row>
    <row r="32" ht="21" customHeight="1"/>
    <row r="33" ht="24.95" customHeight="1">
      <c r="A33" s="112"/>
      <c r="B33" s="842" t="s">
        <v>44</v>
      </c>
      <c r="C33" s="842"/>
      <c r="D33" s="842"/>
      <c r="E33" s="842"/>
      <c r="F33" s="842"/>
      <c r="G33" s="842"/>
      <c r="H33" s="842"/>
      <c r="I33" s="842"/>
      <c r="J33" s="842"/>
      <c r="K33" s="842"/>
      <c r="L33" s="842"/>
      <c r="M33" s="842"/>
      <c r="N33" s="842"/>
      <c r="O33" s="972"/>
      <c r="P33" s="411"/>
      <c r="Q33" s="836"/>
      <c r="R33" s="836"/>
      <c r="S33" s="836"/>
      <c r="T33" s="836"/>
      <c r="U33" s="836"/>
      <c r="V33" s="836"/>
      <c r="W33" s="836"/>
      <c r="X33" s="836"/>
      <c r="Y33" s="836"/>
      <c r="Z33" s="836"/>
      <c r="AA33" s="836"/>
      <c r="AB33" s="971"/>
      <c r="AC33" s="411"/>
      <c r="AD33" s="836"/>
      <c r="AE33" s="836"/>
      <c r="AF33" s="836"/>
      <c r="AG33" s="971"/>
      <c r="AH33" s="9"/>
    </row>
    <row r="34" ht="20.1" customHeight="1">
      <c r="A34" s="58"/>
      <c r="B34" s="284">
        <v>2020</v>
      </c>
      <c r="C34" s="285"/>
      <c r="D34" s="454">
        <v>140.13704377010208362466787862</v>
      </c>
      <c r="E34" s="455"/>
      <c r="F34" s="436">
        <v>131.26160948276807351119006108</v>
      </c>
      <c r="G34" s="454">
        <v>14.485806180953712767445112572</v>
      </c>
      <c r="H34" s="455"/>
      <c r="I34" s="436">
        <v>22.80393770104154950365443509</v>
      </c>
      <c r="J34" s="454">
        <v>23.248217032582855544679065865</v>
      </c>
      <c r="K34" s="455"/>
      <c r="L34" s="436">
        <v>21.756456878762611396039217423</v>
      </c>
      <c r="M34" s="454">
        <v>177.87106698363865193679205705</v>
      </c>
      <c r="N34" s="455"/>
      <c r="O34" s="436">
        <v>175.82200406257223441088371359</v>
      </c>
      <c r="P34" s="5"/>
      <c r="Q34" s="427">
        <v>-27.274979319885839337582836260</v>
      </c>
      <c r="R34" s="428"/>
      <c r="S34" s="417">
        <v>-27.839869216687380902128997490</v>
      </c>
      <c r="T34" s="427">
        <v>-65.626126484090669982102957330</v>
      </c>
      <c r="U34" s="428"/>
      <c r="V34" s="417">
        <v>-56.675007340134743455292572310</v>
      </c>
      <c r="W34" s="427">
        <v>-29.732205092715338199734110820</v>
      </c>
      <c r="X34" s="428"/>
      <c r="Y34" s="417">
        <v>-4.9363860017193516544105069800</v>
      </c>
      <c r="Z34" s="427">
        <v>-33.610747034354466552560983700</v>
      </c>
      <c r="AA34" s="428"/>
      <c r="AB34" s="417">
        <v>-31.699462653706250997143415490</v>
      </c>
      <c r="AC34" s="5"/>
      <c r="AD34" s="427"/>
      <c r="AE34" s="428"/>
      <c r="AF34" s="428"/>
      <c r="AG34" s="429"/>
    </row>
    <row r="35" ht="20.1" customHeight="1">
      <c r="A35" s="58"/>
      <c r="B35" s="286">
        <v>2021</v>
      </c>
      <c r="C35" s="287"/>
      <c r="D35" s="276">
        <v>257.99361116571653233733045017</v>
      </c>
      <c r="E35" s="94">
        <v>328.75708846224508543082858719</v>
      </c>
      <c r="F35" s="277">
        <v>208.58919936149942784419284453</v>
      </c>
      <c r="G35" s="276">
        <v>47.5011794770984863377236092</v>
      </c>
      <c r="H35" s="94">
        <v>97.80957063793199986912914789</v>
      </c>
      <c r="I35" s="277">
        <v>44.240512064621505232231821471</v>
      </c>
      <c r="J35" s="276">
        <v>22.40023589541969726754472184</v>
      </c>
      <c r="K35" s="94">
        <v>34.009467135392598099979371664</v>
      </c>
      <c r="L35" s="277">
        <v>19.294873437898273347198753814</v>
      </c>
      <c r="M35" s="276">
        <v>327.89502653823471594259878121</v>
      </c>
      <c r="N35" s="94">
        <v>460.57612623556968339993710676</v>
      </c>
      <c r="O35" s="277">
        <v>272.12458486401920642362341983</v>
      </c>
      <c r="P35" s="5"/>
      <c r="Q35" s="271">
        <v>84.10093735740892845007746608</v>
      </c>
      <c r="R35" s="92"/>
      <c r="S35" s="272">
        <v>58.911048084346495930099380530</v>
      </c>
      <c r="T35" s="271">
        <v>227.91533231614267680725093363</v>
      </c>
      <c r="U35" s="92"/>
      <c r="V35" s="272">
        <v>94.00382795591248678368690949</v>
      </c>
      <c r="W35" s="271">
        <v>-3.6475104133414374861778412500</v>
      </c>
      <c r="X35" s="92"/>
      <c r="Y35" s="272">
        <v>-11.314266172174160772024273260</v>
      </c>
      <c r="Z35" s="271">
        <v>84.34421747099946705095252721</v>
      </c>
      <c r="AA35" s="92"/>
      <c r="AB35" s="272">
        <v>54.772769378246566222075974840</v>
      </c>
      <c r="AC35" s="5"/>
      <c r="AD35" s="271" t="s">
        <v>226</v>
      </c>
      <c r="AE35" s="92" t="s">
        <v>223</v>
      </c>
      <c r="AF35" s="92" t="s">
        <v>240</v>
      </c>
      <c r="AG35" s="272" t="s">
        <v>220</v>
      </c>
    </row>
    <row r="36" ht="20.1" customHeight="1">
      <c r="A36" s="58"/>
      <c r="B36" s="425">
        <v>2022</v>
      </c>
      <c r="C36" s="426"/>
      <c r="D36" s="457">
        <v>267.60826495897538523113868321</v>
      </c>
      <c r="E36" s="458">
        <v>317.18024807662113361595226881</v>
      </c>
      <c r="F36" s="499">
        <v>223.98688693981366287910204307</v>
      </c>
      <c r="G36" s="457">
        <v>53.27156293776265759455673404</v>
      </c>
      <c r="H36" s="458">
        <v>103.48789407750687328382686041</v>
      </c>
      <c r="I36" s="499">
        <v>62.663736087405304222897888061</v>
      </c>
      <c r="J36" s="457">
        <v>24.917950770462277366419851911</v>
      </c>
      <c r="K36" s="458">
        <v>26.101930928193483589500316803</v>
      </c>
      <c r="L36" s="499">
        <v>22.044234843593292079846426993</v>
      </c>
      <c r="M36" s="457">
        <v>345.79777866720032019211526916</v>
      </c>
      <c r="N36" s="458">
        <v>446.77007308232149048927944604</v>
      </c>
      <c r="O36" s="499">
        <v>308.69485787081225918184635811</v>
      </c>
      <c r="P36" s="184"/>
      <c r="Q36" s="430">
        <v>3.7267022814375971313477932500</v>
      </c>
      <c r="R36" s="431">
        <v>-3.5213964327677011398140308800</v>
      </c>
      <c r="S36" s="500">
        <v>7.3818239992514517119402932900</v>
      </c>
      <c r="T36" s="430">
        <v>12.147874061620976705784616790</v>
      </c>
      <c r="U36" s="431">
        <v>5.8054885657647423690888006500</v>
      </c>
      <c r="V36" s="500">
        <v>41.643333594113265961073683440</v>
      </c>
      <c r="W36" s="430">
        <v>11.239680183811379659957846140</v>
      </c>
      <c r="X36" s="431">
        <v>-23.250985308663268091115977210</v>
      </c>
      <c r="Y36" s="500">
        <v>14.249180822781934127704999390</v>
      </c>
      <c r="Z36" s="430">
        <v>5.4599035301057355450967409500</v>
      </c>
      <c r="AA36" s="431">
        <v>-2.9975616118270651208820989900</v>
      </c>
      <c r="AB36" s="500">
        <v>13.438797903941323174165449850</v>
      </c>
      <c r="AC36" s="184"/>
      <c r="AD36" s="430" t="s">
        <v>223</v>
      </c>
      <c r="AE36" s="431" t="s">
        <v>236</v>
      </c>
      <c r="AF36" s="431" t="s">
        <v>236</v>
      </c>
      <c r="AG36" s="432" t="s">
        <v>236</v>
      </c>
    </row>
    <row r="37" ht="21" customHeight="1"/>
    <row r="38" ht="24.95" customHeight="1">
      <c r="A38" s="112"/>
      <c r="B38" s="842" t="s">
        <v>45</v>
      </c>
      <c r="C38" s="842"/>
      <c r="D38" s="842"/>
      <c r="E38" s="842"/>
      <c r="F38" s="842"/>
      <c r="G38" s="842"/>
      <c r="H38" s="842"/>
      <c r="I38" s="842"/>
      <c r="J38" s="842"/>
      <c r="K38" s="842"/>
      <c r="L38" s="842"/>
      <c r="M38" s="842"/>
      <c r="N38" s="842"/>
      <c r="O38" s="972"/>
      <c r="P38" s="411"/>
      <c r="Q38" s="836"/>
      <c r="R38" s="836"/>
      <c r="S38" s="836"/>
      <c r="T38" s="836"/>
      <c r="U38" s="836"/>
      <c r="V38" s="836"/>
      <c r="W38" s="836"/>
      <c r="X38" s="836"/>
      <c r="Y38" s="836"/>
      <c r="Z38" s="836"/>
      <c r="AA38" s="836"/>
      <c r="AB38" s="971"/>
      <c r="AC38" s="411"/>
      <c r="AD38" s="836"/>
      <c r="AE38" s="836"/>
      <c r="AF38" s="836"/>
      <c r="AG38" s="971"/>
      <c r="AH38" s="9"/>
    </row>
    <row r="39" ht="20.1" customHeight="1">
      <c r="A39" s="58"/>
      <c r="B39" s="284">
        <v>2020</v>
      </c>
      <c r="C39" s="285"/>
      <c r="D39" s="454">
        <v>205.63515078286260887076473846</v>
      </c>
      <c r="E39" s="455"/>
      <c r="F39" s="436">
        <v>186.66460907780639368664792193</v>
      </c>
      <c r="G39" s="454">
        <v>31.634647334239540854855761969</v>
      </c>
      <c r="H39" s="455"/>
      <c r="I39" s="436">
        <v>39.801827682740584667877784894</v>
      </c>
      <c r="J39" s="454">
        <v>26.686401852690932890298545033</v>
      </c>
      <c r="K39" s="455"/>
      <c r="L39" s="436">
        <v>19.342631520603397779757121588</v>
      </c>
      <c r="M39" s="454">
        <v>263.95619996979308261591904546</v>
      </c>
      <c r="N39" s="455"/>
      <c r="O39" s="436">
        <v>245.80906828115037613428282842</v>
      </c>
      <c r="P39" s="5"/>
      <c r="Q39" s="427">
        <v>5.6208548544613259021366218100</v>
      </c>
      <c r="R39" s="428"/>
      <c r="S39" s="417">
        <v>2.0554258137590537445109074500</v>
      </c>
      <c r="T39" s="427">
        <v>0.1979013839834753353400674900</v>
      </c>
      <c r="U39" s="428"/>
      <c r="V39" s="417">
        <v>-20.230402711837920101877725470</v>
      </c>
      <c r="W39" s="427">
        <v>-14.629017354815327465157417590</v>
      </c>
      <c r="X39" s="428"/>
      <c r="Y39" s="417">
        <v>15.172744388698650730668777520</v>
      </c>
      <c r="Z39" s="427">
        <v>2.4979843858277179333469982800</v>
      </c>
      <c r="AA39" s="428"/>
      <c r="AB39" s="417">
        <v>-1.5170543744912634139456955500</v>
      </c>
      <c r="AC39" s="5"/>
      <c r="AD39" s="427"/>
      <c r="AE39" s="428"/>
      <c r="AF39" s="428"/>
      <c r="AG39" s="429"/>
    </row>
    <row r="40" ht="20.1" customHeight="1">
      <c r="A40" s="58"/>
      <c r="B40" s="286">
        <v>2021</v>
      </c>
      <c r="C40" s="287"/>
      <c r="D40" s="276">
        <v>233.74962656841266679944234216</v>
      </c>
      <c r="E40" s="94">
        <v>286.53280715836121913719815501</v>
      </c>
      <c r="F40" s="277">
        <v>196.71647829114544472893073168</v>
      </c>
      <c r="G40" s="276">
        <v>39.433006373232423819956184027</v>
      </c>
      <c r="H40" s="94">
        <v>105.49446181374223083111807851</v>
      </c>
      <c r="I40" s="277">
        <v>35.309007765250794374759827804</v>
      </c>
      <c r="J40" s="276">
        <v>23.235510854411471818362875921</v>
      </c>
      <c r="K40" s="94">
        <v>36.448680020761955779446988112</v>
      </c>
      <c r="L40" s="277">
        <v>20.070250883743762155095310642</v>
      </c>
      <c r="M40" s="276">
        <v>296.41814379605656243776140211</v>
      </c>
      <c r="N40" s="94">
        <v>428.47594899286540574776322164</v>
      </c>
      <c r="O40" s="277">
        <v>252.09573694014000125878587012</v>
      </c>
      <c r="P40" s="5"/>
      <c r="Q40" s="271">
        <v>13.672018464972760852009297750</v>
      </c>
      <c r="R40" s="92"/>
      <c r="S40" s="272">
        <v>5.3849892933672944177066669500</v>
      </c>
      <c r="T40" s="271">
        <v>24.651322825406279821767560300</v>
      </c>
      <c r="U40" s="92"/>
      <c r="V40" s="272">
        <v>-11.287973892219087990760973070</v>
      </c>
      <c r="W40" s="271">
        <v>-12.931271204474438576725225460</v>
      </c>
      <c r="X40" s="92"/>
      <c r="Y40" s="272">
        <v>3.7617392564648913890725934400</v>
      </c>
      <c r="Z40" s="271">
        <v>12.298231233049509073907850560</v>
      </c>
      <c r="AA40" s="92"/>
      <c r="AB40" s="272">
        <v>2.5575413888913955254178279100</v>
      </c>
      <c r="AC40" s="5"/>
      <c r="AD40" s="271" t="s">
        <v>226</v>
      </c>
      <c r="AE40" s="92" t="s">
        <v>236</v>
      </c>
      <c r="AF40" s="92" t="s">
        <v>238</v>
      </c>
      <c r="AG40" s="272" t="s">
        <v>236</v>
      </c>
    </row>
    <row r="41" ht="20.1" customHeight="1">
      <c r="A41" s="58"/>
      <c r="B41" s="425">
        <v>2022</v>
      </c>
      <c r="C41" s="426"/>
      <c r="D41" s="457">
        <v>275.60038567627602704615910367</v>
      </c>
      <c r="E41" s="458">
        <v>325.4739442916479457233911508</v>
      </c>
      <c r="F41" s="499">
        <v>229.99410822396806199078871219</v>
      </c>
      <c r="G41" s="457">
        <v>60.059071935948446310444992311</v>
      </c>
      <c r="H41" s="458">
        <v>89.78223651165113846477491211</v>
      </c>
      <c r="I41" s="499">
        <v>52.44709634074418973560478426</v>
      </c>
      <c r="J41" s="457">
        <v>23.965118265921351331559547929</v>
      </c>
      <c r="K41" s="458">
        <v>25.79985355428910456813055256</v>
      </c>
      <c r="L41" s="499">
        <v>21.891505905569562416828002244</v>
      </c>
      <c r="M41" s="457">
        <v>359.62457587814582468816364391</v>
      </c>
      <c r="N41" s="458">
        <v>441.05603435758818875629661546</v>
      </c>
      <c r="O41" s="499">
        <v>304.33271047028181414322149869</v>
      </c>
      <c r="P41" s="184"/>
      <c r="Q41" s="430">
        <v>17.904096670558583726120748430</v>
      </c>
      <c r="R41" s="431">
        <v>13.590463695740310542987316250</v>
      </c>
      <c r="S41" s="500">
        <v>16.916544166485128877790553990</v>
      </c>
      <c r="T41" s="430">
        <v>52.306601651266984180502514440</v>
      </c>
      <c r="U41" s="431">
        <v>-14.893886401161202092853374040</v>
      </c>
      <c r="V41" s="500">
        <v>48.537440330698506714643978440</v>
      </c>
      <c r="W41" s="430">
        <v>3.1400532404614163625296218100</v>
      </c>
      <c r="X41" s="431">
        <v>-29.215945434605529696744840320</v>
      </c>
      <c r="Y41" s="500">
        <v>9.074400875320844940235898940</v>
      </c>
      <c r="Z41" s="430">
        <v>21.323401891864028790921246240</v>
      </c>
      <c r="AA41" s="431">
        <v>2.9360073521645074361689074600</v>
      </c>
      <c r="AB41" s="500">
        <v>20.721085633666920927658520590</v>
      </c>
      <c r="AC41" s="184"/>
      <c r="AD41" s="430" t="s">
        <v>223</v>
      </c>
      <c r="AE41" s="431" t="s">
        <v>236</v>
      </c>
      <c r="AF41" s="431" t="s">
        <v>236</v>
      </c>
      <c r="AG41" s="432" t="s">
        <v>236</v>
      </c>
    </row>
    <row r="42" ht="14.1" customHeight="1"/>
    <row r="43" ht="20.1" customHeight="1">
      <c r="B43" s="7" t="s">
        <v>102</v>
      </c>
    </row>
    <row r="44" ht="14.1" customHeight="1">
      <c r="B44" s="7"/>
    </row>
    <row r="45" ht="24" customHeight="1">
      <c r="B45" s="816" t="s">
        <v>126</v>
      </c>
      <c r="C45" s="816"/>
      <c r="D45" s="816"/>
      <c r="E45" s="816"/>
      <c r="F45" s="816"/>
      <c r="G45" s="816"/>
      <c r="H45" s="816"/>
      <c r="I45" s="816"/>
      <c r="J45" s="816"/>
      <c r="K45" s="816"/>
      <c r="L45" s="816"/>
      <c r="M45" s="816"/>
      <c r="N45" s="816"/>
      <c r="O45" s="816"/>
      <c r="P45" s="816"/>
      <c r="Q45" s="816"/>
      <c r="R45" s="816"/>
      <c r="S45" s="816"/>
      <c r="T45" s="816"/>
      <c r="U45" s="816"/>
      <c r="V45" s="816"/>
      <c r="W45" s="816"/>
      <c r="X45" s="816"/>
      <c r="Y45" s="816"/>
      <c r="Z45" s="816"/>
      <c r="AA45" s="816"/>
      <c r="AB45" s="816"/>
      <c r="AC45" s="816"/>
      <c r="AD45" s="816"/>
      <c r="AE45" s="816"/>
      <c r="AF45" s="816"/>
      <c r="AG45" s="816"/>
    </row>
    <row r="46" ht="14.1" customHeight="1"/>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c r="AD47" s="236"/>
      <c r="AE47" s="236"/>
      <c r="AF47" s="236"/>
      <c r="AG47" s="236"/>
      <c r="AH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c r="AD48" s="236"/>
      <c r="AE48" s="236"/>
      <c r="AF48" s="236"/>
      <c r="AG48" s="236"/>
      <c r="AH48" s="236"/>
    </row>
    <row r="49">
      <c r="A49" s="236"/>
      <c r="B49" s="236"/>
      <c r="C49" s="236"/>
      <c r="D49" s="236"/>
      <c r="E49" s="236"/>
      <c r="F49" s="236"/>
      <c r="G49" s="236"/>
      <c r="H49" s="236"/>
      <c r="I49" s="236"/>
      <c r="J49" s="236"/>
      <c r="K49" s="236"/>
      <c r="L49" s="236"/>
      <c r="M49" s="236"/>
      <c r="N49" s="236"/>
      <c r="O49" s="236"/>
      <c r="P49" s="236"/>
      <c r="Q49" s="236"/>
      <c r="R49" s="236"/>
      <c r="S49" s="236"/>
      <c r="T49" s="236"/>
      <c r="U49" s="236"/>
      <c r="V49" s="236"/>
      <c r="W49" s="236"/>
      <c r="X49" s="236"/>
      <c r="Y49" s="236"/>
      <c r="Z49" s="236"/>
      <c r="AA49" s="236"/>
      <c r="AB49" s="236"/>
      <c r="AC49" s="236"/>
      <c r="AD49" s="236"/>
      <c r="AE49" s="236"/>
      <c r="AF49" s="236"/>
      <c r="AG49" s="236"/>
      <c r="AH49" s="236"/>
    </row>
    <row r="50">
      <c r="A50" s="236"/>
      <c r="B50" s="236"/>
      <c r="C50" s="236"/>
      <c r="D50" s="236"/>
      <c r="E50" s="236"/>
      <c r="F50" s="236"/>
      <c r="G50" s="236"/>
      <c r="H50" s="236"/>
      <c r="I50" s="236"/>
      <c r="J50" s="236"/>
      <c r="K50" s="236"/>
      <c r="L50" s="236"/>
      <c r="M50" s="236"/>
      <c r="N50" s="236"/>
      <c r="O50" s="236"/>
      <c r="P50" s="236"/>
      <c r="Q50" s="236"/>
      <c r="R50" s="236"/>
      <c r="S50" s="236"/>
      <c r="T50" s="236"/>
      <c r="U50" s="236"/>
      <c r="V50" s="236"/>
      <c r="W50" s="236"/>
      <c r="X50" s="236"/>
      <c r="Y50" s="236"/>
      <c r="Z50" s="236"/>
      <c r="AA50" s="236"/>
      <c r="AB50" s="236"/>
      <c r="AC50" s="236"/>
      <c r="AD50" s="236"/>
      <c r="AE50" s="236"/>
      <c r="AF50" s="236"/>
      <c r="AG50" s="236"/>
      <c r="AH50" s="236"/>
    </row>
    <row r="51">
      <c r="A51" s="236"/>
      <c r="B51" s="236"/>
      <c r="C51" s="236"/>
      <c r="D51" s="236"/>
      <c r="E51" s="236"/>
      <c r="F51" s="236"/>
      <c r="G51" s="236"/>
      <c r="H51" s="236"/>
      <c r="I51" s="236"/>
      <c r="J51" s="236"/>
      <c r="K51" s="236"/>
      <c r="L51" s="236"/>
      <c r="M51" s="236"/>
      <c r="N51" s="236"/>
      <c r="O51" s="236"/>
      <c r="P51" s="236"/>
      <c r="Q51" s="236"/>
      <c r="R51" s="236"/>
      <c r="S51" s="236"/>
      <c r="T51" s="236"/>
      <c r="U51" s="236"/>
      <c r="V51" s="236"/>
      <c r="W51" s="236"/>
      <c r="X51" s="236"/>
      <c r="Y51" s="236"/>
      <c r="Z51" s="236"/>
      <c r="AA51" s="236"/>
      <c r="AB51" s="236"/>
      <c r="AC51" s="236"/>
      <c r="AD51" s="236"/>
      <c r="AE51" s="236"/>
      <c r="AF51" s="236"/>
      <c r="AG51" s="236"/>
      <c r="AH51" s="236"/>
    </row>
    <row r="52">
      <c r="A52" s="236"/>
      <c r="B52" s="236"/>
      <c r="C52" s="236"/>
      <c r="D52" s="236"/>
      <c r="E52" s="236"/>
      <c r="F52" s="236"/>
      <c r="G52" s="236"/>
      <c r="H52" s="236"/>
      <c r="I52" s="236"/>
      <c r="J52" s="236"/>
      <c r="K52" s="236"/>
      <c r="L52" s="236"/>
      <c r="M52" s="236"/>
      <c r="N52" s="236"/>
      <c r="O52" s="236"/>
      <c r="P52" s="236"/>
      <c r="Q52" s="236"/>
      <c r="R52" s="236"/>
      <c r="S52" s="236"/>
      <c r="T52" s="236"/>
      <c r="U52" s="236"/>
      <c r="V52" s="236"/>
      <c r="W52" s="236"/>
      <c r="X52" s="236"/>
      <c r="Y52" s="236"/>
      <c r="Z52" s="236"/>
      <c r="AA52" s="236"/>
      <c r="AB52" s="236"/>
      <c r="AC52" s="236"/>
      <c r="AD52" s="236"/>
      <c r="AE52" s="236"/>
      <c r="AF52" s="236"/>
      <c r="AG52" s="236"/>
      <c r="AH52" s="236"/>
    </row>
    <row r="53">
      <c r="A53" s="236"/>
      <c r="B53" s="236"/>
      <c r="C53" s="236"/>
      <c r="D53" s="236"/>
      <c r="E53" s="236"/>
      <c r="F53" s="236"/>
      <c r="G53" s="236"/>
      <c r="H53" s="236"/>
      <c r="I53" s="236"/>
      <c r="J53" s="236"/>
      <c r="K53" s="236"/>
      <c r="L53" s="236"/>
      <c r="M53" s="236"/>
      <c r="N53" s="236"/>
      <c r="O53" s="236"/>
      <c r="P53" s="236"/>
      <c r="Q53" s="236"/>
      <c r="R53" s="236"/>
      <c r="S53" s="236"/>
      <c r="T53" s="236"/>
      <c r="U53" s="236"/>
      <c r="V53" s="236"/>
      <c r="W53" s="236"/>
      <c r="X53" s="236"/>
      <c r="Y53" s="236"/>
      <c r="Z53" s="236"/>
      <c r="AA53" s="236"/>
      <c r="AB53" s="236"/>
      <c r="AC53" s="236"/>
      <c r="AD53" s="236"/>
      <c r="AE53" s="236"/>
      <c r="AF53" s="236"/>
      <c r="AG53" s="236"/>
      <c r="AH53" s="236"/>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c r="AD54" s="236"/>
      <c r="AE54" s="236"/>
      <c r="AF54" s="236"/>
      <c r="AG54" s="236"/>
      <c r="AH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c r="AD55" s="236"/>
      <c r="AE55" s="236"/>
      <c r="AF55" s="236"/>
      <c r="AG55" s="236"/>
      <c r="AH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c r="AD56" s="236"/>
      <c r="AE56" s="236"/>
      <c r="AF56" s="236"/>
      <c r="AG56" s="236"/>
      <c r="AH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c r="AD57" s="236"/>
      <c r="AE57" s="236"/>
      <c r="AF57" s="236"/>
      <c r="AG57" s="236"/>
      <c r="AH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c r="AD58" s="236"/>
      <c r="AE58" s="236"/>
      <c r="AF58" s="236"/>
      <c r="AG58" s="236"/>
      <c r="AH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c r="AD59" s="236"/>
      <c r="AE59" s="236"/>
      <c r="AF59" s="236"/>
      <c r="AG59" s="236"/>
      <c r="AH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c r="AD60" s="236"/>
      <c r="AE60" s="236"/>
      <c r="AF60" s="236"/>
      <c r="AG60" s="236"/>
      <c r="AH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c r="AD61" s="236"/>
      <c r="AE61" s="236"/>
      <c r="AF61" s="236"/>
      <c r="AG61" s="236"/>
      <c r="AH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c r="AD62" s="236"/>
      <c r="AE62" s="236"/>
      <c r="AF62" s="236"/>
      <c r="AG62" s="236"/>
      <c r="AH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c r="AD63" s="236"/>
      <c r="AE63" s="236"/>
      <c r="AF63" s="236"/>
      <c r="AG63" s="236"/>
      <c r="AH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c r="AD64" s="236"/>
      <c r="AE64" s="236"/>
      <c r="AF64" s="236"/>
      <c r="AG64" s="236"/>
      <c r="AH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sheetData>
  <mergeCells count="24">
    <mergeCell ref="U3:AG3"/>
    <mergeCell ref="AD6:AG6"/>
    <mergeCell ref="Q6:AB6"/>
    <mergeCell ref="Q7:S7"/>
    <mergeCell ref="AD7:AG7"/>
    <mergeCell ref="M7:O7"/>
    <mergeCell ref="T7:V7"/>
    <mergeCell ref="W7:Y7"/>
    <mergeCell ref="D6:O6"/>
    <mergeCell ref="Z7:AB7"/>
    <mergeCell ref="D7:F7"/>
    <mergeCell ref="G7:I7"/>
    <mergeCell ref="J7:L7"/>
    <mergeCell ref="B45:AG45"/>
    <mergeCell ref="B33:O33"/>
    <mergeCell ref="Q28:AB28"/>
    <mergeCell ref="B38:O38"/>
    <mergeCell ref="B28:O28"/>
    <mergeCell ref="Q33:AB33"/>
    <mergeCell ref="B8:C8"/>
    <mergeCell ref="AD38:AG38"/>
    <mergeCell ref="AD33:AG33"/>
    <mergeCell ref="AD28:AG28"/>
    <mergeCell ref="Q38:AB38"/>
  </mergeCells>
  <phoneticPr fontId="0" type="noConversion"/>
  <printOptions horizontalCentered="1" verticalCentered="1"/>
  <pageMargins left="0.25" right="0.25" top="0.25" bottom="0.25" header="0" footer="0"/>
  <pageSetup scale="59" fitToWidth="1" fitToHeight="1" orientation="landscape" r:id="rId1"/>
  <headerFooter alignWithMargins="0">
    <oddHeader/>
    <oddFooter/>
  </headerFooter>
  <rowBreaks count="1" manualBreakCount="1">
    <brk id="47" max="16383" man="1"/>
  </rowBreaks>
  <colBreaks count="1" manualBreakCount="1">
    <brk id="35" max="1048575" man="1"/>
  </colBreaks>
  <drawing r:id="rId129"/>
</worksheet>
</file>

<file path=xl/worksheets/sheet2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5">
    <pageSetUpPr fitToPage="1"/>
  </sheetPr>
  <dimension ref="A1:AW78"/>
  <sheetViews>
    <sheetView showGridLines="0" zoomScale="75" workbookViewId="0"/>
  </sheetViews>
  <sheetFormatPr defaultRowHeight="12.75"/>
  <cols>
    <col min="1" max="1" width="1.7109375" customWidth="1"/>
    <col min="2" max="2" width="6.7109375" customWidth="1"/>
    <col min="3" max="3" width="6.7109375" style="26"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8" width="9.140625" style="236" customWidth="1"/>
  </cols>
  <sheetData>
    <row r="1" ht="39.95" customHeight="1">
      <c r="B1" s="656" t="s">
        <v>161</v>
      </c>
      <c r="AD1" s="5"/>
      <c r="AG1" s="685"/>
      <c r="AI1" s="236"/>
    </row>
    <row r="2" ht="21" customHeight="1">
      <c r="B2" s="11" t="s">
        <v>208</v>
      </c>
    </row>
    <row r="3" ht="21" customHeight="1">
      <c r="B3" s="11" t="s">
        <v>209</v>
      </c>
      <c r="U3" s="99" t="s">
        <v>301</v>
      </c>
      <c r="V3" s="99"/>
      <c r="W3" s="99"/>
      <c r="X3" s="99"/>
      <c r="Y3" s="99"/>
      <c r="Z3" s="99"/>
      <c r="AA3" s="99"/>
      <c r="AB3" s="99"/>
      <c r="AC3" s="99"/>
      <c r="AD3" s="99"/>
      <c r="AE3" s="99"/>
      <c r="AF3" s="99"/>
      <c r="AG3" s="99"/>
    </row>
    <row r="4" ht="21" customHeight="1">
      <c r="A4" s="4"/>
      <c r="B4" s="211" t="s">
        <v>210</v>
      </c>
      <c r="C4" s="5"/>
      <c r="D4" s="5"/>
      <c r="E4" s="5"/>
      <c r="F4" s="5"/>
      <c r="G4" s="5"/>
      <c r="H4" s="212"/>
      <c r="I4" s="212"/>
      <c r="J4" s="212"/>
      <c r="K4" s="212"/>
      <c r="L4" s="212"/>
      <c r="M4" s="212"/>
      <c r="N4" s="212"/>
      <c r="O4" s="212"/>
      <c r="P4" s="212"/>
      <c r="Q4" s="212"/>
      <c r="R4" s="212"/>
      <c r="S4" s="212"/>
      <c r="T4" s="212"/>
      <c r="U4" s="212"/>
      <c r="V4" s="212"/>
      <c r="W4" s="212"/>
      <c r="X4" s="4"/>
      <c r="Y4" s="4"/>
      <c r="AC4" s="212"/>
    </row>
    <row r="5" ht="24.95" customHeight="1"/>
    <row r="6" ht="24.95" customHeight="1">
      <c r="D6" s="802" t="s">
        <v>92</v>
      </c>
      <c r="E6" s="802"/>
      <c r="F6" s="802"/>
      <c r="G6" s="802"/>
      <c r="H6" s="802"/>
      <c r="I6" s="802"/>
      <c r="J6" s="802"/>
      <c r="K6" s="802"/>
      <c r="L6" s="802"/>
      <c r="M6" s="802"/>
      <c r="N6" s="802"/>
      <c r="O6" s="960"/>
      <c r="Q6" s="802" t="s">
        <v>70</v>
      </c>
      <c r="R6" s="802"/>
      <c r="S6" s="802"/>
      <c r="T6" s="802"/>
      <c r="U6" s="802"/>
      <c r="V6" s="802"/>
      <c r="W6" s="802"/>
      <c r="X6" s="802"/>
      <c r="Y6" s="802"/>
      <c r="Z6" s="802"/>
      <c r="AA6" s="802"/>
      <c r="AB6" s="960"/>
      <c r="AD6" s="802" t="s">
        <v>77</v>
      </c>
      <c r="AE6" s="802"/>
      <c r="AF6" s="802"/>
      <c r="AG6" s="960"/>
    </row>
    <row r="7" ht="24.95" customHeight="1">
      <c r="D7" s="839" t="s">
        <v>20</v>
      </c>
      <c r="E7" s="839"/>
      <c r="F7" s="283"/>
      <c r="G7" s="839" t="s">
        <v>18</v>
      </c>
      <c r="H7" s="839"/>
      <c r="I7" s="283"/>
      <c r="J7" s="839" t="s">
        <v>17</v>
      </c>
      <c r="K7" s="839"/>
      <c r="L7" s="283"/>
      <c r="M7" s="839" t="s">
        <v>103</v>
      </c>
      <c r="N7" s="839"/>
      <c r="O7" s="283"/>
      <c r="Q7" s="839" t="s">
        <v>20</v>
      </c>
      <c r="R7" s="839"/>
      <c r="S7" s="283"/>
      <c r="T7" s="839" t="s">
        <v>18</v>
      </c>
      <c r="U7" s="839"/>
      <c r="V7" s="283"/>
      <c r="W7" s="839" t="s">
        <v>17</v>
      </c>
      <c r="X7" s="839"/>
      <c r="Y7" s="283"/>
      <c r="Z7" s="839" t="s">
        <v>103</v>
      </c>
      <c r="AA7" s="839"/>
      <c r="AB7" s="283"/>
      <c r="AD7" s="839" t="s">
        <v>78</v>
      </c>
      <c r="AE7" s="839"/>
      <c r="AF7" s="839"/>
      <c r="AG7" s="283"/>
    </row>
    <row r="8" ht="30" customHeight="1">
      <c r="A8" s="57"/>
      <c r="B8" s="845"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c r="AC8" s="63"/>
      <c r="AD8" s="412" t="s">
        <v>20</v>
      </c>
      <c r="AE8" s="413" t="s">
        <v>18</v>
      </c>
      <c r="AF8" s="413" t="s">
        <v>17</v>
      </c>
      <c r="AG8" s="414" t="s">
        <v>12</v>
      </c>
    </row>
    <row r="9" ht="20.1" customHeight="1">
      <c r="A9" s="57"/>
      <c r="B9" s="284">
        <v>2021</v>
      </c>
      <c r="C9" s="285" t="s">
        <v>218</v>
      </c>
      <c r="D9" s="434">
        <v>232.34652981427174975562072336</v>
      </c>
      <c r="E9" s="435">
        <v>223.12745629843214993692557218</v>
      </c>
      <c r="F9" s="436">
        <v>150.3669840537057341258391521</v>
      </c>
      <c r="G9" s="434">
        <v>36.71969696969696969696969697</v>
      </c>
      <c r="H9" s="435">
        <v>50.24463699049480791379208415</v>
      </c>
      <c r="I9" s="436">
        <v>24.22658043639522648176189832</v>
      </c>
      <c r="J9" s="434">
        <v>22.252199413489736070381231672</v>
      </c>
      <c r="K9" s="435">
        <v>18.451474816344793507264974591</v>
      </c>
      <c r="L9" s="436">
        <v>14.601917669864297278661179711</v>
      </c>
      <c r="M9" s="434">
        <v>291.318426197458455522971652</v>
      </c>
      <c r="N9" s="435">
        <v>291.82356810527175135798263092</v>
      </c>
      <c r="O9" s="436">
        <v>189.19548215996525788626223013</v>
      </c>
      <c r="P9" s="5"/>
      <c r="Q9" s="415">
        <v>1191.5505202801207504013161454</v>
      </c>
      <c r="R9" s="416"/>
      <c r="S9" s="417">
        <v>451.21352836034635521662459549</v>
      </c>
      <c r="T9" s="415">
        <v>3003.8421813710765371236682563</v>
      </c>
      <c r="U9" s="416"/>
      <c r="V9" s="417">
        <v>416.16252801102491123922255706</v>
      </c>
      <c r="W9" s="415">
        <v>963.1173380029068344165307703</v>
      </c>
      <c r="X9" s="416"/>
      <c r="Y9" s="417">
        <v>159.32868093713284464484713557</v>
      </c>
      <c r="Z9" s="415">
        <v>1269.8862330486771850872017988</v>
      </c>
      <c r="AA9" s="416"/>
      <c r="AB9" s="417">
        <v>403.13239686203022949812206831</v>
      </c>
      <c r="AC9" s="5"/>
      <c r="AD9" s="427" t="s">
        <v>220</v>
      </c>
      <c r="AE9" s="428" t="s">
        <v>236</v>
      </c>
      <c r="AF9" s="428" t="s">
        <v>236</v>
      </c>
      <c r="AG9" s="429" t="s">
        <v>236</v>
      </c>
    </row>
    <row r="10" ht="20.1" customHeight="1">
      <c r="A10" s="58"/>
      <c r="B10" s="286"/>
      <c r="C10" s="287" t="s">
        <v>221</v>
      </c>
      <c r="D10" s="276">
        <v>131.2534213098729227761485826</v>
      </c>
      <c r="E10" s="94">
        <v>133.29444134078212290502793296</v>
      </c>
      <c r="F10" s="277">
        <v>97.65564468040086944813126359</v>
      </c>
      <c r="G10" s="276">
        <v>24.247067448680351906158357771</v>
      </c>
      <c r="H10" s="94"/>
      <c r="I10" s="277">
        <v>20.119373850174384297818640372</v>
      </c>
      <c r="J10" s="276">
        <v>15.847507331378299120234604106</v>
      </c>
      <c r="K10" s="94"/>
      <c r="L10" s="277">
        <v>12.009544611928743511640181339</v>
      </c>
      <c r="M10" s="276">
        <v>171.34799608993157380254154448</v>
      </c>
      <c r="N10" s="94"/>
      <c r="O10" s="277">
        <v>129.78456314250399725759008529</v>
      </c>
      <c r="P10" s="5"/>
      <c r="Q10" s="271">
        <v>366.16239204917050126020932647</v>
      </c>
      <c r="R10" s="92"/>
      <c r="S10" s="272">
        <v>198.46153221724371015780560113</v>
      </c>
      <c r="T10" s="271">
        <v>956.8704729309900703634946702</v>
      </c>
      <c r="U10" s="92"/>
      <c r="V10" s="272">
        <v>249.16099002827997979987636569</v>
      </c>
      <c r="W10" s="271">
        <v>148.22200956745492307228888512</v>
      </c>
      <c r="X10" s="92"/>
      <c r="Y10" s="272">
        <v>123.56221538760304635843779161</v>
      </c>
      <c r="Z10" s="271">
        <v>365.17966137669825758639040158</v>
      </c>
      <c r="AA10" s="92"/>
      <c r="AB10" s="272">
        <v>195.94838204102410312371258516</v>
      </c>
      <c r="AC10" s="5"/>
      <c r="AD10" s="271" t="s">
        <v>220</v>
      </c>
      <c r="AE10" s="92"/>
      <c r="AF10" s="92"/>
      <c r="AG10" s="272"/>
    </row>
    <row r="11" ht="20.1" customHeight="1">
      <c r="A11" s="58"/>
      <c r="B11" s="288"/>
      <c r="C11" s="289" t="s">
        <v>222</v>
      </c>
      <c r="D11" s="439">
        <v>108.17020202020202020202020202</v>
      </c>
      <c r="E11" s="95">
        <v>98.90940595903165735567970205</v>
      </c>
      <c r="F11" s="442">
        <v>85.53439475253428741800834824</v>
      </c>
      <c r="G11" s="439">
        <v>22.684343434343434343434343434</v>
      </c>
      <c r="H11" s="95"/>
      <c r="I11" s="442">
        <v>19.622528085557451255794260371</v>
      </c>
      <c r="J11" s="439">
        <v>13.93510101010101010101010101</v>
      </c>
      <c r="K11" s="95"/>
      <c r="L11" s="442">
        <v>12.670307938112470801343678559</v>
      </c>
      <c r="M11" s="439">
        <v>144.78964646464646464646464646</v>
      </c>
      <c r="N11" s="95"/>
      <c r="O11" s="442">
        <v>117.82723077620420947514628717</v>
      </c>
      <c r="P11" s="5"/>
      <c r="Q11" s="497">
        <v>103.09126338784837961539329120</v>
      </c>
      <c r="R11" s="216"/>
      <c r="S11" s="498">
        <v>138.93811182584476265641747863</v>
      </c>
      <c r="T11" s="497">
        <v>491.06461376170223532333313673</v>
      </c>
      <c r="U11" s="216"/>
      <c r="V11" s="498">
        <v>181.09273944139359441611228162</v>
      </c>
      <c r="W11" s="497">
        <v>22.384120647202853994828183390</v>
      </c>
      <c r="X11" s="216"/>
      <c r="Y11" s="498">
        <v>47.855964106422413137103037500</v>
      </c>
      <c r="Z11" s="497">
        <v>111.41461256248705681293762810</v>
      </c>
      <c r="AA11" s="216"/>
      <c r="AB11" s="498">
        <v>129.46853923692563254259635979</v>
      </c>
      <c r="AC11" s="5"/>
      <c r="AD11" s="420" t="s">
        <v>220</v>
      </c>
      <c r="AE11" s="91"/>
      <c r="AF11" s="91"/>
      <c r="AG11" s="421"/>
    </row>
    <row r="12" ht="20.1" customHeight="1">
      <c r="A12" s="58"/>
      <c r="B12" s="286"/>
      <c r="C12" s="287" t="s">
        <v>224</v>
      </c>
      <c r="D12" s="276">
        <v>135.83919843597262952101661779</v>
      </c>
      <c r="E12" s="94">
        <v>107.03792904722700396676895442</v>
      </c>
      <c r="F12" s="277">
        <v>105.20533506042942577842417632</v>
      </c>
      <c r="G12" s="276">
        <v>28.926441837732160312805474096</v>
      </c>
      <c r="H12" s="94">
        <v>37.758342298194926777580014513</v>
      </c>
      <c r="I12" s="277">
        <v>25.816095062770524649876830177</v>
      </c>
      <c r="J12" s="276">
        <v>16.814516129032258064516129032</v>
      </c>
      <c r="K12" s="94">
        <v>12.068363167207858257668333769</v>
      </c>
      <c r="L12" s="277">
        <v>11.877145757371496159067263802</v>
      </c>
      <c r="M12" s="276">
        <v>181.58015640273704789833822092</v>
      </c>
      <c r="N12" s="94">
        <v>156.8646345126297890020173027</v>
      </c>
      <c r="O12" s="277">
        <v>142.89857588057144658736827029</v>
      </c>
      <c r="P12" s="5"/>
      <c r="Q12" s="271">
        <v>115.29541176373315822828155812</v>
      </c>
      <c r="R12" s="92"/>
      <c r="S12" s="272">
        <v>134.48325989837705085625640024</v>
      </c>
      <c r="T12" s="271">
        <v>372.99500499883053702344708495</v>
      </c>
      <c r="U12" s="92"/>
      <c r="V12" s="272">
        <v>164.79584911599278946712688394</v>
      </c>
      <c r="W12" s="271">
        <v>31.964556282186816438640044220</v>
      </c>
      <c r="X12" s="92"/>
      <c r="Y12" s="272">
        <v>30.545704674336566395326390620</v>
      </c>
      <c r="Z12" s="271">
        <v>121.56996057809962781078959439</v>
      </c>
      <c r="AA12" s="92"/>
      <c r="AB12" s="272">
        <v>124.27989707230394873508405279</v>
      </c>
      <c r="AC12" s="5"/>
      <c r="AD12" s="271" t="s">
        <v>225</v>
      </c>
      <c r="AE12" s="92" t="s">
        <v>223</v>
      </c>
      <c r="AF12" s="92" t="s">
        <v>223</v>
      </c>
      <c r="AG12" s="272" t="s">
        <v>223</v>
      </c>
    </row>
    <row r="13" ht="20.1" customHeight="1">
      <c r="A13" s="58"/>
      <c r="B13" s="288"/>
      <c r="C13" s="289" t="s">
        <v>227</v>
      </c>
      <c r="D13" s="439">
        <v>196.46010101010101010101010101</v>
      </c>
      <c r="E13" s="95">
        <v>164.24064887857695282289249807</v>
      </c>
      <c r="F13" s="442">
        <v>139.32212046495244804508629799</v>
      </c>
      <c r="G13" s="439">
        <v>38.158838383838383838383838384</v>
      </c>
      <c r="H13" s="95">
        <v>65.564405296432566471417883519</v>
      </c>
      <c r="I13" s="442">
        <v>31.852107770760403482536239701</v>
      </c>
      <c r="J13" s="439">
        <v>17.574747474747474747474747475</v>
      </c>
      <c r="K13" s="95">
        <v>24.319777122560205077497623538</v>
      </c>
      <c r="L13" s="442">
        <v>13.736435097544769568863508203</v>
      </c>
      <c r="M13" s="439">
        <v>252.19368686868686868686868687</v>
      </c>
      <c r="N13" s="95">
        <v>254.12483129756972437180800512</v>
      </c>
      <c r="O13" s="442">
        <v>184.9106633332576210964860459</v>
      </c>
      <c r="P13" s="5"/>
      <c r="Q13" s="420">
        <v>199.93908551160459557406122292</v>
      </c>
      <c r="R13" s="91"/>
      <c r="S13" s="498">
        <v>193.71225252899554154277850490</v>
      </c>
      <c r="T13" s="420">
        <v>447.67496647648062037554790111</v>
      </c>
      <c r="U13" s="91"/>
      <c r="V13" s="498">
        <v>291.65541710971923761122680600</v>
      </c>
      <c r="W13" s="420">
        <v>42.550489533266920169235246160</v>
      </c>
      <c r="X13" s="91"/>
      <c r="Y13" s="498">
        <v>74.144398651399688519579601430</v>
      </c>
      <c r="Z13" s="420">
        <v>197.41150053757605355688118469</v>
      </c>
      <c r="AA13" s="91"/>
      <c r="AB13" s="498">
        <v>191.40189479450768632910306397</v>
      </c>
      <c r="AC13" s="5"/>
      <c r="AD13" s="420" t="s">
        <v>225</v>
      </c>
      <c r="AE13" s="91" t="s">
        <v>223</v>
      </c>
      <c r="AF13" s="91" t="s">
        <v>220</v>
      </c>
      <c r="AG13" s="421" t="s">
        <v>223</v>
      </c>
    </row>
    <row r="14" ht="20.1" customHeight="1">
      <c r="A14" s="58"/>
      <c r="B14" s="286"/>
      <c r="C14" s="287" t="s">
        <v>229</v>
      </c>
      <c r="D14" s="276">
        <v>315.4914467253176930596285435</v>
      </c>
      <c r="E14" s="94">
        <v>269.73534690517176858019609311</v>
      </c>
      <c r="F14" s="277">
        <v>198.45635965414348619092317437</v>
      </c>
      <c r="G14" s="276">
        <v>52.248533724340175953079178886</v>
      </c>
      <c r="H14" s="94">
        <v>58.174762368086221091235685952</v>
      </c>
      <c r="I14" s="277">
        <v>36.317567220150181495543413189</v>
      </c>
      <c r="J14" s="276">
        <v>21.871700879765395894428152493</v>
      </c>
      <c r="K14" s="94">
        <v>19.815432976573609759748521817</v>
      </c>
      <c r="L14" s="277">
        <v>15.368486533805099616188230825</v>
      </c>
      <c r="M14" s="276">
        <v>389.61168132942326490713587488</v>
      </c>
      <c r="N14" s="94">
        <v>347.72554224983159943118030088</v>
      </c>
      <c r="O14" s="277">
        <v>250.14241340809876730265481838</v>
      </c>
      <c r="P14" s="5"/>
      <c r="Q14" s="271">
        <v>166.42651653680275745749143577</v>
      </c>
      <c r="R14" s="92">
        <v>141.92146286807247878388365785</v>
      </c>
      <c r="S14" s="272">
        <v>178.37844677258443545282236254</v>
      </c>
      <c r="T14" s="271">
        <v>319.44793219667389215058157632</v>
      </c>
      <c r="U14" s="92"/>
      <c r="V14" s="272">
        <v>241.70286714115931675457812832</v>
      </c>
      <c r="W14" s="271">
        <v>37.085484093500888810361212500</v>
      </c>
      <c r="X14" s="92"/>
      <c r="Y14" s="272">
        <v>50.533879248854343575337989880</v>
      </c>
      <c r="Z14" s="271">
        <v>165.35384318356320342739081900</v>
      </c>
      <c r="AA14" s="92"/>
      <c r="AB14" s="272">
        <v>171.51658571158774712863741254</v>
      </c>
      <c r="AC14" s="5"/>
      <c r="AD14" s="271" t="s">
        <v>225</v>
      </c>
      <c r="AE14" s="92" t="s">
        <v>225</v>
      </c>
      <c r="AF14" s="92" t="s">
        <v>226</v>
      </c>
      <c r="AG14" s="272" t="s">
        <v>225</v>
      </c>
    </row>
    <row r="15" ht="20.1" customHeight="1">
      <c r="A15" s="58"/>
      <c r="B15" s="288">
        <v>2022</v>
      </c>
      <c r="C15" s="289" t="s">
        <v>230</v>
      </c>
      <c r="D15" s="439">
        <v>250.49266862170087976539589443</v>
      </c>
      <c r="E15" s="95">
        <v>195.45030524570394935182393729</v>
      </c>
      <c r="F15" s="442">
        <v>160.15460900356387890443157276</v>
      </c>
      <c r="G15" s="439">
        <v>44.331867057673509286412512219</v>
      </c>
      <c r="H15" s="95">
        <v>63.618399586881543277487651033</v>
      </c>
      <c r="I15" s="442">
        <v>29.857462172409039166076085914</v>
      </c>
      <c r="J15" s="439">
        <v>20.578445747800586510263929619</v>
      </c>
      <c r="K15" s="95">
        <v>20.342293633892688828045708319</v>
      </c>
      <c r="L15" s="442">
        <v>15.891707858024421059492182441</v>
      </c>
      <c r="M15" s="439">
        <v>315.40298142717497556207233627</v>
      </c>
      <c r="N15" s="95">
        <v>279.41099846647818145735729665</v>
      </c>
      <c r="O15" s="442">
        <v>205.90377903399733912999984112</v>
      </c>
      <c r="P15" s="5"/>
      <c r="Q15" s="420">
        <v>75.000426823618269348541443790</v>
      </c>
      <c r="R15" s="91">
        <v>74.491775462724170602138655140</v>
      </c>
      <c r="S15" s="498">
        <v>101.13581470712041369404969461</v>
      </c>
      <c r="T15" s="420">
        <v>177.42586673667418279340359799</v>
      </c>
      <c r="U15" s="91"/>
      <c r="V15" s="498">
        <v>144.13613546754950225431905741</v>
      </c>
      <c r="W15" s="420">
        <v>1.8333313178901919981026392500</v>
      </c>
      <c r="X15" s="91"/>
      <c r="Y15" s="498">
        <v>39.611031496506912485410737470</v>
      </c>
      <c r="Z15" s="420">
        <v>75.882458755937737351800392050</v>
      </c>
      <c r="AA15" s="91"/>
      <c r="AB15" s="498">
        <v>99.44612351856586833131555476</v>
      </c>
      <c r="AC15" s="5"/>
      <c r="AD15" s="420" t="s">
        <v>225</v>
      </c>
      <c r="AE15" s="91" t="s">
        <v>223</v>
      </c>
      <c r="AF15" s="91" t="s">
        <v>220</v>
      </c>
      <c r="AG15" s="421" t="s">
        <v>223</v>
      </c>
    </row>
    <row r="16" ht="20.1" customHeight="1">
      <c r="A16" s="58"/>
      <c r="B16" s="286"/>
      <c r="C16" s="287" t="s">
        <v>231</v>
      </c>
      <c r="D16" s="276">
        <v>347.82819264069264069264069264</v>
      </c>
      <c r="E16" s="94">
        <v>312.00686331775700934579439252</v>
      </c>
      <c r="F16" s="277">
        <v>239.45049162048925530477091499</v>
      </c>
      <c r="G16" s="276">
        <v>74.373106060606060606060606061</v>
      </c>
      <c r="H16" s="94">
        <v>67.428738317757009345794392523</v>
      </c>
      <c r="I16" s="277">
        <v>42.494202723935537856505141109</v>
      </c>
      <c r="J16" s="276">
        <v>21.734307359307359307359307359</v>
      </c>
      <c r="K16" s="94">
        <v>15.24198931909212283044058745</v>
      </c>
      <c r="L16" s="277">
        <v>18.479803934248797088687179396</v>
      </c>
      <c r="M16" s="276">
        <v>443.93560606060606060606060606</v>
      </c>
      <c r="N16" s="94">
        <v>394.6775909546061415220293725</v>
      </c>
      <c r="O16" s="277">
        <v>300.42449827867359024996323549</v>
      </c>
      <c r="P16" s="5"/>
      <c r="Q16" s="271">
        <v>87.43191308197637322132585219</v>
      </c>
      <c r="R16" s="92">
        <v>58.258591537455664127082316770</v>
      </c>
      <c r="S16" s="272">
        <v>106.99588368026483219268363383</v>
      </c>
      <c r="T16" s="271">
        <v>139.99074551017906887767129831</v>
      </c>
      <c r="U16" s="92"/>
      <c r="V16" s="272">
        <v>147.88834944835941531150770256</v>
      </c>
      <c r="W16" s="271">
        <v>30.021689165199713974231179150</v>
      </c>
      <c r="X16" s="92"/>
      <c r="Y16" s="272">
        <v>34.847236225443921281456659760</v>
      </c>
      <c r="Z16" s="271">
        <v>90.30026362514070602020667499</v>
      </c>
      <c r="AA16" s="92"/>
      <c r="AB16" s="272">
        <v>105.03209679081737720010862167</v>
      </c>
      <c r="AC16" s="5"/>
      <c r="AD16" s="271" t="s">
        <v>225</v>
      </c>
      <c r="AE16" s="92" t="s">
        <v>225</v>
      </c>
      <c r="AF16" s="92" t="s">
        <v>226</v>
      </c>
      <c r="AG16" s="272" t="s">
        <v>225</v>
      </c>
    </row>
    <row r="17" ht="20.1" customHeight="1">
      <c r="A17" s="58"/>
      <c r="B17" s="288"/>
      <c r="C17" s="289" t="s">
        <v>232</v>
      </c>
      <c r="D17" s="439">
        <v>316.2739491691104594330400782</v>
      </c>
      <c r="E17" s="95">
        <v>319.76000979801025022610792885</v>
      </c>
      <c r="F17" s="442">
        <v>250.6775223791753474209574395</v>
      </c>
      <c r="G17" s="439">
        <v>75.084799608993157380254154448</v>
      </c>
      <c r="H17" s="95">
        <v>64.94264395538136870666264697</v>
      </c>
      <c r="I17" s="442">
        <v>47.341508865882055522396526241</v>
      </c>
      <c r="J17" s="439">
        <v>21.237781036168132942326490714</v>
      </c>
      <c r="K17" s="95">
        <v>17.238242387699728670485378354</v>
      </c>
      <c r="L17" s="442">
        <v>16.61369348320048401702389471</v>
      </c>
      <c r="M17" s="439">
        <v>412.59652981427174975562072336</v>
      </c>
      <c r="N17" s="95">
        <v>401.94089614109134760325595418</v>
      </c>
      <c r="O17" s="442">
        <v>314.63272472825788696037786045</v>
      </c>
      <c r="P17" s="5"/>
      <c r="Q17" s="420">
        <v>49.361269958515153617240792630</v>
      </c>
      <c r="R17" s="91">
        <v>35.369636851315860346225103420</v>
      </c>
      <c r="S17" s="498">
        <v>76.865537608195404066443804130</v>
      </c>
      <c r="T17" s="420">
        <v>115.27051833608628809948991025</v>
      </c>
      <c r="U17" s="91"/>
      <c r="V17" s="498">
        <v>152.04981283621937457709674419</v>
      </c>
      <c r="W17" s="420">
        <v>7.8199052133958843588255776900</v>
      </c>
      <c r="X17" s="91"/>
      <c r="Y17" s="498">
        <v>23.388980272993957874469012940</v>
      </c>
      <c r="Z17" s="420">
        <v>54.920614821057749839854610900</v>
      </c>
      <c r="AA17" s="91"/>
      <c r="AB17" s="498">
        <v>80.84369524939533743839870681</v>
      </c>
      <c r="AC17" s="5"/>
      <c r="AD17" s="420" t="s">
        <v>225</v>
      </c>
      <c r="AE17" s="91" t="s">
        <v>225</v>
      </c>
      <c r="AF17" s="91" t="s">
        <v>226</v>
      </c>
      <c r="AG17" s="421" t="s">
        <v>225</v>
      </c>
    </row>
    <row r="18" ht="20.1" customHeight="1">
      <c r="A18" s="58"/>
      <c r="B18" s="286"/>
      <c r="C18" s="287" t="s">
        <v>233</v>
      </c>
      <c r="D18" s="276">
        <v>322.15277777777777777777777778</v>
      </c>
      <c r="E18" s="94">
        <v>327.21374376947040498442367601</v>
      </c>
      <c r="F18" s="277">
        <v>226.22490339878558473306521568</v>
      </c>
      <c r="G18" s="276">
        <v>70.237373737373737373737373737</v>
      </c>
      <c r="H18" s="94">
        <v>82.28777656085549487626438209</v>
      </c>
      <c r="I18" s="277">
        <v>44.937009550844973440000810606</v>
      </c>
      <c r="J18" s="276">
        <v>21.664141414141414141414141414</v>
      </c>
      <c r="K18" s="94">
        <v>24.247364735074473616206194241</v>
      </c>
      <c r="L18" s="277">
        <v>16.532318669861080076817315696</v>
      </c>
      <c r="M18" s="276">
        <v>414.05429292929292929292929293</v>
      </c>
      <c r="N18" s="94">
        <v>433.74888506540037347689425234</v>
      </c>
      <c r="O18" s="277">
        <v>287.69423161949163824988334198</v>
      </c>
      <c r="P18" s="5"/>
      <c r="Q18" s="271">
        <v>48.577494741631318605552856180</v>
      </c>
      <c r="R18" s="92">
        <v>51.932861461543304510373657850</v>
      </c>
      <c r="S18" s="272">
        <v>55.007002557277757761375303080</v>
      </c>
      <c r="T18" s="271">
        <v>76.501570580920467999755119740</v>
      </c>
      <c r="U18" s="92">
        <v>3.7752050712203422115938687500</v>
      </c>
      <c r="V18" s="272">
        <v>98.02218071408673496674831290</v>
      </c>
      <c r="W18" s="271">
        <v>1.8170165799520727952859066400</v>
      </c>
      <c r="X18" s="92">
        <v>107.23094784543239324540067699</v>
      </c>
      <c r="Y18" s="272">
        <v>24.145610899435367533090481190</v>
      </c>
      <c r="Z18" s="271">
        <v>48.995883576998137683261897430</v>
      </c>
      <c r="AA18" s="92">
        <v>41.580403742002893484287736430</v>
      </c>
      <c r="AB18" s="272">
        <v>58.113063302129426146094565970</v>
      </c>
      <c r="AC18" s="5"/>
      <c r="AD18" s="271" t="s">
        <v>225</v>
      </c>
      <c r="AE18" s="92" t="s">
        <v>223</v>
      </c>
      <c r="AF18" s="92" t="s">
        <v>220</v>
      </c>
      <c r="AG18" s="272" t="s">
        <v>223</v>
      </c>
    </row>
    <row r="19" ht="20.1" customHeight="1">
      <c r="A19" s="58"/>
      <c r="B19" s="288"/>
      <c r="C19" s="289" t="s">
        <v>234</v>
      </c>
      <c r="D19" s="439">
        <v>276.73240469208211143695014663</v>
      </c>
      <c r="E19" s="95">
        <v>225.83918751884232740428097679</v>
      </c>
      <c r="F19" s="442">
        <v>185.50528758368837492391965916</v>
      </c>
      <c r="G19" s="439">
        <v>60.974095796676441837732160313</v>
      </c>
      <c r="H19" s="95">
        <v>48.249020198974977389207114863</v>
      </c>
      <c r="I19" s="442">
        <v>42.259140338432496738400375548</v>
      </c>
      <c r="J19" s="439">
        <v>19.717497556207233626588465298</v>
      </c>
      <c r="K19" s="95">
        <v>13.201386795296955079891468194</v>
      </c>
      <c r="L19" s="442">
        <v>16.273231064000654552147145555</v>
      </c>
      <c r="M19" s="439">
        <v>357.42399804496578690127077224</v>
      </c>
      <c r="N19" s="95">
        <v>287.28959451311425987337955984</v>
      </c>
      <c r="O19" s="442">
        <v>244.03765898612152621446718026</v>
      </c>
      <c r="P19" s="5"/>
      <c r="Q19" s="420">
        <v>11.287146032878493029340349550</v>
      </c>
      <c r="R19" s="91">
        <v>-4.7263676298968609271910856800</v>
      </c>
      <c r="S19" s="498">
        <v>13.220507956712946817610200570</v>
      </c>
      <c r="T19" s="420">
        <v>74.040359651538263325671813940</v>
      </c>
      <c r="U19" s="91">
        <v>-33.491833029869670782128318600</v>
      </c>
      <c r="V19" s="498">
        <v>67.419833156635620467326015480</v>
      </c>
      <c r="W19" s="420">
        <v>-5.2559887269381597174800997800</v>
      </c>
      <c r="X19" s="91">
        <v>-9.846216956581818465630875610</v>
      </c>
      <c r="Y19" s="498">
        <v>11.466395112200458735208433390</v>
      </c>
      <c r="Z19" s="420">
        <v>17.376384264327276136800467710</v>
      </c>
      <c r="AA19" s="91">
        <v>-11.393788853505854843252237930</v>
      </c>
      <c r="AB19" s="498">
        <v>19.811370657782621322649647800</v>
      </c>
      <c r="AC19" s="5"/>
      <c r="AD19" s="420" t="s">
        <v>225</v>
      </c>
      <c r="AE19" s="91" t="s">
        <v>225</v>
      </c>
      <c r="AF19" s="91" t="s">
        <v>226</v>
      </c>
      <c r="AG19" s="421" t="s">
        <v>225</v>
      </c>
    </row>
    <row r="20" ht="20.1" customHeight="1">
      <c r="A20" s="58"/>
      <c r="B20" s="286"/>
      <c r="C20" s="287" t="s">
        <v>235</v>
      </c>
      <c r="D20" s="276">
        <v>172.30934343434343434343434343</v>
      </c>
      <c r="E20" s="94">
        <v>143.25013054830287206266318538</v>
      </c>
      <c r="F20" s="277">
        <v>136.23341588050314465408805031</v>
      </c>
      <c r="G20" s="276">
        <v>44.81489898989898989898989899</v>
      </c>
      <c r="H20" s="94">
        <v>49.647966071326889737957419928</v>
      </c>
      <c r="I20" s="277">
        <v>35.816953275573426908100794076</v>
      </c>
      <c r="J20" s="276">
        <v>17.370959595959595959595959596</v>
      </c>
      <c r="K20" s="94">
        <v>15.099281058693292547801467212</v>
      </c>
      <c r="L20" s="277">
        <v>16.616267135182746507870496918</v>
      </c>
      <c r="M20" s="276">
        <v>234.49520202020202020202020202</v>
      </c>
      <c r="N20" s="94">
        <v>207.99737767832305434842207252</v>
      </c>
      <c r="O20" s="277">
        <v>188.66663629125931807005934131</v>
      </c>
      <c r="P20" s="5"/>
      <c r="Q20" s="271">
        <v>-18.180520981732806616930937140</v>
      </c>
      <c r="R20" s="92">
        <v>-33.267115353742014090640336050</v>
      </c>
      <c r="S20" s="272">
        <v>-6.7670663125032874701336255900</v>
      </c>
      <c r="T20" s="271">
        <v>28.821445681623055904214341580</v>
      </c>
      <c r="U20" s="92">
        <v>-30.608398280579580645934396700</v>
      </c>
      <c r="V20" s="272">
        <v>40.093827437181786397751508140</v>
      </c>
      <c r="W20" s="271">
        <v>-31.102831445427194316663002070</v>
      </c>
      <c r="X20" s="92">
        <v>-16.104907171310706328981713650</v>
      </c>
      <c r="Y20" s="272">
        <v>18.651063018419772604009971330</v>
      </c>
      <c r="Z20" s="271">
        <v>-13.341931317524963644159772440</v>
      </c>
      <c r="AA20" s="92">
        <v>-31.626435509580076831408910930</v>
      </c>
      <c r="AB20" s="272">
        <v>1.6017684739658687390467765500</v>
      </c>
      <c r="AC20" s="5"/>
      <c r="AD20" s="271" t="s">
        <v>223</v>
      </c>
      <c r="AE20" s="92" t="s">
        <v>236</v>
      </c>
      <c r="AF20" s="92" t="s">
        <v>236</v>
      </c>
      <c r="AG20" s="272" t="s">
        <v>236</v>
      </c>
    </row>
    <row r="21" ht="20.1" customHeight="1">
      <c r="A21" s="58"/>
      <c r="B21" s="288"/>
      <c r="C21" s="289" t="s">
        <v>218</v>
      </c>
      <c r="D21" s="439">
        <v>195.20136852394916911045943304</v>
      </c>
      <c r="E21" s="95">
        <v>182.23734523709256295797186895</v>
      </c>
      <c r="F21" s="442">
        <v>136.76466828971393791844187462</v>
      </c>
      <c r="G21" s="439">
        <v>48.859481915933528836754643206</v>
      </c>
      <c r="H21" s="95">
        <v>50.546158469592771990271399664</v>
      </c>
      <c r="I21" s="442">
        <v>26.852768727592381480295331858</v>
      </c>
      <c r="J21" s="439">
        <v>22.281280547409579667644183773</v>
      </c>
      <c r="K21" s="95">
        <v>17.274498907364276925295239509</v>
      </c>
      <c r="L21" s="442">
        <v>14.901650970310852094775412976</v>
      </c>
      <c r="M21" s="439">
        <v>266.34213098729227761485826002</v>
      </c>
      <c r="N21" s="95">
        <v>250.05800261404961187353850812</v>
      </c>
      <c r="O21" s="442">
        <v>178.51908798761717149351261945</v>
      </c>
      <c r="P21" s="5"/>
      <c r="Q21" s="420">
        <v>-15.986966243928251136143642570</v>
      </c>
      <c r="R21" s="91">
        <v>-18.325898452686591855020899340</v>
      </c>
      <c r="S21" s="498">
        <v>-9.046078731703708177476801750</v>
      </c>
      <c r="T21" s="420">
        <v>33.060689352232175855048565600</v>
      </c>
      <c r="U21" s="91">
        <v>0.6001067917950768267903536900</v>
      </c>
      <c r="V21" s="498">
        <v>10.840111331793986721800492700</v>
      </c>
      <c r="W21" s="420">
        <v>0.1306888068418831386192303700</v>
      </c>
      <c r="X21" s="91">
        <v>-6.378763327341100410836325800</v>
      </c>
      <c r="Y21" s="498">
        <v>2.0526981947632416213327151100</v>
      </c>
      <c r="Z21" s="420">
        <v>-8.573537738829807267650440560</v>
      </c>
      <c r="AA21" s="91">
        <v>-14.311923386592248368500468180</v>
      </c>
      <c r="AB21" s="498">
        <v>-5.6430492158126427993598452200</v>
      </c>
      <c r="AC21" s="5"/>
      <c r="AD21" s="420" t="s">
        <v>223</v>
      </c>
      <c r="AE21" s="91" t="s">
        <v>236</v>
      </c>
      <c r="AF21" s="91" t="s">
        <v>236</v>
      </c>
      <c r="AG21" s="421" t="s">
        <v>236</v>
      </c>
    </row>
    <row r="22" ht="20.1" customHeight="1">
      <c r="A22" s="58"/>
      <c r="B22" s="286"/>
      <c r="C22" s="287" t="s">
        <v>221</v>
      </c>
      <c r="D22" s="276">
        <v>153.45527859237536656891495601</v>
      </c>
      <c r="E22" s="94">
        <v>153.31149193548387096774193548</v>
      </c>
      <c r="F22" s="277">
        <v>118.66760879488740109555690809</v>
      </c>
      <c r="G22" s="276">
        <v>35.142717497556207233626588465</v>
      </c>
      <c r="H22" s="94">
        <v>42.395671880421353091098881548</v>
      </c>
      <c r="I22" s="277">
        <v>26.059494000946788166677862533</v>
      </c>
      <c r="J22" s="276">
        <v>20.532746823069403714565004888</v>
      </c>
      <c r="K22" s="94">
        <v>18.508496657866361834067401948</v>
      </c>
      <c r="L22" s="277">
        <v>14.955209588785966668780045545</v>
      </c>
      <c r="M22" s="276">
        <v>209.13074291300097751710654936</v>
      </c>
      <c r="N22" s="94">
        <v>214.21566047377158589290821897</v>
      </c>
      <c r="O22" s="277">
        <v>159.68231238462015593101481617</v>
      </c>
      <c r="P22" s="5"/>
      <c r="Q22" s="271">
        <v>16.915259854487888951753103750</v>
      </c>
      <c r="R22" s="92">
        <v>15.017168302994242191343567050</v>
      </c>
      <c r="S22" s="272">
        <v>21.516384621957866693046008800</v>
      </c>
      <c r="T22" s="271">
        <v>44.935949767568178974175183360</v>
      </c>
      <c r="U22" s="92"/>
      <c r="V22" s="272">
        <v>29.524378815038219537074639600</v>
      </c>
      <c r="W22" s="271">
        <v>29.564520108384139381544156930</v>
      </c>
      <c r="X22" s="92"/>
      <c r="Y22" s="272">
        <v>24.527699193249762899280325420</v>
      </c>
      <c r="Z22" s="271">
        <v>22.050299790653961313506484280</v>
      </c>
      <c r="AA22" s="92"/>
      <c r="AB22" s="272">
        <v>23.036444796052687788947392820</v>
      </c>
      <c r="AC22" s="5"/>
      <c r="AD22" s="271" t="s">
        <v>223</v>
      </c>
      <c r="AE22" s="92" t="s">
        <v>236</v>
      </c>
      <c r="AF22" s="92" t="s">
        <v>236</v>
      </c>
      <c r="AG22" s="272" t="s">
        <v>236</v>
      </c>
    </row>
    <row r="23" ht="20.1" customHeight="1">
      <c r="A23" s="58"/>
      <c r="B23" s="288"/>
      <c r="C23" s="289" t="s">
        <v>222</v>
      </c>
      <c r="D23" s="439">
        <v>124.77272727272727272727272727</v>
      </c>
      <c r="E23" s="95">
        <v>123.15824652777777777777777778</v>
      </c>
      <c r="F23" s="442">
        <v>113.97972484276729559748427673</v>
      </c>
      <c r="G23" s="439">
        <v>29.206565656565656565656565657</v>
      </c>
      <c r="H23" s="95">
        <v>41.877322940893855992308069518</v>
      </c>
      <c r="I23" s="442">
        <v>35.323770343409047237937826659</v>
      </c>
      <c r="J23" s="439">
        <v>17.891161616161616161616161616</v>
      </c>
      <c r="K23" s="95">
        <v>13.151132479062769598382833389</v>
      </c>
      <c r="L23" s="442">
        <v>17.048372049037951329968738798</v>
      </c>
      <c r="M23" s="439">
        <v>171.87045454545454545454545455</v>
      </c>
      <c r="N23" s="95">
        <v>178.18670194773440336846868068</v>
      </c>
      <c r="O23" s="442">
        <v>166.35186723521429416539084219</v>
      </c>
      <c r="P23" s="5"/>
      <c r="Q23" s="420">
        <v>15.348520149224526415444220890</v>
      </c>
      <c r="R23" s="91">
        <v>24.516212926027909901156641100</v>
      </c>
      <c r="S23" s="498">
        <v>33.256013762154896470382055660</v>
      </c>
      <c r="T23" s="420">
        <v>28.752087276212238216759529170</v>
      </c>
      <c r="U23" s="91"/>
      <c r="V23" s="498">
        <v>80.01640863661910149901111506</v>
      </c>
      <c r="W23" s="420">
        <v>28.389177826513845871215882710</v>
      </c>
      <c r="X23" s="91"/>
      <c r="Y23" s="498">
        <v>34.553730914250156869821837800</v>
      </c>
      <c r="Z23" s="420">
        <v>18.703552872805448262157738770</v>
      </c>
      <c r="AA23" s="91"/>
      <c r="AB23" s="498">
        <v>41.182871004735365014211858290</v>
      </c>
      <c r="AC23" s="5"/>
      <c r="AD23" s="420" t="s">
        <v>223</v>
      </c>
      <c r="AE23" s="91" t="s">
        <v>236</v>
      </c>
      <c r="AF23" s="91" t="s">
        <v>236</v>
      </c>
      <c r="AG23" s="421" t="s">
        <v>236</v>
      </c>
    </row>
    <row r="24" ht="20.1" customHeight="1">
      <c r="A24" s="59"/>
      <c r="B24" s="286"/>
      <c r="C24" s="287" t="s">
        <v>224</v>
      </c>
      <c r="D24" s="276">
        <v>157.51832844574780058651026393</v>
      </c>
      <c r="E24" s="94">
        <v>180.94396841397849462365591398</v>
      </c>
      <c r="F24" s="277">
        <v>142.24964142910948871785702057</v>
      </c>
      <c r="G24" s="276">
        <v>34.369257086999022482893450635</v>
      </c>
      <c r="H24" s="94">
        <v>71.055594800344760218619217279</v>
      </c>
      <c r="I24" s="277">
        <v>41.382725269148408877269832288</v>
      </c>
      <c r="J24" s="276">
        <v>17.503665689149560117302052786</v>
      </c>
      <c r="K24" s="94">
        <v>16.942131814293197180794798742</v>
      </c>
      <c r="L24" s="277">
        <v>13.692713128695596715573517902</v>
      </c>
      <c r="M24" s="276">
        <v>209.39125122189638318670576735</v>
      </c>
      <c r="N24" s="94">
        <v>268.94169502861645202306993</v>
      </c>
      <c r="O24" s="277">
        <v>197.32507982695349431070037076</v>
      </c>
      <c r="P24" s="93"/>
      <c r="Q24" s="271">
        <v>15.959406606747477838533219660</v>
      </c>
      <c r="R24" s="92">
        <v>69.046589395604341736591955810</v>
      </c>
      <c r="S24" s="272">
        <v>35.211433286574091525649596850</v>
      </c>
      <c r="T24" s="271">
        <v>18.816055150638574880311438460</v>
      </c>
      <c r="U24" s="92">
        <v>88.18515452605580356764820616</v>
      </c>
      <c r="V24" s="272">
        <v>60.298159611208297155053936990</v>
      </c>
      <c r="W24" s="271">
        <v>4.0985393505376209170012494100</v>
      </c>
      <c r="X24" s="92">
        <v>40.384670063123133064964322480</v>
      </c>
      <c r="Y24" s="272">
        <v>15.286226239704231749748501260</v>
      </c>
      <c r="Z24" s="271">
        <v>15.316153135983777053313632550</v>
      </c>
      <c r="AA24" s="92">
        <v>71.448265483329176132540221360</v>
      </c>
      <c r="AB24" s="272">
        <v>38.087506198683167221993921360</v>
      </c>
      <c r="AC24" s="93"/>
      <c r="AD24" s="271" t="s">
        <v>223</v>
      </c>
      <c r="AE24" s="92" t="s">
        <v>236</v>
      </c>
      <c r="AF24" s="92" t="s">
        <v>236</v>
      </c>
      <c r="AG24" s="272" t="s">
        <v>236</v>
      </c>
    </row>
    <row r="25" ht="20.1" customHeight="1">
      <c r="A25" s="60"/>
      <c r="B25" s="288"/>
      <c r="C25" s="289" t="s">
        <v>227</v>
      </c>
      <c r="D25" s="439">
        <v>227.3479797979797979797979798</v>
      </c>
      <c r="E25" s="95">
        <v>239.03159722222222222222222222</v>
      </c>
      <c r="F25" s="442">
        <v>167.69295907536266069111923576</v>
      </c>
      <c r="G25" s="439">
        <v>51.223989898989898989898989899</v>
      </c>
      <c r="H25" s="95">
        <v>73.8774266696330821812177154</v>
      </c>
      <c r="I25" s="442">
        <v>51.373833106763557139583303644</v>
      </c>
      <c r="J25" s="439">
        <v>21.487373737373737373737373737</v>
      </c>
      <c r="K25" s="95">
        <v>18.521945368074478945853058127</v>
      </c>
      <c r="L25" s="442">
        <v>16.022439411978219628003304683</v>
      </c>
      <c r="M25" s="439">
        <v>300.05934343434343434343434343</v>
      </c>
      <c r="N25" s="95">
        <v>331.43096925992978334929299575</v>
      </c>
      <c r="O25" s="442">
        <v>235.08923159410443745870584409</v>
      </c>
      <c r="P25" s="93"/>
      <c r="Q25" s="420">
        <v>15.722214652781764730878877820</v>
      </c>
      <c r="R25" s="91">
        <v>45.537416500895978470171498220</v>
      </c>
      <c r="S25" s="498">
        <v>20.363484646711130353107230650</v>
      </c>
      <c r="T25" s="420">
        <v>34.238860690100551964640724800</v>
      </c>
      <c r="U25" s="91">
        <v>12.679168423250431350217296840</v>
      </c>
      <c r="V25" s="498">
        <v>61.288645248964784529207893510</v>
      </c>
      <c r="W25" s="420">
        <v>22.262773722958006228230302100</v>
      </c>
      <c r="X25" s="91">
        <v>-23.839987205876504294189653170</v>
      </c>
      <c r="Y25" s="498">
        <v>16.641903800020627062139436450</v>
      </c>
      <c r="Z25" s="420">
        <v>18.979720372843356381469481570</v>
      </c>
      <c r="AA25" s="91">
        <v>30.420536854896429097525390090</v>
      </c>
      <c r="AB25" s="498">
        <v>27.136654726265281551699190370</v>
      </c>
      <c r="AC25" s="93"/>
      <c r="AD25" s="420" t="s">
        <v>223</v>
      </c>
      <c r="AE25" s="91" t="s">
        <v>236</v>
      </c>
      <c r="AF25" s="91" t="s">
        <v>236</v>
      </c>
      <c r="AG25" s="421" t="s">
        <v>236</v>
      </c>
    </row>
    <row r="26" ht="20.1" customHeight="1">
      <c r="A26" s="60"/>
      <c r="B26" s="290"/>
      <c r="C26" s="291" t="s">
        <v>229</v>
      </c>
      <c r="D26" s="443">
        <v>276.05425219941348973607038123</v>
      </c>
      <c r="E26" s="444">
        <v>266.53923051075268817204301075</v>
      </c>
      <c r="F26" s="445">
        <v>188.63697788464099159593530887</v>
      </c>
      <c r="G26" s="443">
        <v>46.165689149560117302052785924</v>
      </c>
      <c r="H26" s="444">
        <v>78.926733348545696522908421686</v>
      </c>
      <c r="I26" s="445">
        <v>46.872501271234663210306027605</v>
      </c>
      <c r="J26" s="443">
        <v>22.559872922776148582600195503</v>
      </c>
      <c r="K26" s="444">
        <v>20.994694604258482126151004452</v>
      </c>
      <c r="L26" s="445">
        <v>19.33828331114974322616794263</v>
      </c>
      <c r="M26" s="443">
        <v>344.77981427174975562072336266</v>
      </c>
      <c r="N26" s="444">
        <v>366.46065846355686682110243689</v>
      </c>
      <c r="O26" s="445">
        <v>254.8477624670253980324092791</v>
      </c>
      <c r="P26" s="453"/>
      <c r="Q26" s="273">
        <v>-12.500242062100870585097259470</v>
      </c>
      <c r="R26" s="274">
        <v>-1.1849082558581411484459643500</v>
      </c>
      <c r="S26" s="275">
        <v>-4.9478796177526001191752861600</v>
      </c>
      <c r="T26" s="273">
        <v>-11.642134508189737030758258350</v>
      </c>
      <c r="U26" s="274">
        <v>35.671776103076947160492344070</v>
      </c>
      <c r="V26" s="275">
        <v>29.062888455711206730423187170</v>
      </c>
      <c r="W26" s="273">
        <v>3.146403870271114417054599600</v>
      </c>
      <c r="X26" s="274">
        <v>5.9512281616610119798022140400</v>
      </c>
      <c r="Y26" s="275">
        <v>25.830759382968170318688838110</v>
      </c>
      <c r="Z26" s="273">
        <v>-11.506807728320347695681488570</v>
      </c>
      <c r="AA26" s="274">
        <v>5.3879033713024981637928675600</v>
      </c>
      <c r="AB26" s="275">
        <v>1.8810680663133921450515174200</v>
      </c>
      <c r="AC26" s="453"/>
      <c r="AD26" s="273" t="s">
        <v>223</v>
      </c>
      <c r="AE26" s="274" t="s">
        <v>236</v>
      </c>
      <c r="AF26" s="274" t="s">
        <v>236</v>
      </c>
      <c r="AG26" s="275" t="s">
        <v>236</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115"/>
      <c r="AD27" s="113"/>
      <c r="AE27" s="113"/>
      <c r="AF27" s="113"/>
      <c r="AG27" s="113"/>
      <c r="AH27" s="9"/>
    </row>
    <row r="28" ht="24.95" customHeight="1">
      <c r="A28" s="112"/>
      <c r="B28" s="847" t="s">
        <v>58</v>
      </c>
      <c r="C28" s="847"/>
      <c r="D28" s="847"/>
      <c r="E28" s="847"/>
      <c r="F28" s="847"/>
      <c r="G28" s="847"/>
      <c r="H28" s="847"/>
      <c r="I28" s="847"/>
      <c r="J28" s="847"/>
      <c r="K28" s="847"/>
      <c r="L28" s="847"/>
      <c r="M28" s="847"/>
      <c r="N28" s="847"/>
      <c r="O28" s="973"/>
      <c r="P28" s="501"/>
      <c r="Q28" s="836"/>
      <c r="R28" s="836"/>
      <c r="S28" s="836"/>
      <c r="T28" s="836"/>
      <c r="U28" s="836"/>
      <c r="V28" s="836"/>
      <c r="W28" s="836"/>
      <c r="X28" s="836"/>
      <c r="Y28" s="836"/>
      <c r="Z28" s="836"/>
      <c r="AA28" s="836"/>
      <c r="AB28" s="971"/>
      <c r="AC28" s="501"/>
      <c r="AD28" s="836"/>
      <c r="AE28" s="836"/>
      <c r="AF28" s="836"/>
      <c r="AG28" s="971"/>
      <c r="AH28" s="9"/>
    </row>
    <row r="29" ht="20.1" customHeight="1">
      <c r="A29" s="58"/>
      <c r="B29" s="284">
        <v>2020</v>
      </c>
      <c r="C29" s="285"/>
      <c r="D29" s="454">
        <v>101.45382513661202185792349727</v>
      </c>
      <c r="E29" s="455"/>
      <c r="F29" s="436">
        <v>81.78475470174577424114916658</v>
      </c>
      <c r="G29" s="454">
        <v>15.607526080476900149031296572</v>
      </c>
      <c r="H29" s="455"/>
      <c r="I29" s="436">
        <v>17.438671046407372495058404161</v>
      </c>
      <c r="J29" s="454">
        <v>13.166219572776949826130153999</v>
      </c>
      <c r="K29" s="455"/>
      <c r="L29" s="436">
        <v>8.474731134167036903364887118</v>
      </c>
      <c r="M29" s="454">
        <v>130.22757078986587183308494784</v>
      </c>
      <c r="N29" s="455"/>
      <c r="O29" s="436">
        <v>107.69815688232018363957245786</v>
      </c>
      <c r="P29" s="5"/>
      <c r="Q29" s="427">
        <v>-22.900812766146078637758322040</v>
      </c>
      <c r="R29" s="428"/>
      <c r="S29" s="417">
        <v>-43.639127790874194778625398270</v>
      </c>
      <c r="T29" s="427">
        <v>-26.859361535366976732735632210</v>
      </c>
      <c r="U29" s="428"/>
      <c r="V29" s="417">
        <v>-55.946643276596682953961871430</v>
      </c>
      <c r="W29" s="427">
        <v>-37.682445532480111107961125760</v>
      </c>
      <c r="X29" s="428"/>
      <c r="Y29" s="417">
        <v>-36.394990499345831212275762940</v>
      </c>
      <c r="Z29" s="427">
        <v>-25.180388852715187130071527520</v>
      </c>
      <c r="AA29" s="428"/>
      <c r="AB29" s="417">
        <v>-45.612056694511308958599459280</v>
      </c>
      <c r="AC29" s="5"/>
      <c r="AD29" s="427"/>
      <c r="AE29" s="428"/>
      <c r="AF29" s="428"/>
      <c r="AG29" s="429"/>
    </row>
    <row r="30" ht="20.1" customHeight="1">
      <c r="A30" s="58"/>
      <c r="B30" s="286">
        <v>2021</v>
      </c>
      <c r="C30" s="287"/>
      <c r="D30" s="276">
        <v>194.87868410128684101286841013</v>
      </c>
      <c r="E30" s="94">
        <v>184.00204717378363074063856664</v>
      </c>
      <c r="F30" s="277">
        <v>131.41034092921720165385380101</v>
      </c>
      <c r="G30" s="276">
        <v>32.875570776255707762557077626</v>
      </c>
      <c r="H30" s="94">
        <v>67.745111394859979748213238519</v>
      </c>
      <c r="I30" s="277">
        <v>23.587087307636279655311496066</v>
      </c>
      <c r="J30" s="276">
        <v>19.371606475716064757160647572</v>
      </c>
      <c r="K30" s="94">
        <v>23.406156548404451384626506617</v>
      </c>
      <c r="L30" s="277">
        <v>13.407308498397443985243961572</v>
      </c>
      <c r="M30" s="276">
        <v>247.12586135325861353258613533</v>
      </c>
      <c r="N30" s="94">
        <v>275.15331511704806187347831177</v>
      </c>
      <c r="O30" s="277">
        <v>168.40473673525092529440925864</v>
      </c>
      <c r="P30" s="5"/>
      <c r="Q30" s="271">
        <v>92.08608826616171883247526863</v>
      </c>
      <c r="R30" s="92"/>
      <c r="S30" s="272">
        <v>60.678284612481292696769094830</v>
      </c>
      <c r="T30" s="271">
        <v>110.63921730254454058899996356</v>
      </c>
      <c r="U30" s="92"/>
      <c r="V30" s="272">
        <v>35.257367060120930886392570480</v>
      </c>
      <c r="W30" s="271">
        <v>47.131121189378686351788103700</v>
      </c>
      <c r="X30" s="92"/>
      <c r="Y30" s="272">
        <v>58.203349299093378018259792220</v>
      </c>
      <c r="Z30" s="271">
        <v>89.7646249978463398146781800</v>
      </c>
      <c r="AA30" s="92"/>
      <c r="AB30" s="272">
        <v>56.367334047596819570859244390</v>
      </c>
      <c r="AC30" s="5"/>
      <c r="AD30" s="271" t="s">
        <v>226</v>
      </c>
      <c r="AE30" s="92" t="s">
        <v>236</v>
      </c>
      <c r="AF30" s="92" t="s">
        <v>236</v>
      </c>
      <c r="AG30" s="272" t="s">
        <v>236</v>
      </c>
    </row>
    <row r="31" ht="20.1" customHeight="1">
      <c r="A31" s="58"/>
      <c r="B31" s="425">
        <v>2022</v>
      </c>
      <c r="C31" s="426"/>
      <c r="D31" s="457">
        <v>234.34041095890410958904109589</v>
      </c>
      <c r="E31" s="458">
        <v>221.78616625413884112097974751</v>
      </c>
      <c r="F31" s="499">
        <v>171.71002708887713111456369961</v>
      </c>
      <c r="G31" s="457">
        <v>51.067662930676629306766293068</v>
      </c>
      <c r="H31" s="458">
        <v>61.179883621647103315000748026</v>
      </c>
      <c r="I31" s="499">
        <v>39.156187099507775816686647257</v>
      </c>
      <c r="J31" s="457">
        <v>20.377314238273142382731423827</v>
      </c>
      <c r="K31" s="458">
        <v>17.580671848179132312226769377</v>
      </c>
      <c r="L31" s="499">
        <v>16.343858114839885490471601309</v>
      </c>
      <c r="M31" s="457">
        <v>305.78538812785388127853881279</v>
      </c>
      <c r="N31" s="458">
        <v>300.54672172396507674820726491</v>
      </c>
      <c r="O31" s="499">
        <v>227.21007230322479242172194818</v>
      </c>
      <c r="P31" s="453"/>
      <c r="Q31" s="430">
        <v>20.249380808160366492609650750</v>
      </c>
      <c r="R31" s="431">
        <v>20.534618859240013532904122520</v>
      </c>
      <c r="S31" s="500">
        <v>30.667058524252218894808491960</v>
      </c>
      <c r="T31" s="430">
        <v>55.336201698713347083121538760</v>
      </c>
      <c r="U31" s="431">
        <v>-9.691072371234068671015853520</v>
      </c>
      <c r="V31" s="500">
        <v>66.006877359932665943589247860</v>
      </c>
      <c r="W31" s="430">
        <v>5.1916590595349721469844127700</v>
      </c>
      <c r="X31" s="431">
        <v>-24.888685539527789992525172880</v>
      </c>
      <c r="Y31" s="500">
        <v>21.902603470266438234011429820</v>
      </c>
      <c r="Z31" s="430">
        <v>23.736700988445768808615263290</v>
      </c>
      <c r="AA31" s="431">
        <v>9.228820883429064379833206660</v>
      </c>
      <c r="AB31" s="500">
        <v>34.919050798645598600790456200</v>
      </c>
      <c r="AC31" s="453"/>
      <c r="AD31" s="430" t="s">
        <v>223</v>
      </c>
      <c r="AE31" s="431" t="s">
        <v>236</v>
      </c>
      <c r="AF31" s="431" t="s">
        <v>236</v>
      </c>
      <c r="AG31" s="432" t="s">
        <v>236</v>
      </c>
    </row>
    <row r="32" ht="21" customHeight="1"/>
    <row r="33" ht="24.95" customHeight="1">
      <c r="A33" s="112"/>
      <c r="B33" s="842" t="s">
        <v>44</v>
      </c>
      <c r="C33" s="842"/>
      <c r="D33" s="842"/>
      <c r="E33" s="842"/>
      <c r="F33" s="842"/>
      <c r="G33" s="842"/>
      <c r="H33" s="842"/>
      <c r="I33" s="842"/>
      <c r="J33" s="842"/>
      <c r="K33" s="842"/>
      <c r="L33" s="842"/>
      <c r="M33" s="842"/>
      <c r="N33" s="842"/>
      <c r="O33" s="972"/>
      <c r="P33" s="501"/>
      <c r="Q33" s="836"/>
      <c r="R33" s="836"/>
      <c r="S33" s="836"/>
      <c r="T33" s="836"/>
      <c r="U33" s="836"/>
      <c r="V33" s="836"/>
      <c r="W33" s="836"/>
      <c r="X33" s="836"/>
      <c r="Y33" s="836"/>
      <c r="Z33" s="836"/>
      <c r="AA33" s="836"/>
      <c r="AB33" s="971"/>
      <c r="AC33" s="501"/>
      <c r="AD33" s="836"/>
      <c r="AE33" s="836"/>
      <c r="AF33" s="836"/>
      <c r="AG33" s="971"/>
      <c r="AH33" s="9"/>
    </row>
    <row r="34" ht="20.1" customHeight="1">
      <c r="A34" s="58"/>
      <c r="B34" s="284">
        <v>2020</v>
      </c>
      <c r="C34" s="285"/>
      <c r="D34" s="454">
        <v>82.51976284584980237154150198</v>
      </c>
      <c r="E34" s="455"/>
      <c r="F34" s="436">
        <v>54.767104047141929049200728357</v>
      </c>
      <c r="G34" s="454">
        <v>8.529973649538866930171277997</v>
      </c>
      <c r="H34" s="455"/>
      <c r="I34" s="436">
        <v>9.514629857722721778824441685</v>
      </c>
      <c r="J34" s="454">
        <v>13.689723320158102766798418972</v>
      </c>
      <c r="K34" s="455"/>
      <c r="L34" s="436">
        <v>9.077582868833959535372864619</v>
      </c>
      <c r="M34" s="454">
        <v>104.73945981554677206851119895</v>
      </c>
      <c r="N34" s="455"/>
      <c r="O34" s="436">
        <v>73.359316773698610363398034663</v>
      </c>
      <c r="P34" s="5"/>
      <c r="Q34" s="427">
        <v>-43.361291343572961445259553310</v>
      </c>
      <c r="R34" s="428"/>
      <c r="S34" s="417">
        <v>-62.299314488452250279000956300</v>
      </c>
      <c r="T34" s="427">
        <v>-73.229408678723766074667352380</v>
      </c>
      <c r="U34" s="428"/>
      <c r="V34" s="417">
        <v>-77.364482224084476114490061880</v>
      </c>
      <c r="W34" s="427">
        <v>-45.274994403957958704539065390</v>
      </c>
      <c r="X34" s="428"/>
      <c r="Y34" s="417">
        <v>-50.333191250581758432205464320</v>
      </c>
      <c r="Z34" s="427">
        <v>-48.29562753678742214276988100</v>
      </c>
      <c r="AA34" s="428"/>
      <c r="AB34" s="417">
        <v>-64.315792518522317522139438060</v>
      </c>
      <c r="AC34" s="5"/>
      <c r="AD34" s="427"/>
      <c r="AE34" s="428"/>
      <c r="AF34" s="428"/>
      <c r="AG34" s="429"/>
    </row>
    <row r="35" ht="20.1" customHeight="1">
      <c r="A35" s="58"/>
      <c r="B35" s="286">
        <v>2021</v>
      </c>
      <c r="C35" s="287"/>
      <c r="D35" s="276">
        <v>216.14188076416337285902503294</v>
      </c>
      <c r="E35" s="94">
        <v>180.51294587914859275698577625</v>
      </c>
      <c r="F35" s="277">
        <v>147.62522021824155494229226559</v>
      </c>
      <c r="G35" s="276">
        <v>39.795536890645586297760210804</v>
      </c>
      <c r="H35" s="94">
        <v>53.704982647257528022563295869</v>
      </c>
      <c r="I35" s="277">
        <v>31.310419504457770771929910038</v>
      </c>
      <c r="J35" s="276">
        <v>18.766469038208168642951251647</v>
      </c>
      <c r="K35" s="94">
        <v>18.673815153630778922444035101</v>
      </c>
      <c r="L35" s="277">
        <v>13.655596498150135765416916914</v>
      </c>
      <c r="M35" s="276">
        <v>274.70388669301712779973649539</v>
      </c>
      <c r="N35" s="94">
        <v>252.89174368003689970199310723</v>
      </c>
      <c r="O35" s="277">
        <v>192.59123622084946147963909255</v>
      </c>
      <c r="P35" s="5"/>
      <c r="Q35" s="271">
        <v>161.92741388272703239124683003</v>
      </c>
      <c r="R35" s="92"/>
      <c r="S35" s="272">
        <v>169.55089699700587136523139908</v>
      </c>
      <c r="T35" s="271">
        <v>366.53762984342014288610740923</v>
      </c>
      <c r="U35" s="92"/>
      <c r="V35" s="272">
        <v>229.07659018515442645068340942</v>
      </c>
      <c r="W35" s="271">
        <v>37.084355901606344014467919570</v>
      </c>
      <c r="X35" s="92"/>
      <c r="Y35" s="272">
        <v>50.432077520161715644672021610</v>
      </c>
      <c r="Z35" s="271">
        <v>162.27353776400203416584375022</v>
      </c>
      <c r="AA35" s="92"/>
      <c r="AB35" s="272">
        <v>162.53139299941683458873995409</v>
      </c>
      <c r="AC35" s="5"/>
      <c r="AD35" s="271" t="s">
        <v>225</v>
      </c>
      <c r="AE35" s="92" t="s">
        <v>223</v>
      </c>
      <c r="AF35" s="92" t="s">
        <v>223</v>
      </c>
      <c r="AG35" s="272" t="s">
        <v>223</v>
      </c>
    </row>
    <row r="36" ht="20.1" customHeight="1">
      <c r="A36" s="58"/>
      <c r="B36" s="425">
        <v>2022</v>
      </c>
      <c r="C36" s="426"/>
      <c r="D36" s="457">
        <v>220.23031949934123847167325428</v>
      </c>
      <c r="E36" s="458">
        <v>228.72746829710144927536231884</v>
      </c>
      <c r="F36" s="499">
        <v>166.17689098899070337457760093</v>
      </c>
      <c r="G36" s="457">
        <v>43.840250329380764163372859025</v>
      </c>
      <c r="H36" s="458">
        <v>74.62798883374561548286835076</v>
      </c>
      <c r="I36" s="499">
        <v>46.490511042986760314155986587</v>
      </c>
      <c r="J36" s="457">
        <v>20.506422924901185770750988142</v>
      </c>
      <c r="K36" s="458">
        <v>18.822825869753656814031648292</v>
      </c>
      <c r="L36" s="499">
        <v>16.354718173853827467761787142</v>
      </c>
      <c r="M36" s="457">
        <v>284.57699275362318840579710145</v>
      </c>
      <c r="N36" s="458">
        <v>322.1782830006007215722623179</v>
      </c>
      <c r="O36" s="499">
        <v>229.02212020583129115649537465</v>
      </c>
      <c r="P36" s="453"/>
      <c r="Q36" s="430">
        <v>1.8915532337768083904659682600</v>
      </c>
      <c r="R36" s="431">
        <v>26.709731085045564630684386750</v>
      </c>
      <c r="S36" s="500">
        <v>12.566735374463852983587407170</v>
      </c>
      <c r="T36" s="430">
        <v>10.163736325256502263566571550</v>
      </c>
      <c r="U36" s="431">
        <v>38.959152680216930682192870770</v>
      </c>
      <c r="V36" s="500">
        <v>48.482555579637140642821202880</v>
      </c>
      <c r="W36" s="430">
        <v>9.271610355466607037065652860</v>
      </c>
      <c r="X36" s="431">
        <v>0.7979661088426808921973921300</v>
      </c>
      <c r="Y36" s="500">
        <v>19.765681242921975104744656840</v>
      </c>
      <c r="Z36" s="430">
        <v>3.5940904147661536289543631700</v>
      </c>
      <c r="AA36" s="431">
        <v>27.397707142338891232347533590</v>
      </c>
      <c r="AB36" s="500">
        <v>18.916169136203264048712251700</v>
      </c>
      <c r="AC36" s="453"/>
      <c r="AD36" s="430" t="s">
        <v>223</v>
      </c>
      <c r="AE36" s="431" t="s">
        <v>236</v>
      </c>
      <c r="AF36" s="431" t="s">
        <v>236</v>
      </c>
      <c r="AG36" s="432" t="s">
        <v>236</v>
      </c>
    </row>
    <row r="37" ht="21" customHeight="1"/>
    <row r="38" ht="24.95" customHeight="1">
      <c r="A38" s="112"/>
      <c r="B38" s="842" t="s">
        <v>45</v>
      </c>
      <c r="C38" s="842"/>
      <c r="D38" s="842"/>
      <c r="E38" s="842"/>
      <c r="F38" s="842"/>
      <c r="G38" s="842"/>
      <c r="H38" s="842"/>
      <c r="I38" s="842"/>
      <c r="J38" s="842"/>
      <c r="K38" s="842"/>
      <c r="L38" s="842"/>
      <c r="M38" s="842"/>
      <c r="N38" s="842"/>
      <c r="O38" s="972"/>
      <c r="P38" s="501"/>
      <c r="Q38" s="836"/>
      <c r="R38" s="836"/>
      <c r="S38" s="836"/>
      <c r="T38" s="836"/>
      <c r="U38" s="836"/>
      <c r="V38" s="836"/>
      <c r="W38" s="836"/>
      <c r="X38" s="836"/>
      <c r="Y38" s="836"/>
      <c r="Z38" s="836"/>
      <c r="AA38" s="836"/>
      <c r="AB38" s="971"/>
      <c r="AC38" s="501"/>
      <c r="AD38" s="836"/>
      <c r="AE38" s="836"/>
      <c r="AF38" s="836"/>
      <c r="AG38" s="971"/>
      <c r="AH38" s="9"/>
    </row>
    <row r="39" ht="20.1" customHeight="1">
      <c r="A39" s="58"/>
      <c r="B39" s="284">
        <v>2020</v>
      </c>
      <c r="C39" s="285"/>
      <c r="D39" s="454">
        <v>101.45382513661202185792349727</v>
      </c>
      <c r="E39" s="455"/>
      <c r="F39" s="436">
        <v>81.78475470174577424114916658</v>
      </c>
      <c r="G39" s="454">
        <v>15.607526080476900149031296572</v>
      </c>
      <c r="H39" s="455"/>
      <c r="I39" s="436">
        <v>17.438671046407372495058404161</v>
      </c>
      <c r="J39" s="454">
        <v>13.166219572776949826130153999</v>
      </c>
      <c r="K39" s="455"/>
      <c r="L39" s="436">
        <v>8.474731134167036903364887118</v>
      </c>
      <c r="M39" s="454">
        <v>130.22757078986587183308494784</v>
      </c>
      <c r="N39" s="455"/>
      <c r="O39" s="436">
        <v>107.69815688232018363957245786</v>
      </c>
      <c r="P39" s="5"/>
      <c r="Q39" s="427">
        <v>-22.900812766146078637758322040</v>
      </c>
      <c r="R39" s="428"/>
      <c r="S39" s="417">
        <v>-43.639127790874194778625398270</v>
      </c>
      <c r="T39" s="427">
        <v>-26.859361535366976732735632210</v>
      </c>
      <c r="U39" s="428"/>
      <c r="V39" s="417">
        <v>-55.946643276596682953961871430</v>
      </c>
      <c r="W39" s="427">
        <v>-37.682445532480111107961125760</v>
      </c>
      <c r="X39" s="428"/>
      <c r="Y39" s="417">
        <v>-36.394990499345831212275762940</v>
      </c>
      <c r="Z39" s="427">
        <v>-25.180388852715187130071527520</v>
      </c>
      <c r="AA39" s="428"/>
      <c r="AB39" s="417">
        <v>-45.612056694511308958599459280</v>
      </c>
      <c r="AC39" s="5"/>
      <c r="AD39" s="427"/>
      <c r="AE39" s="428"/>
      <c r="AF39" s="428"/>
      <c r="AG39" s="429"/>
    </row>
    <row r="40" ht="20.1" customHeight="1">
      <c r="A40" s="58"/>
      <c r="B40" s="286">
        <v>2021</v>
      </c>
      <c r="C40" s="287"/>
      <c r="D40" s="276">
        <v>194.87868410128684101286841013</v>
      </c>
      <c r="E40" s="94">
        <v>184.00204717378363074063856664</v>
      </c>
      <c r="F40" s="277">
        <v>131.41034092921720165385380101</v>
      </c>
      <c r="G40" s="276">
        <v>32.875570776255707762557077626</v>
      </c>
      <c r="H40" s="94">
        <v>67.745111394859979748213238519</v>
      </c>
      <c r="I40" s="277">
        <v>23.587087307636279655311496066</v>
      </c>
      <c r="J40" s="276">
        <v>19.371606475716064757160647572</v>
      </c>
      <c r="K40" s="94">
        <v>23.406156548404451384626506617</v>
      </c>
      <c r="L40" s="277">
        <v>13.407308498397443985243961572</v>
      </c>
      <c r="M40" s="276">
        <v>247.12586135325861353258613533</v>
      </c>
      <c r="N40" s="94">
        <v>275.15331511704806187347831177</v>
      </c>
      <c r="O40" s="277">
        <v>168.40473673525092529440925864</v>
      </c>
      <c r="P40" s="5"/>
      <c r="Q40" s="271">
        <v>92.08608826616171883247526863</v>
      </c>
      <c r="R40" s="92"/>
      <c r="S40" s="272">
        <v>60.678284612481292696769094830</v>
      </c>
      <c r="T40" s="271">
        <v>110.63921730254454058899996356</v>
      </c>
      <c r="U40" s="92"/>
      <c r="V40" s="272">
        <v>35.257367060120930886392570480</v>
      </c>
      <c r="W40" s="271">
        <v>47.131121189378686351788103700</v>
      </c>
      <c r="X40" s="92"/>
      <c r="Y40" s="272">
        <v>58.203349299093378018259792220</v>
      </c>
      <c r="Z40" s="271">
        <v>89.7646249978463398146781800</v>
      </c>
      <c r="AA40" s="92"/>
      <c r="AB40" s="272">
        <v>56.367334047596819570859244390</v>
      </c>
      <c r="AC40" s="5"/>
      <c r="AD40" s="271" t="s">
        <v>226</v>
      </c>
      <c r="AE40" s="92" t="s">
        <v>236</v>
      </c>
      <c r="AF40" s="92" t="s">
        <v>236</v>
      </c>
      <c r="AG40" s="272" t="s">
        <v>236</v>
      </c>
    </row>
    <row r="41" ht="20.1" customHeight="1">
      <c r="A41" s="58"/>
      <c r="B41" s="425">
        <v>2022</v>
      </c>
      <c r="C41" s="426"/>
      <c r="D41" s="457">
        <v>234.34041095890410958904109589</v>
      </c>
      <c r="E41" s="458">
        <v>221.78616625413884112097974751</v>
      </c>
      <c r="F41" s="499">
        <v>171.71002708887713111456369961</v>
      </c>
      <c r="G41" s="457">
        <v>51.067662930676629306766293068</v>
      </c>
      <c r="H41" s="458">
        <v>61.179883621647103315000748026</v>
      </c>
      <c r="I41" s="499">
        <v>39.156187099507775816686647257</v>
      </c>
      <c r="J41" s="457">
        <v>20.377314238273142382731423827</v>
      </c>
      <c r="K41" s="458">
        <v>17.580671848179132312226769377</v>
      </c>
      <c r="L41" s="499">
        <v>16.343858114839885490471601309</v>
      </c>
      <c r="M41" s="457">
        <v>305.78538812785388127853881279</v>
      </c>
      <c r="N41" s="458">
        <v>300.54672172396507674820726491</v>
      </c>
      <c r="O41" s="499">
        <v>227.21007230322479242172194818</v>
      </c>
      <c r="P41" s="453"/>
      <c r="Q41" s="430">
        <v>20.249380808160366492609650750</v>
      </c>
      <c r="R41" s="431">
        <v>20.534618859240013532904122520</v>
      </c>
      <c r="S41" s="500">
        <v>30.667058524252218894808491960</v>
      </c>
      <c r="T41" s="430">
        <v>55.336201698713347083121538760</v>
      </c>
      <c r="U41" s="431">
        <v>-9.691072371234068671015853520</v>
      </c>
      <c r="V41" s="500">
        <v>66.006877359932665943589247860</v>
      </c>
      <c r="W41" s="430">
        <v>5.1916590595349721469844127700</v>
      </c>
      <c r="X41" s="431">
        <v>-24.888685539527789992525172880</v>
      </c>
      <c r="Y41" s="500">
        <v>21.902603470266438234011429820</v>
      </c>
      <c r="Z41" s="430">
        <v>23.736700988445768808615263290</v>
      </c>
      <c r="AA41" s="431">
        <v>9.228820883429064379833206660</v>
      </c>
      <c r="AB41" s="500">
        <v>34.919050798645598600790456200</v>
      </c>
      <c r="AC41" s="453"/>
      <c r="AD41" s="430" t="s">
        <v>223</v>
      </c>
      <c r="AE41" s="431" t="s">
        <v>236</v>
      </c>
      <c r="AF41" s="431" t="s">
        <v>236</v>
      </c>
      <c r="AG41" s="432" t="s">
        <v>236</v>
      </c>
    </row>
    <row r="42" ht="12.75" customHeight="1"/>
    <row r="43" ht="20.1" customHeight="1">
      <c r="B43" s="7" t="s">
        <v>104</v>
      </c>
    </row>
    <row r="44" ht="14.1" customHeight="1">
      <c r="B44" s="7"/>
      <c r="AW44" s="236"/>
    </row>
    <row r="45" ht="24" customHeight="1">
      <c r="B45" s="816" t="s">
        <v>126</v>
      </c>
      <c r="C45" s="816"/>
      <c r="D45" s="816"/>
      <c r="E45" s="816"/>
      <c r="F45" s="816"/>
      <c r="G45" s="816"/>
      <c r="H45" s="816"/>
      <c r="I45" s="816"/>
      <c r="J45" s="816"/>
      <c r="K45" s="816"/>
      <c r="L45" s="816"/>
      <c r="M45" s="816"/>
      <c r="N45" s="816"/>
      <c r="O45" s="816"/>
      <c r="P45" s="816"/>
      <c r="Q45" s="816"/>
      <c r="R45" s="816"/>
      <c r="S45" s="816"/>
      <c r="T45" s="816"/>
      <c r="U45" s="816"/>
      <c r="V45" s="816"/>
      <c r="W45" s="816"/>
      <c r="X45" s="816"/>
      <c r="Y45" s="816"/>
      <c r="Z45" s="816"/>
      <c r="AA45" s="816"/>
      <c r="AB45" s="816"/>
      <c r="AC45" s="816"/>
      <c r="AD45" s="816"/>
      <c r="AE45" s="816"/>
      <c r="AF45" s="816"/>
      <c r="AG45" s="816"/>
      <c r="AW45" s="236"/>
    </row>
    <row r="46" ht="14.1" customHeight="1">
      <c r="A46"/>
      <c r="AW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c r="AD47" s="236"/>
      <c r="AE47" s="236"/>
      <c r="AF47" s="236"/>
      <c r="AG47" s="236"/>
      <c r="AH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c r="AD48" s="236"/>
      <c r="AE48" s="236"/>
      <c r="AF48" s="236"/>
      <c r="AG48" s="236"/>
      <c r="AH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sheetData>
  <mergeCells count="24">
    <mergeCell ref="D6:O6"/>
    <mergeCell ref="D7:F7"/>
    <mergeCell ref="G7:I7"/>
    <mergeCell ref="J7:L7"/>
    <mergeCell ref="M7:O7"/>
    <mergeCell ref="B45:AG45"/>
    <mergeCell ref="AD38:AG38"/>
    <mergeCell ref="AD33:AG33"/>
    <mergeCell ref="AD28:AG28"/>
    <mergeCell ref="B28:O28"/>
    <mergeCell ref="B8:C8"/>
    <mergeCell ref="Q7:S7"/>
    <mergeCell ref="Q38:AB38"/>
    <mergeCell ref="Z7:AB7"/>
    <mergeCell ref="T7:V7"/>
    <mergeCell ref="W7:Y7"/>
    <mergeCell ref="B38:O38"/>
    <mergeCell ref="B33:O33"/>
    <mergeCell ref="U3:AG3"/>
    <mergeCell ref="Q6:AB6"/>
    <mergeCell ref="Q28:AB28"/>
    <mergeCell ref="Q33:AB33"/>
    <mergeCell ref="AD6:AG6"/>
    <mergeCell ref="AD7:AG7"/>
  </mergeCells>
  <phoneticPr fontId="0" type="noConversion"/>
  <printOptions horizontalCentered="1" verticalCentered="1"/>
  <pageMargins left="0.25" right="0.25" top="0.25" bottom="0.25" header="0" footer="0"/>
  <pageSetup scale="59" fitToWidth="1" fitToHeight="1" orientation="landscape" r:id="rId1"/>
  <headerFooter alignWithMargins="0">
    <oddHeader/>
    <oddFooter/>
  </headerFooter>
  <rowBreaks count="1" manualBreakCount="1">
    <brk id="46" max="16383" man="1"/>
  </rowBreaks>
  <colBreaks count="1" manualBreakCount="1">
    <brk id="35" max="1048575" man="1"/>
  </colBreaks>
  <drawing r:id="rId133"/>
</worksheet>
</file>

<file path=xl/worksheets/sheet2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5">
    <pageSetUpPr fitToPage="1"/>
  </sheetPr>
  <dimension ref="A1:BW153"/>
  <sheetViews>
    <sheetView showGridLines="0" zoomScale="85" workbookViewId="0"/>
  </sheetViews>
  <sheetFormatPr defaultRowHeight="12.75"/>
  <cols>
    <col min="1" max="1" width="1" customWidth="1"/>
    <col min="2" max="2" width="1.28515625" style="21"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236" customWidth="1"/>
    <col min="70" max="75" width="9.140625" style="236" customWidth="1"/>
  </cols>
  <sheetData>
    <row r="1" ht="23.25" customHeight="1">
      <c r="B1" s="6" t="s">
        <v>133</v>
      </c>
      <c r="D1" s="6"/>
      <c r="E1" s="6"/>
      <c r="AS1" s="236"/>
    </row>
    <row r="2" ht="15" customHeight="1">
      <c r="B2" s="0"/>
      <c r="C2" s="4" t="s">
        <v>208</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0"/>
    </row>
    <row r="3" ht="15" customHeight="1">
      <c r="B3" s="0"/>
      <c r="C3" s="4" t="s">
        <v>209</v>
      </c>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0"/>
    </row>
    <row r="4" ht="15" customHeight="1">
      <c r="B4" s="0"/>
      <c r="C4" s="4" t="s">
        <v>241</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0"/>
    </row>
    <row r="5" ht="12.75" customHeight="1">
      <c r="C5" s="67"/>
      <c r="D5" s="67"/>
      <c r="E5" s="67"/>
    </row>
    <row r="6" ht="18" customHeight="1">
      <c r="B6" s="68"/>
      <c r="C6" s="68" t="s">
        <v>7</v>
      </c>
      <c r="D6" s="69"/>
      <c r="E6" s="69"/>
      <c r="F6" s="69"/>
      <c r="H6" s="987" t="s">
        <v>243</v>
      </c>
      <c r="I6" s="987"/>
      <c r="J6" s="987"/>
      <c r="K6" s="987"/>
      <c r="L6" s="987"/>
      <c r="M6" s="987"/>
      <c r="N6" s="987"/>
      <c r="O6" s="987"/>
      <c r="P6" s="987"/>
      <c r="Q6" s="987"/>
      <c r="R6" s="987"/>
      <c r="S6" s="987"/>
      <c r="T6" s="987"/>
      <c r="U6" s="987"/>
      <c r="Z6" s="987" t="s">
        <v>244</v>
      </c>
      <c r="AA6" s="987"/>
      <c r="AB6" s="987"/>
      <c r="AC6" s="987"/>
      <c r="AD6" s="987"/>
      <c r="AE6" s="987"/>
      <c r="AF6" s="987"/>
      <c r="AG6" s="987"/>
      <c r="AH6" s="987"/>
      <c r="AI6" s="987"/>
      <c r="AJ6" s="987"/>
      <c r="AK6" s="987"/>
      <c r="AL6" s="987"/>
      <c r="AM6" s="987"/>
    </row>
    <row r="7" ht="15" customHeight="1">
      <c r="D7" s="93" t="s">
        <v>246</v>
      </c>
      <c r="E7" s="71"/>
      <c r="F7" s="71"/>
      <c r="H7" s="909" t="s">
        <v>0</v>
      </c>
      <c r="I7" s="909"/>
      <c r="J7" s="909" t="s">
        <v>1</v>
      </c>
      <c r="K7" s="909"/>
      <c r="L7" s="909" t="s">
        <v>2</v>
      </c>
      <c r="M7" s="909"/>
      <c r="N7" s="909" t="s">
        <v>3</v>
      </c>
      <c r="O7" s="909"/>
      <c r="P7" s="909" t="s">
        <v>4</v>
      </c>
      <c r="Q7" s="909"/>
      <c r="R7" s="909" t="s">
        <v>5</v>
      </c>
      <c r="S7" s="909"/>
      <c r="T7" s="909" t="s">
        <v>6</v>
      </c>
      <c r="U7" s="909"/>
      <c r="Z7" s="909" t="s">
        <v>0</v>
      </c>
      <c r="AA7" s="909"/>
      <c r="AB7" s="909" t="s">
        <v>1</v>
      </c>
      <c r="AC7" s="909"/>
      <c r="AD7" s="909" t="s">
        <v>2</v>
      </c>
      <c r="AE7" s="909"/>
      <c r="AF7" s="909" t="s">
        <v>3</v>
      </c>
      <c r="AG7" s="909"/>
      <c r="AH7" s="909" t="s">
        <v>4</v>
      </c>
      <c r="AI7" s="909"/>
      <c r="AJ7" s="909" t="s">
        <v>5</v>
      </c>
      <c r="AK7" s="909"/>
      <c r="AL7" s="909" t="s">
        <v>6</v>
      </c>
      <c r="AM7" s="909"/>
    </row>
    <row r="8" ht="15" customHeight="1">
      <c r="D8" s="175" t="s">
        <v>248</v>
      </c>
      <c r="E8" s="71"/>
      <c r="F8" s="71"/>
      <c r="G8" s="71"/>
      <c r="H8" s="910"/>
      <c r="I8" s="910"/>
      <c r="J8" s="906"/>
      <c r="K8" s="906"/>
      <c r="L8" s="906"/>
      <c r="M8" s="906"/>
      <c r="N8" s="906"/>
      <c r="O8" s="906"/>
      <c r="P8" s="906">
        <v>1</v>
      </c>
      <c r="Q8" s="906"/>
      <c r="R8" s="906">
        <v>2</v>
      </c>
      <c r="S8" s="906"/>
      <c r="T8" s="906">
        <v>3</v>
      </c>
      <c r="U8" s="907"/>
      <c r="Z8" s="910"/>
      <c r="AA8" s="910"/>
      <c r="AB8" s="906"/>
      <c r="AC8" s="906"/>
      <c r="AD8" s="906"/>
      <c r="AE8" s="906"/>
      <c r="AF8" s="906">
        <v>1</v>
      </c>
      <c r="AG8" s="906"/>
      <c r="AH8" s="906">
        <v>2</v>
      </c>
      <c r="AI8" s="906"/>
      <c r="AJ8" s="906">
        <v>3</v>
      </c>
      <c r="AK8" s="906"/>
      <c r="AL8" s="906">
        <v>4</v>
      </c>
      <c r="AM8" s="907"/>
    </row>
    <row r="9" ht="15" customHeight="1">
      <c r="D9" s="175" t="s">
        <v>250</v>
      </c>
      <c r="H9" s="905">
        <v>4</v>
      </c>
      <c r="I9" s="905"/>
      <c r="J9" s="898">
        <v>5</v>
      </c>
      <c r="K9" s="898"/>
      <c r="L9" s="898">
        <v>6</v>
      </c>
      <c r="M9" s="898"/>
      <c r="N9" s="898">
        <v>7</v>
      </c>
      <c r="O9" s="898"/>
      <c r="P9" s="898">
        <v>8</v>
      </c>
      <c r="Q9" s="898"/>
      <c r="R9" s="898">
        <v>9</v>
      </c>
      <c r="S9" s="898"/>
      <c r="T9" s="898">
        <v>10</v>
      </c>
      <c r="U9" s="902"/>
      <c r="Z9" s="905">
        <v>5</v>
      </c>
      <c r="AA9" s="905"/>
      <c r="AB9" s="898">
        <v>6</v>
      </c>
      <c r="AC9" s="898"/>
      <c r="AD9" s="898">
        <v>7</v>
      </c>
      <c r="AE9" s="898"/>
      <c r="AF9" s="898">
        <v>8</v>
      </c>
      <c r="AG9" s="898"/>
      <c r="AH9" s="898">
        <v>9</v>
      </c>
      <c r="AI9" s="898"/>
      <c r="AJ9" s="898">
        <v>10</v>
      </c>
      <c r="AK9" s="898"/>
      <c r="AL9" s="898">
        <v>11</v>
      </c>
      <c r="AM9" s="902"/>
    </row>
    <row r="10" ht="15" customHeight="1">
      <c r="D10" t="s">
        <v>252</v>
      </c>
      <c r="H10" s="899">
        <v>11</v>
      </c>
      <c r="I10" s="899"/>
      <c r="J10" s="900">
        <v>12</v>
      </c>
      <c r="K10" s="900"/>
      <c r="L10" s="900">
        <v>13</v>
      </c>
      <c r="M10" s="900"/>
      <c r="N10" s="900">
        <v>14</v>
      </c>
      <c r="O10" s="900"/>
      <c r="P10" s="900">
        <v>15</v>
      </c>
      <c r="Q10" s="900"/>
      <c r="R10" s="900">
        <v>16</v>
      </c>
      <c r="S10" s="900"/>
      <c r="T10" s="900">
        <v>17</v>
      </c>
      <c r="U10" s="903"/>
      <c r="Z10" s="899">
        <v>12</v>
      </c>
      <c r="AA10" s="899"/>
      <c r="AB10" s="900">
        <v>13</v>
      </c>
      <c r="AC10" s="900"/>
      <c r="AD10" s="900">
        <v>14</v>
      </c>
      <c r="AE10" s="900"/>
      <c r="AF10" s="900">
        <v>15</v>
      </c>
      <c r="AG10" s="900"/>
      <c r="AH10" s="900">
        <v>16</v>
      </c>
      <c r="AI10" s="900"/>
      <c r="AJ10" s="900">
        <v>17</v>
      </c>
      <c r="AK10" s="900"/>
      <c r="AL10" s="900">
        <v>18</v>
      </c>
      <c r="AM10" s="903"/>
    </row>
    <row r="11" ht="15" customHeight="1">
      <c r="D11" t="s">
        <v>254</v>
      </c>
      <c r="H11" s="905">
        <v>18</v>
      </c>
      <c r="I11" s="905"/>
      <c r="J11" s="898">
        <v>19</v>
      </c>
      <c r="K11" s="898"/>
      <c r="L11" s="898">
        <v>20</v>
      </c>
      <c r="M11" s="898"/>
      <c r="N11" s="898">
        <v>21</v>
      </c>
      <c r="O11" s="898"/>
      <c r="P11" s="898">
        <v>22</v>
      </c>
      <c r="Q11" s="898"/>
      <c r="R11" s="898">
        <v>23</v>
      </c>
      <c r="S11" s="898"/>
      <c r="T11" s="898">
        <v>24</v>
      </c>
      <c r="U11" s="902"/>
      <c r="Z11" s="905">
        <v>19</v>
      </c>
      <c r="AA11" s="905"/>
      <c r="AB11" s="898">
        <v>20</v>
      </c>
      <c r="AC11" s="898"/>
      <c r="AD11" s="898">
        <v>21</v>
      </c>
      <c r="AE11" s="898"/>
      <c r="AF11" s="898">
        <v>22</v>
      </c>
      <c r="AG11" s="898"/>
      <c r="AH11" s="898">
        <v>23</v>
      </c>
      <c r="AI11" s="898"/>
      <c r="AJ11" s="898">
        <v>24</v>
      </c>
      <c r="AK11" s="898"/>
      <c r="AL11" s="898">
        <v>25</v>
      </c>
      <c r="AM11" s="902"/>
      <c r="AN11" t="s">
        <v>27</v>
      </c>
    </row>
    <row r="12" ht="15" customHeight="1">
      <c r="A12" s="68"/>
      <c r="H12" s="899">
        <v>25</v>
      </c>
      <c r="I12" s="899"/>
      <c r="J12" s="900">
        <v>26</v>
      </c>
      <c r="K12" s="900"/>
      <c r="L12" s="900">
        <v>27</v>
      </c>
      <c r="M12" s="900"/>
      <c r="N12" s="900">
        <v>28</v>
      </c>
      <c r="O12" s="900"/>
      <c r="P12" s="900">
        <v>29</v>
      </c>
      <c r="Q12" s="900"/>
      <c r="R12" s="900">
        <v>30</v>
      </c>
      <c r="S12" s="900"/>
      <c r="T12" s="900">
        <v>31</v>
      </c>
      <c r="U12" s="903"/>
      <c r="Z12" s="899">
        <v>26</v>
      </c>
      <c r="AA12" s="899"/>
      <c r="AB12" s="900">
        <v>27</v>
      </c>
      <c r="AC12" s="900"/>
      <c r="AD12" s="900">
        <v>28</v>
      </c>
      <c r="AE12" s="900"/>
      <c r="AF12" s="900">
        <v>29</v>
      </c>
      <c r="AG12" s="900"/>
      <c r="AH12" s="900">
        <v>30</v>
      </c>
      <c r="AI12" s="900"/>
      <c r="AJ12" s="900">
        <v>31</v>
      </c>
      <c r="AK12" s="900"/>
      <c r="AL12" s="900"/>
      <c r="AM12" s="903"/>
    </row>
    <row r="13" ht="15" customHeight="1">
      <c r="C13" s="72"/>
      <c r="D13" s="73"/>
      <c r="E13" s="73"/>
      <c r="F13" s="73"/>
      <c r="G13" s="73"/>
      <c r="H13" s="904" t="s">
        <v>27</v>
      </c>
      <c r="I13" s="904"/>
      <c r="J13" s="901" t="s">
        <v>27</v>
      </c>
      <c r="K13" s="901"/>
      <c r="L13" s="901" t="s">
        <v>27</v>
      </c>
      <c r="M13" s="901"/>
      <c r="N13" s="901" t="s">
        <v>27</v>
      </c>
      <c r="O13" s="901"/>
      <c r="P13" s="901" t="s">
        <v>27</v>
      </c>
      <c r="Q13" s="901"/>
      <c r="R13" s="901" t="s">
        <v>27</v>
      </c>
      <c r="S13" s="901"/>
      <c r="T13" s="901" t="s">
        <v>27</v>
      </c>
      <c r="U13" s="911"/>
      <c r="Z13" s="904" t="s">
        <v>27</v>
      </c>
      <c r="AA13" s="904"/>
      <c r="AB13" s="901" t="s">
        <v>27</v>
      </c>
      <c r="AC13" s="901"/>
      <c r="AD13" s="901" t="s">
        <v>27</v>
      </c>
      <c r="AE13" s="901"/>
      <c r="AF13" s="901" t="s">
        <v>27</v>
      </c>
      <c r="AG13" s="901"/>
      <c r="AH13" s="901" t="s">
        <v>27</v>
      </c>
      <c r="AI13" s="901"/>
      <c r="AJ13" s="901" t="s">
        <v>27</v>
      </c>
      <c r="AK13" s="901"/>
      <c r="AL13" s="901" t="s">
        <v>27</v>
      </c>
      <c r="AM13" s="911"/>
    </row>
    <row r="14" ht="15" customHeight="1">
      <c r="A14" s="68"/>
      <c r="C14" s="68" t="s">
        <v>8</v>
      </c>
      <c r="F14" s="64"/>
    </row>
    <row r="15" ht="15" customHeight="1">
      <c r="D15" s="70" t="s">
        <v>248</v>
      </c>
      <c r="F15" s="64"/>
      <c r="P15" s="234"/>
      <c r="Q15" s="234"/>
      <c r="R15" s="234"/>
      <c r="S15" s="234"/>
      <c r="T15" s="234"/>
      <c r="U15" s="234"/>
      <c r="V15" s="234"/>
      <c r="W15" s="0"/>
      <c r="X15" s="234"/>
      <c r="Y15" s="234"/>
      <c r="Z15" s="234"/>
      <c r="AA15" s="234"/>
      <c r="AB15" s="234"/>
      <c r="AC15" s="234"/>
      <c r="AD15" s="234"/>
      <c r="AE15" s="0"/>
      <c r="AF15" s="234"/>
      <c r="AG15" s="234"/>
      <c r="AH15" s="234"/>
      <c r="AI15" s="234"/>
      <c r="AJ15" s="234"/>
      <c r="AK15" s="234"/>
      <c r="AL15" s="234"/>
      <c r="AM15" s="0"/>
      <c r="AN15" s="0"/>
    </row>
    <row r="16" ht="15" customHeight="1">
      <c r="C16" s="70"/>
      <c r="D16" s="73" t="s">
        <v>250</v>
      </c>
      <c r="F16" s="64"/>
      <c r="P16" s="21"/>
      <c r="Q16" s="21"/>
      <c r="R16" s="21"/>
      <c r="S16" s="21"/>
      <c r="T16" s="21"/>
      <c r="U16" s="21"/>
      <c r="V16" s="21"/>
      <c r="W16" s="0"/>
      <c r="X16" s="21"/>
      <c r="Y16" s="21"/>
      <c r="Z16" s="21"/>
      <c r="AA16" s="21"/>
      <c r="AB16" s="21"/>
      <c r="AC16" s="21"/>
      <c r="AD16" s="21"/>
      <c r="AE16" s="0"/>
      <c r="AF16" s="21"/>
      <c r="AG16" s="21"/>
      <c r="AH16" s="21"/>
      <c r="AI16" s="21"/>
      <c r="AJ16" s="21"/>
      <c r="AK16" s="21"/>
      <c r="AL16" s="21"/>
      <c r="AM16" s="0"/>
      <c r="AN16" s="0"/>
    </row>
    <row r="17" ht="15" customHeight="1">
      <c r="C17" s="70"/>
      <c r="D17" s="73" t="s">
        <v>252</v>
      </c>
      <c r="F17" s="64"/>
      <c r="P17" s="21"/>
      <c r="Q17" s="21"/>
      <c r="R17" s="21"/>
      <c r="S17" s="21"/>
      <c r="T17" s="21"/>
      <c r="U17" s="21"/>
      <c r="V17" s="21"/>
      <c r="W17" s="0"/>
      <c r="X17" s="21"/>
      <c r="Y17" s="21"/>
      <c r="Z17" s="21"/>
      <c r="AA17" s="21"/>
      <c r="AB17" s="21"/>
      <c r="AC17" s="21"/>
      <c r="AD17" s="21"/>
      <c r="AE17" s="0"/>
      <c r="AF17" s="21"/>
      <c r="AG17" s="21"/>
      <c r="AH17" s="21"/>
      <c r="AI17" s="21"/>
      <c r="AJ17" s="21"/>
      <c r="AK17" s="21"/>
      <c r="AL17" s="21"/>
      <c r="AM17" s="0"/>
      <c r="AN17" s="0"/>
    </row>
    <row r="18" ht="15" customHeight="1">
      <c r="C18" s="70"/>
      <c r="D18" s="71" t="s">
        <v>254</v>
      </c>
      <c r="F18" s="64"/>
      <c r="P18" s="21"/>
      <c r="Q18" s="21"/>
      <c r="R18" s="21"/>
      <c r="S18" s="21"/>
      <c r="T18" s="21"/>
      <c r="U18" s="21"/>
      <c r="V18" s="21"/>
      <c r="W18" s="0"/>
      <c r="X18" s="21"/>
      <c r="Y18" s="21"/>
      <c r="Z18" s="21"/>
      <c r="AA18" s="21"/>
      <c r="AB18" s="21"/>
      <c r="AC18" s="21"/>
      <c r="AD18" s="21"/>
      <c r="AE18" s="0"/>
      <c r="AF18" s="21"/>
      <c r="AG18" s="21"/>
      <c r="AH18" s="21"/>
      <c r="AI18" s="21"/>
      <c r="AJ18" s="21"/>
      <c r="AK18" s="21"/>
      <c r="AL18" s="21"/>
      <c r="AM18" s="0"/>
      <c r="AN18" s="0"/>
    </row>
    <row r="19" ht="15" customHeight="1">
      <c r="C19" s="74"/>
      <c r="D19" s="71"/>
      <c r="F19" s="64"/>
      <c r="P19" s="21"/>
      <c r="Q19" s="21"/>
      <c r="R19" s="21"/>
      <c r="S19" s="21"/>
      <c r="T19" s="21"/>
      <c r="U19" s="21"/>
      <c r="V19" s="21"/>
      <c r="W19" s="0"/>
      <c r="X19" s="21"/>
      <c r="Y19" s="21"/>
      <c r="Z19" s="21"/>
      <c r="AA19" s="21"/>
      <c r="AB19" s="21"/>
      <c r="AC19" s="21"/>
      <c r="AD19" s="21"/>
      <c r="AE19" s="0"/>
      <c r="AF19" s="21"/>
      <c r="AG19" s="21"/>
      <c r="AH19" s="21"/>
      <c r="AI19" s="21"/>
      <c r="AJ19" s="21"/>
      <c r="AK19" s="21"/>
      <c r="AL19" s="21"/>
      <c r="AM19" s="0"/>
      <c r="AN19" s="0"/>
    </row>
    <row r="20" ht="15" customHeight="1">
      <c r="C20" s="74"/>
      <c r="D20" s="71"/>
      <c r="F20" s="64"/>
      <c r="P20" s="21"/>
      <c r="Q20" s="21"/>
      <c r="R20" s="21"/>
      <c r="S20" s="21"/>
      <c r="T20" s="21"/>
      <c r="U20" s="21"/>
      <c r="V20" s="21"/>
      <c r="W20" s="0"/>
      <c r="X20" s="21"/>
      <c r="Y20" s="21"/>
      <c r="Z20" s="21"/>
      <c r="AA20" s="21"/>
      <c r="AB20" s="21"/>
      <c r="AC20" s="21"/>
      <c r="AD20" s="21"/>
      <c r="AE20" s="0"/>
      <c r="AF20" s="21"/>
      <c r="AG20" s="21"/>
      <c r="AH20" s="21"/>
      <c r="AI20" s="21"/>
      <c r="AJ20" s="21"/>
      <c r="AK20" s="21"/>
      <c r="AL20" s="21"/>
      <c r="AM20" s="0"/>
      <c r="AN20" s="0"/>
    </row>
    <row r="21" ht="30" customHeight="1">
      <c r="R21" s="993">
        <v>2021</v>
      </c>
      <c r="S21" s="993"/>
      <c r="T21" s="993"/>
      <c r="U21" s="993"/>
      <c r="V21" s="993"/>
      <c r="W21" s="993"/>
      <c r="X21" s="993"/>
      <c r="Y21" s="993"/>
      <c r="Z21" s="993"/>
      <c r="AA21" s="993"/>
      <c r="AB21" s="993"/>
      <c r="AC21" s="993"/>
      <c r="AD21" s="995">
        <v>2022</v>
      </c>
      <c r="AE21" s="995"/>
      <c r="AF21" s="995"/>
      <c r="AG21" s="995"/>
      <c r="AH21" s="995"/>
      <c r="AI21" s="995"/>
      <c r="AJ21" s="995"/>
      <c r="AK21" s="995"/>
      <c r="AL21" s="995"/>
      <c r="AM21" s="995"/>
      <c r="AN21" s="995"/>
      <c r="AO21" s="995"/>
    </row>
    <row r="22" s="5" customFormat="1" ht="30" customHeight="1">
      <c r="B22" s="76"/>
      <c r="C22" s="77" t="s">
        <v>71</v>
      </c>
      <c r="D22" s="77" t="s">
        <v>21</v>
      </c>
      <c r="E22" s="177" t="s">
        <v>242</v>
      </c>
      <c r="F22" s="10" t="s">
        <v>60</v>
      </c>
      <c r="G22" s="10" t="s">
        <v>61</v>
      </c>
      <c r="H22" s="914" t="s">
        <v>34</v>
      </c>
      <c r="I22" s="914"/>
      <c r="J22" s="914"/>
      <c r="K22" s="914"/>
      <c r="L22" s="914" t="s">
        <v>62</v>
      </c>
      <c r="M22" s="914"/>
      <c r="N22" s="914"/>
      <c r="O22" s="914"/>
      <c r="R22" s="617" t="s">
        <v>230</v>
      </c>
      <c r="S22" s="618" t="s">
        <v>231</v>
      </c>
      <c r="T22" s="618" t="s">
        <v>232</v>
      </c>
      <c r="U22" s="618" t="s">
        <v>233</v>
      </c>
      <c r="V22" s="618" t="s">
        <v>234</v>
      </c>
      <c r="W22" s="618" t="s">
        <v>235</v>
      </c>
      <c r="X22" s="618" t="s">
        <v>218</v>
      </c>
      <c r="Y22" s="618" t="s">
        <v>221</v>
      </c>
      <c r="Z22" s="618" t="s">
        <v>222</v>
      </c>
      <c r="AA22" s="618" t="s">
        <v>224</v>
      </c>
      <c r="AB22" s="618" t="s">
        <v>227</v>
      </c>
      <c r="AC22" s="1015" t="s">
        <v>229</v>
      </c>
      <c r="AD22" s="618" t="s">
        <v>230</v>
      </c>
      <c r="AE22" s="618" t="s">
        <v>231</v>
      </c>
      <c r="AF22" s="618" t="s">
        <v>232</v>
      </c>
      <c r="AG22" s="618" t="s">
        <v>233</v>
      </c>
      <c r="AH22" s="618" t="s">
        <v>234</v>
      </c>
      <c r="AI22" s="618" t="s">
        <v>235</v>
      </c>
      <c r="AJ22" s="618" t="s">
        <v>218</v>
      </c>
      <c r="AK22" s="618" t="s">
        <v>221</v>
      </c>
      <c r="AL22" s="618" t="s">
        <v>222</v>
      </c>
      <c r="AM22" s="618" t="s">
        <v>224</v>
      </c>
      <c r="AN22" s="618" t="s">
        <v>227</v>
      </c>
      <c r="AO22" s="1015" t="s">
        <v>229</v>
      </c>
      <c r="AP22" s="78"/>
      <c r="AQ22" s="78"/>
      <c r="AR22" s="78"/>
      <c r="AS22" s="236"/>
      <c r="AT22" s="236"/>
      <c r="AU22" s="236"/>
      <c r="AV22" s="236"/>
      <c r="AW22" s="236"/>
      <c r="AX22" s="236"/>
      <c r="AY22" s="236"/>
      <c r="AZ22" s="236"/>
      <c r="BA22" s="236"/>
      <c r="BB22" s="236"/>
      <c r="BC22" s="236"/>
      <c r="BD22" s="236"/>
      <c r="BE22" s="236"/>
      <c r="BF22" s="236"/>
      <c r="BG22" s="236"/>
      <c r="BH22" s="236"/>
      <c r="BI22" s="236"/>
      <c r="BJ22" s="236"/>
      <c r="BK22" s="236"/>
      <c r="BL22" s="236"/>
      <c r="BM22" s="236"/>
      <c r="BN22" s="236"/>
      <c r="BO22" s="236"/>
      <c r="BP22" s="236"/>
      <c r="BQ22" s="236"/>
      <c r="BR22" s="236"/>
      <c r="BS22" s="236"/>
      <c r="BT22" s="236"/>
      <c r="BU22" s="236"/>
      <c r="BV22" s="236"/>
      <c r="BW22" s="236"/>
    </row>
    <row r="23" s="0" customFormat="1" ht="18" customHeight="1">
      <c r="B23" s="21"/>
      <c r="C23" s="1016">
        <v>56387</v>
      </c>
      <c r="D23" s="1016" t="s">
        <v>213</v>
      </c>
      <c r="E23" s="1016" t="s">
        <v>259</v>
      </c>
      <c r="F23" s="1016" t="s">
        <v>260</v>
      </c>
      <c r="G23" s="1016" t="s">
        <v>261</v>
      </c>
      <c r="H23" s="1017" t="s">
        <v>262</v>
      </c>
      <c r="I23" s="1017"/>
      <c r="J23" s="1017"/>
      <c r="K23" s="1017"/>
      <c r="L23" s="1017" t="s">
        <v>263</v>
      </c>
      <c r="M23" s="1017"/>
      <c r="N23" s="1017"/>
      <c r="O23" s="1017"/>
      <c r="P23" s="80"/>
      <c r="Q23" s="4"/>
      <c r="R23" s="1018" t="s">
        <v>264</v>
      </c>
      <c r="S23" s="1019" t="s">
        <v>264</v>
      </c>
      <c r="T23" s="1019" t="s">
        <v>264</v>
      </c>
      <c r="U23" s="1019" t="s">
        <v>264</v>
      </c>
      <c r="V23" s="1019" t="s">
        <v>264</v>
      </c>
      <c r="W23" s="1019" t="s">
        <v>264</v>
      </c>
      <c r="X23" s="1019" t="s">
        <v>264</v>
      </c>
      <c r="Y23" s="1019" t="s">
        <v>264</v>
      </c>
      <c r="Z23" s="1019" t="s">
        <v>264</v>
      </c>
      <c r="AA23" s="1019" t="s">
        <v>264</v>
      </c>
      <c r="AB23" s="1019" t="s">
        <v>264</v>
      </c>
      <c r="AC23" s="1019" t="s">
        <v>264</v>
      </c>
      <c r="AD23" s="1019" t="s">
        <v>264</v>
      </c>
      <c r="AE23" s="1019" t="s">
        <v>264</v>
      </c>
      <c r="AF23" s="1019" t="s">
        <v>264</v>
      </c>
      <c r="AG23" s="1019" t="s">
        <v>264</v>
      </c>
      <c r="AH23" s="1019" t="s">
        <v>264</v>
      </c>
      <c r="AI23" s="1019" t="s">
        <v>264</v>
      </c>
      <c r="AJ23" s="1019" t="s">
        <v>264</v>
      </c>
      <c r="AK23" s="1019" t="s">
        <v>264</v>
      </c>
      <c r="AL23" s="1019" t="s">
        <v>264</v>
      </c>
      <c r="AM23" s="1019" t="s">
        <v>264</v>
      </c>
      <c r="AN23" s="1019" t="s">
        <v>264</v>
      </c>
      <c r="AO23" s="1020" t="s">
        <v>264</v>
      </c>
      <c r="AP23" s="79"/>
      <c r="AQ23" s="79"/>
      <c r="AR23" s="79"/>
      <c r="AS23" s="236"/>
      <c r="AT23" s="236"/>
      <c r="AU23" s="236"/>
      <c r="AV23" s="236"/>
      <c r="AW23" s="236"/>
      <c r="AX23" s="236"/>
      <c r="AY23" s="236"/>
      <c r="AZ23" s="236"/>
      <c r="BA23" s="236"/>
      <c r="BB23" s="236"/>
      <c r="BC23" s="236"/>
      <c r="BD23" s="236"/>
      <c r="BE23" s="236"/>
      <c r="BF23" s="236"/>
      <c r="BG23" s="236"/>
      <c r="BH23" s="236"/>
      <c r="BI23" s="236"/>
      <c r="BJ23" s="236"/>
      <c r="BK23" s="236"/>
      <c r="BL23" s="236"/>
      <c r="BM23" s="236"/>
      <c r="BN23" s="236"/>
      <c r="BO23" s="236"/>
      <c r="BP23" s="236"/>
      <c r="BQ23" s="236"/>
      <c r="BR23" s="236"/>
      <c r="BS23" s="236"/>
      <c r="BT23" s="236"/>
      <c r="BU23" s="236"/>
      <c r="BV23" s="236"/>
      <c r="BW23" s="236"/>
    </row>
    <row r="24" s="0" customFormat="1" ht="18" customHeight="1">
      <c r="B24" s="21"/>
      <c r="C24" s="1021">
        <v>33931</v>
      </c>
      <c r="D24" s="1021" t="s">
        <v>265</v>
      </c>
      <c r="E24" s="1021" t="s">
        <v>259</v>
      </c>
      <c r="F24" s="1022" t="s">
        <v>266</v>
      </c>
      <c r="G24" s="1021" t="s">
        <v>267</v>
      </c>
      <c r="H24" s="1023" t="s">
        <v>268</v>
      </c>
      <c r="I24" s="1023"/>
      <c r="J24" s="1023"/>
      <c r="K24" s="1023"/>
      <c r="L24" s="1023" t="s">
        <v>269</v>
      </c>
      <c r="M24" s="1023"/>
      <c r="N24" s="1023"/>
      <c r="O24" s="1023"/>
      <c r="P24" s="80"/>
      <c r="Q24" s="4"/>
      <c r="R24" s="1024" t="s">
        <v>264</v>
      </c>
      <c r="S24" s="1025" t="s">
        <v>264</v>
      </c>
      <c r="T24" s="1025" t="s">
        <v>264</v>
      </c>
      <c r="U24" s="1025" t="s">
        <v>264</v>
      </c>
      <c r="V24" s="1025" t="s">
        <v>264</v>
      </c>
      <c r="W24" s="1025" t="s">
        <v>264</v>
      </c>
      <c r="X24" s="1025" t="s">
        <v>264</v>
      </c>
      <c r="Y24" s="1025" t="s">
        <v>264</v>
      </c>
      <c r="Z24" s="1025" t="s">
        <v>264</v>
      </c>
      <c r="AA24" s="1025" t="s">
        <v>264</v>
      </c>
      <c r="AB24" s="1025" t="s">
        <v>264</v>
      </c>
      <c r="AC24" s="1025" t="s">
        <v>264</v>
      </c>
      <c r="AD24" s="1025" t="s">
        <v>264</v>
      </c>
      <c r="AE24" s="1025" t="s">
        <v>264</v>
      </c>
      <c r="AF24" s="1025" t="s">
        <v>264</v>
      </c>
      <c r="AG24" s="1025" t="s">
        <v>264</v>
      </c>
      <c r="AH24" s="1025" t="s">
        <v>264</v>
      </c>
      <c r="AI24" s="1025" t="s">
        <v>264</v>
      </c>
      <c r="AJ24" s="1025" t="s">
        <v>264</v>
      </c>
      <c r="AK24" s="1025" t="s">
        <v>264</v>
      </c>
      <c r="AL24" s="1025" t="s">
        <v>264</v>
      </c>
      <c r="AM24" s="1025" t="s">
        <v>264</v>
      </c>
      <c r="AN24" s="1025" t="s">
        <v>264</v>
      </c>
      <c r="AO24" s="1026" t="s">
        <v>264</v>
      </c>
      <c r="AP24" s="79"/>
      <c r="AQ24" s="79"/>
      <c r="AR24" s="79"/>
      <c r="AS24" s="236"/>
      <c r="AT24" s="236"/>
      <c r="AU24" s="236"/>
      <c r="AV24" s="236"/>
      <c r="AW24" s="236"/>
      <c r="AX24" s="236"/>
      <c r="AY24" s="236"/>
      <c r="AZ24" s="236"/>
      <c r="BA24" s="236"/>
      <c r="BB24" s="236"/>
      <c r="BC24" s="236"/>
      <c r="BD24" s="236"/>
      <c r="BE24" s="236"/>
      <c r="BF24" s="236"/>
      <c r="BG24" s="236"/>
      <c r="BH24" s="236"/>
      <c r="BI24" s="236"/>
      <c r="BJ24" s="236"/>
      <c r="BK24" s="236"/>
      <c r="BL24" s="236"/>
      <c r="BM24" s="236"/>
      <c r="BN24" s="236"/>
      <c r="BO24" s="236"/>
      <c r="BP24" s="236"/>
      <c r="BQ24" s="236"/>
      <c r="BR24" s="236"/>
      <c r="BS24" s="236"/>
      <c r="BT24" s="236"/>
      <c r="BU24" s="236"/>
      <c r="BV24" s="236"/>
      <c r="BW24" s="236"/>
    </row>
    <row r="25" s="0" customFormat="1" ht="18" customHeight="1">
      <c r="B25" s="21"/>
      <c r="C25" s="1016">
        <v>34401</v>
      </c>
      <c r="D25" s="1016" t="s">
        <v>270</v>
      </c>
      <c r="E25" s="1016" t="s">
        <v>259</v>
      </c>
      <c r="F25" s="1027" t="s">
        <v>266</v>
      </c>
      <c r="G25" s="1016" t="s">
        <v>271</v>
      </c>
      <c r="H25" s="1017" t="s">
        <v>272</v>
      </c>
      <c r="I25" s="1017"/>
      <c r="J25" s="1017"/>
      <c r="K25" s="1017"/>
      <c r="L25" s="1017" t="s">
        <v>273</v>
      </c>
      <c r="M25" s="1017"/>
      <c r="N25" s="1017"/>
      <c r="O25" s="1017"/>
      <c r="P25" s="80"/>
      <c r="Q25" s="4"/>
      <c r="R25" s="1018" t="s">
        <v>264</v>
      </c>
      <c r="S25" s="1019" t="s">
        <v>264</v>
      </c>
      <c r="T25" s="1019" t="s">
        <v>264</v>
      </c>
      <c r="U25" s="1019" t="s">
        <v>264</v>
      </c>
      <c r="V25" s="1019" t="s">
        <v>264</v>
      </c>
      <c r="W25" s="1019" t="s">
        <v>264</v>
      </c>
      <c r="X25" s="1019" t="s">
        <v>264</v>
      </c>
      <c r="Y25" s="1019" t="s">
        <v>264</v>
      </c>
      <c r="Z25" s="1019" t="s">
        <v>264</v>
      </c>
      <c r="AA25" s="1019" t="s">
        <v>264</v>
      </c>
      <c r="AB25" s="1019" t="s">
        <v>264</v>
      </c>
      <c r="AC25" s="1019" t="s">
        <v>264</v>
      </c>
      <c r="AD25" s="1019" t="s">
        <v>264</v>
      </c>
      <c r="AE25" s="1019" t="s">
        <v>264</v>
      </c>
      <c r="AF25" s="1019" t="s">
        <v>264</v>
      </c>
      <c r="AG25" s="1019" t="s">
        <v>264</v>
      </c>
      <c r="AH25" s="1019" t="s">
        <v>264</v>
      </c>
      <c r="AI25" s="1019" t="s">
        <v>264</v>
      </c>
      <c r="AJ25" s="1019" t="s">
        <v>264</v>
      </c>
      <c r="AK25" s="1019" t="s">
        <v>264</v>
      </c>
      <c r="AL25" s="1019" t="s">
        <v>264</v>
      </c>
      <c r="AM25" s="1019" t="s">
        <v>264</v>
      </c>
      <c r="AN25" s="1019" t="s">
        <v>264</v>
      </c>
      <c r="AO25" s="1020" t="s">
        <v>264</v>
      </c>
      <c r="AP25" s="79"/>
      <c r="AQ25" s="79"/>
      <c r="AR25" s="79"/>
      <c r="AS25" s="236"/>
      <c r="AT25" s="236"/>
      <c r="AU25" s="236"/>
      <c r="AV25" s="236"/>
      <c r="AW25" s="236"/>
      <c r="AX25" s="236"/>
      <c r="AY25" s="236"/>
      <c r="AZ25" s="236"/>
      <c r="BA25" s="236"/>
      <c r="BB25" s="236"/>
      <c r="BC25" s="236"/>
      <c r="BD25" s="236"/>
      <c r="BE25" s="236"/>
      <c r="BF25" s="236"/>
      <c r="BG25" s="236"/>
      <c r="BH25" s="236"/>
      <c r="BI25" s="236"/>
      <c r="BJ25" s="236"/>
      <c r="BK25" s="236"/>
      <c r="BL25" s="236"/>
      <c r="BM25" s="236"/>
      <c r="BN25" s="236"/>
      <c r="BO25" s="236"/>
      <c r="BP25" s="236"/>
      <c r="BQ25" s="236"/>
      <c r="BR25" s="236"/>
      <c r="BS25" s="236"/>
      <c r="BT25" s="236"/>
      <c r="BU25" s="236"/>
      <c r="BV25" s="236"/>
      <c r="BW25" s="236"/>
    </row>
    <row r="26" s="0" customFormat="1" ht="18" customHeight="1">
      <c r="B26" s="21"/>
      <c r="C26" s="1021">
        <v>39070</v>
      </c>
      <c r="D26" s="1021" t="s">
        <v>274</v>
      </c>
      <c r="E26" s="1021" t="s">
        <v>259</v>
      </c>
      <c r="F26" s="1022" t="s">
        <v>266</v>
      </c>
      <c r="G26" s="1021" t="s">
        <v>275</v>
      </c>
      <c r="H26" s="1023" t="s">
        <v>276</v>
      </c>
      <c r="I26" s="1023"/>
      <c r="J26" s="1023"/>
      <c r="K26" s="1023"/>
      <c r="L26" s="1023" t="s">
        <v>277</v>
      </c>
      <c r="M26" s="1023"/>
      <c r="N26" s="1023"/>
      <c r="O26" s="1023"/>
      <c r="P26" s="80"/>
      <c r="Q26" s="4"/>
      <c r="R26" s="1024" t="s">
        <v>278</v>
      </c>
      <c r="S26" s="1025" t="s">
        <v>278</v>
      </c>
      <c r="T26" s="1025" t="s">
        <v>278</v>
      </c>
      <c r="U26" s="1025" t="s">
        <v>278</v>
      </c>
      <c r="V26" s="1025" t="s">
        <v>278</v>
      </c>
      <c r="W26" s="1025" t="s">
        <v>278</v>
      </c>
      <c r="X26" s="1025" t="s">
        <v>278</v>
      </c>
      <c r="Y26" s="1025" t="s">
        <v>278</v>
      </c>
      <c r="Z26" s="1025" t="s">
        <v>278</v>
      </c>
      <c r="AA26" s="1025" t="s">
        <v>264</v>
      </c>
      <c r="AB26" s="1025" t="s">
        <v>264</v>
      </c>
      <c r="AC26" s="1025" t="s">
        <v>264</v>
      </c>
      <c r="AD26" s="1025" t="s">
        <v>264</v>
      </c>
      <c r="AE26" s="1025" t="s">
        <v>264</v>
      </c>
      <c r="AF26" s="1025" t="s">
        <v>264</v>
      </c>
      <c r="AG26" s="1025" t="s">
        <v>264</v>
      </c>
      <c r="AH26" s="1025" t="s">
        <v>264</v>
      </c>
      <c r="AI26" s="1025" t="s">
        <v>264</v>
      </c>
      <c r="AJ26" s="1025" t="s">
        <v>264</v>
      </c>
      <c r="AK26" s="1025" t="s">
        <v>264</v>
      </c>
      <c r="AL26" s="1025" t="s">
        <v>264</v>
      </c>
      <c r="AM26" s="1025" t="s">
        <v>264</v>
      </c>
      <c r="AN26" s="1025" t="s">
        <v>264</v>
      </c>
      <c r="AO26" s="1026" t="s">
        <v>264</v>
      </c>
      <c r="AP26" s="79"/>
      <c r="AQ26" s="79"/>
      <c r="AR26" s="79"/>
      <c r="AS26" s="236"/>
      <c r="AT26" s="236"/>
      <c r="AU26" s="236"/>
      <c r="AV26" s="236"/>
      <c r="AW26" s="236"/>
      <c r="AX26" s="236"/>
      <c r="AY26" s="236"/>
      <c r="AZ26" s="236"/>
      <c r="BA26" s="236"/>
      <c r="BB26" s="236"/>
      <c r="BC26" s="236"/>
      <c r="BD26" s="236"/>
      <c r="BE26" s="236"/>
      <c r="BF26" s="236"/>
      <c r="BG26" s="236"/>
      <c r="BH26" s="236"/>
      <c r="BI26" s="236"/>
      <c r="BJ26" s="236"/>
      <c r="BK26" s="236"/>
      <c r="BL26" s="236"/>
      <c r="BM26" s="236"/>
      <c r="BN26" s="236"/>
      <c r="BO26" s="236"/>
      <c r="BP26" s="236"/>
      <c r="BQ26" s="236"/>
      <c r="BR26" s="236"/>
      <c r="BS26" s="236"/>
      <c r="BT26" s="236"/>
      <c r="BU26" s="236"/>
      <c r="BV26" s="236"/>
      <c r="BW26" s="236"/>
    </row>
    <row r="27" s="0" customFormat="1" ht="18" customHeight="1">
      <c r="B27" s="21"/>
      <c r="C27" s="1016">
        <v>44117</v>
      </c>
      <c r="D27" s="1016" t="s">
        <v>279</v>
      </c>
      <c r="E27" s="1016" t="s">
        <v>259</v>
      </c>
      <c r="F27" s="1027" t="s">
        <v>266</v>
      </c>
      <c r="G27" s="1016" t="s">
        <v>280</v>
      </c>
      <c r="H27" s="1017" t="s">
        <v>281</v>
      </c>
      <c r="I27" s="1017"/>
      <c r="J27" s="1017"/>
      <c r="K27" s="1017"/>
      <c r="L27" s="1017" t="s">
        <v>282</v>
      </c>
      <c r="M27" s="1017"/>
      <c r="N27" s="1017"/>
      <c r="O27" s="1017"/>
      <c r="P27" s="80"/>
      <c r="Q27" s="4"/>
      <c r="R27" s="1018" t="s">
        <v>264</v>
      </c>
      <c r="S27" s="1019" t="s">
        <v>264</v>
      </c>
      <c r="T27" s="1019" t="s">
        <v>264</v>
      </c>
      <c r="U27" s="1019" t="s">
        <v>264</v>
      </c>
      <c r="V27" s="1019" t="s">
        <v>264</v>
      </c>
      <c r="W27" s="1019" t="s">
        <v>264</v>
      </c>
      <c r="X27" s="1019" t="s">
        <v>264</v>
      </c>
      <c r="Y27" s="1019" t="s">
        <v>264</v>
      </c>
      <c r="Z27" s="1019" t="s">
        <v>264</v>
      </c>
      <c r="AA27" s="1019" t="s">
        <v>264</v>
      </c>
      <c r="AB27" s="1019" t="s">
        <v>264</v>
      </c>
      <c r="AC27" s="1019" t="s">
        <v>264</v>
      </c>
      <c r="AD27" s="1019" t="s">
        <v>264</v>
      </c>
      <c r="AE27" s="1019" t="s">
        <v>264</v>
      </c>
      <c r="AF27" s="1019" t="s">
        <v>264</v>
      </c>
      <c r="AG27" s="1019" t="s">
        <v>264</v>
      </c>
      <c r="AH27" s="1019" t="s">
        <v>264</v>
      </c>
      <c r="AI27" s="1019" t="s">
        <v>264</v>
      </c>
      <c r="AJ27" s="1019" t="s">
        <v>264</v>
      </c>
      <c r="AK27" s="1019" t="s">
        <v>264</v>
      </c>
      <c r="AL27" s="1019" t="s">
        <v>264</v>
      </c>
      <c r="AM27" s="1019" t="s">
        <v>264</v>
      </c>
      <c r="AN27" s="1019" t="s">
        <v>264</v>
      </c>
      <c r="AO27" s="1020" t="s">
        <v>264</v>
      </c>
      <c r="AP27" s="79"/>
      <c r="AQ27" s="79"/>
      <c r="AR27" s="79"/>
      <c r="AS27" s="236"/>
      <c r="AT27" s="236"/>
      <c r="AU27" s="236"/>
      <c r="AV27" s="236"/>
      <c r="AW27" s="236"/>
      <c r="AX27" s="236"/>
      <c r="AY27" s="236"/>
      <c r="AZ27" s="236"/>
      <c r="BA27" s="236"/>
      <c r="BB27" s="236"/>
      <c r="BC27" s="236"/>
      <c r="BD27" s="236"/>
      <c r="BE27" s="236"/>
      <c r="BF27" s="236"/>
      <c r="BG27" s="236"/>
      <c r="BH27" s="236"/>
      <c r="BI27" s="236"/>
      <c r="BJ27" s="236"/>
      <c r="BK27" s="236"/>
      <c r="BL27" s="236"/>
      <c r="BM27" s="236"/>
      <c r="BN27" s="236"/>
      <c r="BO27" s="236"/>
      <c r="BP27" s="236"/>
      <c r="BQ27" s="236"/>
      <c r="BR27" s="236"/>
      <c r="BS27" s="236"/>
      <c r="BT27" s="236"/>
      <c r="BU27" s="236"/>
      <c r="BV27" s="236"/>
      <c r="BW27" s="236"/>
    </row>
    <row r="28" s="0" customFormat="1" ht="18" customHeight="1">
      <c r="B28" s="21"/>
      <c r="C28" s="1021">
        <v>53909</v>
      </c>
      <c r="D28" s="1021" t="s">
        <v>283</v>
      </c>
      <c r="E28" s="1021" t="s">
        <v>259</v>
      </c>
      <c r="F28" s="1021" t="s">
        <v>284</v>
      </c>
      <c r="G28" s="1021" t="s">
        <v>285</v>
      </c>
      <c r="H28" s="1023" t="s">
        <v>286</v>
      </c>
      <c r="I28" s="1023"/>
      <c r="J28" s="1023"/>
      <c r="K28" s="1023"/>
      <c r="L28" s="1023" t="s">
        <v>287</v>
      </c>
      <c r="M28" s="1023"/>
      <c r="N28" s="1023"/>
      <c r="O28" s="1023"/>
      <c r="P28" s="80"/>
      <c r="Q28" s="4"/>
      <c r="R28" s="1024" t="s">
        <v>264</v>
      </c>
      <c r="S28" s="1025" t="s">
        <v>264</v>
      </c>
      <c r="T28" s="1025" t="s">
        <v>264</v>
      </c>
      <c r="U28" s="1025" t="s">
        <v>264</v>
      </c>
      <c r="V28" s="1025" t="s">
        <v>264</v>
      </c>
      <c r="W28" s="1025" t="s">
        <v>264</v>
      </c>
      <c r="X28" s="1025" t="s">
        <v>264</v>
      </c>
      <c r="Y28" s="1025" t="s">
        <v>264</v>
      </c>
      <c r="Z28" s="1025" t="s">
        <v>264</v>
      </c>
      <c r="AA28" s="1025" t="s">
        <v>264</v>
      </c>
      <c r="AB28" s="1025" t="s">
        <v>264</v>
      </c>
      <c r="AC28" s="1025" t="s">
        <v>264</v>
      </c>
      <c r="AD28" s="1025" t="s">
        <v>264</v>
      </c>
      <c r="AE28" s="1025" t="s">
        <v>264</v>
      </c>
      <c r="AF28" s="1025" t="s">
        <v>264</v>
      </c>
      <c r="AG28" s="1025" t="s">
        <v>264</v>
      </c>
      <c r="AH28" s="1025" t="s">
        <v>264</v>
      </c>
      <c r="AI28" s="1025" t="s">
        <v>278</v>
      </c>
      <c r="AJ28" s="1025" t="s">
        <v>278</v>
      </c>
      <c r="AK28" s="1025" t="s">
        <v>278</v>
      </c>
      <c r="AL28" s="1025" t="s">
        <v>278</v>
      </c>
      <c r="AM28" s="1025" t="s">
        <v>278</v>
      </c>
      <c r="AN28" s="1025" t="s">
        <v>278</v>
      </c>
      <c r="AO28" s="1026" t="s">
        <v>278</v>
      </c>
      <c r="AP28" s="79"/>
      <c r="AQ28" s="79"/>
      <c r="AR28" s="79"/>
      <c r="AS28" s="236"/>
      <c r="AT28" s="236"/>
      <c r="AU28" s="236"/>
      <c r="AV28" s="236"/>
      <c r="AW28" s="236"/>
      <c r="AX28" s="236"/>
      <c r="AY28" s="236"/>
      <c r="AZ28" s="236"/>
      <c r="BA28" s="236"/>
      <c r="BB28" s="236"/>
      <c r="BC28" s="236"/>
      <c r="BD28" s="236"/>
      <c r="BE28" s="236"/>
      <c r="BF28" s="236"/>
      <c r="BG28" s="236"/>
      <c r="BH28" s="236"/>
      <c r="BI28" s="236"/>
      <c r="BJ28" s="236"/>
      <c r="BK28" s="236"/>
      <c r="BL28" s="236"/>
      <c r="BM28" s="236"/>
      <c r="BN28" s="236"/>
      <c r="BO28" s="236"/>
      <c r="BP28" s="236"/>
      <c r="BQ28" s="236"/>
      <c r="BR28" s="236"/>
      <c r="BS28" s="236"/>
      <c r="BT28" s="236"/>
      <c r="BU28" s="236"/>
      <c r="BV28" s="236"/>
      <c r="BW28" s="236"/>
    </row>
    <row r="29" s="0" customFormat="1" ht="18" customHeight="1">
      <c r="B29" s="21"/>
      <c r="C29" s="181"/>
      <c r="D29" s="181"/>
      <c r="E29" s="181"/>
      <c r="F29" s="201"/>
      <c r="G29" s="181"/>
      <c r="H29" s="1017">
        <v>561</v>
      </c>
      <c r="I29" s="1017"/>
      <c r="J29" s="1017"/>
      <c r="K29" s="1017"/>
      <c r="L29" s="895"/>
      <c r="M29" s="895"/>
      <c r="N29" s="895"/>
      <c r="O29" s="895"/>
      <c r="P29" s="80"/>
      <c r="Q29" s="4"/>
      <c r="R29" s="182"/>
      <c r="S29" s="182"/>
      <c r="T29" s="182"/>
      <c r="U29" s="182"/>
      <c r="V29" s="182"/>
      <c r="W29" s="182"/>
      <c r="X29" s="182"/>
      <c r="Y29" s="182"/>
      <c r="Z29" s="182"/>
      <c r="AA29" s="182"/>
      <c r="AB29" s="182"/>
      <c r="AC29" s="182"/>
      <c r="AD29" s="182"/>
      <c r="AE29" s="182"/>
      <c r="AF29" s="182"/>
      <c r="AG29" s="182"/>
      <c r="AH29" s="182"/>
      <c r="AI29" s="182"/>
      <c r="AJ29" s="182"/>
      <c r="AK29" s="182"/>
      <c r="AL29" s="182"/>
      <c r="AM29" s="182"/>
      <c r="AN29" s="182"/>
      <c r="AO29" s="182"/>
      <c r="AP29" s="79"/>
      <c r="AQ29" s="79"/>
      <c r="AR29" s="79"/>
      <c r="AS29" s="236"/>
      <c r="AT29" s="236"/>
      <c r="AU29" s="236"/>
      <c r="AV29" s="236"/>
      <c r="AW29" s="236"/>
      <c r="AX29" s="236"/>
      <c r="AY29" s="236"/>
      <c r="AZ29" s="236"/>
      <c r="BA29" s="236"/>
      <c r="BB29" s="236"/>
      <c r="BC29" s="236"/>
      <c r="BD29" s="236"/>
      <c r="BE29" s="236"/>
      <c r="BF29" s="236"/>
      <c r="BG29" s="236"/>
      <c r="BH29" s="236"/>
      <c r="BI29" s="236"/>
      <c r="BJ29" s="236"/>
      <c r="BK29" s="236"/>
      <c r="BL29" s="236"/>
      <c r="BM29" s="236"/>
      <c r="BN29" s="236"/>
      <c r="BO29" s="236"/>
      <c r="BP29" s="236"/>
      <c r="BQ29" s="236"/>
      <c r="BR29" s="236"/>
      <c r="BS29" s="236"/>
      <c r="BT29" s="236"/>
      <c r="BU29" s="236"/>
      <c r="BV29" s="236"/>
      <c r="BW29" s="236"/>
    </row>
    <row r="30" s="0" customFormat="1" ht="18" customHeight="1">
      <c r="B30" s="21"/>
      <c r="C30" s="181"/>
      <c r="D30" s="181"/>
      <c r="E30" s="181"/>
      <c r="F30" s="201"/>
      <c r="G30" s="181"/>
      <c r="H30" s="181"/>
      <c r="I30" s="181"/>
      <c r="J30" s="181"/>
      <c r="K30" s="181"/>
      <c r="L30" s="895"/>
      <c r="M30" s="895"/>
      <c r="N30" s="895"/>
      <c r="O30" s="895"/>
      <c r="P30" s="80"/>
      <c r="Q30" s="4"/>
      <c r="R30" s="182"/>
      <c r="S30" s="182"/>
      <c r="T30" s="182"/>
      <c r="U30" s="182"/>
      <c r="V30" s="182"/>
      <c r="W30" s="182"/>
      <c r="X30" s="1028" t="s">
        <v>288</v>
      </c>
      <c r="Y30" s="182"/>
      <c r="Z30" s="182"/>
      <c r="AA30" s="182"/>
      <c r="AB30" s="182"/>
      <c r="AC30" s="182"/>
      <c r="AD30" s="182"/>
      <c r="AE30" s="182"/>
      <c r="AF30" s="182"/>
      <c r="AG30" s="182"/>
      <c r="AH30" s="182"/>
      <c r="AI30" s="182"/>
      <c r="AJ30" s="182"/>
      <c r="AK30" s="182"/>
      <c r="AL30" s="182"/>
      <c r="AM30" s="182"/>
      <c r="AN30" s="182"/>
      <c r="AO30" s="182"/>
      <c r="AP30" s="79"/>
      <c r="AQ30" s="79"/>
      <c r="AR30" s="79"/>
      <c r="AS30" s="236"/>
      <c r="AT30" s="236"/>
      <c r="AU30" s="236"/>
      <c r="AV30" s="236"/>
      <c r="AW30" s="236"/>
      <c r="AX30" s="236"/>
      <c r="AY30" s="236"/>
      <c r="AZ30" s="236"/>
      <c r="BA30" s="236"/>
      <c r="BB30" s="236"/>
      <c r="BC30" s="236"/>
      <c r="BD30" s="236"/>
      <c r="BE30" s="236"/>
      <c r="BF30" s="236"/>
      <c r="BG30" s="236"/>
      <c r="BH30" s="236"/>
      <c r="BI30" s="236"/>
      <c r="BJ30" s="236"/>
      <c r="BK30" s="236"/>
      <c r="BL30" s="236"/>
      <c r="BM30" s="236"/>
      <c r="BN30" s="236"/>
      <c r="BO30" s="236"/>
      <c r="BP30" s="236"/>
      <c r="BQ30" s="236"/>
      <c r="BR30" s="236"/>
      <c r="BS30" s="236"/>
      <c r="BT30" s="236"/>
      <c r="BU30" s="236"/>
      <c r="BV30" s="236"/>
      <c r="BW30" s="236"/>
    </row>
    <row r="31" s="0" customFormat="1" ht="18" customHeight="1">
      <c r="B31" s="21"/>
      <c r="C31" s="181"/>
      <c r="D31" s="181"/>
      <c r="E31" s="181"/>
      <c r="F31" s="201"/>
      <c r="G31" s="181"/>
      <c r="H31" s="181"/>
      <c r="I31" s="181"/>
      <c r="J31" s="181"/>
      <c r="K31" s="181"/>
      <c r="L31" s="895"/>
      <c r="M31" s="895"/>
      <c r="N31" s="895"/>
      <c r="O31" s="895"/>
      <c r="P31" s="80"/>
      <c r="Q31" s="4"/>
      <c r="R31" s="182"/>
      <c r="S31" s="182"/>
      <c r="T31" s="182"/>
      <c r="U31" s="182"/>
      <c r="V31" s="182"/>
      <c r="W31" s="182"/>
      <c r="X31" s="182"/>
      <c r="Y31" s="182"/>
      <c r="Z31" s="182"/>
      <c r="AA31" s="1029" t="s">
        <v>289</v>
      </c>
      <c r="AB31" s="1028" t="s">
        <v>290</v>
      </c>
      <c r="AC31" s="182"/>
      <c r="AD31" s="182"/>
      <c r="AE31" s="182"/>
      <c r="AF31" s="182"/>
      <c r="AG31" s="182"/>
      <c r="AH31" s="182"/>
      <c r="AI31" s="182"/>
      <c r="AJ31" s="182"/>
      <c r="AK31" s="182"/>
      <c r="AL31" s="182"/>
      <c r="AM31" s="182"/>
      <c r="AN31" s="182"/>
      <c r="AO31" s="182"/>
      <c r="AP31" s="48"/>
      <c r="AQ31" s="48"/>
      <c r="AR31" s="48"/>
      <c r="AS31" s="236"/>
      <c r="AT31" s="236"/>
      <c r="AU31" s="236"/>
      <c r="AV31" s="236"/>
      <c r="AW31" s="236"/>
      <c r="AX31" s="236"/>
      <c r="AY31" s="236"/>
      <c r="AZ31" s="236"/>
      <c r="BA31" s="236"/>
      <c r="BB31" s="236"/>
      <c r="BC31" s="236"/>
      <c r="BD31" s="236"/>
      <c r="BE31" s="236"/>
      <c r="BF31" s="236"/>
      <c r="BG31" s="236"/>
      <c r="BH31" s="236"/>
      <c r="BI31" s="236"/>
      <c r="BJ31" s="236"/>
      <c r="BK31" s="236"/>
      <c r="BL31" s="236"/>
      <c r="BM31" s="236"/>
      <c r="BN31" s="236"/>
      <c r="BO31" s="236"/>
      <c r="BP31" s="236"/>
      <c r="BQ31" s="236"/>
      <c r="BR31" s="236"/>
      <c r="BS31" s="236"/>
      <c r="BT31" s="236"/>
      <c r="BU31" s="236"/>
      <c r="BV31" s="236"/>
      <c r="BW31" s="236"/>
    </row>
    <row r="32" s="0" customFormat="1" ht="18" customHeight="1">
      <c r="B32" s="21"/>
      <c r="C32" s="181"/>
      <c r="D32" s="181"/>
      <c r="E32" s="181"/>
      <c r="F32" s="201"/>
      <c r="G32" s="181"/>
      <c r="H32" s="181"/>
      <c r="I32" s="181"/>
      <c r="J32" s="181"/>
      <c r="K32" s="181"/>
      <c r="L32" s="895"/>
      <c r="M32" s="895"/>
      <c r="N32" s="895"/>
      <c r="O32" s="895"/>
      <c r="P32" s="80"/>
      <c r="Q32" s="4"/>
      <c r="R32" s="182"/>
      <c r="S32" s="182"/>
      <c r="T32" s="182"/>
      <c r="U32" s="182"/>
      <c r="V32" s="182"/>
      <c r="W32" s="182"/>
      <c r="X32" s="182"/>
      <c r="Y32" s="182"/>
      <c r="Z32" s="182"/>
      <c r="AA32" s="1029" t="s">
        <v>264</v>
      </c>
      <c r="AB32" s="1028" t="s">
        <v>291</v>
      </c>
      <c r="AC32" s="182"/>
      <c r="AD32" s="182"/>
      <c r="AE32" s="182"/>
      <c r="AF32" s="182"/>
      <c r="AG32" s="182"/>
      <c r="AH32" s="182"/>
      <c r="AI32" s="182"/>
      <c r="AJ32" s="182"/>
      <c r="AK32" s="182"/>
      <c r="AL32" s="182"/>
      <c r="AM32" s="182"/>
      <c r="AN32" s="182"/>
      <c r="AO32" s="182"/>
      <c r="AP32" s="79"/>
      <c r="AQ32" s="79"/>
      <c r="AR32" s="79"/>
      <c r="AS32" s="236"/>
      <c r="AT32" s="236"/>
      <c r="AU32" s="236"/>
      <c r="AV32" s="236"/>
      <c r="AW32" s="236"/>
      <c r="AX32" s="236"/>
      <c r="AY32" s="236"/>
      <c r="AZ32" s="236"/>
      <c r="BA32" s="236"/>
      <c r="BB32" s="236"/>
      <c r="BC32" s="236"/>
      <c r="BD32" s="236"/>
      <c r="BE32" s="236"/>
      <c r="BF32" s="236"/>
      <c r="BG32" s="236"/>
      <c r="BH32" s="236"/>
      <c r="BI32" s="236"/>
      <c r="BJ32" s="236"/>
      <c r="BK32" s="236"/>
      <c r="BL32" s="236"/>
      <c r="BM32" s="236"/>
      <c r="BN32" s="236"/>
      <c r="BO32" s="236"/>
      <c r="BP32" s="236"/>
      <c r="BQ32" s="236"/>
      <c r="BR32" s="236"/>
      <c r="BS32" s="236"/>
      <c r="BT32" s="236"/>
      <c r="BU32" s="236"/>
      <c r="BV32" s="236"/>
      <c r="BW32" s="236"/>
    </row>
    <row r="33" s="0" customFormat="1" ht="18" customHeight="1">
      <c r="B33" s="21"/>
      <c r="C33" s="181"/>
      <c r="D33" s="181"/>
      <c r="E33" s="181"/>
      <c r="F33" s="201"/>
      <c r="G33" s="181"/>
      <c r="H33" s="181"/>
      <c r="I33" s="181"/>
      <c r="J33" s="181"/>
      <c r="K33" s="181"/>
      <c r="L33" s="895"/>
      <c r="M33" s="895"/>
      <c r="N33" s="895"/>
      <c r="O33" s="895"/>
      <c r="P33" s="80"/>
      <c r="Q33" s="4"/>
      <c r="R33" s="182"/>
      <c r="S33" s="182"/>
      <c r="T33" s="182"/>
      <c r="U33" s="182"/>
      <c r="V33" s="182"/>
      <c r="W33" s="182"/>
      <c r="X33" s="182"/>
      <c r="Y33" s="182"/>
      <c r="Z33" s="182"/>
      <c r="AA33" s="182"/>
      <c r="AB33" s="182"/>
      <c r="AC33" s="182"/>
      <c r="AD33" s="182"/>
      <c r="AE33" s="182"/>
      <c r="AF33" s="182"/>
      <c r="AG33" s="182"/>
      <c r="AH33" s="182"/>
      <c r="AI33" s="182"/>
      <c r="AJ33" s="182"/>
      <c r="AK33" s="182"/>
      <c r="AL33" s="182"/>
      <c r="AM33" s="182"/>
      <c r="AN33" s="182"/>
      <c r="AO33" s="182"/>
      <c r="AP33" s="79"/>
      <c r="AQ33" s="79"/>
      <c r="AR33" s="79"/>
      <c r="AS33" s="236"/>
      <c r="AT33" s="236"/>
      <c r="AU33" s="236"/>
      <c r="AV33" s="236"/>
      <c r="AW33" s="236"/>
      <c r="AX33" s="236"/>
      <c r="AY33" s="236"/>
      <c r="AZ33" s="236"/>
      <c r="BA33" s="236"/>
      <c r="BB33" s="236"/>
      <c r="BC33" s="236"/>
      <c r="BD33" s="236"/>
      <c r="BE33" s="236"/>
      <c r="BF33" s="236"/>
      <c r="BG33" s="236"/>
      <c r="BH33" s="236"/>
      <c r="BI33" s="236"/>
      <c r="BJ33" s="236"/>
      <c r="BK33" s="236"/>
      <c r="BL33" s="236"/>
      <c r="BM33" s="236"/>
      <c r="BN33" s="236"/>
      <c r="BO33" s="236"/>
      <c r="BP33" s="236"/>
      <c r="BQ33" s="236"/>
      <c r="BR33" s="236"/>
      <c r="BS33" s="236"/>
      <c r="BT33" s="236"/>
      <c r="BU33" s="236"/>
      <c r="BV33" s="236"/>
      <c r="BW33" s="236"/>
    </row>
    <row r="34" s="0" customFormat="1" ht="18" customHeight="1">
      <c r="B34" s="21"/>
      <c r="C34" s="181"/>
      <c r="D34" s="181"/>
      <c r="E34" s="181"/>
      <c r="F34" s="201"/>
      <c r="G34" s="181"/>
      <c r="H34" s="181"/>
      <c r="I34" s="181"/>
      <c r="J34" s="181"/>
      <c r="K34" s="181"/>
      <c r="L34" s="895"/>
      <c r="M34" s="895"/>
      <c r="N34" s="895"/>
      <c r="O34" s="895"/>
      <c r="P34" s="80"/>
      <c r="Q34" s="4"/>
      <c r="R34" s="182"/>
      <c r="S34" s="182"/>
      <c r="T34" s="182"/>
      <c r="U34" s="182"/>
      <c r="V34" s="182"/>
      <c r="W34" s="182"/>
      <c r="X34" s="182"/>
      <c r="Y34" s="182"/>
      <c r="Z34" s="182"/>
      <c r="AA34" s="182"/>
      <c r="AB34" s="182"/>
      <c r="AC34" s="182"/>
      <c r="AD34" s="182"/>
      <c r="AE34" s="182"/>
      <c r="AF34" s="182"/>
      <c r="AG34" s="182"/>
      <c r="AH34" s="182"/>
      <c r="AI34" s="182"/>
      <c r="AJ34" s="182"/>
      <c r="AK34" s="182"/>
      <c r="AL34" s="182"/>
      <c r="AM34" s="182"/>
      <c r="AN34" s="182"/>
      <c r="AO34" s="182"/>
      <c r="AP34" s="48"/>
      <c r="AQ34" s="48"/>
      <c r="AR34" s="48"/>
      <c r="AS34" s="236"/>
      <c r="AT34" s="236"/>
      <c r="AU34" s="236"/>
      <c r="AV34" s="236"/>
      <c r="AW34" s="236"/>
      <c r="AX34" s="236"/>
      <c r="AY34" s="236"/>
      <c r="AZ34" s="236"/>
      <c r="BA34" s="236"/>
      <c r="BB34" s="236"/>
      <c r="BC34" s="236"/>
      <c r="BD34" s="236"/>
      <c r="BE34" s="236"/>
      <c r="BF34" s="236"/>
      <c r="BG34" s="236"/>
      <c r="BH34" s="236"/>
      <c r="BI34" s="236"/>
      <c r="BJ34" s="236"/>
      <c r="BK34" s="236"/>
      <c r="BL34" s="236"/>
      <c r="BM34" s="236"/>
      <c r="BN34" s="236"/>
      <c r="BO34" s="236"/>
      <c r="BP34" s="236"/>
      <c r="BQ34" s="236"/>
      <c r="BR34" s="236"/>
      <c r="BS34" s="236"/>
      <c r="BT34" s="236"/>
      <c r="BU34" s="236"/>
      <c r="BV34" s="236"/>
      <c r="BW34" s="236"/>
    </row>
    <row r="35" s="0" customFormat="1" ht="18" customHeight="1">
      <c r="B35" s="21"/>
      <c r="C35" s="181"/>
      <c r="D35" s="181"/>
      <c r="E35" s="181"/>
      <c r="F35" s="201"/>
      <c r="G35" s="181"/>
      <c r="H35" s="181"/>
      <c r="I35" s="181"/>
      <c r="J35" s="181"/>
      <c r="K35" s="181"/>
      <c r="L35" s="895"/>
      <c r="M35" s="895"/>
      <c r="N35" s="895"/>
      <c r="O35" s="895"/>
      <c r="P35" s="80"/>
      <c r="Q35" s="4"/>
      <c r="R35" s="182"/>
      <c r="S35" s="182"/>
      <c r="T35" s="182"/>
      <c r="U35" s="182"/>
      <c r="V35" s="182"/>
      <c r="W35" s="182"/>
      <c r="X35" s="182"/>
      <c r="Y35" s="182"/>
      <c r="Z35" s="182"/>
      <c r="AA35" s="182"/>
      <c r="AB35" s="182"/>
      <c r="AC35" s="182"/>
      <c r="AD35" s="182"/>
      <c r="AE35" s="182"/>
      <c r="AF35" s="182"/>
      <c r="AG35" s="182"/>
      <c r="AH35" s="182"/>
      <c r="AI35" s="182"/>
      <c r="AJ35" s="182"/>
      <c r="AK35" s="182"/>
      <c r="AL35" s="182"/>
      <c r="AM35" s="182"/>
      <c r="AN35" s="182"/>
      <c r="AO35" s="182"/>
      <c r="AP35" s="79"/>
      <c r="AQ35" s="79"/>
      <c r="AR35" s="79"/>
      <c r="AS35" s="236"/>
      <c r="AT35" s="236"/>
      <c r="AU35" s="236"/>
      <c r="AV35" s="236"/>
      <c r="AW35" s="236"/>
      <c r="AX35" s="236"/>
      <c r="AY35" s="236"/>
      <c r="AZ35" s="236"/>
      <c r="BA35" s="236"/>
      <c r="BB35" s="236"/>
      <c r="BC35" s="236"/>
      <c r="BD35" s="236"/>
      <c r="BE35" s="236"/>
      <c r="BF35" s="236"/>
      <c r="BG35" s="236"/>
      <c r="BH35" s="236"/>
      <c r="BI35" s="236"/>
      <c r="BJ35" s="236"/>
      <c r="BK35" s="236"/>
      <c r="BL35" s="236"/>
      <c r="BM35" s="236"/>
      <c r="BN35" s="236"/>
      <c r="BO35" s="236"/>
      <c r="BP35" s="236"/>
      <c r="BQ35" s="236"/>
      <c r="BR35" s="236"/>
      <c r="BS35" s="236"/>
      <c r="BT35" s="236"/>
      <c r="BU35" s="236"/>
      <c r="BV35" s="236"/>
      <c r="BW35" s="236"/>
    </row>
    <row r="36" s="0" customFormat="1" ht="18" customHeight="1">
      <c r="B36" s="21"/>
      <c r="C36" s="181"/>
      <c r="D36" s="181"/>
      <c r="E36" s="181"/>
      <c r="F36" s="201"/>
      <c r="G36" s="181"/>
      <c r="H36" s="181"/>
      <c r="I36" s="181"/>
      <c r="J36" s="181"/>
      <c r="K36" s="181"/>
      <c r="L36" s="895"/>
      <c r="M36" s="895"/>
      <c r="N36" s="895"/>
      <c r="O36" s="895"/>
      <c r="P36" s="80"/>
      <c r="Q36" s="4"/>
      <c r="R36" s="182"/>
      <c r="S36" s="182"/>
      <c r="T36" s="182"/>
      <c r="U36" s="182"/>
      <c r="V36" s="182"/>
      <c r="W36" s="182"/>
      <c r="X36" s="182"/>
      <c r="Y36" s="182"/>
      <c r="Z36" s="182"/>
      <c r="AA36" s="182"/>
      <c r="AB36" s="182"/>
      <c r="AC36" s="182"/>
      <c r="AD36" s="182"/>
      <c r="AE36" s="182"/>
      <c r="AF36" s="182"/>
      <c r="AG36" s="182"/>
      <c r="AH36" s="182"/>
      <c r="AI36" s="182"/>
      <c r="AJ36" s="182"/>
      <c r="AK36" s="182"/>
      <c r="AL36" s="182"/>
      <c r="AM36" s="182"/>
      <c r="AN36" s="182"/>
      <c r="AO36" s="182"/>
      <c r="AP36" s="79"/>
      <c r="AQ36" s="79"/>
      <c r="AR36" s="79"/>
      <c r="AS36" s="236"/>
      <c r="AT36" s="236"/>
      <c r="AU36" s="236"/>
      <c r="AV36" s="236"/>
      <c r="AW36" s="236"/>
      <c r="AX36" s="236"/>
      <c r="AY36" s="236"/>
      <c r="AZ36" s="236"/>
      <c r="BA36" s="236"/>
      <c r="BB36" s="236"/>
      <c r="BC36" s="236"/>
      <c r="BD36" s="236"/>
      <c r="BE36" s="236"/>
      <c r="BF36" s="236"/>
      <c r="BG36" s="236"/>
      <c r="BH36" s="236"/>
      <c r="BI36" s="236"/>
      <c r="BJ36" s="236"/>
      <c r="BK36" s="236"/>
      <c r="BL36" s="236"/>
      <c r="BM36" s="236"/>
      <c r="BN36" s="236"/>
      <c r="BO36" s="236"/>
      <c r="BP36" s="236"/>
      <c r="BQ36" s="236"/>
      <c r="BR36" s="236"/>
      <c r="BS36" s="236"/>
      <c r="BT36" s="236"/>
      <c r="BU36" s="236"/>
      <c r="BV36" s="236"/>
      <c r="BW36" s="236"/>
    </row>
    <row r="37" s="0" customFormat="1" ht="18" customHeight="1">
      <c r="B37" s="21"/>
      <c r="C37" s="181"/>
      <c r="D37" s="181"/>
      <c r="E37" s="181"/>
      <c r="F37" s="201"/>
      <c r="G37" s="181"/>
      <c r="H37" s="181"/>
      <c r="I37" s="181"/>
      <c r="J37" s="181"/>
      <c r="K37" s="181"/>
      <c r="L37" s="895"/>
      <c r="M37" s="895"/>
      <c r="N37" s="895"/>
      <c r="O37" s="895"/>
      <c r="P37" s="80"/>
      <c r="Q37" s="4"/>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79"/>
      <c r="AQ37" s="79"/>
      <c r="AR37" s="79"/>
      <c r="AS37" s="236"/>
      <c r="AT37" s="236"/>
      <c r="AU37" s="236"/>
      <c r="AV37" s="236"/>
      <c r="AW37" s="236"/>
      <c r="AX37" s="236"/>
      <c r="AY37" s="236"/>
      <c r="AZ37" s="236"/>
      <c r="BA37" s="236"/>
      <c r="BB37" s="236"/>
      <c r="BC37" s="236"/>
      <c r="BD37" s="236"/>
      <c r="BE37" s="236"/>
      <c r="BF37" s="236"/>
      <c r="BG37" s="236"/>
      <c r="BH37" s="236"/>
      <c r="BI37" s="236"/>
      <c r="BJ37" s="236"/>
      <c r="BK37" s="236"/>
      <c r="BL37" s="236"/>
      <c r="BM37" s="236"/>
      <c r="BN37" s="236"/>
      <c r="BO37" s="236"/>
      <c r="BP37" s="236"/>
      <c r="BQ37" s="236"/>
      <c r="BR37" s="236"/>
      <c r="BS37" s="236"/>
      <c r="BT37" s="236"/>
      <c r="BU37" s="236"/>
      <c r="BV37" s="236"/>
      <c r="BW37" s="236"/>
    </row>
    <row r="38" s="0" customFormat="1" ht="18" customHeight="1">
      <c r="B38" s="21"/>
      <c r="C38" s="181"/>
      <c r="D38" s="181"/>
      <c r="E38" s="181"/>
      <c r="F38" s="201"/>
      <c r="G38" s="181"/>
      <c r="H38" s="181"/>
      <c r="I38" s="181"/>
      <c r="J38" s="181"/>
      <c r="K38" s="181"/>
      <c r="L38" s="895"/>
      <c r="M38" s="895"/>
      <c r="N38" s="895"/>
      <c r="O38" s="895"/>
      <c r="P38" s="80"/>
      <c r="Q38" s="4"/>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79"/>
      <c r="AQ38" s="79"/>
      <c r="AR38" s="79"/>
      <c r="AS38" s="236"/>
      <c r="AT38" s="236"/>
      <c r="AU38" s="236"/>
      <c r="AV38" s="236"/>
      <c r="AW38" s="236"/>
      <c r="AX38" s="236"/>
      <c r="AY38" s="236"/>
      <c r="AZ38" s="236"/>
      <c r="BA38" s="236"/>
      <c r="BB38" s="236"/>
      <c r="BC38" s="236"/>
      <c r="BD38" s="236"/>
      <c r="BE38" s="236"/>
      <c r="BF38" s="236"/>
      <c r="BG38" s="236"/>
      <c r="BH38" s="236"/>
      <c r="BI38" s="236"/>
      <c r="BJ38" s="236"/>
      <c r="BK38" s="236"/>
      <c r="BL38" s="236"/>
      <c r="BM38" s="236"/>
      <c r="BN38" s="236"/>
      <c r="BO38" s="236"/>
      <c r="BP38" s="236"/>
      <c r="BQ38" s="236"/>
      <c r="BR38" s="236"/>
      <c r="BS38" s="236"/>
      <c r="BT38" s="236"/>
      <c r="BU38" s="236"/>
      <c r="BV38" s="236"/>
      <c r="BW38" s="236"/>
    </row>
    <row r="39" ht="18" customHeight="1">
      <c r="C39" s="181"/>
      <c r="D39" s="181"/>
      <c r="E39" s="181"/>
      <c r="F39" s="201"/>
      <c r="G39" s="181"/>
      <c r="H39" s="181"/>
      <c r="I39" s="181"/>
      <c r="J39" s="181"/>
      <c r="K39" s="181"/>
      <c r="L39" s="895"/>
      <c r="M39" s="895"/>
      <c r="N39" s="895"/>
      <c r="O39" s="895"/>
      <c r="P39" s="80"/>
      <c r="Q39" s="4"/>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4"/>
      <c r="AQ39" s="79"/>
      <c r="AR39" s="79"/>
    </row>
    <row r="40" ht="18" customHeight="1">
      <c r="C40" s="181"/>
      <c r="D40" s="181"/>
      <c r="E40" s="181"/>
      <c r="F40" s="201"/>
      <c r="G40" s="181"/>
      <c r="H40" s="181"/>
      <c r="I40" s="181"/>
      <c r="J40" s="181"/>
      <c r="K40" s="181"/>
      <c r="L40" s="895"/>
      <c r="M40" s="895"/>
      <c r="N40" s="895"/>
      <c r="O40" s="895"/>
      <c r="P40" s="80"/>
      <c r="Q40" s="4"/>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4"/>
      <c r="AQ40" s="79"/>
      <c r="AR40" s="79"/>
    </row>
    <row r="41" ht="18" customHeight="1">
      <c r="C41" s="181"/>
      <c r="D41" s="181"/>
      <c r="E41" s="181"/>
      <c r="F41" s="201"/>
      <c r="G41" s="181"/>
      <c r="H41" s="181"/>
      <c r="I41" s="181"/>
      <c r="J41" s="181"/>
      <c r="K41" s="181"/>
      <c r="L41" s="895"/>
      <c r="M41" s="895"/>
      <c r="N41" s="895"/>
      <c r="O41" s="895"/>
      <c r="P41" s="80"/>
      <c r="Q41" s="4"/>
      <c r="R41" s="182"/>
      <c r="S41" s="182"/>
      <c r="T41" s="182"/>
      <c r="U41" s="182"/>
      <c r="V41" s="182"/>
      <c r="W41" s="182"/>
      <c r="X41" s="182"/>
      <c r="Y41" s="182"/>
      <c r="Z41" s="182"/>
      <c r="AA41" s="182"/>
      <c r="AB41" s="182"/>
      <c r="AC41" s="182"/>
      <c r="AD41" s="182"/>
      <c r="AE41" s="182"/>
      <c r="AF41" s="182"/>
      <c r="AG41" s="182"/>
      <c r="AH41" s="182"/>
      <c r="AI41" s="182"/>
      <c r="AJ41" s="182"/>
      <c r="AK41" s="182"/>
      <c r="AL41" s="182"/>
      <c r="AM41" s="182"/>
      <c r="AN41" s="182"/>
      <c r="AO41" s="182"/>
      <c r="AP41" s="4"/>
      <c r="AQ41" s="79"/>
      <c r="AR41" s="79"/>
    </row>
    <row r="42" ht="18" customHeight="1">
      <c r="C42" s="181"/>
      <c r="D42" s="181"/>
      <c r="E42" s="181"/>
      <c r="F42" s="201"/>
      <c r="G42" s="181"/>
      <c r="H42" s="181"/>
      <c r="I42" s="181"/>
      <c r="J42" s="181"/>
      <c r="K42" s="181"/>
      <c r="L42" s="895"/>
      <c r="M42" s="895"/>
      <c r="N42" s="895"/>
      <c r="O42" s="895"/>
      <c r="P42" s="80"/>
      <c r="Q42" s="4"/>
      <c r="R42" s="182"/>
      <c r="S42" s="182"/>
      <c r="T42" s="182"/>
      <c r="U42" s="182"/>
      <c r="V42" s="182"/>
      <c r="W42" s="182"/>
      <c r="X42" s="182"/>
      <c r="Y42" s="182"/>
      <c r="Z42" s="182"/>
      <c r="AA42" s="182"/>
      <c r="AB42" s="182"/>
      <c r="AC42" s="182"/>
      <c r="AD42" s="182"/>
      <c r="AE42" s="182"/>
      <c r="AF42" s="182"/>
      <c r="AG42" s="182"/>
      <c r="AH42" s="182"/>
      <c r="AI42" s="182"/>
      <c r="AJ42" s="182"/>
      <c r="AK42" s="182"/>
      <c r="AL42" s="182"/>
      <c r="AM42" s="182"/>
      <c r="AN42" s="182"/>
      <c r="AO42" s="182"/>
      <c r="AP42" s="4"/>
      <c r="AQ42" s="79"/>
      <c r="AR42" s="79"/>
    </row>
    <row r="43" ht="18" customHeight="1">
      <c r="C43" s="181"/>
      <c r="D43" s="181"/>
      <c r="E43" s="181"/>
      <c r="F43" s="201"/>
      <c r="G43" s="181"/>
      <c r="H43" s="181"/>
      <c r="I43" s="181"/>
      <c r="J43" s="181"/>
      <c r="K43" s="181"/>
      <c r="L43" s="895"/>
      <c r="M43" s="895"/>
      <c r="N43" s="895"/>
      <c r="O43" s="895"/>
      <c r="P43" s="80"/>
      <c r="Q43" s="4"/>
      <c r="R43" s="182"/>
      <c r="S43" s="182"/>
      <c r="T43" s="182"/>
      <c r="U43" s="182"/>
      <c r="V43" s="182"/>
      <c r="W43" s="182"/>
      <c r="X43" s="182"/>
      <c r="Y43" s="182"/>
      <c r="Z43" s="182"/>
      <c r="AA43" s="182"/>
      <c r="AB43" s="182"/>
      <c r="AC43" s="182"/>
      <c r="AD43" s="182"/>
      <c r="AE43" s="182"/>
      <c r="AF43" s="182"/>
      <c r="AG43" s="182"/>
      <c r="AH43" s="182"/>
      <c r="AI43" s="182"/>
      <c r="AJ43" s="182"/>
      <c r="AK43" s="182"/>
      <c r="AL43" s="182"/>
      <c r="AM43" s="182"/>
      <c r="AN43" s="182"/>
      <c r="AO43" s="182"/>
      <c r="AP43" s="4"/>
      <c r="AQ43" s="79"/>
      <c r="AR43" s="79"/>
    </row>
    <row r="44" ht="18" customHeight="1">
      <c r="C44" s="181"/>
      <c r="D44" s="181"/>
      <c r="E44" s="181"/>
      <c r="F44" s="201"/>
      <c r="G44" s="181"/>
      <c r="H44" s="181"/>
      <c r="I44" s="181"/>
      <c r="J44" s="181"/>
      <c r="K44" s="181"/>
      <c r="L44" s="895"/>
      <c r="M44" s="895"/>
      <c r="N44" s="895"/>
      <c r="O44" s="895"/>
      <c r="P44" s="80"/>
      <c r="Q44" s="4"/>
      <c r="R44" s="182"/>
      <c r="S44" s="182"/>
      <c r="T44" s="182"/>
      <c r="U44" s="182"/>
      <c r="V44" s="182"/>
      <c r="W44" s="182"/>
      <c r="X44" s="182"/>
      <c r="Y44" s="182"/>
      <c r="Z44" s="182"/>
      <c r="AA44" s="182"/>
      <c r="AB44" s="182"/>
      <c r="AC44" s="182"/>
      <c r="AD44" s="182"/>
      <c r="AE44" s="182"/>
      <c r="AF44" s="182"/>
      <c r="AG44" s="182"/>
      <c r="AH44" s="182"/>
      <c r="AI44" s="182"/>
      <c r="AJ44" s="182"/>
      <c r="AK44" s="182"/>
      <c r="AL44" s="182"/>
      <c r="AM44" s="182"/>
      <c r="AN44" s="182"/>
      <c r="AO44" s="182"/>
      <c r="AP44" s="4"/>
      <c r="AQ44" s="79"/>
      <c r="AR44" s="79"/>
    </row>
    <row r="45" ht="18" customHeight="1">
      <c r="C45" s="181"/>
      <c r="D45" s="181"/>
      <c r="E45" s="181"/>
      <c r="F45" s="201"/>
      <c r="G45" s="181"/>
      <c r="H45" s="181"/>
      <c r="I45" s="181"/>
      <c r="J45" s="181"/>
      <c r="K45" s="181"/>
      <c r="L45" s="895"/>
      <c r="M45" s="895"/>
      <c r="N45" s="895"/>
      <c r="O45" s="895"/>
      <c r="P45" s="80"/>
      <c r="Q45" s="4"/>
      <c r="R45" s="182"/>
      <c r="S45" s="182"/>
      <c r="T45" s="182"/>
      <c r="U45" s="182"/>
      <c r="V45" s="182"/>
      <c r="W45" s="182"/>
      <c r="X45" s="182"/>
      <c r="Y45" s="182"/>
      <c r="Z45" s="182"/>
      <c r="AA45" s="182"/>
      <c r="AB45" s="182"/>
      <c r="AC45" s="182"/>
      <c r="AD45" s="182"/>
      <c r="AE45" s="182"/>
      <c r="AF45" s="182"/>
      <c r="AG45" s="182"/>
      <c r="AH45" s="182"/>
      <c r="AI45" s="182"/>
      <c r="AJ45" s="182"/>
      <c r="AK45" s="182"/>
      <c r="AL45" s="182"/>
      <c r="AM45" s="182"/>
      <c r="AN45" s="182"/>
      <c r="AO45" s="182"/>
      <c r="AP45" s="4"/>
      <c r="AQ45" s="79"/>
      <c r="AR45" s="79"/>
    </row>
    <row r="46" ht="18" customHeight="1">
      <c r="C46" s="181"/>
      <c r="D46" s="181"/>
      <c r="E46" s="181"/>
      <c r="F46" s="201"/>
      <c r="G46" s="181"/>
      <c r="H46" s="181"/>
      <c r="I46" s="181"/>
      <c r="J46" s="181"/>
      <c r="K46" s="181"/>
      <c r="L46" s="895"/>
      <c r="M46" s="895"/>
      <c r="N46" s="895"/>
      <c r="O46" s="895"/>
      <c r="P46" s="80"/>
      <c r="Q46" s="4"/>
      <c r="R46" s="182"/>
      <c r="S46" s="182"/>
      <c r="T46" s="182"/>
      <c r="U46" s="182"/>
      <c r="V46" s="182"/>
      <c r="W46" s="182"/>
      <c r="X46" s="182"/>
      <c r="Y46" s="182"/>
      <c r="Z46" s="182"/>
      <c r="AA46" s="182"/>
      <c r="AB46" s="182"/>
      <c r="AC46" s="182"/>
      <c r="AD46" s="182"/>
      <c r="AE46" s="182"/>
      <c r="AF46" s="182"/>
      <c r="AG46" s="182"/>
      <c r="AH46" s="182"/>
      <c r="AI46" s="182"/>
      <c r="AJ46" s="182"/>
      <c r="AK46" s="182"/>
      <c r="AL46" s="182"/>
      <c r="AM46" s="182"/>
      <c r="AN46" s="182"/>
      <c r="AO46" s="182"/>
      <c r="AP46" s="4"/>
      <c r="AQ46" s="79"/>
      <c r="AR46" s="79"/>
    </row>
    <row r="47" ht="0" hidden="1" customHeight="1">
      <c r="C47" s="181"/>
      <c r="D47" s="181"/>
      <c r="E47" s="181"/>
      <c r="F47" s="201"/>
      <c r="G47" s="181"/>
      <c r="H47" s="181"/>
      <c r="I47" s="181"/>
      <c r="J47" s="181"/>
      <c r="K47" s="181"/>
      <c r="L47" s="895"/>
      <c r="M47" s="895"/>
      <c r="N47" s="895"/>
      <c r="O47" s="895"/>
      <c r="P47" s="80"/>
      <c r="Q47" s="4"/>
      <c r="R47" s="182"/>
      <c r="S47" s="182"/>
      <c r="T47" s="182"/>
      <c r="U47" s="182"/>
      <c r="V47" s="182"/>
      <c r="W47" s="182"/>
      <c r="X47" s="182"/>
      <c r="Y47" s="182"/>
      <c r="Z47" s="182"/>
      <c r="AA47" s="182"/>
      <c r="AB47" s="182"/>
      <c r="AC47" s="182"/>
      <c r="AD47" s="182"/>
      <c r="AE47" s="182"/>
      <c r="AF47" s="182"/>
      <c r="AG47" s="182"/>
      <c r="AH47" s="182"/>
      <c r="AI47" s="182"/>
      <c r="AJ47" s="182"/>
      <c r="AK47" s="182"/>
      <c r="AL47" s="182"/>
      <c r="AM47" s="182"/>
      <c r="AN47" s="182"/>
      <c r="AO47" s="182"/>
      <c r="AP47" s="4"/>
      <c r="AQ47" s="79"/>
      <c r="AR47" s="79"/>
    </row>
    <row r="48" ht="0" hidden="1" customHeight="1">
      <c r="C48" s="181"/>
      <c r="D48" s="181"/>
      <c r="E48" s="181"/>
      <c r="F48" s="201"/>
      <c r="G48" s="181"/>
      <c r="H48" s="181"/>
      <c r="I48" s="181"/>
      <c r="J48" s="181"/>
      <c r="K48" s="181"/>
      <c r="L48" s="895"/>
      <c r="M48" s="895"/>
      <c r="N48" s="895"/>
      <c r="O48" s="895"/>
      <c r="P48" s="80"/>
      <c r="Q48" s="4"/>
      <c r="R48" s="182"/>
      <c r="S48" s="182"/>
      <c r="T48" s="182"/>
      <c r="U48" s="182"/>
      <c r="V48" s="182"/>
      <c r="W48" s="182"/>
      <c r="X48" s="182"/>
      <c r="Y48" s="182"/>
      <c r="Z48" s="182"/>
      <c r="AA48" s="182"/>
      <c r="AB48" s="182"/>
      <c r="AC48" s="182"/>
      <c r="AD48" s="182"/>
      <c r="AE48" s="182"/>
      <c r="AF48" s="182"/>
      <c r="AG48" s="182"/>
      <c r="AH48" s="182"/>
      <c r="AI48" s="182"/>
      <c r="AJ48" s="182"/>
      <c r="AK48" s="182"/>
      <c r="AL48" s="182"/>
      <c r="AM48" s="182"/>
      <c r="AN48" s="182"/>
      <c r="AO48" s="182"/>
      <c r="AP48" s="4"/>
      <c r="AQ48" s="79"/>
      <c r="AR48" s="79"/>
    </row>
    <row r="49" ht="0" hidden="1" customHeight="1">
      <c r="C49" s="181"/>
      <c r="D49" s="181"/>
      <c r="E49" s="181"/>
      <c r="F49" s="201"/>
      <c r="G49" s="181"/>
      <c r="H49" s="181"/>
      <c r="I49" s="181"/>
      <c r="J49" s="181"/>
      <c r="K49" s="181"/>
      <c r="L49" s="895"/>
      <c r="M49" s="895"/>
      <c r="N49" s="895"/>
      <c r="O49" s="895"/>
      <c r="P49" s="80"/>
      <c r="Q49" s="4"/>
      <c r="R49" s="182"/>
      <c r="S49" s="182"/>
      <c r="T49" s="182"/>
      <c r="U49" s="182"/>
      <c r="V49" s="182"/>
      <c r="W49" s="182"/>
      <c r="X49" s="182"/>
      <c r="Y49" s="182"/>
      <c r="Z49" s="182"/>
      <c r="AA49" s="182"/>
      <c r="AB49" s="182"/>
      <c r="AC49" s="182"/>
      <c r="AD49" s="182"/>
      <c r="AE49" s="182"/>
      <c r="AF49" s="182"/>
      <c r="AG49" s="182"/>
      <c r="AH49" s="182"/>
      <c r="AI49" s="182"/>
      <c r="AJ49" s="182"/>
      <c r="AK49" s="182"/>
      <c r="AL49" s="182"/>
      <c r="AM49" s="182"/>
      <c r="AN49" s="182"/>
      <c r="AO49" s="182"/>
      <c r="AP49" s="4"/>
      <c r="AQ49" s="79"/>
      <c r="AR49" s="79"/>
    </row>
    <row r="50" ht="0" hidden="1" customHeight="1">
      <c r="C50" s="181"/>
      <c r="D50" s="181"/>
      <c r="E50" s="181"/>
      <c r="F50" s="201"/>
      <c r="G50" s="181"/>
      <c r="H50" s="181"/>
      <c r="I50" s="181"/>
      <c r="J50" s="181"/>
      <c r="K50" s="181"/>
      <c r="L50" s="895"/>
      <c r="M50" s="895"/>
      <c r="N50" s="895"/>
      <c r="O50" s="895"/>
      <c r="P50" s="80"/>
      <c r="Q50" s="4"/>
      <c r="R50" s="182"/>
      <c r="S50" s="182"/>
      <c r="T50" s="182"/>
      <c r="U50" s="182"/>
      <c r="V50" s="182"/>
      <c r="W50" s="182"/>
      <c r="X50" s="182"/>
      <c r="Y50" s="182"/>
      <c r="Z50" s="182"/>
      <c r="AA50" s="182"/>
      <c r="AB50" s="182"/>
      <c r="AC50" s="182"/>
      <c r="AD50" s="182"/>
      <c r="AE50" s="182"/>
      <c r="AF50" s="182"/>
      <c r="AG50" s="182"/>
      <c r="AH50" s="182"/>
      <c r="AI50" s="182"/>
      <c r="AJ50" s="182"/>
      <c r="AK50" s="182"/>
      <c r="AL50" s="182"/>
      <c r="AM50" s="182"/>
      <c r="AN50" s="182"/>
      <c r="AO50" s="182"/>
      <c r="AP50" s="4"/>
      <c r="AQ50" s="79"/>
      <c r="AR50" s="79"/>
    </row>
    <row r="51" ht="0" hidden="1" customHeight="1">
      <c r="C51" s="181"/>
      <c r="D51" s="181"/>
      <c r="E51" s="181"/>
      <c r="F51" s="201"/>
      <c r="G51" s="181"/>
      <c r="H51" s="181"/>
      <c r="I51" s="181"/>
      <c r="J51" s="181"/>
      <c r="K51" s="181"/>
      <c r="L51" s="895"/>
      <c r="M51" s="895"/>
      <c r="N51" s="895"/>
      <c r="O51" s="895"/>
      <c r="P51" s="80"/>
      <c r="Q51" s="4"/>
      <c r="R51" s="182"/>
      <c r="S51" s="182"/>
      <c r="T51" s="182"/>
      <c r="U51" s="182"/>
      <c r="V51" s="182"/>
      <c r="W51" s="182"/>
      <c r="X51" s="182"/>
      <c r="Y51" s="182"/>
      <c r="Z51" s="182"/>
      <c r="AA51" s="182"/>
      <c r="AB51" s="182"/>
      <c r="AC51" s="182"/>
      <c r="AD51" s="182"/>
      <c r="AE51" s="182"/>
      <c r="AF51" s="182"/>
      <c r="AG51" s="182"/>
      <c r="AH51" s="182"/>
      <c r="AI51" s="182"/>
      <c r="AJ51" s="182"/>
      <c r="AK51" s="182"/>
      <c r="AL51" s="182"/>
      <c r="AM51" s="182"/>
      <c r="AN51" s="182"/>
      <c r="AO51" s="182"/>
      <c r="AP51" s="4"/>
      <c r="AQ51" s="79"/>
      <c r="AR51" s="79"/>
    </row>
    <row r="52" s="0" customFormat="1" ht="0" hidden="1" customHeight="1">
      <c r="B52" s="21"/>
      <c r="C52" s="181"/>
      <c r="D52" s="181"/>
      <c r="E52" s="181"/>
      <c r="F52" s="201"/>
      <c r="G52" s="181"/>
      <c r="H52" s="181"/>
      <c r="I52" s="181"/>
      <c r="J52" s="181"/>
      <c r="K52" s="181"/>
      <c r="L52" s="895"/>
      <c r="M52" s="895"/>
      <c r="N52" s="895"/>
      <c r="O52" s="895"/>
      <c r="P52" s="80"/>
      <c r="Q52" s="4"/>
      <c r="R52" s="182"/>
      <c r="S52" s="182"/>
      <c r="T52" s="182"/>
      <c r="U52" s="182"/>
      <c r="V52" s="182"/>
      <c r="W52" s="182"/>
      <c r="X52" s="182"/>
      <c r="Y52" s="182"/>
      <c r="Z52" s="182"/>
      <c r="AA52" s="182"/>
      <c r="AB52" s="182"/>
      <c r="AC52" s="182"/>
      <c r="AD52" s="182"/>
      <c r="AE52" s="182"/>
      <c r="AF52" s="182"/>
      <c r="AG52" s="182"/>
      <c r="AH52" s="182"/>
      <c r="AI52" s="182"/>
      <c r="AJ52" s="182"/>
      <c r="AK52" s="182"/>
      <c r="AL52" s="182"/>
      <c r="AM52" s="182"/>
      <c r="AN52" s="182"/>
      <c r="AO52" s="182"/>
      <c r="AP52" s="79"/>
      <c r="AQ52" s="79"/>
      <c r="AR52" s="79"/>
      <c r="AS52" s="236"/>
      <c r="AT52" s="236"/>
      <c r="AU52" s="236"/>
      <c r="AV52" s="236"/>
      <c r="AW52" s="236"/>
      <c r="AX52" s="236"/>
      <c r="AY52" s="236"/>
      <c r="AZ52" s="236"/>
      <c r="BA52" s="236"/>
      <c r="BB52" s="236"/>
      <c r="BC52" s="236"/>
      <c r="BD52" s="236"/>
      <c r="BE52" s="236"/>
      <c r="BF52" s="236"/>
      <c r="BG52" s="236"/>
      <c r="BH52" s="236"/>
      <c r="BI52" s="236"/>
      <c r="BJ52" s="236"/>
      <c r="BK52" s="236"/>
      <c r="BL52" s="236"/>
      <c r="BM52" s="236"/>
      <c r="BN52" s="236"/>
      <c r="BO52" s="236"/>
      <c r="BP52" s="236"/>
      <c r="BQ52" s="236"/>
      <c r="BR52" s="236"/>
      <c r="BS52" s="236"/>
      <c r="BT52" s="236"/>
      <c r="BU52" s="236"/>
      <c r="BV52" s="236"/>
      <c r="BW52" s="236"/>
    </row>
    <row r="53" s="0" customFormat="1" ht="0" hidden="1" customHeight="1">
      <c r="B53" s="21"/>
      <c r="C53" s="181"/>
      <c r="D53" s="181"/>
      <c r="E53" s="181"/>
      <c r="F53" s="201"/>
      <c r="G53" s="181"/>
      <c r="H53" s="181"/>
      <c r="I53" s="181"/>
      <c r="J53" s="181"/>
      <c r="K53" s="181"/>
      <c r="L53" s="895"/>
      <c r="M53" s="895"/>
      <c r="N53" s="895"/>
      <c r="O53" s="895"/>
      <c r="P53" s="80"/>
      <c r="Q53" s="4"/>
      <c r="R53" s="182"/>
      <c r="S53" s="182"/>
      <c r="T53" s="182"/>
      <c r="U53" s="182"/>
      <c r="V53" s="182"/>
      <c r="W53" s="182"/>
      <c r="X53" s="182"/>
      <c r="Y53" s="182"/>
      <c r="Z53" s="182"/>
      <c r="AA53" s="182"/>
      <c r="AB53" s="182"/>
      <c r="AC53" s="182"/>
      <c r="AD53" s="182"/>
      <c r="AE53" s="182"/>
      <c r="AF53" s="182"/>
      <c r="AG53" s="182"/>
      <c r="AH53" s="182"/>
      <c r="AI53" s="182"/>
      <c r="AJ53" s="182"/>
      <c r="AK53" s="182"/>
      <c r="AL53" s="182"/>
      <c r="AM53" s="182"/>
      <c r="AN53" s="182"/>
      <c r="AO53" s="182"/>
      <c r="AP53" s="79"/>
      <c r="AQ53" s="79"/>
      <c r="AR53" s="79"/>
      <c r="AS53" s="236"/>
      <c r="AT53" s="236"/>
      <c r="AU53" s="236"/>
      <c r="AV53" s="236"/>
      <c r="AW53" s="236"/>
      <c r="AX53" s="236"/>
      <c r="AY53" s="236"/>
      <c r="AZ53" s="236"/>
      <c r="BA53" s="236"/>
      <c r="BB53" s="236"/>
      <c r="BC53" s="236"/>
      <c r="BD53" s="236"/>
      <c r="BE53" s="236"/>
      <c r="BF53" s="236"/>
      <c r="BG53" s="236"/>
      <c r="BH53" s="236"/>
      <c r="BI53" s="236"/>
      <c r="BJ53" s="236"/>
      <c r="BK53" s="236"/>
      <c r="BL53" s="236"/>
      <c r="BM53" s="236"/>
      <c r="BN53" s="236"/>
      <c r="BO53" s="236"/>
      <c r="BP53" s="236"/>
      <c r="BQ53" s="236"/>
      <c r="BR53" s="236"/>
      <c r="BS53" s="236"/>
      <c r="BT53" s="236"/>
      <c r="BU53" s="236"/>
      <c r="BV53" s="236"/>
      <c r="BW53" s="236"/>
    </row>
    <row r="54" s="0" customFormat="1" ht="0" hidden="1" customHeight="1">
      <c r="B54" s="21"/>
      <c r="C54" s="181"/>
      <c r="D54" s="181"/>
      <c r="E54" s="181"/>
      <c r="F54" s="201"/>
      <c r="G54" s="181"/>
      <c r="H54" s="181"/>
      <c r="I54" s="181"/>
      <c r="J54" s="181"/>
      <c r="K54" s="181"/>
      <c r="L54" s="895"/>
      <c r="M54" s="895"/>
      <c r="N54" s="895"/>
      <c r="O54" s="895"/>
      <c r="P54" s="80"/>
      <c r="Q54" s="4"/>
      <c r="R54" s="182"/>
      <c r="S54" s="182"/>
      <c r="T54" s="182"/>
      <c r="U54" s="182"/>
      <c r="V54" s="182"/>
      <c r="W54" s="182"/>
      <c r="X54" s="182"/>
      <c r="Y54" s="182"/>
      <c r="Z54" s="182"/>
      <c r="AA54" s="182"/>
      <c r="AB54" s="182"/>
      <c r="AC54" s="182"/>
      <c r="AD54" s="182"/>
      <c r="AE54" s="182"/>
      <c r="AF54" s="182"/>
      <c r="AG54" s="182"/>
      <c r="AH54" s="182"/>
      <c r="AI54" s="182"/>
      <c r="AJ54" s="182"/>
      <c r="AK54" s="182"/>
      <c r="AL54" s="182"/>
      <c r="AM54" s="182"/>
      <c r="AN54" s="182"/>
      <c r="AO54" s="182"/>
      <c r="AP54" s="48"/>
      <c r="AQ54" s="48"/>
      <c r="AR54" s="48"/>
      <c r="AS54" s="236"/>
      <c r="AT54" s="236"/>
      <c r="AU54" s="236"/>
      <c r="AV54" s="236"/>
      <c r="AW54" s="236"/>
      <c r="AX54" s="236"/>
      <c r="AY54" s="236"/>
      <c r="AZ54" s="236"/>
      <c r="BA54" s="236"/>
      <c r="BB54" s="236"/>
      <c r="BC54" s="236"/>
      <c r="BD54" s="236"/>
      <c r="BE54" s="236"/>
      <c r="BF54" s="236"/>
      <c r="BG54" s="236"/>
      <c r="BH54" s="236"/>
      <c r="BI54" s="236"/>
      <c r="BJ54" s="236"/>
      <c r="BK54" s="236"/>
      <c r="BL54" s="236"/>
      <c r="BM54" s="236"/>
      <c r="BN54" s="236"/>
      <c r="BO54" s="236"/>
      <c r="BP54" s="236"/>
      <c r="BQ54" s="236"/>
      <c r="BR54" s="236"/>
      <c r="BS54" s="236"/>
      <c r="BT54" s="236"/>
      <c r="BU54" s="236"/>
      <c r="BV54" s="236"/>
      <c r="BW54" s="236"/>
    </row>
    <row r="55" s="0" customFormat="1" ht="0" hidden="1" customHeight="1">
      <c r="B55" s="21"/>
      <c r="C55" s="181"/>
      <c r="D55" s="181"/>
      <c r="E55" s="181"/>
      <c r="F55" s="201"/>
      <c r="G55" s="181"/>
      <c r="H55" s="181"/>
      <c r="I55" s="181"/>
      <c r="J55" s="181"/>
      <c r="K55" s="181"/>
      <c r="L55" s="895"/>
      <c r="M55" s="895"/>
      <c r="N55" s="895"/>
      <c r="O55" s="895"/>
      <c r="P55" s="80"/>
      <c r="Q55" s="4"/>
      <c r="R55" s="182"/>
      <c r="S55" s="182"/>
      <c r="T55" s="182"/>
      <c r="U55" s="182"/>
      <c r="V55" s="182"/>
      <c r="W55" s="182"/>
      <c r="X55" s="182"/>
      <c r="Y55" s="182"/>
      <c r="Z55" s="182"/>
      <c r="AA55" s="182"/>
      <c r="AB55" s="182"/>
      <c r="AC55" s="182"/>
      <c r="AD55" s="182"/>
      <c r="AE55" s="182"/>
      <c r="AF55" s="182"/>
      <c r="AG55" s="182"/>
      <c r="AH55" s="182"/>
      <c r="AI55" s="182"/>
      <c r="AJ55" s="182"/>
      <c r="AK55" s="182"/>
      <c r="AL55" s="182"/>
      <c r="AM55" s="182"/>
      <c r="AN55" s="182"/>
      <c r="AO55" s="182"/>
      <c r="AP55" s="79"/>
      <c r="AQ55" s="79"/>
      <c r="AR55" s="79"/>
      <c r="AS55" s="236"/>
      <c r="AT55" s="236"/>
      <c r="AU55" s="236"/>
      <c r="AV55" s="236"/>
      <c r="AW55" s="236"/>
      <c r="AX55" s="236"/>
      <c r="AY55" s="236"/>
      <c r="AZ55" s="236"/>
      <c r="BA55" s="236"/>
      <c r="BB55" s="236"/>
      <c r="BC55" s="236"/>
      <c r="BD55" s="236"/>
      <c r="BE55" s="236"/>
      <c r="BF55" s="236"/>
      <c r="BG55" s="236"/>
      <c r="BH55" s="236"/>
      <c r="BI55" s="236"/>
      <c r="BJ55" s="236"/>
      <c r="BK55" s="236"/>
      <c r="BL55" s="236"/>
      <c r="BM55" s="236"/>
      <c r="BN55" s="236"/>
      <c r="BO55" s="236"/>
      <c r="BP55" s="236"/>
      <c r="BQ55" s="236"/>
      <c r="BR55" s="236"/>
      <c r="BS55" s="236"/>
      <c r="BT55" s="236"/>
      <c r="BU55" s="236"/>
      <c r="BV55" s="236"/>
      <c r="BW55" s="236"/>
    </row>
    <row r="56" s="0" customFormat="1" ht="0" hidden="1" customHeight="1">
      <c r="B56" s="21"/>
      <c r="C56" s="181"/>
      <c r="D56" s="181"/>
      <c r="E56" s="181"/>
      <c r="F56" s="201"/>
      <c r="G56" s="181"/>
      <c r="H56" s="181"/>
      <c r="I56" s="181"/>
      <c r="J56" s="181"/>
      <c r="K56" s="181"/>
      <c r="L56" s="895"/>
      <c r="M56" s="895"/>
      <c r="N56" s="895"/>
      <c r="O56" s="895"/>
      <c r="P56" s="80"/>
      <c r="Q56" s="4"/>
      <c r="R56" s="182"/>
      <c r="S56" s="182"/>
      <c r="T56" s="182"/>
      <c r="U56" s="182"/>
      <c r="V56" s="182"/>
      <c r="W56" s="182"/>
      <c r="X56" s="182"/>
      <c r="Y56" s="182"/>
      <c r="Z56" s="182"/>
      <c r="AA56" s="182"/>
      <c r="AB56" s="182"/>
      <c r="AC56" s="182"/>
      <c r="AD56" s="182"/>
      <c r="AE56" s="182"/>
      <c r="AF56" s="182"/>
      <c r="AG56" s="182"/>
      <c r="AH56" s="182"/>
      <c r="AI56" s="182"/>
      <c r="AJ56" s="182"/>
      <c r="AK56" s="182"/>
      <c r="AL56" s="182"/>
      <c r="AM56" s="182"/>
      <c r="AN56" s="182"/>
      <c r="AO56" s="182"/>
      <c r="AP56" s="79"/>
      <c r="AQ56" s="79"/>
      <c r="AR56" s="79"/>
      <c r="AS56" s="236"/>
      <c r="AT56" s="236"/>
      <c r="AU56" s="236"/>
      <c r="AV56" s="236"/>
      <c r="AW56" s="236"/>
      <c r="AX56" s="236"/>
      <c r="AY56" s="236"/>
      <c r="AZ56" s="236"/>
      <c r="BA56" s="236"/>
      <c r="BB56" s="236"/>
      <c r="BC56" s="236"/>
      <c r="BD56" s="236"/>
      <c r="BE56" s="236"/>
      <c r="BF56" s="236"/>
      <c r="BG56" s="236"/>
      <c r="BH56" s="236"/>
      <c r="BI56" s="236"/>
      <c r="BJ56" s="236"/>
      <c r="BK56" s="236"/>
      <c r="BL56" s="236"/>
      <c r="BM56" s="236"/>
      <c r="BN56" s="236"/>
      <c r="BO56" s="236"/>
      <c r="BP56" s="236"/>
      <c r="BQ56" s="236"/>
      <c r="BR56" s="236"/>
      <c r="BS56" s="236"/>
      <c r="BT56" s="236"/>
      <c r="BU56" s="236"/>
      <c r="BV56" s="236"/>
      <c r="BW56" s="236"/>
    </row>
    <row r="57" s="0" customFormat="1" ht="0" hidden="1" customHeight="1">
      <c r="B57" s="21"/>
      <c r="C57" s="181"/>
      <c r="D57" s="181"/>
      <c r="E57" s="181"/>
      <c r="F57" s="201"/>
      <c r="G57" s="181"/>
      <c r="H57" s="181"/>
      <c r="I57" s="181"/>
      <c r="J57" s="181"/>
      <c r="K57" s="181"/>
      <c r="L57" s="895"/>
      <c r="M57" s="895"/>
      <c r="N57" s="895"/>
      <c r="O57" s="895"/>
      <c r="P57" s="80"/>
      <c r="Q57" s="4"/>
      <c r="R57" s="182"/>
      <c r="S57" s="182"/>
      <c r="T57" s="182"/>
      <c r="U57" s="182"/>
      <c r="V57" s="182"/>
      <c r="W57" s="182"/>
      <c r="X57" s="182"/>
      <c r="Y57" s="182"/>
      <c r="Z57" s="182"/>
      <c r="AA57" s="182"/>
      <c r="AB57" s="182"/>
      <c r="AC57" s="182"/>
      <c r="AD57" s="182"/>
      <c r="AE57" s="182"/>
      <c r="AF57" s="182"/>
      <c r="AG57" s="182"/>
      <c r="AH57" s="182"/>
      <c r="AI57" s="182"/>
      <c r="AJ57" s="182"/>
      <c r="AK57" s="182"/>
      <c r="AL57" s="182"/>
      <c r="AM57" s="182"/>
      <c r="AN57" s="182"/>
      <c r="AO57" s="182"/>
      <c r="AP57" s="79"/>
      <c r="AQ57" s="79"/>
      <c r="AR57" s="79"/>
      <c r="AS57" s="236"/>
      <c r="AT57" s="236"/>
      <c r="AU57" s="236"/>
      <c r="AV57" s="236"/>
      <c r="AW57" s="236"/>
      <c r="AX57" s="236"/>
      <c r="AY57" s="236"/>
      <c r="AZ57" s="236"/>
      <c r="BA57" s="236"/>
      <c r="BB57" s="236"/>
      <c r="BC57" s="236"/>
      <c r="BD57" s="236"/>
      <c r="BE57" s="236"/>
      <c r="BF57" s="236"/>
      <c r="BG57" s="236"/>
      <c r="BH57" s="236"/>
      <c r="BI57" s="236"/>
      <c r="BJ57" s="236"/>
      <c r="BK57" s="236"/>
      <c r="BL57" s="236"/>
      <c r="BM57" s="236"/>
      <c r="BN57" s="236"/>
      <c r="BO57" s="236"/>
      <c r="BP57" s="236"/>
      <c r="BQ57" s="236"/>
      <c r="BR57" s="236"/>
      <c r="BS57" s="236"/>
      <c r="BT57" s="236"/>
      <c r="BU57" s="236"/>
      <c r="BV57" s="236"/>
      <c r="BW57" s="236"/>
    </row>
    <row r="58" s="0" customFormat="1" ht="0" hidden="1" customHeight="1">
      <c r="B58" s="21"/>
      <c r="C58" s="181"/>
      <c r="D58" s="181"/>
      <c r="E58" s="181"/>
      <c r="F58" s="201"/>
      <c r="G58" s="181"/>
      <c r="H58" s="181"/>
      <c r="I58" s="181"/>
      <c r="J58" s="181"/>
      <c r="K58" s="181"/>
      <c r="L58" s="895"/>
      <c r="M58" s="895"/>
      <c r="N58" s="895"/>
      <c r="O58" s="895"/>
      <c r="P58" s="80"/>
      <c r="Q58" s="4"/>
      <c r="R58" s="182"/>
      <c r="S58" s="182"/>
      <c r="T58" s="182"/>
      <c r="U58" s="182"/>
      <c r="V58" s="182"/>
      <c r="W58" s="182"/>
      <c r="X58" s="182"/>
      <c r="Y58" s="182"/>
      <c r="Z58" s="182"/>
      <c r="AA58" s="182"/>
      <c r="AB58" s="182"/>
      <c r="AC58" s="182"/>
      <c r="AD58" s="182"/>
      <c r="AE58" s="182"/>
      <c r="AF58" s="182"/>
      <c r="AG58" s="182"/>
      <c r="AH58" s="182"/>
      <c r="AI58" s="182"/>
      <c r="AJ58" s="182"/>
      <c r="AK58" s="182"/>
      <c r="AL58" s="182"/>
      <c r="AM58" s="182"/>
      <c r="AN58" s="182"/>
      <c r="AO58" s="182"/>
      <c r="AP58" s="79"/>
      <c r="AQ58" s="79"/>
      <c r="AR58" s="79"/>
      <c r="AS58" s="236"/>
      <c r="AT58" s="236"/>
      <c r="AU58" s="236"/>
      <c r="AV58" s="236"/>
      <c r="AW58" s="236"/>
      <c r="AX58" s="236"/>
      <c r="AY58" s="236"/>
      <c r="AZ58" s="236"/>
      <c r="BA58" s="236"/>
      <c r="BB58" s="236"/>
      <c r="BC58" s="236"/>
      <c r="BD58" s="236"/>
      <c r="BE58" s="236"/>
      <c r="BF58" s="236"/>
      <c r="BG58" s="236"/>
      <c r="BH58" s="236"/>
      <c r="BI58" s="236"/>
      <c r="BJ58" s="236"/>
      <c r="BK58" s="236"/>
      <c r="BL58" s="236"/>
      <c r="BM58" s="236"/>
      <c r="BN58" s="236"/>
      <c r="BO58" s="236"/>
      <c r="BP58" s="236"/>
      <c r="BQ58" s="236"/>
      <c r="BR58" s="236"/>
      <c r="BS58" s="236"/>
      <c r="BT58" s="236"/>
      <c r="BU58" s="236"/>
      <c r="BV58" s="236"/>
      <c r="BW58" s="236"/>
    </row>
    <row r="59" ht="0" hidden="1" customHeight="1">
      <c r="C59" s="181"/>
      <c r="D59" s="181"/>
      <c r="E59" s="181"/>
      <c r="F59" s="201"/>
      <c r="G59" s="181"/>
      <c r="H59" s="181"/>
      <c r="I59" s="181"/>
      <c r="J59" s="181"/>
      <c r="K59" s="181"/>
      <c r="L59" s="895"/>
      <c r="M59" s="895"/>
      <c r="N59" s="895"/>
      <c r="O59" s="895"/>
      <c r="P59" s="80"/>
      <c r="Q59" s="4"/>
      <c r="R59" s="182"/>
      <c r="S59" s="182"/>
      <c r="T59" s="182"/>
      <c r="U59" s="182"/>
      <c r="V59" s="182"/>
      <c r="W59" s="182"/>
      <c r="X59" s="182"/>
      <c r="Y59" s="182"/>
      <c r="Z59" s="182"/>
      <c r="AA59" s="182"/>
      <c r="AB59" s="182"/>
      <c r="AC59" s="182"/>
      <c r="AD59" s="182"/>
      <c r="AE59" s="182"/>
      <c r="AF59" s="182"/>
      <c r="AG59" s="182"/>
      <c r="AH59" s="182"/>
      <c r="AI59" s="182"/>
      <c r="AJ59" s="182"/>
      <c r="AK59" s="182"/>
      <c r="AL59" s="182"/>
      <c r="AM59" s="182"/>
      <c r="AN59" s="182"/>
      <c r="AO59" s="182"/>
      <c r="AP59" s="4"/>
      <c r="AQ59" s="79"/>
      <c r="AR59" s="79"/>
    </row>
    <row r="60" ht="0" hidden="1" customHeight="1">
      <c r="C60" s="181"/>
      <c r="D60" s="181"/>
      <c r="E60" s="181"/>
      <c r="F60" s="201"/>
      <c r="G60" s="181"/>
      <c r="H60" s="181"/>
      <c r="I60" s="181"/>
      <c r="J60" s="181"/>
      <c r="K60" s="181"/>
      <c r="L60" s="895"/>
      <c r="M60" s="895"/>
      <c r="N60" s="895"/>
      <c r="O60" s="895"/>
      <c r="P60" s="80"/>
      <c r="Q60" s="4"/>
      <c r="R60" s="182"/>
      <c r="S60" s="182"/>
      <c r="T60" s="182"/>
      <c r="U60" s="182"/>
      <c r="V60" s="182"/>
      <c r="W60" s="182"/>
      <c r="X60" s="182"/>
      <c r="Y60" s="182"/>
      <c r="Z60" s="182"/>
      <c r="AA60" s="182"/>
      <c r="AB60" s="182"/>
      <c r="AC60" s="182"/>
      <c r="AD60" s="182"/>
      <c r="AE60" s="182"/>
      <c r="AF60" s="182"/>
      <c r="AG60" s="182"/>
      <c r="AH60" s="182"/>
      <c r="AI60" s="182"/>
      <c r="AJ60" s="182"/>
      <c r="AK60" s="182"/>
      <c r="AL60" s="182"/>
      <c r="AM60" s="182"/>
      <c r="AN60" s="182"/>
      <c r="AO60" s="182"/>
      <c r="AP60" s="4"/>
      <c r="AQ60" s="79"/>
      <c r="AR60" s="79"/>
    </row>
    <row r="61" ht="0" hidden="1" customHeight="1">
      <c r="C61" s="181"/>
      <c r="D61" s="181"/>
      <c r="E61" s="181"/>
      <c r="F61" s="201"/>
      <c r="G61" s="181"/>
      <c r="H61" s="181"/>
      <c r="I61" s="181"/>
      <c r="J61" s="181"/>
      <c r="K61" s="181"/>
      <c r="L61" s="895"/>
      <c r="M61" s="895"/>
      <c r="N61" s="895"/>
      <c r="O61" s="895"/>
      <c r="P61" s="80"/>
      <c r="Q61" s="4"/>
      <c r="R61" s="182"/>
      <c r="S61" s="182"/>
      <c r="T61" s="182"/>
      <c r="U61" s="182"/>
      <c r="V61" s="182"/>
      <c r="W61" s="182"/>
      <c r="X61" s="182"/>
      <c r="Y61" s="182"/>
      <c r="Z61" s="182"/>
      <c r="AA61" s="182"/>
      <c r="AB61" s="182"/>
      <c r="AC61" s="182"/>
      <c r="AD61" s="182"/>
      <c r="AE61" s="182"/>
      <c r="AF61" s="182"/>
      <c r="AG61" s="182"/>
      <c r="AH61" s="182"/>
      <c r="AI61" s="182"/>
      <c r="AJ61" s="182"/>
      <c r="AK61" s="182"/>
      <c r="AL61" s="182"/>
      <c r="AM61" s="182"/>
      <c r="AN61" s="182"/>
      <c r="AO61" s="182"/>
      <c r="AP61" s="4"/>
      <c r="AQ61" s="79"/>
      <c r="AR61" s="79"/>
    </row>
    <row r="62" ht="0" hidden="1" customHeight="1">
      <c r="C62" s="181"/>
      <c r="D62" s="181"/>
      <c r="E62" s="181"/>
      <c r="F62" s="201"/>
      <c r="G62" s="181"/>
      <c r="H62" s="181"/>
      <c r="I62" s="181"/>
      <c r="J62" s="181"/>
      <c r="K62" s="181"/>
      <c r="L62" s="895"/>
      <c r="M62" s="895"/>
      <c r="N62" s="895"/>
      <c r="O62" s="895"/>
      <c r="P62" s="80"/>
      <c r="Q62" s="4"/>
      <c r="R62" s="182"/>
      <c r="S62" s="182"/>
      <c r="T62" s="182"/>
      <c r="U62" s="182"/>
      <c r="V62" s="182"/>
      <c r="W62" s="182"/>
      <c r="X62" s="182"/>
      <c r="Y62" s="182"/>
      <c r="Z62" s="182"/>
      <c r="AA62" s="182"/>
      <c r="AB62" s="182"/>
      <c r="AC62" s="182"/>
      <c r="AD62" s="182"/>
      <c r="AE62" s="182"/>
      <c r="AF62" s="182"/>
      <c r="AG62" s="182"/>
      <c r="AH62" s="182"/>
      <c r="AI62" s="182"/>
      <c r="AJ62" s="182"/>
      <c r="AK62" s="182"/>
      <c r="AL62" s="182"/>
      <c r="AM62" s="182"/>
      <c r="AN62" s="182"/>
      <c r="AO62" s="182"/>
      <c r="AP62" s="4"/>
      <c r="AQ62" s="79"/>
      <c r="AR62" s="79"/>
    </row>
    <row r="63" ht="0" hidden="1" customHeight="1">
      <c r="C63" s="181"/>
      <c r="D63" s="181"/>
      <c r="E63" s="181"/>
      <c r="F63" s="201"/>
      <c r="G63" s="181"/>
      <c r="H63" s="181"/>
      <c r="I63" s="181"/>
      <c r="J63" s="181"/>
      <c r="K63" s="181"/>
      <c r="L63" s="895"/>
      <c r="M63" s="895"/>
      <c r="N63" s="895"/>
      <c r="O63" s="895"/>
      <c r="P63" s="80"/>
      <c r="Q63" s="4"/>
      <c r="R63" s="182"/>
      <c r="S63" s="182"/>
      <c r="T63" s="182"/>
      <c r="U63" s="182"/>
      <c r="V63" s="182"/>
      <c r="W63" s="182"/>
      <c r="X63" s="182"/>
      <c r="Y63" s="182"/>
      <c r="Z63" s="182"/>
      <c r="AA63" s="182"/>
      <c r="AB63" s="182"/>
      <c r="AC63" s="182"/>
      <c r="AD63" s="182"/>
      <c r="AE63" s="182"/>
      <c r="AF63" s="182"/>
      <c r="AG63" s="182"/>
      <c r="AH63" s="182"/>
      <c r="AI63" s="182"/>
      <c r="AJ63" s="182"/>
      <c r="AK63" s="182"/>
      <c r="AL63" s="182"/>
      <c r="AM63" s="182"/>
      <c r="AN63" s="182"/>
      <c r="AO63" s="182"/>
      <c r="AP63" s="4"/>
      <c r="AQ63" s="79"/>
      <c r="AR63" s="79"/>
    </row>
    <row r="64" ht="0" hidden="1" customHeight="1">
      <c r="C64" s="181"/>
      <c r="D64" s="181"/>
      <c r="E64" s="181"/>
      <c r="F64" s="201"/>
      <c r="G64" s="181"/>
      <c r="H64" s="181"/>
      <c r="I64" s="181"/>
      <c r="J64" s="181"/>
      <c r="K64" s="181"/>
      <c r="L64" s="895"/>
      <c r="M64" s="895"/>
      <c r="N64" s="895"/>
      <c r="O64" s="895"/>
      <c r="P64" s="80"/>
      <c r="Q64" s="4"/>
      <c r="R64" s="182"/>
      <c r="S64" s="182"/>
      <c r="T64" s="182"/>
      <c r="U64" s="182"/>
      <c r="V64" s="182"/>
      <c r="W64" s="182"/>
      <c r="X64" s="182"/>
      <c r="Y64" s="182"/>
      <c r="Z64" s="182"/>
      <c r="AA64" s="182"/>
      <c r="AB64" s="182"/>
      <c r="AC64" s="182"/>
      <c r="AD64" s="182"/>
      <c r="AE64" s="182"/>
      <c r="AF64" s="182"/>
      <c r="AG64" s="182"/>
      <c r="AH64" s="182"/>
      <c r="AI64" s="182"/>
      <c r="AJ64" s="182"/>
      <c r="AK64" s="182"/>
      <c r="AL64" s="182"/>
      <c r="AM64" s="182"/>
      <c r="AN64" s="182"/>
      <c r="AO64" s="182"/>
      <c r="AP64" s="4"/>
      <c r="AQ64" s="79"/>
      <c r="AR64" s="79"/>
    </row>
    <row r="65" ht="0" hidden="1" customHeight="1">
      <c r="C65" s="181"/>
      <c r="D65" s="181"/>
      <c r="E65" s="181"/>
      <c r="F65" s="201"/>
      <c r="G65" s="181"/>
      <c r="H65" s="181"/>
      <c r="I65" s="181"/>
      <c r="J65" s="181"/>
      <c r="K65" s="181"/>
      <c r="L65" s="895"/>
      <c r="M65" s="895"/>
      <c r="N65" s="895"/>
      <c r="O65" s="895"/>
      <c r="P65" s="80"/>
      <c r="Q65" s="4"/>
      <c r="R65" s="182"/>
      <c r="S65" s="182"/>
      <c r="T65" s="182"/>
      <c r="U65" s="182"/>
      <c r="V65" s="182"/>
      <c r="W65" s="182"/>
      <c r="X65" s="182"/>
      <c r="Y65" s="182"/>
      <c r="Z65" s="182"/>
      <c r="AA65" s="182"/>
      <c r="AB65" s="182"/>
      <c r="AC65" s="182"/>
      <c r="AD65" s="182"/>
      <c r="AE65" s="182"/>
      <c r="AF65" s="182"/>
      <c r="AG65" s="182"/>
      <c r="AH65" s="182"/>
      <c r="AI65" s="182"/>
      <c r="AJ65" s="182"/>
      <c r="AK65" s="182"/>
      <c r="AL65" s="182"/>
      <c r="AM65" s="182"/>
      <c r="AN65" s="182"/>
      <c r="AO65" s="182"/>
      <c r="AP65" s="4"/>
      <c r="AQ65" s="79"/>
      <c r="AR65" s="79"/>
    </row>
    <row r="66" ht="0" hidden="1" customHeight="1">
      <c r="C66" s="181"/>
      <c r="D66" s="181"/>
      <c r="E66" s="181"/>
      <c r="F66" s="201"/>
      <c r="G66" s="181"/>
      <c r="H66" s="181"/>
      <c r="I66" s="181"/>
      <c r="J66" s="181"/>
      <c r="K66" s="181"/>
      <c r="L66" s="895"/>
      <c r="M66" s="895"/>
      <c r="N66" s="895"/>
      <c r="O66" s="895"/>
      <c r="P66" s="80"/>
      <c r="Q66" s="4"/>
      <c r="R66" s="182"/>
      <c r="S66" s="182"/>
      <c r="T66" s="182"/>
      <c r="U66" s="182"/>
      <c r="V66" s="182"/>
      <c r="W66" s="182"/>
      <c r="X66" s="182"/>
      <c r="Y66" s="182"/>
      <c r="Z66" s="182"/>
      <c r="AA66" s="182"/>
      <c r="AB66" s="182"/>
      <c r="AC66" s="182"/>
      <c r="AD66" s="182"/>
      <c r="AE66" s="182"/>
      <c r="AF66" s="182"/>
      <c r="AG66" s="182"/>
      <c r="AH66" s="182"/>
      <c r="AI66" s="182"/>
      <c r="AJ66" s="182"/>
      <c r="AK66" s="182"/>
      <c r="AL66" s="182"/>
      <c r="AM66" s="182"/>
      <c r="AN66" s="182"/>
      <c r="AO66" s="182"/>
      <c r="AP66" s="4"/>
      <c r="AQ66" s="79"/>
      <c r="AR66" s="79"/>
    </row>
    <row r="67" ht="0" hidden="1" customHeight="1">
      <c r="C67" s="181"/>
      <c r="D67" s="181"/>
      <c r="E67" s="181"/>
      <c r="F67" s="201"/>
      <c r="G67" s="181"/>
      <c r="H67" s="181"/>
      <c r="I67" s="181"/>
      <c r="J67" s="181"/>
      <c r="K67" s="181"/>
      <c r="L67" s="895"/>
      <c r="M67" s="895"/>
      <c r="N67" s="895"/>
      <c r="O67" s="895"/>
      <c r="P67" s="80"/>
      <c r="Q67" s="4"/>
      <c r="R67" s="182"/>
      <c r="S67" s="182"/>
      <c r="T67" s="182"/>
      <c r="U67" s="182"/>
      <c r="V67" s="182"/>
      <c r="W67" s="182"/>
      <c r="X67" s="182"/>
      <c r="Y67" s="182"/>
      <c r="Z67" s="182"/>
      <c r="AA67" s="182"/>
      <c r="AB67" s="182"/>
      <c r="AC67" s="182"/>
      <c r="AD67" s="182"/>
      <c r="AE67" s="182"/>
      <c r="AF67" s="182"/>
      <c r="AG67" s="182"/>
      <c r="AH67" s="182"/>
      <c r="AI67" s="182"/>
      <c r="AJ67" s="182"/>
      <c r="AK67" s="182"/>
      <c r="AL67" s="182"/>
      <c r="AM67" s="182"/>
      <c r="AN67" s="182"/>
      <c r="AO67" s="182"/>
      <c r="AP67" s="4"/>
      <c r="AQ67" s="79"/>
      <c r="AR67" s="79"/>
    </row>
    <row r="68" ht="0" hidden="1" customHeight="1">
      <c r="C68" s="181"/>
      <c r="D68" s="181"/>
      <c r="E68" s="181"/>
      <c r="F68" s="201"/>
      <c r="G68" s="181"/>
      <c r="H68" s="181"/>
      <c r="I68" s="181"/>
      <c r="J68" s="181"/>
      <c r="K68" s="181"/>
      <c r="L68" s="895"/>
      <c r="M68" s="895"/>
      <c r="N68" s="895"/>
      <c r="O68" s="895"/>
      <c r="P68" s="80"/>
      <c r="Q68" s="4"/>
      <c r="R68" s="182"/>
      <c r="S68" s="182"/>
      <c r="T68" s="182"/>
      <c r="U68" s="182"/>
      <c r="V68" s="182"/>
      <c r="W68" s="182"/>
      <c r="X68" s="182"/>
      <c r="Y68" s="182"/>
      <c r="Z68" s="182"/>
      <c r="AA68" s="182"/>
      <c r="AB68" s="182"/>
      <c r="AC68" s="182"/>
      <c r="AD68" s="182"/>
      <c r="AE68" s="182"/>
      <c r="AF68" s="182"/>
      <c r="AG68" s="182"/>
      <c r="AH68" s="182"/>
      <c r="AI68" s="182"/>
      <c r="AJ68" s="182"/>
      <c r="AK68" s="182"/>
      <c r="AL68" s="182"/>
      <c r="AM68" s="182"/>
      <c r="AN68" s="182"/>
      <c r="AO68" s="182"/>
      <c r="AP68" s="4"/>
      <c r="AQ68" s="79"/>
      <c r="AR68" s="79"/>
    </row>
    <row r="69" ht="0" hidden="1" customHeight="1">
      <c r="C69" s="181"/>
      <c r="D69" s="181"/>
      <c r="E69" s="181"/>
      <c r="F69" s="201"/>
      <c r="G69" s="181"/>
      <c r="H69" s="181"/>
      <c r="I69" s="181"/>
      <c r="J69" s="181"/>
      <c r="K69" s="181"/>
      <c r="L69" s="895"/>
      <c r="M69" s="895"/>
      <c r="N69" s="895"/>
      <c r="O69" s="895"/>
      <c r="P69" s="80"/>
      <c r="Q69" s="4"/>
      <c r="R69" s="182"/>
      <c r="S69" s="182"/>
      <c r="T69" s="182"/>
      <c r="U69" s="182"/>
      <c r="V69" s="182"/>
      <c r="W69" s="182"/>
      <c r="X69" s="182"/>
      <c r="Y69" s="182"/>
      <c r="Z69" s="182"/>
      <c r="AA69" s="182"/>
      <c r="AB69" s="182"/>
      <c r="AC69" s="182"/>
      <c r="AD69" s="182"/>
      <c r="AE69" s="182"/>
      <c r="AF69" s="182"/>
      <c r="AG69" s="182"/>
      <c r="AH69" s="182"/>
      <c r="AI69" s="182"/>
      <c r="AJ69" s="182"/>
      <c r="AK69" s="182"/>
      <c r="AL69" s="182"/>
      <c r="AM69" s="182"/>
      <c r="AN69" s="182"/>
      <c r="AO69" s="182"/>
      <c r="AP69" s="4"/>
      <c r="AQ69" s="79"/>
      <c r="AR69" s="79"/>
    </row>
    <row r="70" ht="0" hidden="1" customHeight="1">
      <c r="C70" s="181"/>
      <c r="D70" s="181"/>
      <c r="E70" s="181"/>
      <c r="F70" s="201"/>
      <c r="G70" s="181"/>
      <c r="H70" s="181"/>
      <c r="I70" s="181"/>
      <c r="J70" s="181"/>
      <c r="K70" s="181"/>
      <c r="L70" s="895"/>
      <c r="M70" s="895"/>
      <c r="N70" s="895"/>
      <c r="O70" s="895"/>
      <c r="P70" s="80"/>
      <c r="Q70" s="4"/>
      <c r="R70" s="182"/>
      <c r="S70" s="182"/>
      <c r="T70" s="182"/>
      <c r="U70" s="182"/>
      <c r="V70" s="182"/>
      <c r="W70" s="182"/>
      <c r="X70" s="182"/>
      <c r="Y70" s="182"/>
      <c r="Z70" s="182"/>
      <c r="AA70" s="182"/>
      <c r="AB70" s="182"/>
      <c r="AC70" s="182"/>
      <c r="AD70" s="182"/>
      <c r="AE70" s="182"/>
      <c r="AF70" s="182"/>
      <c r="AG70" s="182"/>
      <c r="AH70" s="182"/>
      <c r="AI70" s="182"/>
      <c r="AJ70" s="182"/>
      <c r="AK70" s="182"/>
      <c r="AL70" s="182"/>
      <c r="AM70" s="182"/>
      <c r="AN70" s="182"/>
      <c r="AO70" s="182"/>
      <c r="AP70" s="4"/>
      <c r="AQ70" s="79"/>
      <c r="AR70" s="79"/>
    </row>
    <row r="71" ht="0" hidden="1" customHeight="1">
      <c r="C71" s="181"/>
      <c r="D71" s="181"/>
      <c r="E71" s="181"/>
      <c r="F71" s="201"/>
      <c r="G71" s="181"/>
      <c r="H71" s="181"/>
      <c r="I71" s="181"/>
      <c r="J71" s="181"/>
      <c r="K71" s="181"/>
      <c r="L71" s="895"/>
      <c r="M71" s="895"/>
      <c r="N71" s="895"/>
      <c r="O71" s="895"/>
      <c r="P71" s="80"/>
      <c r="Q71" s="4"/>
      <c r="R71" s="182"/>
      <c r="S71" s="182"/>
      <c r="T71" s="182"/>
      <c r="U71" s="182"/>
      <c r="V71" s="182"/>
      <c r="W71" s="182"/>
      <c r="X71" s="182"/>
      <c r="Y71" s="182"/>
      <c r="Z71" s="182"/>
      <c r="AA71" s="182"/>
      <c r="AB71" s="182"/>
      <c r="AC71" s="182"/>
      <c r="AD71" s="182"/>
      <c r="AE71" s="182"/>
      <c r="AF71" s="182"/>
      <c r="AG71" s="182"/>
      <c r="AH71" s="182"/>
      <c r="AI71" s="182"/>
      <c r="AJ71" s="182"/>
      <c r="AK71" s="182"/>
      <c r="AL71" s="182"/>
      <c r="AM71" s="182"/>
      <c r="AN71" s="182"/>
      <c r="AO71" s="182"/>
      <c r="AP71" s="4"/>
      <c r="AQ71" s="79"/>
      <c r="AR71" s="79"/>
    </row>
    <row r="72" ht="0" hidden="1" customHeight="1">
      <c r="C72" s="181"/>
      <c r="D72" s="181"/>
      <c r="E72" s="181"/>
      <c r="F72" s="201"/>
      <c r="G72" s="181"/>
      <c r="H72" s="181"/>
      <c r="I72" s="181"/>
      <c r="J72" s="181"/>
      <c r="K72" s="181"/>
      <c r="L72" s="895"/>
      <c r="M72" s="895"/>
      <c r="N72" s="895"/>
      <c r="O72" s="895"/>
      <c r="P72" s="80"/>
      <c r="Q72" s="4"/>
      <c r="R72" s="182"/>
      <c r="S72" s="182"/>
      <c r="T72" s="182"/>
      <c r="U72" s="182"/>
      <c r="V72" s="182"/>
      <c r="W72" s="182"/>
      <c r="X72" s="182"/>
      <c r="Y72" s="182"/>
      <c r="Z72" s="182"/>
      <c r="AA72" s="182"/>
      <c r="AB72" s="182"/>
      <c r="AC72" s="182"/>
      <c r="AD72" s="182"/>
      <c r="AE72" s="182"/>
      <c r="AF72" s="182"/>
      <c r="AG72" s="182"/>
      <c r="AH72" s="182"/>
      <c r="AI72" s="182"/>
      <c r="AJ72" s="182"/>
      <c r="AK72" s="182"/>
      <c r="AL72" s="182"/>
      <c r="AM72" s="182"/>
      <c r="AN72" s="182"/>
      <c r="AO72" s="182"/>
      <c r="AP72" s="4"/>
      <c r="AQ72" s="79"/>
      <c r="AR72" s="79"/>
    </row>
    <row r="73" ht="0" hidden="1" customHeight="1">
      <c r="C73" s="181"/>
      <c r="D73" s="181"/>
      <c r="E73" s="181"/>
      <c r="F73" s="201"/>
      <c r="G73" s="181"/>
      <c r="H73" s="181"/>
      <c r="I73" s="181"/>
      <c r="J73" s="181"/>
      <c r="K73" s="181"/>
      <c r="L73" s="895"/>
      <c r="M73" s="895"/>
      <c r="N73" s="895"/>
      <c r="O73" s="895"/>
      <c r="P73" s="80"/>
      <c r="Q73" s="4"/>
      <c r="R73" s="182"/>
      <c r="S73" s="182"/>
      <c r="T73" s="182"/>
      <c r="U73" s="182"/>
      <c r="V73" s="182"/>
      <c r="W73" s="182"/>
      <c r="X73" s="182"/>
      <c r="Y73" s="182"/>
      <c r="Z73" s="182"/>
      <c r="AA73" s="182"/>
      <c r="AB73" s="182"/>
      <c r="AC73" s="182"/>
      <c r="AD73" s="182"/>
      <c r="AE73" s="182"/>
      <c r="AF73" s="182"/>
      <c r="AG73" s="182"/>
      <c r="AH73" s="182"/>
      <c r="AI73" s="182"/>
      <c r="AJ73" s="182"/>
      <c r="AK73" s="182"/>
      <c r="AL73" s="182"/>
      <c r="AM73" s="182"/>
      <c r="AN73" s="182"/>
      <c r="AO73" s="182"/>
      <c r="AP73" s="4"/>
      <c r="AQ73" s="79"/>
      <c r="AR73" s="79"/>
    </row>
    <row r="74" ht="0" hidden="1" customHeight="1">
      <c r="C74" s="181"/>
      <c r="D74" s="181"/>
      <c r="E74" s="181"/>
      <c r="F74" s="201"/>
      <c r="G74" s="181"/>
      <c r="H74" s="181"/>
      <c r="I74" s="181"/>
      <c r="J74" s="181"/>
      <c r="K74" s="181"/>
      <c r="L74" s="895"/>
      <c r="M74" s="895"/>
      <c r="N74" s="895"/>
      <c r="O74" s="895"/>
      <c r="P74" s="80"/>
      <c r="Q74" s="4"/>
      <c r="R74" s="182"/>
      <c r="S74" s="182"/>
      <c r="T74" s="182"/>
      <c r="U74" s="182"/>
      <c r="V74" s="182"/>
      <c r="W74" s="182"/>
      <c r="X74" s="182"/>
      <c r="Y74" s="182"/>
      <c r="Z74" s="182"/>
      <c r="AA74" s="182"/>
      <c r="AB74" s="182"/>
      <c r="AC74" s="182"/>
      <c r="AD74" s="182"/>
      <c r="AE74" s="182"/>
      <c r="AF74" s="182"/>
      <c r="AG74" s="182"/>
      <c r="AH74" s="182"/>
      <c r="AI74" s="182"/>
      <c r="AJ74" s="182"/>
      <c r="AK74" s="182"/>
      <c r="AL74" s="182"/>
      <c r="AM74" s="182"/>
      <c r="AN74" s="182"/>
      <c r="AO74" s="182"/>
      <c r="AP74" s="4"/>
      <c r="AQ74" s="79"/>
      <c r="AR74" s="79"/>
    </row>
    <row r="75" ht="0" hidden="1" customHeight="1">
      <c r="C75" s="181"/>
      <c r="D75" s="181"/>
      <c r="E75" s="181"/>
      <c r="F75" s="201"/>
      <c r="G75" s="181"/>
      <c r="H75" s="181"/>
      <c r="I75" s="181"/>
      <c r="J75" s="181"/>
      <c r="K75" s="181"/>
      <c r="L75" s="895"/>
      <c r="M75" s="895"/>
      <c r="N75" s="895"/>
      <c r="O75" s="895"/>
      <c r="P75" s="80"/>
      <c r="Q75" s="4"/>
      <c r="R75" s="182"/>
      <c r="S75" s="182"/>
      <c r="T75" s="182"/>
      <c r="U75" s="182"/>
      <c r="V75" s="182"/>
      <c r="W75" s="182"/>
      <c r="X75" s="182"/>
      <c r="Y75" s="182"/>
      <c r="Z75" s="182"/>
      <c r="AA75" s="182"/>
      <c r="AB75" s="182"/>
      <c r="AC75" s="182"/>
      <c r="AD75" s="182"/>
      <c r="AE75" s="182"/>
      <c r="AF75" s="182"/>
      <c r="AG75" s="182"/>
      <c r="AH75" s="182"/>
      <c r="AI75" s="182"/>
      <c r="AJ75" s="182"/>
      <c r="AK75" s="182"/>
      <c r="AL75" s="182"/>
      <c r="AM75" s="182"/>
      <c r="AN75" s="182"/>
      <c r="AO75" s="182"/>
      <c r="AP75" s="4"/>
      <c r="AQ75" s="79"/>
      <c r="AR75" s="79"/>
    </row>
    <row r="76" ht="0" hidden="1" customHeight="1">
      <c r="C76" s="181"/>
      <c r="D76" s="181"/>
      <c r="E76" s="181"/>
      <c r="F76" s="201"/>
      <c r="G76" s="181"/>
      <c r="H76" s="181"/>
      <c r="I76" s="181"/>
      <c r="J76" s="181"/>
      <c r="K76" s="181"/>
      <c r="L76" s="895"/>
      <c r="M76" s="895"/>
      <c r="N76" s="895"/>
      <c r="O76" s="895"/>
      <c r="P76" s="80"/>
      <c r="Q76" s="4"/>
      <c r="R76" s="182"/>
      <c r="S76" s="182"/>
      <c r="T76" s="182"/>
      <c r="U76" s="182"/>
      <c r="V76" s="182"/>
      <c r="W76" s="182"/>
      <c r="X76" s="182"/>
      <c r="Y76" s="182"/>
      <c r="Z76" s="182"/>
      <c r="AA76" s="182"/>
      <c r="AB76" s="182"/>
      <c r="AC76" s="182"/>
      <c r="AD76" s="182"/>
      <c r="AE76" s="182"/>
      <c r="AF76" s="182"/>
      <c r="AG76" s="182"/>
      <c r="AH76" s="182"/>
      <c r="AI76" s="182"/>
      <c r="AJ76" s="182"/>
      <c r="AK76" s="182"/>
      <c r="AL76" s="182"/>
      <c r="AM76" s="182"/>
      <c r="AN76" s="182"/>
      <c r="AO76" s="182"/>
      <c r="AP76" s="4"/>
      <c r="AQ76" s="79"/>
      <c r="AR76" s="79"/>
    </row>
    <row r="77" ht="0" hidden="1" customHeight="1">
      <c r="C77" s="181"/>
      <c r="D77" s="181"/>
      <c r="E77" s="181"/>
      <c r="F77" s="201"/>
      <c r="G77" s="181"/>
      <c r="H77" s="181"/>
      <c r="I77" s="181"/>
      <c r="J77" s="181"/>
      <c r="K77" s="181"/>
      <c r="L77" s="895"/>
      <c r="M77" s="895"/>
      <c r="N77" s="895"/>
      <c r="O77" s="895"/>
      <c r="P77" s="80"/>
      <c r="Q77" s="4"/>
      <c r="R77" s="182"/>
      <c r="S77" s="182"/>
      <c r="T77" s="182"/>
      <c r="U77" s="182"/>
      <c r="V77" s="182"/>
      <c r="W77" s="182"/>
      <c r="X77" s="182"/>
      <c r="Y77" s="182"/>
      <c r="Z77" s="182"/>
      <c r="AA77" s="182"/>
      <c r="AB77" s="182"/>
      <c r="AC77" s="182"/>
      <c r="AD77" s="182"/>
      <c r="AE77" s="182"/>
      <c r="AF77" s="182"/>
      <c r="AG77" s="182"/>
      <c r="AH77" s="182"/>
      <c r="AI77" s="182"/>
      <c r="AJ77" s="182"/>
      <c r="AK77" s="182"/>
      <c r="AL77" s="182"/>
      <c r="AM77" s="182"/>
      <c r="AN77" s="182"/>
      <c r="AO77" s="182"/>
      <c r="AP77" s="4"/>
      <c r="AQ77" s="79"/>
      <c r="AR77" s="79"/>
    </row>
    <row r="78" ht="0" hidden="1" customHeight="1">
      <c r="C78" s="181"/>
      <c r="D78" s="181"/>
      <c r="E78" s="181"/>
      <c r="F78" s="201"/>
      <c r="G78" s="181"/>
      <c r="H78" s="181"/>
      <c r="I78" s="181"/>
      <c r="J78" s="181"/>
      <c r="K78" s="181"/>
      <c r="L78" s="895"/>
      <c r="M78" s="895"/>
      <c r="N78" s="895"/>
      <c r="O78" s="895"/>
      <c r="P78" s="80"/>
      <c r="Q78" s="4"/>
      <c r="R78" s="182"/>
      <c r="S78" s="182"/>
      <c r="T78" s="182"/>
      <c r="U78" s="182"/>
      <c r="V78" s="182"/>
      <c r="W78" s="182"/>
      <c r="X78" s="182"/>
      <c r="Y78" s="182"/>
      <c r="Z78" s="182"/>
      <c r="AA78" s="182"/>
      <c r="AB78" s="182"/>
      <c r="AC78" s="182"/>
      <c r="AD78" s="182"/>
      <c r="AE78" s="182"/>
      <c r="AF78" s="182"/>
      <c r="AG78" s="182"/>
      <c r="AH78" s="182"/>
      <c r="AI78" s="182"/>
      <c r="AJ78" s="182"/>
      <c r="AK78" s="182"/>
      <c r="AL78" s="182"/>
      <c r="AM78" s="182"/>
      <c r="AN78" s="182"/>
      <c r="AO78" s="182"/>
      <c r="AP78" s="4"/>
      <c r="AQ78" s="79"/>
      <c r="AR78" s="79"/>
    </row>
    <row r="79" ht="0" hidden="1" customHeight="1">
      <c r="C79" s="181"/>
      <c r="D79" s="181"/>
      <c r="E79" s="181"/>
      <c r="F79" s="201"/>
      <c r="G79" s="181"/>
      <c r="H79" s="181"/>
      <c r="I79" s="181"/>
      <c r="J79" s="181"/>
      <c r="K79" s="181"/>
      <c r="L79" s="895"/>
      <c r="M79" s="895"/>
      <c r="N79" s="895"/>
      <c r="O79" s="895"/>
      <c r="P79" s="80"/>
      <c r="Q79" s="4"/>
      <c r="R79" s="182"/>
      <c r="S79" s="182"/>
      <c r="T79" s="182"/>
      <c r="U79" s="182"/>
      <c r="V79" s="182"/>
      <c r="W79" s="182"/>
      <c r="X79" s="182"/>
      <c r="Y79" s="182"/>
      <c r="Z79" s="182"/>
      <c r="AA79" s="182"/>
      <c r="AB79" s="182"/>
      <c r="AC79" s="182"/>
      <c r="AD79" s="182"/>
      <c r="AE79" s="182"/>
      <c r="AF79" s="182"/>
      <c r="AG79" s="182"/>
      <c r="AH79" s="182"/>
      <c r="AI79" s="182"/>
      <c r="AJ79" s="182"/>
      <c r="AK79" s="182"/>
      <c r="AL79" s="182"/>
      <c r="AM79" s="182"/>
      <c r="AN79" s="182"/>
      <c r="AO79" s="182"/>
      <c r="AP79" s="4"/>
      <c r="AQ79" s="79"/>
      <c r="AR79" s="79"/>
    </row>
    <row r="80" ht="0" hidden="1" customHeight="1">
      <c r="C80" s="181"/>
      <c r="D80" s="181"/>
      <c r="E80" s="181"/>
      <c r="F80" s="201"/>
      <c r="G80" s="181"/>
      <c r="H80" s="181"/>
      <c r="I80" s="181"/>
      <c r="J80" s="181"/>
      <c r="K80" s="181"/>
      <c r="L80" s="895"/>
      <c r="M80" s="895"/>
      <c r="N80" s="895"/>
      <c r="O80" s="895"/>
      <c r="P80" s="80"/>
      <c r="Q80" s="4"/>
      <c r="R80" s="182"/>
      <c r="S80" s="182"/>
      <c r="T80" s="182"/>
      <c r="U80" s="182"/>
      <c r="V80" s="182"/>
      <c r="W80" s="182"/>
      <c r="X80" s="182"/>
      <c r="Y80" s="182"/>
      <c r="Z80" s="182"/>
      <c r="AA80" s="182"/>
      <c r="AB80" s="182"/>
      <c r="AC80" s="182"/>
      <c r="AD80" s="182"/>
      <c r="AE80" s="182"/>
      <c r="AF80" s="182"/>
      <c r="AG80" s="182"/>
      <c r="AH80" s="182"/>
      <c r="AI80" s="182"/>
      <c r="AJ80" s="182"/>
      <c r="AK80" s="182"/>
      <c r="AL80" s="182"/>
      <c r="AM80" s="182"/>
      <c r="AN80" s="182"/>
      <c r="AO80" s="182"/>
      <c r="AP80" s="4"/>
      <c r="AQ80" s="79"/>
      <c r="AR80" s="79"/>
    </row>
    <row r="81" ht="0" hidden="1" customHeight="1">
      <c r="C81" s="181"/>
      <c r="D81" s="181"/>
      <c r="E81" s="181"/>
      <c r="F81" s="201"/>
      <c r="G81" s="181"/>
      <c r="H81" s="181"/>
      <c r="I81" s="181"/>
      <c r="J81" s="181"/>
      <c r="K81" s="181"/>
      <c r="L81" s="895"/>
      <c r="M81" s="895"/>
      <c r="N81" s="895"/>
      <c r="O81" s="895"/>
      <c r="P81" s="80"/>
      <c r="Q81" s="4"/>
      <c r="R81" s="182"/>
      <c r="S81" s="182"/>
      <c r="T81" s="182"/>
      <c r="U81" s="182"/>
      <c r="V81" s="182"/>
      <c r="W81" s="182"/>
      <c r="X81" s="182"/>
      <c r="Y81" s="182"/>
      <c r="Z81" s="182"/>
      <c r="AA81" s="182"/>
      <c r="AB81" s="182"/>
      <c r="AC81" s="182"/>
      <c r="AD81" s="182"/>
      <c r="AE81" s="182"/>
      <c r="AF81" s="182"/>
      <c r="AG81" s="182"/>
      <c r="AH81" s="182"/>
      <c r="AI81" s="182"/>
      <c r="AJ81" s="182"/>
      <c r="AK81" s="182"/>
      <c r="AL81" s="182"/>
      <c r="AM81" s="182"/>
      <c r="AN81" s="182"/>
      <c r="AO81" s="182"/>
      <c r="AP81" s="4"/>
      <c r="AQ81" s="79"/>
      <c r="AR81" s="79"/>
    </row>
    <row r="82" ht="0" hidden="1" customHeight="1">
      <c r="C82" s="181"/>
      <c r="D82" s="181"/>
      <c r="E82" s="181"/>
      <c r="F82" s="201"/>
      <c r="G82" s="181"/>
      <c r="H82" s="181"/>
      <c r="I82" s="181"/>
      <c r="J82" s="181"/>
      <c r="K82" s="181"/>
      <c r="L82" s="895"/>
      <c r="M82" s="895"/>
      <c r="N82" s="895"/>
      <c r="O82" s="895"/>
      <c r="P82" s="80"/>
      <c r="Q82" s="4"/>
      <c r="R82" s="182"/>
      <c r="S82" s="182"/>
      <c r="T82" s="182"/>
      <c r="U82" s="182"/>
      <c r="V82" s="182"/>
      <c r="W82" s="182"/>
      <c r="X82" s="182"/>
      <c r="Y82" s="182"/>
      <c r="Z82" s="182"/>
      <c r="AA82" s="182"/>
      <c r="AB82" s="182"/>
      <c r="AC82" s="182"/>
      <c r="AD82" s="182"/>
      <c r="AE82" s="182"/>
      <c r="AF82" s="182"/>
      <c r="AG82" s="182"/>
      <c r="AH82" s="182"/>
      <c r="AI82" s="182"/>
      <c r="AJ82" s="182"/>
      <c r="AK82" s="182"/>
      <c r="AL82" s="182"/>
      <c r="AM82" s="182"/>
      <c r="AN82" s="182"/>
      <c r="AO82" s="182"/>
      <c r="AP82" s="4"/>
      <c r="AQ82" s="79"/>
      <c r="AR82" s="79"/>
    </row>
    <row r="83" ht="0" hidden="1" customHeight="1">
      <c r="C83" s="181"/>
      <c r="D83" s="181"/>
      <c r="E83" s="181"/>
      <c r="F83" s="201"/>
      <c r="G83" s="181"/>
      <c r="H83" s="181"/>
      <c r="I83" s="181"/>
      <c r="J83" s="181"/>
      <c r="K83" s="181"/>
      <c r="L83" s="895"/>
      <c r="M83" s="895"/>
      <c r="N83" s="895"/>
      <c r="O83" s="895"/>
      <c r="P83" s="80"/>
      <c r="Q83" s="4"/>
      <c r="R83" s="182"/>
      <c r="S83" s="182"/>
      <c r="T83" s="182"/>
      <c r="U83" s="182"/>
      <c r="V83" s="182"/>
      <c r="W83" s="182"/>
      <c r="X83" s="182"/>
      <c r="Y83" s="182"/>
      <c r="Z83" s="182"/>
      <c r="AA83" s="182"/>
      <c r="AB83" s="182"/>
      <c r="AC83" s="182"/>
      <c r="AD83" s="182"/>
      <c r="AE83" s="182"/>
      <c r="AF83" s="182"/>
      <c r="AG83" s="182"/>
      <c r="AH83" s="182"/>
      <c r="AI83" s="182"/>
      <c r="AJ83" s="182"/>
      <c r="AK83" s="182"/>
      <c r="AL83" s="182"/>
      <c r="AM83" s="182"/>
      <c r="AN83" s="182"/>
      <c r="AO83" s="182"/>
      <c r="AP83" s="4"/>
      <c r="AQ83" s="79"/>
      <c r="AR83" s="79"/>
    </row>
    <row r="84" ht="0" hidden="1" customHeight="1">
      <c r="C84" s="181"/>
      <c r="D84" s="181"/>
      <c r="E84" s="181"/>
      <c r="F84" s="201"/>
      <c r="G84" s="181"/>
      <c r="H84" s="181"/>
      <c r="I84" s="181"/>
      <c r="J84" s="181"/>
      <c r="K84" s="181"/>
      <c r="L84" s="895"/>
      <c r="M84" s="895"/>
      <c r="N84" s="895"/>
      <c r="O84" s="895"/>
      <c r="P84" s="80"/>
      <c r="Q84" s="4"/>
      <c r="R84" s="182"/>
      <c r="S84" s="182"/>
      <c r="T84" s="182"/>
      <c r="U84" s="182"/>
      <c r="V84" s="182"/>
      <c r="W84" s="182"/>
      <c r="X84" s="182"/>
      <c r="Y84" s="182"/>
      <c r="Z84" s="182"/>
      <c r="AA84" s="182"/>
      <c r="AB84" s="182"/>
      <c r="AC84" s="182"/>
      <c r="AD84" s="182"/>
      <c r="AE84" s="182"/>
      <c r="AF84" s="182"/>
      <c r="AG84" s="182"/>
      <c r="AH84" s="182"/>
      <c r="AI84" s="182"/>
      <c r="AJ84" s="182"/>
      <c r="AK84" s="182"/>
      <c r="AL84" s="182"/>
      <c r="AM84" s="182"/>
      <c r="AN84" s="182"/>
      <c r="AO84" s="182"/>
      <c r="AP84" s="4"/>
      <c r="AQ84" s="79"/>
      <c r="AR84" s="79"/>
    </row>
    <row r="85" ht="0" hidden="1" customHeight="1">
      <c r="C85" s="181"/>
      <c r="D85" s="181"/>
      <c r="E85" s="181"/>
      <c r="F85" s="201"/>
      <c r="G85" s="181"/>
      <c r="H85" s="181"/>
      <c r="I85" s="181"/>
      <c r="J85" s="181"/>
      <c r="K85" s="181"/>
      <c r="L85" s="895"/>
      <c r="M85" s="895"/>
      <c r="N85" s="895"/>
      <c r="O85" s="895"/>
      <c r="P85" s="80"/>
      <c r="Q85" s="4"/>
      <c r="R85" s="182"/>
      <c r="S85" s="182"/>
      <c r="T85" s="182"/>
      <c r="U85" s="182"/>
      <c r="V85" s="182"/>
      <c r="W85" s="182"/>
      <c r="X85" s="182"/>
      <c r="Y85" s="182"/>
      <c r="Z85" s="182"/>
      <c r="AA85" s="182"/>
      <c r="AB85" s="182"/>
      <c r="AC85" s="182"/>
      <c r="AD85" s="182"/>
      <c r="AE85" s="182"/>
      <c r="AF85" s="182"/>
      <c r="AG85" s="182"/>
      <c r="AH85" s="182"/>
      <c r="AI85" s="182"/>
      <c r="AJ85" s="182"/>
      <c r="AK85" s="182"/>
      <c r="AL85" s="182"/>
      <c r="AM85" s="182"/>
      <c r="AN85" s="182"/>
      <c r="AO85" s="182"/>
      <c r="AP85" s="4"/>
      <c r="AQ85" s="79"/>
      <c r="AR85" s="79"/>
    </row>
    <row r="86" ht="0" hidden="1" customHeight="1">
      <c r="C86" s="181"/>
      <c r="D86" s="181"/>
      <c r="E86" s="181"/>
      <c r="F86" s="201"/>
      <c r="G86" s="181"/>
      <c r="H86" s="181"/>
      <c r="I86" s="181"/>
      <c r="J86" s="181"/>
      <c r="K86" s="181"/>
      <c r="L86" s="895"/>
      <c r="M86" s="895"/>
      <c r="N86" s="895"/>
      <c r="O86" s="895"/>
      <c r="P86" s="80"/>
      <c r="Q86" s="4"/>
      <c r="R86" s="182"/>
      <c r="S86" s="182"/>
      <c r="T86" s="182"/>
      <c r="U86" s="182"/>
      <c r="V86" s="182"/>
      <c r="W86" s="182"/>
      <c r="X86" s="182"/>
      <c r="Y86" s="182"/>
      <c r="Z86" s="182"/>
      <c r="AA86" s="182"/>
      <c r="AB86" s="182"/>
      <c r="AC86" s="182"/>
      <c r="AD86" s="182"/>
      <c r="AE86" s="182"/>
      <c r="AF86" s="182"/>
      <c r="AG86" s="182"/>
      <c r="AH86" s="182"/>
      <c r="AI86" s="182"/>
      <c r="AJ86" s="182"/>
      <c r="AK86" s="182"/>
      <c r="AL86" s="182"/>
      <c r="AM86" s="182"/>
      <c r="AN86" s="182"/>
      <c r="AO86" s="182"/>
      <c r="AP86" s="4"/>
      <c r="AQ86" s="79"/>
      <c r="AR86" s="79"/>
    </row>
    <row r="87" ht="0" hidden="1" customHeight="1">
      <c r="C87" s="181"/>
      <c r="D87" s="181"/>
      <c r="E87" s="181"/>
      <c r="F87" s="201"/>
      <c r="G87" s="181"/>
      <c r="H87" s="181"/>
      <c r="I87" s="181"/>
      <c r="J87" s="181"/>
      <c r="K87" s="181"/>
      <c r="L87" s="895"/>
      <c r="M87" s="895"/>
      <c r="N87" s="895"/>
      <c r="O87" s="895"/>
      <c r="P87" s="80"/>
      <c r="Q87" s="4"/>
      <c r="R87" s="182"/>
      <c r="S87" s="182"/>
      <c r="T87" s="182"/>
      <c r="U87" s="182"/>
      <c r="V87" s="182"/>
      <c r="W87" s="182"/>
      <c r="X87" s="182"/>
      <c r="Y87" s="182"/>
      <c r="Z87" s="182"/>
      <c r="AA87" s="182"/>
      <c r="AB87" s="182"/>
      <c r="AC87" s="182"/>
      <c r="AD87" s="182"/>
      <c r="AE87" s="182"/>
      <c r="AF87" s="182"/>
      <c r="AG87" s="182"/>
      <c r="AH87" s="182"/>
      <c r="AI87" s="182"/>
      <c r="AJ87" s="182"/>
      <c r="AK87" s="182"/>
      <c r="AL87" s="182"/>
      <c r="AM87" s="182"/>
      <c r="AN87" s="182"/>
      <c r="AO87" s="182"/>
      <c r="AP87" s="4"/>
      <c r="AQ87" s="79"/>
      <c r="AR87" s="79"/>
    </row>
    <row r="88" ht="0" hidden="1" customHeight="1">
      <c r="C88" s="181"/>
      <c r="D88" s="181"/>
      <c r="E88" s="181"/>
      <c r="F88" s="201"/>
      <c r="G88" s="181"/>
      <c r="H88" s="181"/>
      <c r="I88" s="181"/>
      <c r="J88" s="181"/>
      <c r="K88" s="181"/>
      <c r="L88" s="895"/>
      <c r="M88" s="895"/>
      <c r="N88" s="895"/>
      <c r="O88" s="895"/>
      <c r="P88" s="80"/>
      <c r="Q88" s="4"/>
      <c r="R88" s="182"/>
      <c r="S88" s="182"/>
      <c r="T88" s="182"/>
      <c r="U88" s="182"/>
      <c r="V88" s="182"/>
      <c r="W88" s="182"/>
      <c r="X88" s="182"/>
      <c r="Y88" s="182"/>
      <c r="Z88" s="182"/>
      <c r="AA88" s="182"/>
      <c r="AB88" s="182"/>
      <c r="AC88" s="182"/>
      <c r="AD88" s="182"/>
      <c r="AE88" s="182"/>
      <c r="AF88" s="182"/>
      <c r="AG88" s="182"/>
      <c r="AH88" s="182"/>
      <c r="AI88" s="182"/>
      <c r="AJ88" s="182"/>
      <c r="AK88" s="182"/>
      <c r="AL88" s="182"/>
      <c r="AM88" s="182"/>
      <c r="AN88" s="182"/>
      <c r="AO88" s="182"/>
      <c r="AP88" s="4"/>
      <c r="AQ88" s="79"/>
      <c r="AR88" s="79"/>
    </row>
    <row r="89" ht="0" hidden="1" customHeight="1">
      <c r="C89" s="181"/>
      <c r="D89" s="181"/>
      <c r="E89" s="181"/>
      <c r="F89" s="201"/>
      <c r="G89" s="181"/>
      <c r="H89" s="181"/>
      <c r="I89" s="181"/>
      <c r="J89" s="181"/>
      <c r="K89" s="181"/>
      <c r="L89" s="895"/>
      <c r="M89" s="895"/>
      <c r="N89" s="895"/>
      <c r="O89" s="895"/>
      <c r="P89" s="80"/>
      <c r="Q89" s="4"/>
      <c r="R89" s="182"/>
      <c r="S89" s="182"/>
      <c r="T89" s="182"/>
      <c r="U89" s="182"/>
      <c r="V89" s="182"/>
      <c r="W89" s="182"/>
      <c r="X89" s="182"/>
      <c r="Y89" s="182"/>
      <c r="Z89" s="182"/>
      <c r="AA89" s="182"/>
      <c r="AB89" s="182"/>
      <c r="AC89" s="182"/>
      <c r="AD89" s="182"/>
      <c r="AE89" s="182"/>
      <c r="AF89" s="182"/>
      <c r="AG89" s="182"/>
      <c r="AH89" s="182"/>
      <c r="AI89" s="182"/>
      <c r="AJ89" s="182"/>
      <c r="AK89" s="182"/>
      <c r="AL89" s="182"/>
      <c r="AM89" s="182"/>
      <c r="AN89" s="182"/>
      <c r="AO89" s="182"/>
      <c r="AP89" s="4"/>
      <c r="AQ89" s="79"/>
      <c r="AR89" s="79"/>
    </row>
    <row r="90" ht="0" hidden="1" customHeight="1">
      <c r="C90" s="181"/>
      <c r="D90" s="181"/>
      <c r="E90" s="181"/>
      <c r="F90" s="201"/>
      <c r="G90" s="181"/>
      <c r="H90" s="181"/>
      <c r="I90" s="181"/>
      <c r="J90" s="181"/>
      <c r="K90" s="181"/>
      <c r="L90" s="895"/>
      <c r="M90" s="895"/>
      <c r="N90" s="895"/>
      <c r="O90" s="895"/>
      <c r="P90" s="80"/>
      <c r="Q90" s="4"/>
      <c r="R90" s="182"/>
      <c r="S90" s="182"/>
      <c r="T90" s="182"/>
      <c r="U90" s="182"/>
      <c r="V90" s="182"/>
      <c r="W90" s="182"/>
      <c r="X90" s="182"/>
      <c r="Y90" s="182"/>
      <c r="Z90" s="182"/>
      <c r="AA90" s="182"/>
      <c r="AB90" s="182"/>
      <c r="AC90" s="182"/>
      <c r="AD90" s="182"/>
      <c r="AE90" s="182"/>
      <c r="AF90" s="182"/>
      <c r="AG90" s="182"/>
      <c r="AH90" s="182"/>
      <c r="AI90" s="182"/>
      <c r="AJ90" s="182"/>
      <c r="AK90" s="182"/>
      <c r="AL90" s="182"/>
      <c r="AM90" s="182"/>
      <c r="AN90" s="182"/>
      <c r="AO90" s="182"/>
      <c r="AP90" s="4"/>
      <c r="AQ90" s="79"/>
      <c r="AR90" s="79"/>
    </row>
    <row r="91" ht="0" hidden="1" customHeight="1">
      <c r="C91" s="181"/>
      <c r="D91" s="181"/>
      <c r="E91" s="181"/>
      <c r="F91" s="201"/>
      <c r="G91" s="181"/>
      <c r="H91" s="181"/>
      <c r="I91" s="181"/>
      <c r="J91" s="181"/>
      <c r="K91" s="181"/>
      <c r="L91" s="895"/>
      <c r="M91" s="895"/>
      <c r="N91" s="895"/>
      <c r="O91" s="895"/>
      <c r="P91" s="80"/>
      <c r="Q91" s="4"/>
      <c r="R91" s="182"/>
      <c r="S91" s="182"/>
      <c r="T91" s="182"/>
      <c r="U91" s="182"/>
      <c r="V91" s="182"/>
      <c r="W91" s="182"/>
      <c r="X91" s="182"/>
      <c r="Y91" s="182"/>
      <c r="Z91" s="182"/>
      <c r="AA91" s="182"/>
      <c r="AB91" s="182"/>
      <c r="AC91" s="182"/>
      <c r="AD91" s="182"/>
      <c r="AE91" s="182"/>
      <c r="AF91" s="182"/>
      <c r="AG91" s="182"/>
      <c r="AH91" s="182"/>
      <c r="AI91" s="182"/>
      <c r="AJ91" s="182"/>
      <c r="AK91" s="182"/>
      <c r="AL91" s="182"/>
      <c r="AM91" s="182"/>
      <c r="AN91" s="182"/>
      <c r="AO91" s="182"/>
      <c r="AP91" s="4"/>
      <c r="AQ91" s="79"/>
      <c r="AR91" s="79"/>
    </row>
    <row r="92" ht="0" hidden="1" customHeight="1">
      <c r="C92" s="181"/>
      <c r="D92" s="181"/>
      <c r="E92" s="181"/>
      <c r="F92" s="201"/>
      <c r="G92" s="181"/>
      <c r="H92" s="181"/>
      <c r="I92" s="181"/>
      <c r="J92" s="181"/>
      <c r="K92" s="181"/>
      <c r="L92" s="895"/>
      <c r="M92" s="895"/>
      <c r="N92" s="895"/>
      <c r="O92" s="895"/>
      <c r="P92" s="80"/>
      <c r="Q92" s="4"/>
      <c r="R92" s="182"/>
      <c r="S92" s="182"/>
      <c r="T92" s="182"/>
      <c r="U92" s="182"/>
      <c r="V92" s="182"/>
      <c r="W92" s="182"/>
      <c r="X92" s="182"/>
      <c r="Y92" s="182"/>
      <c r="Z92" s="182"/>
      <c r="AA92" s="182"/>
      <c r="AB92" s="182"/>
      <c r="AC92" s="182"/>
      <c r="AD92" s="182"/>
      <c r="AE92" s="182"/>
      <c r="AF92" s="182"/>
      <c r="AG92" s="182"/>
      <c r="AH92" s="182"/>
      <c r="AI92" s="182"/>
      <c r="AJ92" s="182"/>
      <c r="AK92" s="182"/>
      <c r="AL92" s="182"/>
      <c r="AM92" s="182"/>
      <c r="AN92" s="182"/>
      <c r="AO92" s="182"/>
      <c r="AP92" s="4"/>
      <c r="AQ92" s="79"/>
      <c r="AR92" s="79"/>
    </row>
    <row r="93" ht="0" hidden="1" customHeight="1">
      <c r="C93" s="181"/>
      <c r="D93" s="181"/>
      <c r="E93" s="181"/>
      <c r="F93" s="201"/>
      <c r="G93" s="181"/>
      <c r="H93" s="181"/>
      <c r="I93" s="181"/>
      <c r="J93" s="181"/>
      <c r="K93" s="181"/>
      <c r="L93" s="895"/>
      <c r="M93" s="895"/>
      <c r="N93" s="895"/>
      <c r="O93" s="895"/>
      <c r="P93" s="80"/>
      <c r="Q93" s="4"/>
      <c r="R93" s="182"/>
      <c r="S93" s="182"/>
      <c r="T93" s="182"/>
      <c r="U93" s="182"/>
      <c r="V93" s="182"/>
      <c r="W93" s="182"/>
      <c r="X93" s="182"/>
      <c r="Y93" s="182"/>
      <c r="Z93" s="182"/>
      <c r="AA93" s="182"/>
      <c r="AB93" s="182"/>
      <c r="AC93" s="182"/>
      <c r="AD93" s="182"/>
      <c r="AE93" s="182"/>
      <c r="AF93" s="182"/>
      <c r="AG93" s="182"/>
      <c r="AH93" s="182"/>
      <c r="AI93" s="182"/>
      <c r="AJ93" s="182"/>
      <c r="AK93" s="182"/>
      <c r="AL93" s="182"/>
      <c r="AM93" s="182"/>
      <c r="AN93" s="182"/>
      <c r="AO93" s="182"/>
      <c r="AP93" s="4"/>
      <c r="AQ93" s="79"/>
      <c r="AR93" s="79"/>
    </row>
    <row r="94" ht="0" hidden="1" customHeight="1">
      <c r="C94" s="181"/>
      <c r="D94" s="181"/>
      <c r="E94" s="181"/>
      <c r="F94" s="201"/>
      <c r="G94" s="181"/>
      <c r="H94" s="181"/>
      <c r="I94" s="181"/>
      <c r="J94" s="181"/>
      <c r="K94" s="181"/>
      <c r="L94" s="895"/>
      <c r="M94" s="895"/>
      <c r="N94" s="895"/>
      <c r="O94" s="895"/>
      <c r="P94" s="80"/>
      <c r="Q94" s="4"/>
      <c r="R94" s="182"/>
      <c r="S94" s="182"/>
      <c r="T94" s="182"/>
      <c r="U94" s="182"/>
      <c r="V94" s="182"/>
      <c r="W94" s="182"/>
      <c r="X94" s="182"/>
      <c r="Y94" s="182"/>
      <c r="Z94" s="182"/>
      <c r="AA94" s="182"/>
      <c r="AB94" s="182"/>
      <c r="AC94" s="182"/>
      <c r="AD94" s="182"/>
      <c r="AE94" s="182"/>
      <c r="AF94" s="182"/>
      <c r="AG94" s="182"/>
      <c r="AH94" s="182"/>
      <c r="AI94" s="182"/>
      <c r="AJ94" s="182"/>
      <c r="AK94" s="182"/>
      <c r="AL94" s="182"/>
      <c r="AM94" s="182"/>
      <c r="AN94" s="182"/>
      <c r="AO94" s="182"/>
      <c r="AP94" s="4"/>
      <c r="AQ94" s="79"/>
      <c r="AR94" s="79"/>
    </row>
    <row r="95" ht="0" hidden="1" customHeight="1">
      <c r="C95" s="181"/>
      <c r="D95" s="181"/>
      <c r="E95" s="181"/>
      <c r="F95" s="201"/>
      <c r="G95" s="181"/>
      <c r="H95" s="181"/>
      <c r="I95" s="181"/>
      <c r="J95" s="181"/>
      <c r="K95" s="181"/>
      <c r="L95" s="895"/>
      <c r="M95" s="895"/>
      <c r="N95" s="895"/>
      <c r="O95" s="895"/>
      <c r="P95" s="80"/>
      <c r="Q95" s="4"/>
      <c r="R95" s="182"/>
      <c r="S95" s="182"/>
      <c r="T95" s="182"/>
      <c r="U95" s="182"/>
      <c r="V95" s="182"/>
      <c r="W95" s="182"/>
      <c r="X95" s="182"/>
      <c r="Y95" s="182"/>
      <c r="Z95" s="182"/>
      <c r="AA95" s="182"/>
      <c r="AB95" s="182"/>
      <c r="AC95" s="182"/>
      <c r="AD95" s="182"/>
      <c r="AE95" s="182"/>
      <c r="AF95" s="182"/>
      <c r="AG95" s="182"/>
      <c r="AH95" s="182"/>
      <c r="AI95" s="182"/>
      <c r="AJ95" s="182"/>
      <c r="AK95" s="182"/>
      <c r="AL95" s="182"/>
      <c r="AM95" s="182"/>
      <c r="AN95" s="182"/>
      <c r="AO95" s="182"/>
      <c r="AP95" s="4"/>
      <c r="AQ95" s="79"/>
      <c r="AR95" s="79"/>
    </row>
    <row r="96" ht="0" hidden="1" customHeight="1">
      <c r="C96" s="181"/>
      <c r="D96" s="181"/>
      <c r="E96" s="181"/>
      <c r="F96" s="201"/>
      <c r="G96" s="181"/>
      <c r="H96" s="181"/>
      <c r="I96" s="181"/>
      <c r="J96" s="181"/>
      <c r="K96" s="181"/>
      <c r="L96" s="895"/>
      <c r="M96" s="895"/>
      <c r="N96" s="895"/>
      <c r="O96" s="895"/>
      <c r="P96" s="80"/>
      <c r="Q96" s="4"/>
      <c r="R96" s="182"/>
      <c r="S96" s="182"/>
      <c r="T96" s="182"/>
      <c r="U96" s="182"/>
      <c r="V96" s="182"/>
      <c r="W96" s="182"/>
      <c r="X96" s="182"/>
      <c r="Y96" s="182"/>
      <c r="Z96" s="182"/>
      <c r="AA96" s="182"/>
      <c r="AB96" s="182"/>
      <c r="AC96" s="182"/>
      <c r="AD96" s="182"/>
      <c r="AE96" s="182"/>
      <c r="AF96" s="182"/>
      <c r="AG96" s="182"/>
      <c r="AH96" s="182"/>
      <c r="AI96" s="182"/>
      <c r="AJ96" s="182"/>
      <c r="AK96" s="182"/>
      <c r="AL96" s="182"/>
      <c r="AM96" s="182"/>
      <c r="AN96" s="182"/>
      <c r="AO96" s="182"/>
      <c r="AP96" s="4"/>
      <c r="AQ96" s="79"/>
      <c r="AR96" s="79"/>
    </row>
    <row r="97" ht="0" hidden="1" customHeight="1">
      <c r="C97" s="181"/>
      <c r="D97" s="181"/>
      <c r="E97" s="181"/>
      <c r="F97" s="201"/>
      <c r="G97" s="181"/>
      <c r="H97" s="181"/>
      <c r="I97" s="181"/>
      <c r="J97" s="181"/>
      <c r="K97" s="181"/>
      <c r="L97" s="895"/>
      <c r="M97" s="895"/>
      <c r="N97" s="895"/>
      <c r="O97" s="895"/>
      <c r="P97" s="80"/>
      <c r="Q97" s="4"/>
      <c r="R97" s="182"/>
      <c r="S97" s="182"/>
      <c r="T97" s="182"/>
      <c r="U97" s="182"/>
      <c r="V97" s="182"/>
      <c r="W97" s="182"/>
      <c r="X97" s="182"/>
      <c r="Y97" s="182"/>
      <c r="Z97" s="182"/>
      <c r="AA97" s="182"/>
      <c r="AB97" s="182"/>
      <c r="AC97" s="182"/>
      <c r="AD97" s="182"/>
      <c r="AE97" s="182"/>
      <c r="AF97" s="182"/>
      <c r="AG97" s="182"/>
      <c r="AH97" s="182"/>
      <c r="AI97" s="182"/>
      <c r="AJ97" s="182"/>
      <c r="AK97" s="182"/>
      <c r="AL97" s="182"/>
      <c r="AM97" s="182"/>
      <c r="AN97" s="182"/>
      <c r="AO97" s="182"/>
      <c r="AP97" s="4"/>
      <c r="AQ97" s="79"/>
      <c r="AR97" s="79"/>
    </row>
    <row r="98" ht="0" hidden="1" customHeight="1">
      <c r="C98" s="181"/>
      <c r="D98" s="181"/>
      <c r="E98" s="181"/>
      <c r="F98" s="201"/>
      <c r="G98" s="181"/>
      <c r="H98" s="181"/>
      <c r="I98" s="181"/>
      <c r="J98" s="181"/>
      <c r="K98" s="181"/>
      <c r="L98" s="895"/>
      <c r="M98" s="895"/>
      <c r="N98" s="895"/>
      <c r="O98" s="895"/>
      <c r="P98" s="80"/>
      <c r="Q98" s="4"/>
      <c r="R98" s="182"/>
      <c r="S98" s="182"/>
      <c r="T98" s="182"/>
      <c r="U98" s="182"/>
      <c r="V98" s="182"/>
      <c r="W98" s="182"/>
      <c r="X98" s="182"/>
      <c r="Y98" s="182"/>
      <c r="Z98" s="182"/>
      <c r="AA98" s="182"/>
      <c r="AB98" s="182"/>
      <c r="AC98" s="182"/>
      <c r="AD98" s="182"/>
      <c r="AE98" s="182"/>
      <c r="AF98" s="182"/>
      <c r="AG98" s="182"/>
      <c r="AH98" s="182"/>
      <c r="AI98" s="182"/>
      <c r="AJ98" s="182"/>
      <c r="AK98" s="182"/>
      <c r="AL98" s="182"/>
      <c r="AM98" s="182"/>
      <c r="AN98" s="182"/>
      <c r="AO98" s="182"/>
      <c r="AP98" s="4"/>
      <c r="AQ98" s="79"/>
      <c r="AR98" s="79"/>
    </row>
    <row r="99" ht="0" hidden="1" customHeight="1">
      <c r="C99" s="181"/>
      <c r="D99" s="181"/>
      <c r="E99" s="181"/>
      <c r="F99" s="201"/>
      <c r="G99" s="181"/>
      <c r="H99" s="181"/>
      <c r="I99" s="181"/>
      <c r="J99" s="181"/>
      <c r="K99" s="181"/>
      <c r="L99" s="895"/>
      <c r="M99" s="895"/>
      <c r="N99" s="895"/>
      <c r="O99" s="895"/>
      <c r="P99" s="80"/>
      <c r="Q99" s="4"/>
      <c r="R99" s="182"/>
      <c r="S99" s="182"/>
      <c r="T99" s="182"/>
      <c r="U99" s="182"/>
      <c r="V99" s="182"/>
      <c r="W99" s="182"/>
      <c r="X99" s="182"/>
      <c r="Y99" s="182"/>
      <c r="Z99" s="182"/>
      <c r="AA99" s="182"/>
      <c r="AB99" s="182"/>
      <c r="AC99" s="182"/>
      <c r="AD99" s="182"/>
      <c r="AE99" s="182"/>
      <c r="AF99" s="182"/>
      <c r="AG99" s="182"/>
      <c r="AH99" s="182"/>
      <c r="AI99" s="182"/>
      <c r="AJ99" s="182"/>
      <c r="AK99" s="182"/>
      <c r="AL99" s="182"/>
      <c r="AM99" s="182"/>
      <c r="AN99" s="182"/>
      <c r="AO99" s="182"/>
      <c r="AP99" s="4"/>
      <c r="AQ99" s="79"/>
      <c r="AR99" s="79"/>
    </row>
    <row r="100" ht="0" hidden="1" customHeight="1">
      <c r="C100" s="181"/>
      <c r="D100" s="181"/>
      <c r="E100" s="181"/>
      <c r="F100" s="201"/>
      <c r="G100" s="181"/>
      <c r="H100" s="181"/>
      <c r="I100" s="181"/>
      <c r="J100" s="181"/>
      <c r="K100" s="181"/>
      <c r="L100" s="895"/>
      <c r="M100" s="895"/>
      <c r="N100" s="895"/>
      <c r="O100" s="895"/>
      <c r="P100" s="80"/>
      <c r="Q100" s="4"/>
      <c r="R100" s="182"/>
      <c r="S100" s="182"/>
      <c r="T100" s="182"/>
      <c r="U100" s="182"/>
      <c r="V100" s="182"/>
      <c r="W100" s="182"/>
      <c r="X100" s="182"/>
      <c r="Y100" s="182"/>
      <c r="Z100" s="182"/>
      <c r="AA100" s="182"/>
      <c r="AB100" s="182"/>
      <c r="AC100" s="182"/>
      <c r="AD100" s="182"/>
      <c r="AE100" s="182"/>
      <c r="AF100" s="182"/>
      <c r="AG100" s="182"/>
      <c r="AH100" s="182"/>
      <c r="AI100" s="182"/>
      <c r="AJ100" s="182"/>
      <c r="AK100" s="182"/>
      <c r="AL100" s="182"/>
      <c r="AM100" s="182"/>
      <c r="AN100" s="182"/>
      <c r="AO100" s="182"/>
      <c r="AP100" s="4"/>
      <c r="AQ100" s="48"/>
      <c r="AR100" s="48"/>
    </row>
    <row r="101" ht="0" hidden="1" customHeight="1">
      <c r="C101" s="181"/>
      <c r="D101" s="181"/>
      <c r="E101" s="181"/>
      <c r="F101" s="201"/>
      <c r="G101" s="181"/>
      <c r="H101" s="181"/>
      <c r="I101" s="181"/>
      <c r="J101" s="181"/>
      <c r="K101" s="181"/>
      <c r="L101" s="895"/>
      <c r="M101" s="895"/>
      <c r="N101" s="895"/>
      <c r="O101" s="895"/>
      <c r="P101" s="80"/>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79"/>
      <c r="AR101" s="79"/>
    </row>
    <row r="102" ht="18" customHeight="1">
      <c r="C102" s="181"/>
      <c r="D102" s="181"/>
      <c r="E102" s="181"/>
      <c r="F102" s="201"/>
      <c r="G102" s="181"/>
      <c r="H102" s="181"/>
      <c r="I102" s="181"/>
      <c r="J102" s="181"/>
      <c r="K102" s="181"/>
      <c r="L102" s="895"/>
      <c r="M102" s="895"/>
      <c r="N102" s="895"/>
      <c r="O102" s="895"/>
      <c r="P102" s="80"/>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79"/>
      <c r="AR102" s="79"/>
    </row>
    <row r="103" ht="18" customHeight="1">
      <c r="C103" s="181"/>
      <c r="D103" s="181"/>
      <c r="E103" s="181"/>
      <c r="F103" s="201"/>
      <c r="G103" s="181"/>
      <c r="H103" s="181"/>
      <c r="I103" s="181"/>
      <c r="J103" s="181"/>
      <c r="K103" s="181"/>
      <c r="L103" s="895"/>
      <c r="M103" s="895"/>
      <c r="N103" s="895"/>
      <c r="O103" s="895"/>
      <c r="P103" s="80"/>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row>
    <row r="104" ht="9" customHeight="1">
      <c r="E104" s="81"/>
      <c r="F104" s="202"/>
      <c r="R104" s="0"/>
      <c r="S104" s="0"/>
      <c r="T104" s="0"/>
      <c r="U104" s="0"/>
      <c r="V104" s="0"/>
      <c r="W104" s="0"/>
      <c r="X104" s="0"/>
      <c r="Y104" s="0"/>
      <c r="Z104" s="87"/>
      <c r="AA104" s="0"/>
      <c r="AB104" s="0"/>
      <c r="AC104" s="5"/>
      <c r="AD104" s="5"/>
      <c r="AE104" s="5"/>
      <c r="AF104" s="67"/>
      <c r="AG104" s="0"/>
      <c r="AH104" s="0"/>
      <c r="AI104" s="0"/>
      <c r="AJ104" s="5"/>
      <c r="AK104" s="0"/>
      <c r="AL104" s="0"/>
      <c r="AM104" s="0"/>
      <c r="AN104" s="0"/>
      <c r="AO104" s="0"/>
      <c r="AP104" s="0"/>
    </row>
    <row r="105" ht="39.95" customHeight="1">
      <c r="B105" s="0"/>
      <c r="C105" s="988" t="s">
        <v>126</v>
      </c>
      <c r="D105" s="988"/>
      <c r="E105" s="988"/>
      <c r="F105" s="988"/>
      <c r="G105" s="988"/>
      <c r="H105" s="988"/>
      <c r="I105" s="988"/>
      <c r="J105" s="988"/>
      <c r="K105" s="988"/>
      <c r="L105" s="988"/>
      <c r="M105" s="988"/>
      <c r="N105" s="988"/>
      <c r="O105" s="988"/>
      <c r="P105" s="988"/>
      <c r="Q105" s="988"/>
      <c r="R105" s="988"/>
      <c r="S105" s="988"/>
      <c r="T105" s="988"/>
      <c r="U105" s="988"/>
      <c r="V105" s="988"/>
      <c r="W105" s="988"/>
      <c r="X105" s="988"/>
      <c r="Y105" s="988"/>
      <c r="Z105" s="988"/>
      <c r="AA105" s="988"/>
      <c r="AB105" s="988"/>
      <c r="AC105" s="988"/>
      <c r="AD105" s="988"/>
      <c r="AE105" s="988"/>
      <c r="AF105" s="988"/>
      <c r="AG105" s="988"/>
      <c r="AH105" s="988"/>
      <c r="AI105" s="988"/>
      <c r="AJ105" s="988"/>
      <c r="AK105" s="988"/>
      <c r="AL105" s="988"/>
      <c r="AM105" s="988"/>
      <c r="AN105" s="988"/>
      <c r="AO105" s="988"/>
      <c r="AP105" s="233"/>
    </row>
    <row r="106" s="84" customFormat="1" ht="12" customHeight="1">
      <c r="B106" s="84"/>
      <c r="E106" s="46"/>
      <c r="F106" s="202"/>
      <c r="G106"/>
      <c r="H106"/>
      <c r="I106"/>
      <c r="J106"/>
      <c r="K106"/>
      <c r="L106"/>
      <c r="M106"/>
      <c r="N106"/>
      <c r="O106"/>
      <c r="P106"/>
      <c r="Q106"/>
      <c r="R106"/>
      <c r="S106"/>
      <c r="T106"/>
      <c r="U106"/>
      <c r="V106"/>
      <c r="W106"/>
      <c r="X106"/>
      <c r="Y106"/>
      <c r="Z106"/>
      <c r="AA106"/>
      <c r="AS106" s="236"/>
      <c r="AT106" s="236"/>
      <c r="AU106" s="236"/>
      <c r="AV106" s="236"/>
      <c r="AW106" s="236"/>
      <c r="AX106" s="236"/>
      <c r="AY106" s="236"/>
      <c r="AZ106" s="236"/>
      <c r="BA106" s="236"/>
      <c r="BB106" s="236"/>
      <c r="BC106" s="236"/>
      <c r="BD106" s="236"/>
      <c r="BE106" s="236"/>
      <c r="BF106" s="236"/>
      <c r="BG106" s="236"/>
      <c r="BH106" s="236"/>
      <c r="BI106" s="236"/>
      <c r="BJ106" s="236"/>
      <c r="BK106" s="236"/>
      <c r="BL106" s="236"/>
      <c r="BM106" s="236"/>
      <c r="BN106" s="236"/>
      <c r="BO106" s="236"/>
      <c r="BP106" s="236"/>
      <c r="BQ106" s="236"/>
      <c r="BR106" s="236"/>
      <c r="BS106" s="236"/>
      <c r="BT106" s="236"/>
      <c r="BU106" s="236"/>
      <c r="BV106" s="236"/>
      <c r="BW106" s="236"/>
    </row>
    <row r="107" s="236" customFormat="1" ht="12.75" customHeight="1">
      <c r="A107" s="236"/>
    </row>
    <row r="108" s="236" customFormat="1" ht="12.75" customHeight="1"/>
    <row r="109" s="236" customFormat="1" ht="12.75" customHeight="1"/>
    <row r="110" s="236" customFormat="1" ht="12.75" customHeight="1"/>
    <row r="111" s="236" customFormat="1" ht="12.75" customHeight="1"/>
    <row r="112" s="236" customFormat="1" ht="12.75" customHeight="1"/>
    <row r="113" s="236" customFormat="1" ht="12.75" customHeight="1"/>
    <row r="114" s="236" customFormat="1" ht="12.75" customHeight="1"/>
    <row r="115" s="236" customFormat="1" ht="12.75" customHeight="1"/>
    <row r="116" s="236" customFormat="1" ht="12.75" customHeight="1"/>
    <row r="117" s="236" customFormat="1" ht="12.75" customHeight="1"/>
    <row r="118" s="236" customFormat="1" ht="12.75" customHeight="1"/>
    <row r="119" s="236" customFormat="1" ht="12.75" customHeight="1"/>
    <row r="120" s="236" customFormat="1" ht="12.75" customHeight="1"/>
    <row r="121" s="236" customFormat="1" ht="12.75" customHeight="1"/>
    <row r="122" s="236" customFormat="1" ht="12.75" customHeight="1"/>
    <row r="123" s="236" customFormat="1" ht="12.75" customHeight="1"/>
    <row r="124" s="236" customFormat="1" ht="12.75" customHeight="1"/>
    <row r="125" s="236" customFormat="1" ht="12.75" customHeight="1"/>
    <row r="126" s="236" customFormat="1" ht="12.75" customHeight="1"/>
    <row r="127" s="236" customFormat="1" ht="12.75" customHeight="1"/>
    <row r="128" s="236" customFormat="1" ht="12.75" customHeight="1"/>
    <row r="129" s="236" customFormat="1" ht="12.75" customHeight="1"/>
    <row r="130" s="236" customFormat="1" ht="12.75" customHeight="1"/>
    <row r="131" s="236" customFormat="1" ht="12.75" customHeight="1"/>
    <row r="132" s="236" customFormat="1" ht="12.75" customHeight="1"/>
    <row r="133" s="236" customFormat="1" ht="12.75" customHeight="1"/>
    <row r="134" s="236" customFormat="1" ht="12.75" customHeight="1"/>
    <row r="135" s="236" customFormat="1" ht="12.75" customHeight="1"/>
    <row r="136" s="236" customFormat="1" ht="12.75" customHeight="1"/>
    <row r="137" s="236" customFormat="1" ht="12.75" customHeight="1"/>
    <row r="138" s="236" customFormat="1" ht="12.75" customHeight="1"/>
    <row r="139" s="236" customFormat="1" ht="12.75" customHeight="1"/>
    <row r="140" s="236" customFormat="1" ht="12.75" customHeight="1"/>
    <row r="141" s="236" customFormat="1" ht="12.75" customHeight="1"/>
    <row r="142" s="236" customFormat="1" ht="12.75" customHeight="1"/>
    <row r="143" s="236" customFormat="1" ht="12.75" customHeight="1"/>
    <row r="144" s="236" customFormat="1" ht="12.75" customHeight="1"/>
    <row r="145" s="236" customFormat="1" ht="12.75" customHeight="1"/>
    <row r="146" s="236" customFormat="1" ht="12.75" customHeight="1"/>
    <row r="147" s="236" customFormat="1" ht="12.75" customHeight="1"/>
    <row r="148" s="236" customFormat="1" ht="12.75" customHeight="1"/>
    <row r="149" s="236" customFormat="1" ht="12.75" customHeight="1"/>
    <row r="150" s="236" customFormat="1" ht="12.75" customHeight="1"/>
    <row r="151" s="236" customFormat="1" ht="12.75" customHeight="1"/>
    <row r="152" s="236" customFormat="1" ht="12.75" customHeight="1"/>
    <row r="153" s="236" customFormat="1" ht="12.75" customHeight="1"/>
  </sheetData>
  <mergeCells count="273">
    <mergeCell ref="C2:AP2"/>
    <mergeCell ref="H55:K55"/>
    <mergeCell ref="L55:O55"/>
    <mergeCell ref="H31:K31"/>
    <mergeCell ref="H52:K52"/>
    <mergeCell ref="C4:AP4"/>
    <mergeCell ref="C3:AP3"/>
    <mergeCell ref="L25:O25"/>
    <mergeCell ref="H25:K25"/>
    <mergeCell ref="L28:O28"/>
    <mergeCell ref="H53:K53"/>
    <mergeCell ref="H54:K54"/>
    <mergeCell ref="H24:K24"/>
    <mergeCell ref="L52:O52"/>
    <mergeCell ref="L53:O53"/>
    <mergeCell ref="L54:O54"/>
    <mergeCell ref="X15:AD15"/>
    <mergeCell ref="P15:V15"/>
    <mergeCell ref="H22:K22"/>
    <mergeCell ref="L24:O24"/>
    <mergeCell ref="L22:O22"/>
    <mergeCell ref="N12:O12"/>
    <mergeCell ref="AF15:AL15"/>
    <mergeCell ref="R12:S12"/>
    <mergeCell ref="H77:K77"/>
    <mergeCell ref="L77:O77"/>
    <mergeCell ref="L61:O61"/>
    <mergeCell ref="H62:K62"/>
    <mergeCell ref="L62:O62"/>
    <mergeCell ref="H61:K61"/>
    <mergeCell ref="H71:K71"/>
    <mergeCell ref="L71:O71"/>
    <mergeCell ref="H73:K73"/>
    <mergeCell ref="H76:K76"/>
    <mergeCell ref="H65:K65"/>
    <mergeCell ref="H74:K74"/>
    <mergeCell ref="L74:O74"/>
    <mergeCell ref="H75:K75"/>
    <mergeCell ref="L76:O76"/>
    <mergeCell ref="L73:O73"/>
    <mergeCell ref="H70:K70"/>
    <mergeCell ref="L66:O66"/>
    <mergeCell ref="H66:K66"/>
    <mergeCell ref="L63:O63"/>
    <mergeCell ref="L75:O75"/>
    <mergeCell ref="L64:O64"/>
    <mergeCell ref="L70:O70"/>
    <mergeCell ref="H64:K64"/>
    <mergeCell ref="AL13:AM13"/>
    <mergeCell ref="AJ12:AK12"/>
    <mergeCell ref="AH13:AI13"/>
    <mergeCell ref="AJ13:AK13"/>
    <mergeCell ref="Z13:AA13"/>
    <mergeCell ref="AF13:AG13"/>
    <mergeCell ref="H56:K56"/>
    <mergeCell ref="H57:K57"/>
    <mergeCell ref="H58:K58"/>
    <mergeCell ref="L29:O29"/>
    <mergeCell ref="H27:K27"/>
    <mergeCell ref="L27:O27"/>
    <mergeCell ref="H28:K28"/>
    <mergeCell ref="L31:O31"/>
    <mergeCell ref="H37:K37"/>
    <mergeCell ref="L37:O37"/>
    <mergeCell ref="H34:K34"/>
    <mergeCell ref="L34:O34"/>
    <mergeCell ref="H35:K35"/>
    <mergeCell ref="L35:O35"/>
    <mergeCell ref="H36:K36"/>
    <mergeCell ref="L36:O36"/>
    <mergeCell ref="H38:K38"/>
    <mergeCell ref="AB9:AC9"/>
    <mergeCell ref="Z9:AA9"/>
    <mergeCell ref="AF9:AG9"/>
    <mergeCell ref="AD11:AE11"/>
    <mergeCell ref="J12:K12"/>
    <mergeCell ref="AF10:AG10"/>
    <mergeCell ref="R13:S13"/>
    <mergeCell ref="AB12:AC12"/>
    <mergeCell ref="T13:U13"/>
    <mergeCell ref="T12:U12"/>
    <mergeCell ref="AD13:AE13"/>
    <mergeCell ref="AB13:AC13"/>
    <mergeCell ref="J13:K13"/>
    <mergeCell ref="L12:M12"/>
    <mergeCell ref="P12:Q12"/>
    <mergeCell ref="J11:K11"/>
    <mergeCell ref="R11:S11"/>
    <mergeCell ref="R10:S10"/>
    <mergeCell ref="L10:M10"/>
    <mergeCell ref="J10:K10"/>
    <mergeCell ref="P13:Q13"/>
    <mergeCell ref="T7:U7"/>
    <mergeCell ref="J7:K7"/>
    <mergeCell ref="H7:I7"/>
    <mergeCell ref="R9:S9"/>
    <mergeCell ref="T9:U9"/>
    <mergeCell ref="L9:M9"/>
    <mergeCell ref="L7:M7"/>
    <mergeCell ref="J9:K9"/>
    <mergeCell ref="N9:O9"/>
    <mergeCell ref="L8:M8"/>
    <mergeCell ref="J8:K8"/>
    <mergeCell ref="R7:S7"/>
    <mergeCell ref="H8:I8"/>
    <mergeCell ref="H6:U6"/>
    <mergeCell ref="T8:U8"/>
    <mergeCell ref="R8:S8"/>
    <mergeCell ref="P8:Q8"/>
    <mergeCell ref="N8:O8"/>
    <mergeCell ref="AH12:AI12"/>
    <mergeCell ref="AF12:AG12"/>
    <mergeCell ref="H11:I11"/>
    <mergeCell ref="H9:I9"/>
    <mergeCell ref="P7:Q7"/>
    <mergeCell ref="N7:O7"/>
    <mergeCell ref="P9:Q9"/>
    <mergeCell ref="P11:Q11"/>
    <mergeCell ref="AD9:AE9"/>
    <mergeCell ref="Z8:AA8"/>
    <mergeCell ref="AB8:AC8"/>
    <mergeCell ref="Z6:AM6"/>
    <mergeCell ref="Z7:AA7"/>
    <mergeCell ref="AB7:AC7"/>
    <mergeCell ref="AD7:AE7"/>
    <mergeCell ref="AF7:AG7"/>
    <mergeCell ref="AH7:AI7"/>
    <mergeCell ref="AJ7:AK7"/>
    <mergeCell ref="AL7:AM7"/>
    <mergeCell ref="AJ8:AK8"/>
    <mergeCell ref="AL8:AM8"/>
    <mergeCell ref="AD8:AE8"/>
    <mergeCell ref="AH8:AI8"/>
    <mergeCell ref="AH9:AI9"/>
    <mergeCell ref="AJ9:AK9"/>
    <mergeCell ref="AL9:AM9"/>
    <mergeCell ref="AH10:AI10"/>
    <mergeCell ref="AL12:AM12"/>
    <mergeCell ref="AL11:AM11"/>
    <mergeCell ref="AF8:AG8"/>
    <mergeCell ref="AL10:AM10"/>
    <mergeCell ref="AD10:AE10"/>
    <mergeCell ref="AD12:AE12"/>
    <mergeCell ref="AJ10:AK10"/>
    <mergeCell ref="AH11:AI11"/>
    <mergeCell ref="AJ11:AK11"/>
    <mergeCell ref="H26:K26"/>
    <mergeCell ref="L26:O26"/>
    <mergeCell ref="AF11:AG11"/>
    <mergeCell ref="Z10:AA10"/>
    <mergeCell ref="L11:M11"/>
    <mergeCell ref="N13:O13"/>
    <mergeCell ref="H10:I10"/>
    <mergeCell ref="L13:M13"/>
    <mergeCell ref="H23:K23"/>
    <mergeCell ref="L23:O23"/>
    <mergeCell ref="T11:U11"/>
    <mergeCell ref="T10:U10"/>
    <mergeCell ref="N11:O11"/>
    <mergeCell ref="N10:O10"/>
    <mergeCell ref="P10:Q10"/>
    <mergeCell ref="Z12:AA12"/>
    <mergeCell ref="H12:I12"/>
    <mergeCell ref="H13:I13"/>
    <mergeCell ref="AB10:AC10"/>
    <mergeCell ref="AB11:AC11"/>
    <mergeCell ref="Z11:AA11"/>
    <mergeCell ref="L30:O30"/>
    <mergeCell ref="H33:K33"/>
    <mergeCell ref="L33:O33"/>
    <mergeCell ref="H32:K32"/>
    <mergeCell ref="L32:O32"/>
    <mergeCell ref="H44:K44"/>
    <mergeCell ref="L44:O44"/>
    <mergeCell ref="H40:K40"/>
    <mergeCell ref="L40:O40"/>
    <mergeCell ref="H41:K41"/>
    <mergeCell ref="L41:O41"/>
    <mergeCell ref="H42:K42"/>
    <mergeCell ref="L42:O42"/>
    <mergeCell ref="H43:K43"/>
    <mergeCell ref="L43:O43"/>
    <mergeCell ref="L38:O38"/>
    <mergeCell ref="H39:K39"/>
    <mergeCell ref="L39:O39"/>
    <mergeCell ref="H30:K30"/>
    <mergeCell ref="H48:K48"/>
    <mergeCell ref="L48:O48"/>
    <mergeCell ref="H45:K45"/>
    <mergeCell ref="L45:O45"/>
    <mergeCell ref="H46:K46"/>
    <mergeCell ref="L46:O46"/>
    <mergeCell ref="H47:K47"/>
    <mergeCell ref="L47:O47"/>
    <mergeCell ref="H49:K49"/>
    <mergeCell ref="L49:O49"/>
    <mergeCell ref="H50:K50"/>
    <mergeCell ref="L50:O50"/>
    <mergeCell ref="H68:K68"/>
    <mergeCell ref="L68:O68"/>
    <mergeCell ref="H72:K72"/>
    <mergeCell ref="L72:O72"/>
    <mergeCell ref="H51:K51"/>
    <mergeCell ref="L51:O51"/>
    <mergeCell ref="H69:K69"/>
    <mergeCell ref="L69:O69"/>
    <mergeCell ref="H67:K67"/>
    <mergeCell ref="L67:O67"/>
    <mergeCell ref="L56:O56"/>
    <mergeCell ref="L57:O57"/>
    <mergeCell ref="L58:O58"/>
    <mergeCell ref="H59:K59"/>
    <mergeCell ref="H63:K63"/>
    <mergeCell ref="L65:O65"/>
    <mergeCell ref="L59:O59"/>
    <mergeCell ref="L60:O60"/>
    <mergeCell ref="H60:K60"/>
    <mergeCell ref="H81:K81"/>
    <mergeCell ref="L81:O81"/>
    <mergeCell ref="H82:K82"/>
    <mergeCell ref="L82:O82"/>
    <mergeCell ref="L78:O78"/>
    <mergeCell ref="H79:K79"/>
    <mergeCell ref="L79:O79"/>
    <mergeCell ref="H80:K80"/>
    <mergeCell ref="L80:O80"/>
    <mergeCell ref="H78:K78"/>
    <mergeCell ref="H85:K85"/>
    <mergeCell ref="L85:O85"/>
    <mergeCell ref="H86:K86"/>
    <mergeCell ref="L86:O86"/>
    <mergeCell ref="H83:K83"/>
    <mergeCell ref="L83:O83"/>
    <mergeCell ref="H84:K84"/>
    <mergeCell ref="L84:O84"/>
    <mergeCell ref="H89:K89"/>
    <mergeCell ref="L89:O89"/>
    <mergeCell ref="H90:K90"/>
    <mergeCell ref="L90:O90"/>
    <mergeCell ref="H87:K87"/>
    <mergeCell ref="L87:O87"/>
    <mergeCell ref="H88:K88"/>
    <mergeCell ref="L88:O88"/>
    <mergeCell ref="H93:K93"/>
    <mergeCell ref="L93:O93"/>
    <mergeCell ref="H94:K94"/>
    <mergeCell ref="L94:O94"/>
    <mergeCell ref="H91:K91"/>
    <mergeCell ref="L91:O91"/>
    <mergeCell ref="H92:K92"/>
    <mergeCell ref="L92:O92"/>
    <mergeCell ref="H95:K95"/>
    <mergeCell ref="L95:O95"/>
    <mergeCell ref="H101:K101"/>
    <mergeCell ref="L101:O101"/>
    <mergeCell ref="L102:O102"/>
    <mergeCell ref="H102:K102"/>
    <mergeCell ref="H99:K99"/>
    <mergeCell ref="C105:AO105"/>
    <mergeCell ref="H98:K98"/>
    <mergeCell ref="L98:O98"/>
    <mergeCell ref="H96:K96"/>
    <mergeCell ref="L96:O96"/>
    <mergeCell ref="H97:K97"/>
    <mergeCell ref="L97:O97"/>
    <mergeCell ref="H103:K103"/>
    <mergeCell ref="H100:K100"/>
    <mergeCell ref="L100:O100"/>
    <mergeCell ref="L103:O103"/>
    <mergeCell ref="L99:O99"/>
    <mergeCell ref="R21:AC21"/>
    <mergeCell ref="AD21:AO21"/>
    <mergeCell ref="H29:K29"/>
  </mergeCells>
  <phoneticPr fontId="0" type="noConversion"/>
  <printOptions horizontalCentered="1" verticalCentered="1"/>
  <pageMargins left="0.25" right="0.25" top="0.25" bottom="0.25" header="0" footer="0"/>
  <pageSetup scale="31" fitToWidth="1" fitToHeight="1" orientation="landscape" r:id="rId1"/>
  <headerFooter alignWithMargins="0">
    <oddHeader/>
    <oddFooter/>
  </headerFooter>
  <rowBreaks count="1" manualBreakCount="1">
    <brk id="107" max="16383" man="1"/>
  </rowBreaks>
  <colBreaks count="1" manualBreakCount="1">
    <brk id="45" max="1048575" man="1"/>
  </colBreaks>
  <drawing r:id="rId87"/>
</worksheet>
</file>

<file path=xl/worksheets/sheet2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M43"/>
  <sheetViews>
    <sheetView showGridLines="0" zoomScaleNormal="100" workbookViewId="0"/>
  </sheetViews>
  <sheetFormatPr defaultColWidth="8.85546875" defaultRowHeight="15"/>
  <cols>
    <col min="1" max="1" width="4.28515625" style="640" customWidth="1"/>
    <col min="2" max="2" width="3.42578125" style="640" customWidth="1"/>
    <col min="3" max="3" width="6.85546875" style="640" customWidth="1"/>
    <col min="4" max="4" width="8.85546875" style="640" customWidth="1"/>
    <col min="5" max="5" width="39" style="640" customWidth="1"/>
    <col min="6" max="6" width="30" style="640" customWidth="1"/>
    <col min="7" max="9" width="8.85546875" style="640" customWidth="1"/>
    <col min="10" max="10" width="12" style="640" customWidth="1"/>
    <col min="11" max="11" width="8.85546875" style="640" customWidth="1"/>
    <col min="12" max="12" width="18.28515625" style="640" customWidth="1"/>
    <col min="13" max="16384" width="8.85546875" style="640" customWidth="1"/>
  </cols>
  <sheetData>
    <row r="1">
      <c r="M1" s="640"/>
    </row>
    <row r="2" ht="84" customHeight="1">
      <c r="B2" s="641"/>
      <c r="C2" s="642"/>
      <c r="K2" s="643"/>
      <c r="M2" s="643"/>
    </row>
    <row r="3" ht="15" customHeight="1">
      <c r="B3" s="641"/>
    </row>
    <row r="4">
      <c r="A4" s="644" t="s">
        <v>114</v>
      </c>
      <c r="B4" s="645"/>
      <c r="C4" s="645"/>
      <c r="D4" s="645"/>
      <c r="E4" s="645"/>
      <c r="F4" s="645"/>
      <c r="G4" s="645"/>
      <c r="H4" s="645"/>
      <c r="I4" s="645"/>
      <c r="J4" s="645"/>
      <c r="K4" s="645"/>
    </row>
    <row r="5">
      <c r="A5" s="691" t="s">
        <v>121</v>
      </c>
      <c r="B5" s="691"/>
      <c r="C5" s="691"/>
      <c r="D5" s="691"/>
      <c r="E5" s="691"/>
      <c r="F5" s="691"/>
      <c r="G5" s="645"/>
      <c r="H5" s="645"/>
      <c r="I5" s="645"/>
      <c r="J5" s="645"/>
      <c r="K5" s="645"/>
    </row>
    <row r="6">
      <c r="A6" s="645"/>
      <c r="B6" s="645"/>
      <c r="C6" s="645"/>
      <c r="D6" s="645"/>
      <c r="E6" s="645"/>
      <c r="F6" s="645"/>
      <c r="G6" s="645"/>
      <c r="H6" s="645"/>
      <c r="I6" s="645"/>
      <c r="J6" s="645"/>
      <c r="K6" s="645"/>
    </row>
    <row r="7">
      <c r="A7" s="645"/>
      <c r="B7" s="645"/>
      <c r="C7" s="645"/>
      <c r="D7" s="645"/>
      <c r="E7" s="645"/>
      <c r="F7" s="645"/>
      <c r="G7" s="645"/>
      <c r="H7" s="645"/>
      <c r="I7" s="645"/>
      <c r="J7" s="645"/>
      <c r="K7" s="645"/>
    </row>
    <row r="8">
      <c r="A8" s="644" t="s">
        <v>115</v>
      </c>
      <c r="B8" s="645"/>
      <c r="C8" s="645"/>
      <c r="D8" s="645"/>
      <c r="E8" s="645"/>
      <c r="F8" s="645"/>
      <c r="G8" s="645"/>
      <c r="H8" s="645"/>
      <c r="I8" s="645"/>
      <c r="J8" s="645"/>
      <c r="K8" s="645"/>
    </row>
    <row r="9">
      <c r="A9" s="691" t="s">
        <v>122</v>
      </c>
      <c r="B9" s="691"/>
      <c r="C9" s="691"/>
      <c r="D9" s="691"/>
      <c r="E9" s="691"/>
      <c r="F9" s="691"/>
      <c r="G9" s="645"/>
      <c r="H9" s="645"/>
      <c r="I9" s="645"/>
      <c r="J9" s="645"/>
      <c r="K9" s="645"/>
    </row>
    <row r="10">
      <c r="A10" s="690"/>
      <c r="B10" s="690"/>
      <c r="C10" s="690"/>
      <c r="D10" s="690"/>
      <c r="E10" s="690"/>
      <c r="F10" s="690"/>
      <c r="G10" s="645"/>
      <c r="H10" s="645"/>
      <c r="I10" s="645"/>
      <c r="J10" s="645"/>
      <c r="K10" s="645"/>
    </row>
    <row r="11">
      <c r="A11" s="645"/>
      <c r="B11" s="645"/>
      <c r="C11" s="645"/>
      <c r="D11" s="645"/>
      <c r="E11" s="645"/>
      <c r="F11" s="645"/>
      <c r="G11" s="645"/>
      <c r="H11" s="645"/>
      <c r="I11" s="645"/>
      <c r="J11" s="645"/>
      <c r="K11" s="645"/>
    </row>
    <row r="12">
      <c r="A12" s="690" t="s">
        <v>123</v>
      </c>
      <c r="B12" s="690"/>
      <c r="C12" s="690"/>
      <c r="D12" s="690"/>
      <c r="E12" s="690"/>
      <c r="F12" s="645"/>
      <c r="G12" s="645"/>
      <c r="H12" s="645"/>
      <c r="I12" s="645"/>
      <c r="J12" s="645"/>
      <c r="K12" s="645"/>
    </row>
    <row r="13">
      <c r="A13" s="645"/>
      <c r="B13" s="645"/>
      <c r="C13" s="645"/>
      <c r="D13" s="645"/>
      <c r="E13" s="645"/>
      <c r="F13" s="645"/>
      <c r="G13" s="645"/>
      <c r="H13" s="645"/>
      <c r="I13" s="645"/>
      <c r="J13" s="645"/>
      <c r="K13" s="645"/>
    </row>
    <row r="14" ht="16.5" customHeight="1">
      <c r="A14" s="990" t="s">
        <v>116</v>
      </c>
      <c r="B14" s="990"/>
      <c r="C14" s="990"/>
      <c r="D14" s="990"/>
      <c r="E14" s="990"/>
      <c r="F14" s="990"/>
      <c r="G14" s="990"/>
      <c r="H14" s="990"/>
      <c r="I14" s="990"/>
      <c r="J14" s="646"/>
      <c r="K14" s="645"/>
    </row>
    <row r="15" ht="15" customHeight="1">
      <c r="A15" s="990" t="s">
        <v>117</v>
      </c>
      <c r="B15" s="990"/>
      <c r="C15" s="990"/>
      <c r="D15" s="990"/>
      <c r="E15" s="990"/>
      <c r="F15" s="990"/>
      <c r="G15" s="990"/>
      <c r="H15" s="990"/>
      <c r="I15" s="990"/>
      <c r="J15" s="646"/>
      <c r="K15" s="646"/>
      <c r="L15" s="646"/>
    </row>
    <row r="16">
      <c r="C16" s="647"/>
      <c r="D16" s="647"/>
      <c r="E16" s="647"/>
      <c r="F16" s="647"/>
      <c r="G16" s="647"/>
      <c r="H16" s="647"/>
      <c r="I16" s="647"/>
      <c r="J16" s="647"/>
      <c r="K16" s="647"/>
      <c r="L16" s="647"/>
    </row>
    <row r="43">
      <c r="A43" s="640"/>
    </row>
  </sheetData>
  <mergeCells count="2">
    <mergeCell ref="A15:I15"/>
    <mergeCell ref="A14:I14"/>
  </mergeCells>
  <hyperlinks>
    <hyperlink ref="A5:F5" r:id="rId150" display="For all STR definitions, please click here or visit www.str.com/data-insights/resources/glossary"/>
    <hyperlink ref="A14:I14" r:id="rId151" display="For the latest in industry news, visit HotelNewsNow.com."/>
    <hyperlink ref="A15:I15" r:id="rId152" display="To learn more about the Hotel Data Conference, visit HotelDataConference.com."/>
    <hyperlink ref="A9:F9" r:id="rId153" display="For all STR FAQs, please click here or visit www.str.com/data-insights/resources/FAQ"/>
    <hyperlink ref="A12:E12" r:id="rId154" display="For additional support, please contact your regional office."/>
  </hyperlinks>
  <printOptions horizontalCentered="1" verticalCentered="1"/>
  <pageMargins left="0.25" right="0.25" top="0.25" bottom="0.25" header="0" footer="0"/>
  <pageSetup scale="93" fitToWidth="1" fitToHeight="1" orientation="landscape" r:id="rId6"/>
  <headerFooter>
    <oddHeader/>
    <oddFooter/>
  </headerFooter>
  <rowBreaks count="1" manualBreakCount="1">
    <brk id="43" max="16383" man="1"/>
  </rowBreaks>
  <colBreaks count="1" manualBreakCount="1">
    <brk id="13" max="1048575" man="1"/>
  </colBreaks>
  <drawing r:id="rId7"/>
</worksheet>
</file>

<file path=xl/worksheets/sheet2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0">
    <pageSetUpPr fitToPage="1"/>
  </sheetPr>
  <dimension ref="A1:AV94"/>
  <sheetViews>
    <sheetView showGridLines="0" zoomScale="70" zoomScaleNormal="75" workbookViewId="0"/>
  </sheetViews>
  <sheetFormatPr defaultRowHeight="12.75"/>
  <cols>
    <col min="1" max="1" width="1.85546875" customWidth="1"/>
    <col min="2" max="2" width="22.5703125" customWidth="1"/>
    <col min="3" max="20" width="10.28515625" customWidth="1"/>
    <col min="21" max="21" width="2.7109375" customWidth="1"/>
    <col min="22" max="24" width="10.28515625" customWidth="1"/>
    <col min="25" max="25" width="2.7109375" customWidth="1"/>
    <col min="26" max="28" width="10.28515625" customWidth="1"/>
    <col min="29" max="29" width="2.7109375" customWidth="1"/>
    <col min="30" max="32" width="10.28515625" customWidth="1"/>
    <col min="33" max="33" width="2.7109375" customWidth="1"/>
    <col min="34" max="37" width="9.28515625" style="236" customWidth="1"/>
    <col min="38" max="48" width="9.140625" style="236" customWidth="1"/>
  </cols>
  <sheetData>
    <row r="1" ht="39.95" customHeight="1">
      <c r="A1" s="7"/>
      <c r="B1" s="656" t="s">
        <v>131</v>
      </c>
      <c r="AA1" s="998"/>
      <c r="AB1" s="998"/>
      <c r="AC1" s="998"/>
      <c r="AD1" s="998"/>
      <c r="AE1" s="998"/>
      <c r="AF1" s="998"/>
      <c r="AH1" s="236"/>
    </row>
    <row r="2" ht="20.1" customHeight="1">
      <c r="A2" s="6"/>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c r="AC2" s="999"/>
      <c r="AD2" s="999"/>
      <c r="AE2" s="999"/>
      <c r="AF2" s="26"/>
    </row>
    <row r="3" ht="20.1" customHeight="1">
      <c r="A3" s="6"/>
      <c r="B3" s="999" t="s">
        <v>209</v>
      </c>
      <c r="C3" s="999"/>
      <c r="D3" s="999"/>
      <c r="E3" s="999"/>
      <c r="F3" s="999"/>
      <c r="G3" s="999"/>
      <c r="H3" s="999"/>
      <c r="I3" s="999"/>
      <c r="J3" s="999"/>
      <c r="K3" s="999"/>
      <c r="L3" s="999"/>
      <c r="M3" s="999"/>
      <c r="N3" s="999"/>
      <c r="O3" s="999"/>
      <c r="P3" s="999"/>
      <c r="Q3" s="999"/>
      <c r="R3" s="999"/>
      <c r="S3" s="999"/>
      <c r="T3" s="999"/>
      <c r="U3" s="1000"/>
      <c r="V3" s="1000"/>
      <c r="W3" s="1000"/>
      <c r="X3" s="1000"/>
      <c r="Y3" s="1000"/>
      <c r="Z3" s="1000"/>
      <c r="AA3" s="1000"/>
      <c r="AB3" s="1000"/>
      <c r="AC3" s="1000"/>
      <c r="AD3" s="1000"/>
      <c r="AE3" s="1000"/>
      <c r="AF3" s="1000"/>
    </row>
    <row r="4" ht="20.1" customHeight="1">
      <c r="A4" s="6"/>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c r="AC4" s="999"/>
      <c r="AD4" s="999"/>
      <c r="AE4" s="999"/>
      <c r="AF4" s="26"/>
    </row>
    <row r="5" ht="20.1" customHeight="1">
      <c r="A5" s="6"/>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row>
    <row r="6" ht="24.95" customHeight="1">
      <c r="A6" s="6"/>
      <c r="B6" s="4"/>
      <c r="C6" s="4"/>
      <c r="D6" s="4"/>
      <c r="E6" s="4"/>
      <c r="F6" s="4"/>
      <c r="G6" s="4"/>
      <c r="H6" s="4"/>
      <c r="I6" s="4"/>
      <c r="J6" s="4"/>
      <c r="K6" s="4"/>
      <c r="L6" s="4"/>
      <c r="M6" s="4"/>
      <c r="N6" s="4"/>
      <c r="O6" s="4"/>
      <c r="P6" s="4"/>
      <c r="Q6" s="4"/>
      <c r="R6" s="4"/>
      <c r="S6" s="4"/>
      <c r="T6" s="4"/>
      <c r="U6" s="4"/>
      <c r="V6" s="4"/>
      <c r="W6" s="4"/>
      <c r="X6" s="4"/>
      <c r="Y6" s="24"/>
      <c r="Z6" s="24"/>
      <c r="AA6" s="24"/>
      <c r="AB6" s="24"/>
      <c r="AC6" s="24"/>
      <c r="AD6" s="24"/>
      <c r="AE6" s="24"/>
      <c r="AF6" s="24"/>
      <c r="AG6" s="24"/>
    </row>
    <row r="7" ht="24.95" customHeight="1">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row>
    <row r="8" ht="24.95" customHeight="1">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row>
    <row r="9" ht="24.95" customHeight="1">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row>
    <row r="10" ht="24.95" customHeight="1">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row>
    <row r="11" ht="24.95" customHeight="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row>
    <row r="12" ht="24.95" customHeight="1">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row>
    <row r="13" ht="24.95" customHeight="1">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row>
    <row r="14" ht="24.95" customHeight="1">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row>
    <row r="15" ht="24.95" customHeight="1">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row>
    <row r="16" ht="24.95" customHeight="1">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row>
    <row r="17" ht="20.25" customHeight="1">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row>
    <row r="18" ht="28.5" customHeight="1">
      <c r="A18" s="8"/>
      <c r="B18" s="25"/>
      <c r="X18" s="1001"/>
      <c r="Y18" s="1001"/>
      <c r="Z18" s="1001"/>
      <c r="AA18" s="1001"/>
      <c r="AB18" s="1001"/>
      <c r="AC18" s="1001"/>
      <c r="AD18" s="1001"/>
      <c r="AE18" s="1001"/>
      <c r="AF18" s="1001"/>
      <c r="AG18" s="1001"/>
    </row>
    <row r="19" s="117" customFormat="1" ht="15.95" customHeight="1">
      <c r="B19" s="964" t="s">
        <v>22</v>
      </c>
      <c r="C19" s="1002">
        <v>2021</v>
      </c>
      <c r="D19" s="1002"/>
      <c r="E19" s="1002"/>
      <c r="F19" s="1002"/>
      <c r="G19" s="1002"/>
      <c r="H19" s="1002"/>
      <c r="I19" s="1002">
        <v>2022</v>
      </c>
      <c r="J19" s="1002"/>
      <c r="K19" s="1002"/>
      <c r="L19" s="1002"/>
      <c r="M19" s="1002"/>
      <c r="N19" s="1002"/>
      <c r="O19" s="1002"/>
      <c r="P19" s="1002"/>
      <c r="Q19" s="1002"/>
      <c r="R19" s="1002"/>
      <c r="S19" s="1002"/>
      <c r="T19" s="1002"/>
      <c r="U19" s="119"/>
      <c r="V19" s="1003" t="s">
        <v>58</v>
      </c>
      <c r="W19" s="1003"/>
      <c r="X19" s="1003"/>
      <c r="Y19" s="119"/>
      <c r="Z19" s="1003" t="s">
        <v>44</v>
      </c>
      <c r="AA19" s="1003"/>
      <c r="AB19" s="1003"/>
      <c r="AC19" s="119"/>
      <c r="AD19" s="1004" t="s">
        <v>45</v>
      </c>
      <c r="AE19" s="1004"/>
      <c r="AF19" s="1004"/>
      <c r="AG19" s="119"/>
      <c r="AH19" s="236"/>
      <c r="AI19" s="236"/>
      <c r="AJ19" s="236"/>
      <c r="AK19" s="236"/>
      <c r="AL19" s="236"/>
      <c r="AM19" s="236"/>
      <c r="AN19" s="236"/>
      <c r="AO19" s="236"/>
      <c r="AP19" s="236"/>
      <c r="AQ19" s="236"/>
      <c r="AR19" s="236"/>
      <c r="AS19" s="236"/>
      <c r="AT19" s="236"/>
      <c r="AU19" s="236"/>
      <c r="AV19" s="236"/>
    </row>
    <row r="20" s="118" customFormat="1" ht="15.95" customHeight="1">
      <c r="B20" s="964"/>
      <c r="C20" s="269" t="s">
        <v>218</v>
      </c>
      <c r="D20" s="269" t="s">
        <v>221</v>
      </c>
      <c r="E20" s="269" t="s">
        <v>222</v>
      </c>
      <c r="F20" s="269" t="s">
        <v>224</v>
      </c>
      <c r="G20" s="269" t="s">
        <v>227</v>
      </c>
      <c r="H20" s="1005" t="s">
        <v>229</v>
      </c>
      <c r="I20" s="269" t="s">
        <v>230</v>
      </c>
      <c r="J20" s="269" t="s">
        <v>231</v>
      </c>
      <c r="K20" s="269" t="s">
        <v>232</v>
      </c>
      <c r="L20" s="269" t="s">
        <v>233</v>
      </c>
      <c r="M20" s="269" t="s">
        <v>234</v>
      </c>
      <c r="N20" s="269" t="s">
        <v>235</v>
      </c>
      <c r="O20" s="269" t="s">
        <v>218</v>
      </c>
      <c r="P20" s="269" t="s">
        <v>221</v>
      </c>
      <c r="Q20" s="269" t="s">
        <v>222</v>
      </c>
      <c r="R20" s="269" t="s">
        <v>224</v>
      </c>
      <c r="S20" s="269" t="s">
        <v>227</v>
      </c>
      <c r="T20" s="1005" t="s">
        <v>229</v>
      </c>
      <c r="U20" s="144"/>
      <c r="V20" s="268">
        <v>2020</v>
      </c>
      <c r="W20" s="269">
        <v>2021</v>
      </c>
      <c r="X20" s="270">
        <v>2022</v>
      </c>
      <c r="Y20" s="144"/>
      <c r="Z20" s="268">
        <v>2020</v>
      </c>
      <c r="AA20" s="269">
        <v>2021</v>
      </c>
      <c r="AB20" s="270">
        <v>2022</v>
      </c>
      <c r="AC20" s="144"/>
      <c r="AD20" s="268">
        <v>2020</v>
      </c>
      <c r="AE20" s="269">
        <v>2021</v>
      </c>
      <c r="AF20" s="270">
        <v>2022</v>
      </c>
      <c r="AG20" s="144"/>
      <c r="AH20" s="236"/>
      <c r="AI20" s="236"/>
      <c r="AJ20" s="236"/>
      <c r="AK20" s="236"/>
      <c r="AL20" s="236"/>
      <c r="AM20" s="236"/>
      <c r="AN20" s="236"/>
      <c r="AO20" s="236"/>
      <c r="AP20" s="236"/>
      <c r="AQ20" s="236"/>
      <c r="AR20" s="236"/>
      <c r="AS20" s="236"/>
      <c r="AT20" s="236"/>
      <c r="AU20" s="236"/>
      <c r="AV20" s="236"/>
    </row>
    <row r="21" ht="21.95" customHeight="1">
      <c r="B21" s="263" t="s">
        <v>19</v>
      </c>
      <c r="C21" s="573">
        <v>86.95014662756598240469208211</v>
      </c>
      <c r="D21" s="574">
        <v>63.489736070381231671554252200</v>
      </c>
      <c r="E21" s="574">
        <v>59.141414141414141414141414140</v>
      </c>
      <c r="F21" s="574">
        <v>73.362658846529814271749755620</v>
      </c>
      <c r="G21" s="574">
        <v>84.36868686868686868686868687</v>
      </c>
      <c r="H21" s="1006">
        <v>93.62170087976539589442815249</v>
      </c>
      <c r="I21" s="574">
        <v>91.88660801564027370478983382</v>
      </c>
      <c r="J21" s="574">
        <v>96.50974025974025974025974026</v>
      </c>
      <c r="K21" s="574">
        <v>94.20821114369501466275659824</v>
      </c>
      <c r="L21" s="574">
        <v>90.80808080808080808080808081</v>
      </c>
      <c r="M21" s="574">
        <v>87.31671554252199413489736070</v>
      </c>
      <c r="N21" s="574">
        <v>81.03535353535353535353535354</v>
      </c>
      <c r="O21" s="574">
        <v>85.19061583577712609970674487</v>
      </c>
      <c r="P21" s="574">
        <v>79.42326490713587487781036168</v>
      </c>
      <c r="Q21" s="574">
        <v>67.601010101010101010101010100</v>
      </c>
      <c r="R21" s="574">
        <v>74.217986314760508308895405670</v>
      </c>
      <c r="S21" s="574">
        <v>86.46464646464646464646464646</v>
      </c>
      <c r="T21" s="1006">
        <v>86.33919843597262952101661779</v>
      </c>
      <c r="U21" s="113"/>
      <c r="V21" s="573">
        <v>49.336810730253353204172876300</v>
      </c>
      <c r="W21" s="574">
        <v>83.37069323370693233706932337</v>
      </c>
      <c r="X21" s="575">
        <v>85.02905770029057700290577003</v>
      </c>
      <c r="Y21" s="113"/>
      <c r="Z21" s="573">
        <v>58.885046113306982872200263500</v>
      </c>
      <c r="AA21" s="574">
        <v>83.77799736495388669301712780</v>
      </c>
      <c r="AB21" s="575">
        <v>82.29578392621870882740447958</v>
      </c>
      <c r="AC21" s="113"/>
      <c r="AD21" s="573">
        <v>49.336810730253353204172876300</v>
      </c>
      <c r="AE21" s="574">
        <v>83.37069323370693233706932337</v>
      </c>
      <c r="AF21" s="575">
        <v>85.02905770029057700290577003</v>
      </c>
      <c r="AG21" s="113"/>
    </row>
    <row r="22" ht="21.95" customHeight="1">
      <c r="B22" s="38" t="s">
        <v>35</v>
      </c>
      <c r="C22" s="271">
        <v>77.491439899080915480266714720</v>
      </c>
      <c r="D22" s="92">
        <v>57.316633627680663182555415390</v>
      </c>
      <c r="E22" s="92">
        <v>45.996275605214152700186219740</v>
      </c>
      <c r="F22" s="92">
        <v>46.328867599730559089888481400</v>
      </c>
      <c r="G22" s="92">
        <v>55.583913379737045630317092030</v>
      </c>
      <c r="H22" s="1007">
        <v>62.832123344061073272958610880</v>
      </c>
      <c r="I22" s="92">
        <v>51.107928851371721435031655110</v>
      </c>
      <c r="J22" s="92">
        <v>67.840453938584779706275033380</v>
      </c>
      <c r="K22" s="92">
        <v>72.384684956285800422068133860</v>
      </c>
      <c r="L22" s="92">
        <v>78.200934579439252336448598130</v>
      </c>
      <c r="M22" s="92">
        <v>65.910461260174856798311727460</v>
      </c>
      <c r="N22" s="92">
        <v>61.436031331592689295039164490</v>
      </c>
      <c r="O22" s="92">
        <v>73.342878800640107807630758860</v>
      </c>
      <c r="P22" s="92">
        <v>70.077284946236559139784946240</v>
      </c>
      <c r="Q22" s="92">
        <v>61.032986111111111111111111110</v>
      </c>
      <c r="R22" s="92">
        <v>68.203965053763440860215053760</v>
      </c>
      <c r="S22" s="92">
        <v>76.944444444444444444444444440</v>
      </c>
      <c r="T22" s="1007">
        <v>71.345766129032258064516129030</v>
      </c>
      <c r="U22" s="113"/>
      <c r="V22" s="271"/>
      <c r="W22" s="92">
        <v>64.216746765786302324568408520</v>
      </c>
      <c r="X22" s="272">
        <v>68.142525736377399429185011360</v>
      </c>
      <c r="Y22" s="113"/>
      <c r="Z22" s="271"/>
      <c r="AA22" s="92">
        <v>54.907696963583173610410571970</v>
      </c>
      <c r="AB22" s="272">
        <v>72.112771739130434782608695650</v>
      </c>
      <c r="AC22" s="113"/>
      <c r="AD22" s="271"/>
      <c r="AE22" s="92">
        <v>64.216746765786302324568408520</v>
      </c>
      <c r="AF22" s="272">
        <v>68.142525736377399429185011360</v>
      </c>
      <c r="AG22" s="113"/>
    </row>
    <row r="23" ht="21.95" customHeight="1">
      <c r="B23" s="40" t="s">
        <v>97</v>
      </c>
      <c r="C23" s="576">
        <v>112.20613107819646745833129153</v>
      </c>
      <c r="D23" s="113">
        <v>110.77017621582348629032383803</v>
      </c>
      <c r="E23" s="113">
        <v>128.57870199979419401111710021</v>
      </c>
      <c r="F23" s="113">
        <v>158.35193616302607422297287889</v>
      </c>
      <c r="G23" s="113">
        <v>151.78615851020568635320384117</v>
      </c>
      <c r="H23" s="1008">
        <v>149.00292381819779515648315648</v>
      </c>
      <c r="I23" s="113">
        <v>179.78934009008119479592000155</v>
      </c>
      <c r="J23" s="113">
        <v>142.25986805319407020023907765</v>
      </c>
      <c r="K23" s="113">
        <v>130.14936958083093014714330071</v>
      </c>
      <c r="L23" s="113">
        <v>116.12147769906810357585689282</v>
      </c>
      <c r="M23" s="113">
        <v>132.47777951031902484955651887</v>
      </c>
      <c r="N23" s="113">
        <v>131.90199916717684141278095816</v>
      </c>
      <c r="O23" s="113">
        <v>116.15390236779225345256012960</v>
      </c>
      <c r="P23" s="113">
        <v>113.33667531227987242344924328</v>
      </c>
      <c r="Q23" s="113">
        <v>110.76143313380431492970770955</v>
      </c>
      <c r="R23" s="113">
        <v>108.81770034369202072634501311</v>
      </c>
      <c r="S23" s="113">
        <v>112.37282573029136073950945611</v>
      </c>
      <c r="T23" s="1008">
        <v>121.01516757120957024157014752</v>
      </c>
      <c r="U23" s="113"/>
      <c r="V23" s="576"/>
      <c r="W23" s="113">
        <v>129.82702711141975134930827472</v>
      </c>
      <c r="X23" s="577">
        <v>124.78119468188456381020198787</v>
      </c>
      <c r="Y23" s="113"/>
      <c r="Z23" s="576"/>
      <c r="AA23" s="113">
        <v>152.57969646858963363111688047</v>
      </c>
      <c r="AB23" s="577">
        <v>114.12095519495531378414200087</v>
      </c>
      <c r="AC23" s="113"/>
      <c r="AD23" s="576"/>
      <c r="AE23" s="113">
        <v>129.82702711141975134930827472</v>
      </c>
      <c r="AF23" s="577">
        <v>124.78119468188456381020198787</v>
      </c>
      <c r="AG23" s="113"/>
    </row>
    <row r="24" ht="21.95" customHeight="1">
      <c r="A24" s="23"/>
      <c r="B24" s="39" t="s">
        <v>23</v>
      </c>
      <c r="C24" s="273" t="s">
        <v>219</v>
      </c>
      <c r="D24" s="274" t="s">
        <v>220</v>
      </c>
      <c r="E24" s="274" t="s">
        <v>223</v>
      </c>
      <c r="F24" s="274" t="s">
        <v>225</v>
      </c>
      <c r="G24" s="274" t="s">
        <v>228</v>
      </c>
      <c r="H24" s="1009" t="s">
        <v>228</v>
      </c>
      <c r="I24" s="274" t="s">
        <v>228</v>
      </c>
      <c r="J24" s="274" t="s">
        <v>228</v>
      </c>
      <c r="K24" s="274" t="s">
        <v>228</v>
      </c>
      <c r="L24" s="274" t="s">
        <v>228</v>
      </c>
      <c r="M24" s="274" t="s">
        <v>228</v>
      </c>
      <c r="N24" s="274" t="s">
        <v>219</v>
      </c>
      <c r="O24" s="274" t="s">
        <v>219</v>
      </c>
      <c r="P24" s="274" t="s">
        <v>219</v>
      </c>
      <c r="Q24" s="274" t="s">
        <v>223</v>
      </c>
      <c r="R24" s="274" t="s">
        <v>219</v>
      </c>
      <c r="S24" s="274" t="s">
        <v>219</v>
      </c>
      <c r="T24" s="1009" t="s">
        <v>219</v>
      </c>
      <c r="U24" s="113"/>
      <c r="V24" s="273"/>
      <c r="W24" s="274" t="s">
        <v>228</v>
      </c>
      <c r="X24" s="275" t="s">
        <v>219</v>
      </c>
      <c r="Y24" s="113"/>
      <c r="Z24" s="273"/>
      <c r="AA24" s="274" t="s">
        <v>228</v>
      </c>
      <c r="AB24" s="275" t="s">
        <v>219</v>
      </c>
      <c r="AC24" s="113"/>
      <c r="AD24" s="273"/>
      <c r="AE24" s="274" t="s">
        <v>228</v>
      </c>
      <c r="AF24" s="275" t="s">
        <v>219</v>
      </c>
      <c r="AG24" s="113"/>
    </row>
    <row r="25" ht="21.95" customHeight="1">
      <c r="B25" s="25" t="s">
        <v>68</v>
      </c>
      <c r="F25" s="4"/>
      <c r="G25" s="4"/>
      <c r="H25" s="4"/>
      <c r="I25" s="4"/>
      <c r="J25" s="4"/>
      <c r="K25" s="4"/>
      <c r="L25" s="4"/>
      <c r="M25" s="4"/>
      <c r="N25" s="4"/>
      <c r="O25" s="4"/>
      <c r="P25" s="4"/>
      <c r="Q25" s="4"/>
      <c r="R25" s="98"/>
      <c r="S25" s="98"/>
      <c r="T25" s="98"/>
      <c r="U25" s="9"/>
      <c r="V25" s="98"/>
      <c r="W25" s="98"/>
      <c r="X25" s="98"/>
      <c r="Y25" s="9"/>
      <c r="Z25" s="98"/>
      <c r="AA25" s="98"/>
      <c r="AB25" s="98"/>
      <c r="AC25" s="9"/>
      <c r="AD25" s="98"/>
      <c r="AE25" s="98"/>
      <c r="AF25" s="98"/>
      <c r="AG25" s="9"/>
    </row>
    <row r="26" ht="21.95" customHeight="1">
      <c r="B26" s="37" t="s">
        <v>19</v>
      </c>
      <c r="C26" s="573">
        <v>563.80597014730194364001464950</v>
      </c>
      <c r="D26" s="574">
        <v>148.61244019140849559304961144</v>
      </c>
      <c r="E26" s="574">
        <v>24.707135250377799780202680880</v>
      </c>
      <c r="F26" s="574">
        <v>38.660508083099887886756035140</v>
      </c>
      <c r="G26" s="574">
        <v>62.737457379552519698994735230</v>
      </c>
      <c r="H26" s="1006">
        <v>30.617115581374664890591574850</v>
      </c>
      <c r="I26" s="574">
        <v>7.643859146894496694505537800</v>
      </c>
      <c r="J26" s="574">
        <v>5.7515564779389224117965150300</v>
      </c>
      <c r="K26" s="574">
        <v>5.1841746248124777540578747600</v>
      </c>
      <c r="L26" s="574">
        <v>0.6437167645931443565335122900</v>
      </c>
      <c r="M26" s="574">
        <v>-5.149986726852332521205168600</v>
      </c>
      <c r="N26" s="574">
        <v>-11.475862068961609969084423130</v>
      </c>
      <c r="O26" s="574">
        <v>-2.0236087690096636134326977300</v>
      </c>
      <c r="P26" s="574">
        <v>25.096227867553474248267020370</v>
      </c>
      <c r="Q26" s="574">
        <v>14.304013663562771241525019280</v>
      </c>
      <c r="R26" s="574">
        <v>1.1658894071030720803053516800</v>
      </c>
      <c r="S26" s="574">
        <v>2.4842861418577396501664872700</v>
      </c>
      <c r="T26" s="1006">
        <v>-7.7786478726522018884396566100</v>
      </c>
      <c r="U26" s="113"/>
      <c r="V26" s="573">
        <v>-27.003821981851820098190248650</v>
      </c>
      <c r="W26" s="574">
        <v>68.982737229314182152003445530</v>
      </c>
      <c r="X26" s="575">
        <v>1.989145588536662112782954400</v>
      </c>
      <c r="Y26" s="113"/>
      <c r="Z26" s="573">
        <v>-22.119363972988326777063891620</v>
      </c>
      <c r="AA26" s="574">
        <v>42.273807859057565122229685470</v>
      </c>
      <c r="AB26" s="575">
        <v>-1.7692156477835750336517015900</v>
      </c>
      <c r="AC26" s="113"/>
      <c r="AD26" s="573">
        <v>-27.003821981851820098190248650</v>
      </c>
      <c r="AE26" s="574">
        <v>68.982737229314182152003445530</v>
      </c>
      <c r="AF26" s="575">
        <v>1.989145588536662112782954400</v>
      </c>
      <c r="AG26" s="113"/>
    </row>
    <row r="27" ht="21.95" customHeight="1">
      <c r="B27" s="38" t="s">
        <v>35</v>
      </c>
      <c r="C27" s="271"/>
      <c r="D27" s="92"/>
      <c r="E27" s="92"/>
      <c r="F27" s="92"/>
      <c r="G27" s="92"/>
      <c r="H27" s="1007">
        <v>27.157143736339413189833767400</v>
      </c>
      <c r="I27" s="92">
        <v>2.4743982641298149237126332200</v>
      </c>
      <c r="J27" s="92">
        <v>-8.103550199465206920689811900</v>
      </c>
      <c r="K27" s="92">
        <v>-7.5171812597035587203322585500</v>
      </c>
      <c r="L27" s="92">
        <v>6.5705450479182924696682962200</v>
      </c>
      <c r="M27" s="92">
        <v>-14.052205550803219812010889330</v>
      </c>
      <c r="N27" s="92">
        <v>-22.355498175862398829866824060</v>
      </c>
      <c r="O27" s="92">
        <v>-5.3535733803135517072667830300</v>
      </c>
      <c r="P27" s="92">
        <v>22.263434732443162396226616940</v>
      </c>
      <c r="Q27" s="92">
        <v>32.691147942011138436883641750</v>
      </c>
      <c r="R27" s="92">
        <v>47.216991451362588095222818540</v>
      </c>
      <c r="S27" s="92">
        <v>38.429340012151070433466657890</v>
      </c>
      <c r="T27" s="1007">
        <v>13.549825044599097958301731990</v>
      </c>
      <c r="U27" s="113"/>
      <c r="V27" s="271"/>
      <c r="W27" s="92"/>
      <c r="X27" s="272">
        <v>6.1133258352292565291292786200</v>
      </c>
      <c r="Y27" s="113"/>
      <c r="Z27" s="271"/>
      <c r="AA27" s="92"/>
      <c r="AB27" s="272">
        <v>31.334540924082479144908805880</v>
      </c>
      <c r="AC27" s="113"/>
      <c r="AD27" s="271"/>
      <c r="AE27" s="92"/>
      <c r="AF27" s="272">
        <v>6.1133258352292565291292786200</v>
      </c>
      <c r="AG27" s="113"/>
    </row>
    <row r="28" ht="21.95" customHeight="1">
      <c r="B28" s="40" t="s">
        <v>97</v>
      </c>
      <c r="C28" s="576"/>
      <c r="D28" s="113"/>
      <c r="E28" s="113"/>
      <c r="F28" s="113"/>
      <c r="G28" s="113"/>
      <c r="H28" s="1008">
        <v>2.7210204186688575358730738600</v>
      </c>
      <c r="I28" s="113">
        <v>5.044636485078697221823813200</v>
      </c>
      <c r="J28" s="113">
        <v>15.076868265805240626062241200</v>
      </c>
      <c r="K28" s="113">
        <v>13.733746502859127337077677510</v>
      </c>
      <c r="L28" s="113">
        <v>-5.561413128325313665749462100</v>
      </c>
      <c r="M28" s="113">
        <v>10.357704791576769448854433780</v>
      </c>
      <c r="N28" s="113">
        <v>14.012113995573260069241006900</v>
      </c>
      <c r="O28" s="113">
        <v>3.5183204800466088944495211600</v>
      </c>
      <c r="P28" s="113">
        <v>2.3169585750950470805373927400</v>
      </c>
      <c r="Q28" s="113">
        <v>-13.857091873600807740335947760</v>
      </c>
      <c r="R28" s="113">
        <v>-31.281105251734830519108533760</v>
      </c>
      <c r="S28" s="113">
        <v>-25.966355013365774751541152460</v>
      </c>
      <c r="T28" s="1008">
        <v>-18.783360440053229451018440160</v>
      </c>
      <c r="U28" s="113"/>
      <c r="V28" s="576"/>
      <c r="W28" s="113"/>
      <c r="X28" s="577">
        <v>-3.8865808928874147870007314100</v>
      </c>
      <c r="Y28" s="113"/>
      <c r="Z28" s="576"/>
      <c r="AA28" s="113"/>
      <c r="AB28" s="577">
        <v>-25.205674256639557499999890340</v>
      </c>
      <c r="AC28" s="113"/>
      <c r="AD28" s="576"/>
      <c r="AE28" s="113"/>
      <c r="AF28" s="577">
        <v>-3.8865808928874147870007314100</v>
      </c>
      <c r="AG28" s="113"/>
    </row>
    <row r="29" ht="21.95" customHeight="1">
      <c r="A29" s="23"/>
      <c r="B29" s="39" t="s">
        <v>23</v>
      </c>
      <c r="C29" s="273"/>
      <c r="D29" s="274"/>
      <c r="E29" s="274"/>
      <c r="F29" s="274"/>
      <c r="G29" s="274"/>
      <c r="H29" s="1009" t="s">
        <v>236</v>
      </c>
      <c r="I29" s="274" t="s">
        <v>220</v>
      </c>
      <c r="J29" s="274" t="s">
        <v>219</v>
      </c>
      <c r="K29" s="274" t="s">
        <v>223</v>
      </c>
      <c r="L29" s="274" t="s">
        <v>220</v>
      </c>
      <c r="M29" s="274" t="s">
        <v>219</v>
      </c>
      <c r="N29" s="274" t="s">
        <v>237</v>
      </c>
      <c r="O29" s="274" t="s">
        <v>236</v>
      </c>
      <c r="P29" s="274" t="s">
        <v>236</v>
      </c>
      <c r="Q29" s="274" t="s">
        <v>238</v>
      </c>
      <c r="R29" s="274" t="s">
        <v>239</v>
      </c>
      <c r="S29" s="274" t="s">
        <v>239</v>
      </c>
      <c r="T29" s="1009" t="s">
        <v>239</v>
      </c>
      <c r="U29" s="113"/>
      <c r="V29" s="273"/>
      <c r="W29" s="274"/>
      <c r="X29" s="275" t="s">
        <v>220</v>
      </c>
      <c r="Y29" s="113"/>
      <c r="Z29" s="273"/>
      <c r="AA29" s="274"/>
      <c r="AB29" s="275" t="s">
        <v>239</v>
      </c>
      <c r="AC29" s="113"/>
      <c r="AD29" s="273"/>
      <c r="AE29" s="274"/>
      <c r="AF29" s="275" t="s">
        <v>220</v>
      </c>
      <c r="AG29" s="113"/>
    </row>
    <row r="30" ht="21.95" customHeight="1">
      <c r="A30" s="8"/>
      <c r="B30" s="25"/>
      <c r="F30" s="4"/>
      <c r="G30" s="4"/>
      <c r="H30" s="4"/>
      <c r="I30" s="4"/>
      <c r="J30" s="4"/>
      <c r="K30" s="4"/>
      <c r="L30" s="4"/>
      <c r="M30" s="4"/>
      <c r="N30" s="4"/>
      <c r="O30" s="4"/>
      <c r="P30" s="4"/>
      <c r="Q30" s="4"/>
      <c r="U30" s="9"/>
      <c r="X30" s="102"/>
      <c r="Y30" s="116"/>
      <c r="Z30" s="4"/>
      <c r="AA30" s="4"/>
      <c r="AB30" s="102"/>
      <c r="AC30" s="116"/>
      <c r="AF30" s="102"/>
      <c r="AG30" s="116"/>
    </row>
    <row r="31" s="117" customFormat="1" ht="15.95" customHeight="1">
      <c r="B31" s="964" t="s">
        <v>9</v>
      </c>
      <c r="C31" s="1002">
        <v>2021</v>
      </c>
      <c r="D31" s="1002"/>
      <c r="E31" s="1002"/>
      <c r="F31" s="1002"/>
      <c r="G31" s="1002"/>
      <c r="H31" s="1002"/>
      <c r="I31" s="1002">
        <v>2022</v>
      </c>
      <c r="J31" s="1002"/>
      <c r="K31" s="1002"/>
      <c r="L31" s="1002"/>
      <c r="M31" s="1002"/>
      <c r="N31" s="1002"/>
      <c r="O31" s="1002"/>
      <c r="P31" s="1002"/>
      <c r="Q31" s="1002"/>
      <c r="R31" s="1002"/>
      <c r="S31" s="1002"/>
      <c r="T31" s="1002"/>
      <c r="U31" s="119"/>
      <c r="V31" s="1003" t="s">
        <v>58</v>
      </c>
      <c r="W31" s="1003"/>
      <c r="X31" s="1003"/>
      <c r="Y31" s="119"/>
      <c r="Z31" s="1003" t="s">
        <v>44</v>
      </c>
      <c r="AA31" s="1003"/>
      <c r="AB31" s="1003"/>
      <c r="AC31" s="119"/>
      <c r="AD31" s="1004" t="s">
        <v>45</v>
      </c>
      <c r="AE31" s="1004"/>
      <c r="AF31" s="1004"/>
      <c r="AG31" s="119"/>
      <c r="AH31" s="236"/>
      <c r="AI31" s="236"/>
      <c r="AJ31" s="236"/>
      <c r="AK31" s="236"/>
      <c r="AL31" s="236"/>
      <c r="AM31" s="236"/>
      <c r="AN31" s="236"/>
      <c r="AO31" s="236"/>
      <c r="AP31" s="236"/>
      <c r="AQ31" s="236"/>
      <c r="AR31" s="236"/>
      <c r="AS31" s="236"/>
      <c r="AT31" s="236"/>
      <c r="AU31" s="236"/>
      <c r="AV31" s="236"/>
    </row>
    <row r="32" s="118" customFormat="1" ht="15.95" customHeight="1">
      <c r="B32" s="964"/>
      <c r="C32" s="269" t="s">
        <v>218</v>
      </c>
      <c r="D32" s="269" t="s">
        <v>221</v>
      </c>
      <c r="E32" s="269" t="s">
        <v>222</v>
      </c>
      <c r="F32" s="269" t="s">
        <v>224</v>
      </c>
      <c r="G32" s="269" t="s">
        <v>227</v>
      </c>
      <c r="H32" s="1005" t="s">
        <v>229</v>
      </c>
      <c r="I32" s="269" t="s">
        <v>230</v>
      </c>
      <c r="J32" s="269" t="s">
        <v>231</v>
      </c>
      <c r="K32" s="269" t="s">
        <v>232</v>
      </c>
      <c r="L32" s="269" t="s">
        <v>233</v>
      </c>
      <c r="M32" s="269" t="s">
        <v>234</v>
      </c>
      <c r="N32" s="269" t="s">
        <v>235</v>
      </c>
      <c r="O32" s="269" t="s">
        <v>218</v>
      </c>
      <c r="P32" s="269" t="s">
        <v>221</v>
      </c>
      <c r="Q32" s="269" t="s">
        <v>222</v>
      </c>
      <c r="R32" s="269" t="s">
        <v>224</v>
      </c>
      <c r="S32" s="269" t="s">
        <v>227</v>
      </c>
      <c r="T32" s="1005" t="s">
        <v>229</v>
      </c>
      <c r="U32" s="144"/>
      <c r="V32" s="268">
        <v>2020</v>
      </c>
      <c r="W32" s="269">
        <v>2021</v>
      </c>
      <c r="X32" s="270">
        <v>2022</v>
      </c>
      <c r="Y32" s="144"/>
      <c r="Z32" s="268">
        <v>2020</v>
      </c>
      <c r="AA32" s="269">
        <v>2021</v>
      </c>
      <c r="AB32" s="270">
        <v>2022</v>
      </c>
      <c r="AC32" s="144"/>
      <c r="AD32" s="268">
        <v>2020</v>
      </c>
      <c r="AE32" s="269">
        <v>2021</v>
      </c>
      <c r="AF32" s="270">
        <v>2022</v>
      </c>
      <c r="AG32" s="144"/>
      <c r="AH32" s="236"/>
      <c r="AI32" s="236"/>
      <c r="AJ32" s="236"/>
      <c r="AK32" s="236"/>
      <c r="AL32" s="236"/>
      <c r="AM32" s="236"/>
      <c r="AN32" s="236"/>
      <c r="AO32" s="236"/>
      <c r="AP32" s="236"/>
      <c r="AQ32" s="236"/>
      <c r="AR32" s="236"/>
      <c r="AS32" s="236"/>
      <c r="AT32" s="236"/>
      <c r="AU32" s="236"/>
      <c r="AV32" s="236"/>
    </row>
    <row r="33" ht="21.95" customHeight="1">
      <c r="B33" s="263" t="s">
        <v>19</v>
      </c>
      <c r="C33" s="578">
        <v>267.21810005621135469364811692</v>
      </c>
      <c r="D33" s="579">
        <v>206.73171670515781370284834488</v>
      </c>
      <c r="E33" s="579">
        <v>182.90093936806148590947907771</v>
      </c>
      <c r="F33" s="579">
        <v>185.16122584943371085942704863</v>
      </c>
      <c r="G33" s="579">
        <v>232.85902424423825202035318767</v>
      </c>
      <c r="H33" s="1010">
        <v>336.98538240668232837379274341</v>
      </c>
      <c r="I33" s="579">
        <v>272.61063829787234042553191489</v>
      </c>
      <c r="J33" s="579">
        <v>360.40734510793383795906924586</v>
      </c>
      <c r="K33" s="579">
        <v>335.71802853437094682230869001</v>
      </c>
      <c r="L33" s="579">
        <v>354.76223581757508342602892102</v>
      </c>
      <c r="M33" s="579">
        <v>316.9294710327455919395465995</v>
      </c>
      <c r="N33" s="579">
        <v>212.63477718915550015581177937</v>
      </c>
      <c r="O33" s="579">
        <v>229.13482501434308663224325875</v>
      </c>
      <c r="P33" s="579">
        <v>193.212000000</v>
      </c>
      <c r="Q33" s="579">
        <v>184.57228240567799775868509526</v>
      </c>
      <c r="R33" s="579">
        <v>212.23740533421139282186368126</v>
      </c>
      <c r="S33" s="579">
        <v>262.937500000</v>
      </c>
      <c r="T33" s="1010">
        <v>319.73223889046136427964902349</v>
      </c>
      <c r="U33" s="113"/>
      <c r="V33" s="578">
        <v>205.63515078286260887076473846</v>
      </c>
      <c r="W33" s="579">
        <v>233.74962656841266679944234216</v>
      </c>
      <c r="X33" s="580">
        <v>275.60038567627602704615910367</v>
      </c>
      <c r="Y33" s="113"/>
      <c r="Z33" s="578">
        <v>140.13704377010208362466787862</v>
      </c>
      <c r="AA33" s="579">
        <v>257.99361116571653233733045017</v>
      </c>
      <c r="AB33" s="580">
        <v>267.60826495897538523113868321</v>
      </c>
      <c r="AC33" s="113"/>
      <c r="AD33" s="578">
        <v>205.63515078286260887076473846</v>
      </c>
      <c r="AE33" s="579">
        <v>233.74962656841266679944234216</v>
      </c>
      <c r="AF33" s="580">
        <v>275.60038567627602704615910367</v>
      </c>
      <c r="AG33" s="113"/>
    </row>
    <row r="34" ht="21.95" customHeight="1">
      <c r="B34" s="38" t="s">
        <v>35</v>
      </c>
      <c r="C34" s="276">
        <v>287.93819883720930232558139536</v>
      </c>
      <c r="D34" s="94">
        <v>232.55804276057223706964313787</v>
      </c>
      <c r="E34" s="94">
        <v>215.0378582995951417004048583</v>
      </c>
      <c r="F34" s="94">
        <v>231.03938126009693053311793215</v>
      </c>
      <c r="G34" s="94">
        <v>295.48234172812021705857798805</v>
      </c>
      <c r="H34" s="1011">
        <v>429.2952912447885646217986897</v>
      </c>
      <c r="I34" s="94">
        <v>382.42658162512903701518950007</v>
      </c>
      <c r="J34" s="94">
        <v>459.912699876998769987699877</v>
      </c>
      <c r="K34" s="94">
        <v>441.75091732611411911703456888</v>
      </c>
      <c r="L34" s="94">
        <v>418.42689672343392092421073598</v>
      </c>
      <c r="M34" s="94">
        <v>342.64543624928530588907947402</v>
      </c>
      <c r="N34" s="94">
        <v>233.16957076073098172545686359</v>
      </c>
      <c r="O34" s="94">
        <v>248.47312815801561782269177768</v>
      </c>
      <c r="P34" s="94">
        <v>218.77487413090385998561496043</v>
      </c>
      <c r="Q34" s="94">
        <v>201.78964585407481154885507041</v>
      </c>
      <c r="R34" s="94">
        <v>265.29831260007390072669047912</v>
      </c>
      <c r="S34" s="94">
        <v>310.65478339350180505415162458</v>
      </c>
      <c r="T34" s="1011">
        <v>373.58801365830684092782291299</v>
      </c>
      <c r="U34" s="113"/>
      <c r="V34" s="276"/>
      <c r="W34" s="94">
        <v>286.53280715836121913719815501</v>
      </c>
      <c r="X34" s="277">
        <v>325.4739442916479457233911508</v>
      </c>
      <c r="Y34" s="113"/>
      <c r="Z34" s="276"/>
      <c r="AA34" s="94">
        <v>328.75708846224508543082858719</v>
      </c>
      <c r="AB34" s="277">
        <v>317.18024807662113361595226881</v>
      </c>
      <c r="AC34" s="113"/>
      <c r="AD34" s="276"/>
      <c r="AE34" s="94">
        <v>286.53280715836121913719815501</v>
      </c>
      <c r="AF34" s="277">
        <v>325.4739442916479457233911508</v>
      </c>
      <c r="AG34" s="113"/>
    </row>
    <row r="35" ht="21.95" customHeight="1">
      <c r="B35" s="40" t="s">
        <v>98</v>
      </c>
      <c r="C35" s="576">
        <v>92.80397708096251216097072508</v>
      </c>
      <c r="D35" s="113">
        <v>88.89467517490748151487362474</v>
      </c>
      <c r="E35" s="113">
        <v>85.05522739778966019355589739</v>
      </c>
      <c r="F35" s="113">
        <v>80.14271196518766514439974698</v>
      </c>
      <c r="G35" s="113">
        <v>78.806409507378576101483430130</v>
      </c>
      <c r="H35" s="1008">
        <v>78.497339542101066553448249330</v>
      </c>
      <c r="I35" s="113">
        <v>71.284437692439930165338039470</v>
      </c>
      <c r="J35" s="113">
        <v>78.364295050848111146226756200</v>
      </c>
      <c r="K35" s="113">
        <v>75.997132177213861627912429950</v>
      </c>
      <c r="L35" s="113">
        <v>84.78475896163284329064184551</v>
      </c>
      <c r="M35" s="113">
        <v>92.49487589910751542100550948</v>
      </c>
      <c r="N35" s="113">
        <v>91.19319321790098053842918714</v>
      </c>
      <c r="O35" s="113">
        <v>92.21714505426920751224973949</v>
      </c>
      <c r="P35" s="113">
        <v>88.31544333760881730461883760</v>
      </c>
      <c r="Q35" s="113">
        <v>91.46766754282790342160122842</v>
      </c>
      <c r="R35" s="113">
        <v>79.99953081274569452012825790</v>
      </c>
      <c r="S35" s="113">
        <v>84.63977188046143736675840718</v>
      </c>
      <c r="T35" s="1008">
        <v>85.58418022022047744073031072</v>
      </c>
      <c r="U35" s="113"/>
      <c r="V35" s="576"/>
      <c r="W35" s="113">
        <v>81.57866070784420446424381774</v>
      </c>
      <c r="X35" s="577">
        <v>84.67663556790246709584700569</v>
      </c>
      <c r="Y35" s="113"/>
      <c r="Z35" s="576"/>
      <c r="AA35" s="113">
        <v>78.475452003943712135296262470</v>
      </c>
      <c r="AB35" s="577">
        <v>84.37103715687465215960506458</v>
      </c>
      <c r="AC35" s="113"/>
      <c r="AD35" s="576"/>
      <c r="AE35" s="113">
        <v>81.57866070784420446424381774</v>
      </c>
      <c r="AF35" s="577">
        <v>84.67663556790246709584700569</v>
      </c>
      <c r="AG35" s="113"/>
    </row>
    <row r="36" ht="21.95" customHeight="1">
      <c r="A36" s="23"/>
      <c r="B36" s="39" t="s">
        <v>23</v>
      </c>
      <c r="C36" s="273" t="s">
        <v>220</v>
      </c>
      <c r="D36" s="274" t="s">
        <v>220</v>
      </c>
      <c r="E36" s="274" t="s">
        <v>220</v>
      </c>
      <c r="F36" s="274" t="s">
        <v>226</v>
      </c>
      <c r="G36" s="274" t="s">
        <v>226</v>
      </c>
      <c r="H36" s="1009" t="s">
        <v>226</v>
      </c>
      <c r="I36" s="274" t="s">
        <v>226</v>
      </c>
      <c r="J36" s="274" t="s">
        <v>226</v>
      </c>
      <c r="K36" s="274" t="s">
        <v>226</v>
      </c>
      <c r="L36" s="274" t="s">
        <v>226</v>
      </c>
      <c r="M36" s="274" t="s">
        <v>226</v>
      </c>
      <c r="N36" s="274" t="s">
        <v>223</v>
      </c>
      <c r="O36" s="274" t="s">
        <v>223</v>
      </c>
      <c r="P36" s="274" t="s">
        <v>223</v>
      </c>
      <c r="Q36" s="274" t="s">
        <v>223</v>
      </c>
      <c r="R36" s="274" t="s">
        <v>223</v>
      </c>
      <c r="S36" s="274" t="s">
        <v>223</v>
      </c>
      <c r="T36" s="1009" t="s">
        <v>223</v>
      </c>
      <c r="U36" s="113"/>
      <c r="V36" s="273"/>
      <c r="W36" s="274" t="s">
        <v>226</v>
      </c>
      <c r="X36" s="275" t="s">
        <v>223</v>
      </c>
      <c r="Y36" s="113"/>
      <c r="Z36" s="273"/>
      <c r="AA36" s="274" t="s">
        <v>226</v>
      </c>
      <c r="AB36" s="275" t="s">
        <v>223</v>
      </c>
      <c r="AC36" s="113"/>
      <c r="AD36" s="273"/>
      <c r="AE36" s="274" t="s">
        <v>226</v>
      </c>
      <c r="AF36" s="275" t="s">
        <v>223</v>
      </c>
      <c r="AG36" s="113"/>
    </row>
    <row r="37" ht="21.95" customHeight="1">
      <c r="B37" s="25" t="s">
        <v>68</v>
      </c>
      <c r="F37" s="4"/>
      <c r="G37" s="4"/>
      <c r="H37" s="4"/>
      <c r="I37" s="4"/>
      <c r="J37" s="4"/>
      <c r="K37" s="4"/>
      <c r="L37" s="4"/>
      <c r="M37" s="4"/>
      <c r="N37" s="4"/>
      <c r="O37" s="4"/>
      <c r="P37" s="4"/>
      <c r="Q37" s="4"/>
      <c r="S37" s="98"/>
      <c r="T37" s="98"/>
      <c r="U37" s="9"/>
      <c r="V37" s="98"/>
      <c r="W37" s="98"/>
      <c r="X37" s="98"/>
      <c r="Y37" s="9"/>
      <c r="Z37" s="98"/>
      <c r="AA37" s="98"/>
      <c r="AB37" s="98"/>
      <c r="AC37" s="9"/>
      <c r="AD37" s="98"/>
      <c r="AE37" s="98"/>
      <c r="AF37" s="98"/>
      <c r="AG37" s="9"/>
    </row>
    <row r="38" ht="21.95" customHeight="1">
      <c r="B38" s="37" t="s">
        <v>19</v>
      </c>
      <c r="C38" s="573">
        <v>94.56747579283222250525818635</v>
      </c>
      <c r="D38" s="574">
        <v>87.50565808009448037464337649</v>
      </c>
      <c r="E38" s="574">
        <v>62.854565603148828120779834780</v>
      </c>
      <c r="F38" s="574">
        <v>55.268010149497998698846866090</v>
      </c>
      <c r="G38" s="574">
        <v>84.30857304858609216838980761</v>
      </c>
      <c r="H38" s="1006">
        <v>103.97519524991013283641442340</v>
      </c>
      <c r="I38" s="574">
        <v>62.573534812503983902355966970</v>
      </c>
      <c r="J38" s="574">
        <v>77.237971075308441506482345590</v>
      </c>
      <c r="K38" s="574">
        <v>41.999754707629583918543983940</v>
      </c>
      <c r="L38" s="574">
        <v>47.627193746327478596713406380</v>
      </c>
      <c r="M38" s="574">
        <v>17.329605123397602146698247530</v>
      </c>
      <c r="N38" s="574">
        <v>-7.5738200557158284056744327100</v>
      </c>
      <c r="O38" s="574">
        <v>-14.251757285096864985392944240</v>
      </c>
      <c r="P38" s="574">
        <v>-6.5397399686276264166636040100</v>
      </c>
      <c r="Q38" s="574">
        <v>0.9137968582076615383711579200</v>
      </c>
      <c r="R38" s="574">
        <v>14.623028855314273128633840750</v>
      </c>
      <c r="S38" s="574">
        <v>12.917032463494567736462841820</v>
      </c>
      <c r="T38" s="1006">
        <v>-5.1198492329308838951420960200</v>
      </c>
      <c r="U38" s="113"/>
      <c r="V38" s="573">
        <v>5.6208548544613259021366218100</v>
      </c>
      <c r="W38" s="574">
        <v>13.672018464972760852009297750</v>
      </c>
      <c r="X38" s="575">
        <v>17.904096670558583726120748430</v>
      </c>
      <c r="Y38" s="113"/>
      <c r="Z38" s="573">
        <v>-27.274979319885839337582836260</v>
      </c>
      <c r="AA38" s="574">
        <v>84.10093735740892845007746608</v>
      </c>
      <c r="AB38" s="575">
        <v>3.7267022814375971313477932500</v>
      </c>
      <c r="AC38" s="113"/>
      <c r="AD38" s="573">
        <v>5.6208548544613259021366218100</v>
      </c>
      <c r="AE38" s="574">
        <v>13.672018464972760852009297750</v>
      </c>
      <c r="AF38" s="575">
        <v>17.904096670558583726120748430</v>
      </c>
      <c r="AG38" s="113"/>
    </row>
    <row r="39" ht="21.95" customHeight="1">
      <c r="B39" s="38" t="s">
        <v>35</v>
      </c>
      <c r="C39" s="271"/>
      <c r="D39" s="92"/>
      <c r="E39" s="92"/>
      <c r="F39" s="92"/>
      <c r="G39" s="92"/>
      <c r="H39" s="1007">
        <v>90.25392971206590858291768503</v>
      </c>
      <c r="I39" s="92">
        <v>70.278409454863836068720882420</v>
      </c>
      <c r="J39" s="92">
        <v>72.214042959264246428943124560</v>
      </c>
      <c r="K39" s="92">
        <v>46.372741115885638736265476710</v>
      </c>
      <c r="L39" s="92">
        <v>42.565529146288920996458715140</v>
      </c>
      <c r="M39" s="92">
        <v>10.850584335175944932952143920</v>
      </c>
      <c r="N39" s="92">
        <v>-14.053303094894458698038893560</v>
      </c>
      <c r="O39" s="92">
        <v>-13.706090695350184443342414110</v>
      </c>
      <c r="P39" s="92">
        <v>-5.9267649770706125908928835100</v>
      </c>
      <c r="Q39" s="92">
        <v>-6.1608744387080011896211122200</v>
      </c>
      <c r="R39" s="92">
        <v>14.828178275549400399400519810</v>
      </c>
      <c r="S39" s="92">
        <v>5.1348048674134779562052040100</v>
      </c>
      <c r="T39" s="1007">
        <v>-12.976447383096689005693377690</v>
      </c>
      <c r="U39" s="113"/>
      <c r="V39" s="271"/>
      <c r="W39" s="92"/>
      <c r="X39" s="272">
        <v>13.590463695740310542987316250</v>
      </c>
      <c r="Y39" s="113"/>
      <c r="Z39" s="271"/>
      <c r="AA39" s="92"/>
      <c r="AB39" s="272">
        <v>-3.5213964327677011398140308800</v>
      </c>
      <c r="AC39" s="113"/>
      <c r="AD39" s="271"/>
      <c r="AE39" s="92"/>
      <c r="AF39" s="272">
        <v>13.590463695740310542987316250</v>
      </c>
      <c r="AG39" s="113"/>
    </row>
    <row r="40" ht="21.95" customHeight="1">
      <c r="B40" s="40" t="s">
        <v>98</v>
      </c>
      <c r="C40" s="576"/>
      <c r="D40" s="113"/>
      <c r="E40" s="113"/>
      <c r="F40" s="113"/>
      <c r="G40" s="113"/>
      <c r="H40" s="1008">
        <v>7.2120799599490550384338042700</v>
      </c>
      <c r="I40" s="113">
        <v>-4.5248688115813364016610333600</v>
      </c>
      <c r="J40" s="113">
        <v>2.9172580990936665167880878200</v>
      </c>
      <c r="K40" s="113">
        <v>-2.9875688430719641163732722900</v>
      </c>
      <c r="L40" s="113">
        <v>3.5504126630724788142094217600</v>
      </c>
      <c r="M40" s="113">
        <v>5.8448233060766961621952375600</v>
      </c>
      <c r="N40" s="113">
        <v>7.5389552740555151913148316200</v>
      </c>
      <c r="O40" s="113">
        <v>-0.6323349981203942793019970900</v>
      </c>
      <c r="P40" s="113">
        <v>-0.6515934010125419064867795600</v>
      </c>
      <c r="Q40" s="113">
        <v>7.5391487874544965297749910500</v>
      </c>
      <c r="R40" s="113">
        <v>-0.1786577331154932353623542800</v>
      </c>
      <c r="S40" s="113">
        <v>7.4021420459635061223758807700</v>
      </c>
      <c r="T40" s="1008">
        <v>9.028128493857597995173151010</v>
      </c>
      <c r="U40" s="113"/>
      <c r="V40" s="576"/>
      <c r="W40" s="113"/>
      <c r="X40" s="577">
        <v>3.7975309146087264515578459700</v>
      </c>
      <c r="Y40" s="113"/>
      <c r="Z40" s="576"/>
      <c r="AA40" s="113"/>
      <c r="AB40" s="577">
        <v>7.5126488633434807791035964100</v>
      </c>
      <c r="AC40" s="113"/>
      <c r="AD40" s="576"/>
      <c r="AE40" s="113"/>
      <c r="AF40" s="577">
        <v>3.7975309146087264515578459700</v>
      </c>
      <c r="AG40" s="113"/>
    </row>
    <row r="41" ht="21.95" customHeight="1">
      <c r="A41" s="23"/>
      <c r="B41" s="39" t="s">
        <v>23</v>
      </c>
      <c r="C41" s="273"/>
      <c r="D41" s="274"/>
      <c r="E41" s="274"/>
      <c r="F41" s="274"/>
      <c r="G41" s="274"/>
      <c r="H41" s="1009" t="s">
        <v>237</v>
      </c>
      <c r="I41" s="274" t="s">
        <v>220</v>
      </c>
      <c r="J41" s="274" t="s">
        <v>223</v>
      </c>
      <c r="K41" s="274" t="s">
        <v>223</v>
      </c>
      <c r="L41" s="274" t="s">
        <v>223</v>
      </c>
      <c r="M41" s="274" t="s">
        <v>223</v>
      </c>
      <c r="N41" s="274" t="s">
        <v>236</v>
      </c>
      <c r="O41" s="274" t="s">
        <v>238</v>
      </c>
      <c r="P41" s="274" t="s">
        <v>238</v>
      </c>
      <c r="Q41" s="274" t="s">
        <v>238</v>
      </c>
      <c r="R41" s="274" t="s">
        <v>220</v>
      </c>
      <c r="S41" s="274" t="s">
        <v>240</v>
      </c>
      <c r="T41" s="1009" t="s">
        <v>239</v>
      </c>
      <c r="U41" s="113"/>
      <c r="V41" s="273"/>
      <c r="W41" s="274"/>
      <c r="X41" s="275" t="s">
        <v>223</v>
      </c>
      <c r="Y41" s="113"/>
      <c r="Z41" s="273"/>
      <c r="AA41" s="274"/>
      <c r="AB41" s="275" t="s">
        <v>220</v>
      </c>
      <c r="AC41" s="113"/>
      <c r="AD41" s="273"/>
      <c r="AE41" s="274"/>
      <c r="AF41" s="275" t="s">
        <v>223</v>
      </c>
      <c r="AG41" s="113"/>
    </row>
    <row r="42" ht="21.95" customHeight="1">
      <c r="A42" s="8"/>
      <c r="B42" s="25"/>
      <c r="F42" s="4"/>
      <c r="G42" s="4"/>
      <c r="H42" s="4"/>
      <c r="I42" s="4"/>
      <c r="J42" s="4"/>
      <c r="K42" s="4"/>
      <c r="L42" s="4"/>
      <c r="M42" s="4"/>
      <c r="N42" s="4"/>
      <c r="O42" s="4"/>
      <c r="P42" s="4"/>
      <c r="Q42" s="4"/>
      <c r="U42" s="9"/>
      <c r="X42" s="102"/>
      <c r="Y42" s="116"/>
      <c r="Z42" s="4"/>
      <c r="AA42" s="4"/>
      <c r="AB42" s="102"/>
      <c r="AC42" s="116"/>
      <c r="AF42" s="102"/>
      <c r="AG42" s="116"/>
    </row>
    <row r="43" s="117" customFormat="1" ht="15.95" customHeight="1">
      <c r="B43" s="964" t="s">
        <v>10</v>
      </c>
      <c r="C43" s="1002">
        <v>2021</v>
      </c>
      <c r="D43" s="1002"/>
      <c r="E43" s="1002"/>
      <c r="F43" s="1002"/>
      <c r="G43" s="1002"/>
      <c r="H43" s="1002"/>
      <c r="I43" s="1002">
        <v>2022</v>
      </c>
      <c r="J43" s="1002"/>
      <c r="K43" s="1002"/>
      <c r="L43" s="1002"/>
      <c r="M43" s="1002"/>
      <c r="N43" s="1002"/>
      <c r="O43" s="1002"/>
      <c r="P43" s="1002"/>
      <c r="Q43" s="1002"/>
      <c r="R43" s="1002"/>
      <c r="S43" s="1002"/>
      <c r="T43" s="1002"/>
      <c r="U43" s="119"/>
      <c r="V43" s="1003" t="s">
        <v>58</v>
      </c>
      <c r="W43" s="1003"/>
      <c r="X43" s="1003"/>
      <c r="Y43" s="119"/>
      <c r="Z43" s="1003" t="s">
        <v>44</v>
      </c>
      <c r="AA43" s="1003"/>
      <c r="AB43" s="1003"/>
      <c r="AC43" s="119"/>
      <c r="AD43" s="1004" t="s">
        <v>45</v>
      </c>
      <c r="AE43" s="1004"/>
      <c r="AF43" s="1004"/>
      <c r="AG43" s="119"/>
      <c r="AH43" s="236"/>
      <c r="AI43" s="236"/>
      <c r="AJ43" s="236"/>
      <c r="AK43" s="236"/>
      <c r="AL43" s="236"/>
      <c r="AM43" s="236"/>
      <c r="AN43" s="236"/>
      <c r="AO43" s="236"/>
      <c r="AP43" s="236"/>
      <c r="AQ43" s="236"/>
      <c r="AR43" s="236"/>
      <c r="AS43" s="236"/>
      <c r="AT43" s="236"/>
      <c r="AU43" s="236"/>
      <c r="AV43" s="236"/>
    </row>
    <row r="44" s="118" customFormat="1" ht="15.95" customHeight="1">
      <c r="B44" s="964"/>
      <c r="C44" s="269" t="s">
        <v>218</v>
      </c>
      <c r="D44" s="269" t="s">
        <v>221</v>
      </c>
      <c r="E44" s="269" t="s">
        <v>222</v>
      </c>
      <c r="F44" s="269" t="s">
        <v>224</v>
      </c>
      <c r="G44" s="269" t="s">
        <v>227</v>
      </c>
      <c r="H44" s="1005" t="s">
        <v>229</v>
      </c>
      <c r="I44" s="269" t="s">
        <v>230</v>
      </c>
      <c r="J44" s="269" t="s">
        <v>231</v>
      </c>
      <c r="K44" s="269" t="s">
        <v>232</v>
      </c>
      <c r="L44" s="269" t="s">
        <v>233</v>
      </c>
      <c r="M44" s="269" t="s">
        <v>234</v>
      </c>
      <c r="N44" s="269" t="s">
        <v>235</v>
      </c>
      <c r="O44" s="269" t="s">
        <v>218</v>
      </c>
      <c r="P44" s="269" t="s">
        <v>221</v>
      </c>
      <c r="Q44" s="269" t="s">
        <v>222</v>
      </c>
      <c r="R44" s="269" t="s">
        <v>224</v>
      </c>
      <c r="S44" s="269" t="s">
        <v>227</v>
      </c>
      <c r="T44" s="1005" t="s">
        <v>229</v>
      </c>
      <c r="U44" s="144"/>
      <c r="V44" s="268">
        <v>2020</v>
      </c>
      <c r="W44" s="269">
        <v>2021</v>
      </c>
      <c r="X44" s="270">
        <v>2022</v>
      </c>
      <c r="Y44" s="144"/>
      <c r="Z44" s="268">
        <v>2020</v>
      </c>
      <c r="AA44" s="269">
        <v>2021</v>
      </c>
      <c r="AB44" s="270">
        <v>2022</v>
      </c>
      <c r="AC44" s="144"/>
      <c r="AD44" s="268">
        <v>2020</v>
      </c>
      <c r="AE44" s="269">
        <v>2021</v>
      </c>
      <c r="AF44" s="270">
        <v>2022</v>
      </c>
      <c r="AG44" s="144"/>
      <c r="AH44" s="236"/>
      <c r="AI44" s="236"/>
      <c r="AJ44" s="236"/>
      <c r="AK44" s="236"/>
      <c r="AL44" s="236"/>
      <c r="AM44" s="236"/>
      <c r="AN44" s="236"/>
      <c r="AO44" s="236"/>
      <c r="AP44" s="236"/>
      <c r="AQ44" s="236"/>
      <c r="AR44" s="236"/>
      <c r="AS44" s="236"/>
      <c r="AT44" s="236"/>
      <c r="AU44" s="236"/>
      <c r="AV44" s="236"/>
    </row>
    <row r="45" ht="21.95" customHeight="1">
      <c r="B45" s="263" t="s">
        <v>19</v>
      </c>
      <c r="C45" s="578">
        <v>232.34652981427174975562072336</v>
      </c>
      <c r="D45" s="579">
        <v>131.2534213098729227761485826</v>
      </c>
      <c r="E45" s="579">
        <v>108.17020202020202020202020202</v>
      </c>
      <c r="F45" s="579">
        <v>135.83919843597262952101661779</v>
      </c>
      <c r="G45" s="579">
        <v>196.46010101010101010101010101</v>
      </c>
      <c r="H45" s="1010">
        <v>315.4914467253176930596285435</v>
      </c>
      <c r="I45" s="579">
        <v>250.49266862170087976539589443</v>
      </c>
      <c r="J45" s="579">
        <v>347.82819264069264069264069264</v>
      </c>
      <c r="K45" s="579">
        <v>316.2739491691104594330400782</v>
      </c>
      <c r="L45" s="579">
        <v>322.15277777777777777777777778</v>
      </c>
      <c r="M45" s="579">
        <v>276.73240469208211143695014663</v>
      </c>
      <c r="N45" s="579">
        <v>172.30934343434343434343434343</v>
      </c>
      <c r="O45" s="579">
        <v>195.20136852394916911045943304</v>
      </c>
      <c r="P45" s="579">
        <v>153.45527859237536656891495601</v>
      </c>
      <c r="Q45" s="579">
        <v>124.77272727272727272727272727</v>
      </c>
      <c r="R45" s="579">
        <v>157.51832844574780058651026393</v>
      </c>
      <c r="S45" s="579">
        <v>227.3479797979797979797979798</v>
      </c>
      <c r="T45" s="1010">
        <v>276.05425219941348973607038123</v>
      </c>
      <c r="U45" s="113"/>
      <c r="V45" s="578">
        <v>101.45382513661202185792349727</v>
      </c>
      <c r="W45" s="579">
        <v>194.87868410128684101286841013</v>
      </c>
      <c r="X45" s="580">
        <v>234.34041095890410958904109589</v>
      </c>
      <c r="Y45" s="113"/>
      <c r="Z45" s="578">
        <v>82.51976284584980237154150198</v>
      </c>
      <c r="AA45" s="579">
        <v>216.14188076416337285902503294</v>
      </c>
      <c r="AB45" s="580">
        <v>220.23031949934123847167325428</v>
      </c>
      <c r="AC45" s="113"/>
      <c r="AD45" s="578">
        <v>101.45382513661202185792349727</v>
      </c>
      <c r="AE45" s="579">
        <v>194.87868410128684101286841013</v>
      </c>
      <c r="AF45" s="580">
        <v>234.34041095890410958904109589</v>
      </c>
      <c r="AG45" s="113"/>
    </row>
    <row r="46" ht="21.95" customHeight="1">
      <c r="B46" s="38" t="s">
        <v>35</v>
      </c>
      <c r="C46" s="276">
        <v>223.12745629843214993692557218</v>
      </c>
      <c r="D46" s="94">
        <v>133.29444134078212290502793296</v>
      </c>
      <c r="E46" s="94">
        <v>98.90940595903165735567970205</v>
      </c>
      <c r="F46" s="94">
        <v>107.03792904722700396676895442</v>
      </c>
      <c r="G46" s="94">
        <v>164.24064887857695282289249807</v>
      </c>
      <c r="H46" s="1011">
        <v>269.73534690517176858019609311</v>
      </c>
      <c r="I46" s="94">
        <v>195.45030524570394935182393729</v>
      </c>
      <c r="J46" s="94">
        <v>312.00686331775700934579439252</v>
      </c>
      <c r="K46" s="94">
        <v>319.76000979801025022610792885</v>
      </c>
      <c r="L46" s="94">
        <v>327.21374376947040498442367601</v>
      </c>
      <c r="M46" s="94">
        <v>225.83918751884232740428097679</v>
      </c>
      <c r="N46" s="94">
        <v>143.25013054830287206266318538</v>
      </c>
      <c r="O46" s="94">
        <v>182.23734523709256295797186895</v>
      </c>
      <c r="P46" s="94">
        <v>153.31149193548387096774193548</v>
      </c>
      <c r="Q46" s="94">
        <v>123.15824652777777777777777778</v>
      </c>
      <c r="R46" s="94">
        <v>180.94396841397849462365591398</v>
      </c>
      <c r="S46" s="94">
        <v>239.03159722222222222222222222</v>
      </c>
      <c r="T46" s="1011">
        <v>266.53923051075268817204301075</v>
      </c>
      <c r="U46" s="113"/>
      <c r="V46" s="276"/>
      <c r="W46" s="94">
        <v>184.00204717378363074063856664</v>
      </c>
      <c r="X46" s="277">
        <v>221.78616625413884112097974751</v>
      </c>
      <c r="Y46" s="113"/>
      <c r="Z46" s="276"/>
      <c r="AA46" s="94">
        <v>180.51294587914859275698577625</v>
      </c>
      <c r="AB46" s="277">
        <v>228.72746829710144927536231884</v>
      </c>
      <c r="AC46" s="113"/>
      <c r="AD46" s="276"/>
      <c r="AE46" s="94">
        <v>184.00204717378363074063856664</v>
      </c>
      <c r="AF46" s="277">
        <v>221.78616625413884112097974751</v>
      </c>
      <c r="AG46" s="113"/>
    </row>
    <row r="47" ht="21.95" customHeight="1">
      <c r="B47" s="40" t="s">
        <v>99</v>
      </c>
      <c r="C47" s="576">
        <v>104.13175216928148962648718512</v>
      </c>
      <c r="D47" s="113">
        <v>98.46878833776068134833933590</v>
      </c>
      <c r="E47" s="113">
        <v>109.36290737105509684706102848</v>
      </c>
      <c r="F47" s="113">
        <v>126.90753609038182389193684503</v>
      </c>
      <c r="G47" s="113">
        <v>119.61722165096675743486848042</v>
      </c>
      <c r="H47" s="1008">
        <v>116.96333103729224293432391336</v>
      </c>
      <c r="I47" s="113">
        <v>128.16182011422662540472427291</v>
      </c>
      <c r="J47" s="113">
        <v>111.48094274016216260743127944</v>
      </c>
      <c r="K47" s="113">
        <v>98.90978842817406468618502009</v>
      </c>
      <c r="L47" s="113">
        <v>98.45331496977482363427519911</v>
      </c>
      <c r="M47" s="113">
        <v>122.53515775203783080364076958</v>
      </c>
      <c r="N47" s="113">
        <v>120.28564495879846184735914524</v>
      </c>
      <c r="O47" s="113">
        <v>107.11381263263153847993673048</v>
      </c>
      <c r="P47" s="113">
        <v>100.09378726608169683427100851</v>
      </c>
      <c r="Q47" s="113">
        <v>101.31089942447568274469423163</v>
      </c>
      <c r="R47" s="113">
        <v>87.05364971621805638824473579</v>
      </c>
      <c r="S47" s="113">
        <v>95.11210335370043330626101996</v>
      </c>
      <c r="T47" s="1008">
        <v>103.56983910787869822128096893</v>
      </c>
      <c r="U47" s="113"/>
      <c r="V47" s="576"/>
      <c r="W47" s="113">
        <v>105.91114995433353107872584326</v>
      </c>
      <c r="X47" s="577">
        <v>105.66051747809226959503355085</v>
      </c>
      <c r="Y47" s="113"/>
      <c r="Z47" s="576"/>
      <c r="AA47" s="113">
        <v>119.73760647002356223319490874</v>
      </c>
      <c r="AB47" s="577">
        <v>96.28503351126957952845931626</v>
      </c>
      <c r="AC47" s="113"/>
      <c r="AD47" s="576"/>
      <c r="AE47" s="113">
        <v>105.91114995433353107872584326</v>
      </c>
      <c r="AF47" s="577">
        <v>105.66051747809226959503355085</v>
      </c>
      <c r="AG47" s="113"/>
    </row>
    <row r="48" ht="21.95" customHeight="1">
      <c r="A48" s="23"/>
      <c r="B48" s="39" t="s">
        <v>23</v>
      </c>
      <c r="C48" s="273" t="s">
        <v>220</v>
      </c>
      <c r="D48" s="274" t="s">
        <v>220</v>
      </c>
      <c r="E48" s="274" t="s">
        <v>220</v>
      </c>
      <c r="F48" s="274" t="s">
        <v>225</v>
      </c>
      <c r="G48" s="274" t="s">
        <v>225</v>
      </c>
      <c r="H48" s="1009" t="s">
        <v>225</v>
      </c>
      <c r="I48" s="274" t="s">
        <v>225</v>
      </c>
      <c r="J48" s="274" t="s">
        <v>225</v>
      </c>
      <c r="K48" s="274" t="s">
        <v>225</v>
      </c>
      <c r="L48" s="274" t="s">
        <v>225</v>
      </c>
      <c r="M48" s="274" t="s">
        <v>225</v>
      </c>
      <c r="N48" s="274" t="s">
        <v>223</v>
      </c>
      <c r="O48" s="274" t="s">
        <v>223</v>
      </c>
      <c r="P48" s="274" t="s">
        <v>223</v>
      </c>
      <c r="Q48" s="274" t="s">
        <v>223</v>
      </c>
      <c r="R48" s="274" t="s">
        <v>223</v>
      </c>
      <c r="S48" s="274" t="s">
        <v>223</v>
      </c>
      <c r="T48" s="1009" t="s">
        <v>223</v>
      </c>
      <c r="U48" s="113"/>
      <c r="V48" s="273"/>
      <c r="W48" s="274" t="s">
        <v>226</v>
      </c>
      <c r="X48" s="275" t="s">
        <v>223</v>
      </c>
      <c r="Y48" s="113"/>
      <c r="Z48" s="273"/>
      <c r="AA48" s="274" t="s">
        <v>225</v>
      </c>
      <c r="AB48" s="275" t="s">
        <v>223</v>
      </c>
      <c r="AC48" s="113"/>
      <c r="AD48" s="273"/>
      <c r="AE48" s="274" t="s">
        <v>226</v>
      </c>
      <c r="AF48" s="275" t="s">
        <v>223</v>
      </c>
      <c r="AG48" s="113"/>
    </row>
    <row r="49" ht="21.95" customHeight="1">
      <c r="B49" s="25" t="s">
        <v>68</v>
      </c>
      <c r="F49" s="4"/>
      <c r="G49" s="4"/>
      <c r="H49" s="4"/>
      <c r="I49" s="4"/>
      <c r="J49" s="4"/>
      <c r="K49" s="4"/>
      <c r="L49" s="4"/>
      <c r="M49" s="4"/>
      <c r="N49" s="4"/>
      <c r="O49" s="4"/>
      <c r="P49" s="4"/>
      <c r="Q49" s="4"/>
      <c r="S49" s="98"/>
      <c r="T49" s="98"/>
      <c r="U49" s="9"/>
      <c r="V49" s="98"/>
      <c r="W49" s="98"/>
      <c r="X49" s="98"/>
      <c r="Y49" s="9"/>
      <c r="Z49" s="98"/>
      <c r="AA49" s="98"/>
      <c r="AB49" s="98"/>
      <c r="AC49" s="9"/>
      <c r="AD49" s="98"/>
      <c r="AE49" s="98"/>
      <c r="AF49" s="98"/>
      <c r="AG49" s="9"/>
    </row>
    <row r="50" ht="21.95" customHeight="1">
      <c r="B50" s="37" t="s">
        <v>19</v>
      </c>
      <c r="C50" s="573">
        <v>1191.5505202801207504013161454</v>
      </c>
      <c r="D50" s="574">
        <v>366.16239204917050126020932647</v>
      </c>
      <c r="E50" s="574">
        <v>103.09126338784837961539329120</v>
      </c>
      <c r="F50" s="574">
        <v>115.29541176373315822828155812</v>
      </c>
      <c r="G50" s="574">
        <v>199.93908551160459557406122292</v>
      </c>
      <c r="H50" s="1006">
        <v>166.42651653680275745749143577</v>
      </c>
      <c r="I50" s="574">
        <v>75.000426823618269348541443790</v>
      </c>
      <c r="J50" s="574">
        <v>87.43191308197637322132585219</v>
      </c>
      <c r="K50" s="574">
        <v>49.361269958515153617240792630</v>
      </c>
      <c r="L50" s="574">
        <v>48.577494741631318605552856180</v>
      </c>
      <c r="M50" s="574">
        <v>11.287146032878493029340349550</v>
      </c>
      <c r="N50" s="574">
        <v>-18.180520981732806616930937140</v>
      </c>
      <c r="O50" s="574">
        <v>-15.986966243928251136143642570</v>
      </c>
      <c r="P50" s="574">
        <v>16.915259854487888951753103750</v>
      </c>
      <c r="Q50" s="574">
        <v>15.348520149224526415444220890</v>
      </c>
      <c r="R50" s="574">
        <v>15.959406606747477838533219660</v>
      </c>
      <c r="S50" s="574">
        <v>15.722214652781764730878877820</v>
      </c>
      <c r="T50" s="1006">
        <v>-12.500242062100870585097259470</v>
      </c>
      <c r="U50" s="113"/>
      <c r="V50" s="573">
        <v>-22.900812766146078637758322040</v>
      </c>
      <c r="W50" s="574">
        <v>92.08608826616171883247526863</v>
      </c>
      <c r="X50" s="575">
        <v>20.249380808160366492609650750</v>
      </c>
      <c r="Y50" s="113"/>
      <c r="Z50" s="573">
        <v>-43.361291343572961445259553310</v>
      </c>
      <c r="AA50" s="574">
        <v>161.92741388272703239124683003</v>
      </c>
      <c r="AB50" s="575">
        <v>1.8915532337768083904659682600</v>
      </c>
      <c r="AC50" s="113"/>
      <c r="AD50" s="573">
        <v>-22.900812766146078637758322040</v>
      </c>
      <c r="AE50" s="574">
        <v>92.08608826616171883247526863</v>
      </c>
      <c r="AF50" s="575">
        <v>20.249380808160366492609650750</v>
      </c>
      <c r="AG50" s="113"/>
    </row>
    <row r="51" ht="21.95" customHeight="1">
      <c r="B51" s="38" t="s">
        <v>35</v>
      </c>
      <c r="C51" s="271"/>
      <c r="D51" s="92"/>
      <c r="E51" s="92"/>
      <c r="F51" s="92"/>
      <c r="G51" s="92"/>
      <c r="H51" s="1007">
        <v>141.92146286807247878388365785</v>
      </c>
      <c r="I51" s="92">
        <v>74.491775462724170602138655140</v>
      </c>
      <c r="J51" s="92">
        <v>58.258591537455664127082316770</v>
      </c>
      <c r="K51" s="92">
        <v>35.369636851315860346225103420</v>
      </c>
      <c r="L51" s="92">
        <v>51.932861461543304510373657850</v>
      </c>
      <c r="M51" s="92">
        <v>-4.7263676298968609271910856800</v>
      </c>
      <c r="N51" s="92">
        <v>-33.267115353742014090640336050</v>
      </c>
      <c r="O51" s="92">
        <v>-18.325898452686591855020899340</v>
      </c>
      <c r="P51" s="92">
        <v>15.017168302994242191343567050</v>
      </c>
      <c r="Q51" s="92">
        <v>24.516212926027909901156641100</v>
      </c>
      <c r="R51" s="92">
        <v>69.046589395604341736591955810</v>
      </c>
      <c r="S51" s="92">
        <v>45.537416500895978470171498220</v>
      </c>
      <c r="T51" s="1007">
        <v>-1.1849082558581411484459643500</v>
      </c>
      <c r="U51" s="113"/>
      <c r="V51" s="271"/>
      <c r="W51" s="92"/>
      <c r="X51" s="272">
        <v>20.534618859240013532904122520</v>
      </c>
      <c r="Y51" s="113"/>
      <c r="Z51" s="271"/>
      <c r="AA51" s="92"/>
      <c r="AB51" s="272">
        <v>26.709731085045564630684386750</v>
      </c>
      <c r="AC51" s="113"/>
      <c r="AD51" s="271"/>
      <c r="AE51" s="92"/>
      <c r="AF51" s="272">
        <v>20.534618859240013532904122520</v>
      </c>
      <c r="AG51" s="113"/>
    </row>
    <row r="52" ht="21.95" customHeight="1">
      <c r="B52" s="40" t="s">
        <v>99</v>
      </c>
      <c r="C52" s="576"/>
      <c r="D52" s="113"/>
      <c r="E52" s="113"/>
      <c r="F52" s="113"/>
      <c r="G52" s="113"/>
      <c r="H52" s="1008">
        <v>10.129342546950944703317153590</v>
      </c>
      <c r="I52" s="113">
        <v>0.2915044904602884216900298900</v>
      </c>
      <c r="J52" s="113">
        <v>18.433957525578719353927285790</v>
      </c>
      <c r="K52" s="113">
        <v>10.335872528502370963358913840</v>
      </c>
      <c r="L52" s="113">
        <v>-2.2084535812267126508805060200</v>
      </c>
      <c r="M52" s="113">
        <v>16.807917641466953002206033930</v>
      </c>
      <c r="N52" s="113">
        <v>22.607436276761592240704986180</v>
      </c>
      <c r="O52" s="113">
        <v>2.8637379101076011840505302100</v>
      </c>
      <c r="P52" s="113">
        <v>1.6502680247339811339199384100</v>
      </c>
      <c r="Q52" s="113">
        <v>-7.3626498601591887313813073600</v>
      </c>
      <c r="R52" s="113">
        <v>-31.403876871262269972788828040</v>
      </c>
      <c r="S52" s="113">
        <v>-20.486279449623635276302827990</v>
      </c>
      <c r="T52" s="1008">
        <v>-11.451017862299144093358157120</v>
      </c>
      <c r="U52" s="113"/>
      <c r="V52" s="576"/>
      <c r="W52" s="113"/>
      <c r="X52" s="577">
        <v>-0.2366440892350585880210638100</v>
      </c>
      <c r="Y52" s="113"/>
      <c r="Z52" s="576"/>
      <c r="AA52" s="113"/>
      <c r="AB52" s="577">
        <v>-19.586639193933120944521819900</v>
      </c>
      <c r="AC52" s="113"/>
      <c r="AD52" s="576"/>
      <c r="AE52" s="113"/>
      <c r="AF52" s="577">
        <v>-0.2366440892350585880210638100</v>
      </c>
      <c r="AG52" s="113"/>
    </row>
    <row r="53" ht="21.95" customHeight="1">
      <c r="A53" s="23"/>
      <c r="B53" s="39" t="s">
        <v>23</v>
      </c>
      <c r="C53" s="273"/>
      <c r="D53" s="274"/>
      <c r="E53" s="274"/>
      <c r="F53" s="274"/>
      <c r="G53" s="274"/>
      <c r="H53" s="1009" t="s">
        <v>236</v>
      </c>
      <c r="I53" s="274" t="s">
        <v>223</v>
      </c>
      <c r="J53" s="274" t="s">
        <v>223</v>
      </c>
      <c r="K53" s="274" t="s">
        <v>223</v>
      </c>
      <c r="L53" s="274" t="s">
        <v>223</v>
      </c>
      <c r="M53" s="274" t="s">
        <v>223</v>
      </c>
      <c r="N53" s="274" t="s">
        <v>237</v>
      </c>
      <c r="O53" s="274" t="s">
        <v>238</v>
      </c>
      <c r="P53" s="274" t="s">
        <v>238</v>
      </c>
      <c r="Q53" s="274" t="s">
        <v>238</v>
      </c>
      <c r="R53" s="274" t="s">
        <v>240</v>
      </c>
      <c r="S53" s="274" t="s">
        <v>240</v>
      </c>
      <c r="T53" s="1009" t="s">
        <v>239</v>
      </c>
      <c r="U53" s="113"/>
      <c r="V53" s="273"/>
      <c r="W53" s="274"/>
      <c r="X53" s="275" t="s">
        <v>239</v>
      </c>
      <c r="Y53" s="113"/>
      <c r="Z53" s="273"/>
      <c r="AA53" s="274"/>
      <c r="AB53" s="275" t="s">
        <v>240</v>
      </c>
      <c r="AC53" s="113"/>
      <c r="AD53" s="273"/>
      <c r="AE53" s="274"/>
      <c r="AF53" s="275" t="s">
        <v>239</v>
      </c>
      <c r="AG53" s="113"/>
    </row>
    <row r="54" ht="10" customHeight="1">
      <c r="A54" s="23"/>
      <c r="B54" s="146"/>
      <c r="C54" s="113"/>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row>
    <row r="55" ht="10" customHeight="1">
      <c r="B55" s="1012" t="s">
        <v>100</v>
      </c>
      <c r="C55" s="1012"/>
      <c r="D55" s="1012"/>
      <c r="E55" s="1012"/>
      <c r="F55" s="1012"/>
      <c r="G55" s="1012"/>
      <c r="H55" s="1012"/>
      <c r="I55" s="1012"/>
      <c r="J55" s="1012"/>
      <c r="K55" s="1012"/>
      <c r="L55" s="1012"/>
      <c r="M55" s="1012"/>
      <c r="N55" s="1012"/>
      <c r="O55" s="1012"/>
      <c r="P55" s="1012"/>
      <c r="Q55" s="1012"/>
      <c r="R55" s="1012"/>
      <c r="S55" s="1012"/>
      <c r="T55" s="1012"/>
      <c r="AD55" s="232"/>
      <c r="AE55" s="233"/>
      <c r="AF55" s="5"/>
    </row>
    <row r="56" ht="10" customHeight="1">
      <c r="B56" s="146"/>
      <c r="C56" s="93"/>
      <c r="D56" s="93"/>
      <c r="E56" s="93"/>
      <c r="F56" s="4"/>
      <c r="G56" s="4"/>
      <c r="H56" s="4"/>
      <c r="I56" s="4"/>
      <c r="J56" s="4"/>
      <c r="K56" s="4"/>
      <c r="L56" s="4"/>
      <c r="M56" s="4"/>
      <c r="N56" s="4"/>
      <c r="O56" s="4"/>
      <c r="P56" s="4"/>
      <c r="Q56" s="4"/>
      <c r="R56" s="4"/>
      <c r="S56" s="4"/>
      <c r="T56" s="4"/>
      <c r="AD56" s="145"/>
    </row>
    <row r="57" ht="24.95" customHeight="1">
      <c r="B57" s="1013" t="s">
        <v>126</v>
      </c>
      <c r="C57" s="1013"/>
      <c r="D57" s="1013"/>
      <c r="E57" s="1013"/>
      <c r="F57" s="1013"/>
      <c r="G57" s="1013"/>
      <c r="H57" s="1013"/>
      <c r="I57" s="1013"/>
      <c r="J57" s="1013"/>
      <c r="K57" s="1013"/>
      <c r="L57" s="1013"/>
      <c r="M57" s="1013"/>
      <c r="N57" s="1013"/>
      <c r="O57" s="1013"/>
      <c r="P57" s="1013"/>
      <c r="Q57" s="1013"/>
      <c r="R57" s="1013"/>
      <c r="S57" s="1013"/>
      <c r="T57" s="1013"/>
      <c r="U57" s="1013"/>
      <c r="V57" s="1013"/>
      <c r="W57" s="1013"/>
      <c r="X57" s="1013"/>
      <c r="Y57" s="1013"/>
      <c r="Z57" s="1013"/>
      <c r="AA57" s="1013"/>
      <c r="AB57" s="1013"/>
      <c r="AC57" s="1013"/>
      <c r="AD57" s="1013"/>
      <c r="AE57" s="1013"/>
      <c r="AF57" s="1013"/>
    </row>
    <row r="58">
      <c r="A58"/>
    </row>
    <row r="59" s="281" customFormat="1">
      <c r="A59" s="1014"/>
      <c r="B59" s="1014" t="s">
        <v>109</v>
      </c>
      <c r="C59" s="1014"/>
      <c r="D59" s="1014"/>
      <c r="E59" s="1014"/>
      <c r="F59" s="1014"/>
      <c r="G59" s="1014"/>
      <c r="H59" s="1014"/>
      <c r="I59" s="1014"/>
      <c r="J59" s="1014"/>
      <c r="K59" s="1014"/>
      <c r="L59" s="1014"/>
      <c r="M59" s="1014"/>
      <c r="N59" s="1014"/>
      <c r="O59" s="1014"/>
      <c r="P59" s="1014"/>
      <c r="Q59" s="1014"/>
      <c r="R59" s="1014"/>
      <c r="S59" s="1014"/>
      <c r="T59" s="1014"/>
      <c r="U59" s="1014"/>
      <c r="V59" s="1014"/>
      <c r="W59" s="1014"/>
      <c r="X59" s="1014"/>
      <c r="Y59" s="1014"/>
      <c r="Z59" s="1014"/>
      <c r="AA59" s="1014"/>
      <c r="AB59" s="1014"/>
      <c r="AC59" s="1014"/>
      <c r="AD59" s="1014"/>
      <c r="AE59" s="1014"/>
      <c r="AF59" s="1014"/>
      <c r="AG59" s="1014"/>
    </row>
    <row r="60" s="281" customFormat="1">
      <c r="A60" s="1014"/>
      <c r="B60" s="1014" t="s">
        <v>110</v>
      </c>
      <c r="C60" s="1014">
        <v>100</v>
      </c>
      <c r="D60" s="1014">
        <v>100</v>
      </c>
      <c r="E60" s="1014">
        <v>100</v>
      </c>
      <c r="F60" s="1014">
        <v>100</v>
      </c>
      <c r="G60" s="1014">
        <v>100</v>
      </c>
      <c r="H60" s="1014">
        <v>100</v>
      </c>
      <c r="I60" s="1014">
        <v>100</v>
      </c>
      <c r="J60" s="1014">
        <v>100</v>
      </c>
      <c r="K60" s="1014">
        <v>100</v>
      </c>
      <c r="L60" s="1014">
        <v>100</v>
      </c>
      <c r="M60" s="1014">
        <v>100</v>
      </c>
      <c r="N60" s="1014">
        <v>100</v>
      </c>
      <c r="O60" s="1014">
        <v>100</v>
      </c>
      <c r="P60" s="1014">
        <v>100</v>
      </c>
      <c r="Q60" s="1014">
        <v>100</v>
      </c>
      <c r="R60" s="1014">
        <v>100</v>
      </c>
      <c r="S60" s="1014">
        <v>100</v>
      </c>
      <c r="T60" s="1014">
        <v>100</v>
      </c>
      <c r="U60" s="1014"/>
      <c r="V60" s="1014"/>
      <c r="W60" s="1014"/>
      <c r="X60" s="1014"/>
      <c r="Y60" s="1014"/>
      <c r="Z60" s="1014"/>
      <c r="AA60" s="1014"/>
      <c r="AB60" s="1014"/>
      <c r="AC60" s="1014"/>
      <c r="AD60" s="1014"/>
      <c r="AE60" s="1014"/>
      <c r="AF60" s="1014"/>
      <c r="AG60" s="1014"/>
    </row>
    <row r="61" s="281" customFormat="1">
      <c r="A61" s="1014"/>
      <c r="B61" s="1014" t="s">
        <v>111</v>
      </c>
      <c r="C61" s="1014"/>
      <c r="D61" s="1014"/>
      <c r="E61" s="1014"/>
      <c r="F61" s="1014"/>
      <c r="G61" s="1014"/>
      <c r="H61" s="1014"/>
      <c r="I61" s="1014"/>
      <c r="J61" s="1014"/>
      <c r="K61" s="1014"/>
      <c r="L61" s="1014"/>
      <c r="M61" s="1014"/>
      <c r="N61" s="1014"/>
      <c r="O61" s="1014"/>
      <c r="P61" s="1014"/>
      <c r="Q61" s="1014"/>
      <c r="R61" s="1014"/>
      <c r="S61" s="1014"/>
      <c r="T61" s="1014"/>
      <c r="U61" s="1014"/>
      <c r="V61" s="1014"/>
      <c r="W61" s="1014"/>
      <c r="X61" s="1014"/>
      <c r="Y61" s="1014"/>
      <c r="Z61" s="1014"/>
      <c r="AA61" s="1014"/>
      <c r="AB61" s="1014"/>
      <c r="AC61" s="1014"/>
      <c r="AD61" s="1014"/>
      <c r="AE61" s="1014"/>
      <c r="AF61" s="1014"/>
      <c r="AG61" s="1014"/>
    </row>
    <row r="62" s="281" customFormat="1">
      <c r="A62" s="1014"/>
      <c r="B62" s="1014"/>
      <c r="C62" s="1014"/>
      <c r="D62" s="1014"/>
      <c r="E62" s="1014"/>
      <c r="F62" s="1014"/>
      <c r="G62" s="1014"/>
      <c r="H62" s="1014"/>
      <c r="I62" s="1014"/>
      <c r="J62" s="1014"/>
      <c r="K62" s="1014"/>
      <c r="L62" s="1014"/>
      <c r="M62" s="1014"/>
      <c r="N62" s="1014"/>
      <c r="O62" s="1014"/>
      <c r="P62" s="1014"/>
      <c r="Q62" s="1014"/>
      <c r="R62" s="1014"/>
      <c r="S62" s="1014"/>
      <c r="T62" s="1014"/>
      <c r="U62" s="1014"/>
      <c r="V62" s="1014"/>
      <c r="W62" s="1014"/>
      <c r="X62" s="1014"/>
      <c r="Y62" s="1014"/>
      <c r="Z62" s="1014"/>
      <c r="AA62" s="1014"/>
      <c r="AB62" s="1014"/>
      <c r="AC62" s="1014"/>
      <c r="AD62" s="1014"/>
      <c r="AE62" s="1014"/>
      <c r="AF62" s="1014"/>
      <c r="AG62" s="1014"/>
    </row>
    <row r="63" s="281" customFormat="1">
      <c r="A63" s="1014"/>
      <c r="B63" s="1014"/>
      <c r="C63" s="1014"/>
      <c r="D63" s="1014"/>
      <c r="E63" s="1014"/>
      <c r="F63" s="1014"/>
      <c r="G63" s="1014"/>
      <c r="H63" s="1014"/>
      <c r="I63" s="1014"/>
      <c r="J63" s="1014"/>
      <c r="K63" s="1014"/>
      <c r="L63" s="1014"/>
      <c r="M63" s="1014"/>
      <c r="N63" s="1014"/>
      <c r="O63" s="1014"/>
      <c r="P63" s="1014"/>
      <c r="Q63" s="1014"/>
      <c r="R63" s="1014"/>
      <c r="S63" s="1014"/>
      <c r="T63" s="1014"/>
      <c r="U63" s="1014"/>
      <c r="V63" s="1014"/>
      <c r="W63" s="1014"/>
      <c r="X63" s="1014"/>
      <c r="Y63" s="1014"/>
      <c r="Z63" s="1014"/>
      <c r="AA63" s="1014"/>
      <c r="AB63" s="1014"/>
      <c r="AC63" s="1014"/>
      <c r="AD63" s="1014"/>
      <c r="AE63" s="1014"/>
      <c r="AF63" s="1014"/>
      <c r="AG63" s="1014"/>
    </row>
    <row r="64" s="281" customFormat="1">
      <c r="A64" s="1014"/>
      <c r="B64" s="1014"/>
      <c r="C64" s="1014"/>
      <c r="D64" s="1014"/>
      <c r="E64" s="1014"/>
      <c r="F64" s="1014"/>
      <c r="G64" s="1014"/>
      <c r="H64" s="1014"/>
      <c r="I64" s="1014"/>
      <c r="J64" s="1014"/>
      <c r="K64" s="1014"/>
      <c r="L64" s="1014"/>
      <c r="M64" s="1014"/>
      <c r="N64" s="1014"/>
      <c r="O64" s="1014"/>
      <c r="P64" s="1014"/>
      <c r="Q64" s="1014"/>
      <c r="R64" s="1014"/>
      <c r="S64" s="1014"/>
      <c r="T64" s="1014"/>
      <c r="U64" s="1014"/>
      <c r="V64" s="1014"/>
      <c r="W64" s="1014"/>
      <c r="X64" s="1014"/>
      <c r="Y64" s="1014"/>
      <c r="Z64" s="1014"/>
      <c r="AA64" s="1014"/>
      <c r="AB64" s="1014"/>
      <c r="AC64" s="1014"/>
      <c r="AD64" s="1014"/>
      <c r="AE64" s="1014"/>
      <c r="AF64" s="1014"/>
      <c r="AG64" s="1014"/>
    </row>
    <row r="65" s="281" customFormat="1">
      <c r="A65" s="1014"/>
      <c r="B65" s="1014"/>
      <c r="C65" s="1014"/>
      <c r="D65" s="1014"/>
      <c r="E65" s="1014"/>
      <c r="F65" s="1014"/>
      <c r="G65" s="1014"/>
      <c r="H65" s="1014"/>
      <c r="I65" s="1014"/>
      <c r="J65" s="1014"/>
      <c r="K65" s="1014"/>
      <c r="L65" s="1014"/>
      <c r="M65" s="1014"/>
      <c r="N65" s="1014"/>
      <c r="O65" s="1014"/>
      <c r="P65" s="1014"/>
      <c r="Q65" s="1014"/>
      <c r="R65" s="1014"/>
      <c r="S65" s="1014"/>
      <c r="T65" s="1014"/>
      <c r="U65" s="1014"/>
      <c r="V65" s="1014"/>
      <c r="W65" s="1014"/>
      <c r="X65" s="1014"/>
      <c r="Y65" s="1014"/>
      <c r="Z65" s="1014"/>
      <c r="AA65" s="1014"/>
      <c r="AB65" s="1014"/>
      <c r="AC65" s="1014"/>
      <c r="AD65" s="1014"/>
      <c r="AE65" s="1014"/>
      <c r="AF65" s="1014"/>
      <c r="AG65" s="1014"/>
    </row>
    <row r="66" s="281" customFormat="1" ht="10.5" customHeight="1">
      <c r="A66" s="1014"/>
      <c r="B66" s="1014"/>
      <c r="C66" s="1014"/>
      <c r="D66" s="1014"/>
      <c r="E66" s="1014"/>
      <c r="F66" s="1014"/>
      <c r="G66" s="1014"/>
      <c r="H66" s="1014"/>
      <c r="I66" s="1014"/>
      <c r="J66" s="1014"/>
      <c r="K66" s="1014"/>
      <c r="L66" s="1014"/>
      <c r="M66" s="1014"/>
      <c r="N66" s="1014"/>
      <c r="O66" s="1014"/>
      <c r="P66" s="1014"/>
      <c r="Q66" s="1014"/>
      <c r="R66" s="1014"/>
      <c r="S66" s="1014"/>
      <c r="T66" s="1014"/>
      <c r="U66" s="1014"/>
      <c r="V66" s="1014"/>
      <c r="W66" s="1014"/>
      <c r="X66" s="1014"/>
      <c r="Y66" s="1014"/>
      <c r="Z66" s="1014"/>
      <c r="AA66" s="1014"/>
      <c r="AB66" s="1014"/>
      <c r="AC66" s="1014"/>
      <c r="AD66" s="1014"/>
      <c r="AE66" s="1014"/>
      <c r="AF66" s="1014"/>
      <c r="AG66" s="1014"/>
    </row>
    <row r="67" s="281" customFormat="1">
      <c r="A67" s="1014"/>
      <c r="B67" s="1014" t="s">
        <v>37</v>
      </c>
      <c r="C67" s="1014"/>
      <c r="D67" s="1014"/>
      <c r="E67" s="1014"/>
      <c r="F67" s="1014"/>
      <c r="G67" s="1014"/>
      <c r="H67" s="1014"/>
      <c r="I67" s="1014"/>
      <c r="J67" s="1014"/>
      <c r="K67" s="1014"/>
      <c r="L67" s="1014"/>
      <c r="M67" s="1014"/>
      <c r="N67" s="1014"/>
      <c r="O67" s="1014"/>
      <c r="P67" s="1014"/>
      <c r="Q67" s="1014"/>
      <c r="R67" s="1014"/>
      <c r="S67" s="1014"/>
      <c r="T67" s="1014"/>
      <c r="U67" s="1014"/>
      <c r="V67" s="1014"/>
      <c r="W67" s="1014"/>
      <c r="X67" s="1014"/>
      <c r="Y67" s="1014"/>
      <c r="Z67" s="1014"/>
      <c r="AA67" s="1014"/>
      <c r="AB67" s="1014"/>
      <c r="AC67" s="1014"/>
      <c r="AD67" s="1014"/>
      <c r="AE67" s="1014"/>
      <c r="AF67" s="1014"/>
      <c r="AG67" s="1014"/>
    </row>
    <row r="68" s="281" customFormat="1">
      <c r="A68" s="1014"/>
      <c r="B68" s="1014" t="s">
        <v>44</v>
      </c>
      <c r="C68" s="1014"/>
      <c r="D68" s="1014"/>
      <c r="E68" s="1014"/>
      <c r="F68" s="1014"/>
      <c r="G68" s="1014"/>
      <c r="H68" s="1014"/>
      <c r="I68" s="1014"/>
      <c r="J68" s="1014"/>
      <c r="K68" s="1014"/>
      <c r="L68" s="1014"/>
      <c r="M68" s="1014"/>
      <c r="N68" s="1014"/>
      <c r="O68" s="1014"/>
      <c r="P68" s="1014"/>
      <c r="Q68" s="1014"/>
      <c r="R68" s="1014"/>
      <c r="S68" s="1014"/>
      <c r="T68" s="1014"/>
      <c r="U68" s="1014"/>
      <c r="V68" s="1014"/>
      <c r="W68" s="1014"/>
      <c r="X68" s="1014"/>
      <c r="Y68" s="1014"/>
      <c r="Z68" s="1014"/>
      <c r="AA68" s="1014"/>
      <c r="AB68" s="1014"/>
      <c r="AC68" s="1014"/>
      <c r="AD68" s="1014"/>
      <c r="AE68" s="1014"/>
      <c r="AF68" s="1014"/>
      <c r="AG68" s="1014"/>
    </row>
    <row r="69" s="281" customFormat="1">
      <c r="A69" s="1014"/>
      <c r="B69" s="1014" t="s">
        <v>45</v>
      </c>
      <c r="C69" s="1014"/>
      <c r="D69" s="1014"/>
      <c r="E69" s="1014"/>
      <c r="F69" s="1014"/>
      <c r="G69" s="1014"/>
      <c r="H69" s="1014"/>
      <c r="I69" s="1014"/>
      <c r="J69" s="1014"/>
      <c r="K69" s="1014"/>
      <c r="L69" s="1014"/>
      <c r="M69" s="1014"/>
      <c r="N69" s="1014"/>
      <c r="O69" s="1014"/>
      <c r="P69" s="1014"/>
      <c r="Q69" s="1014"/>
      <c r="R69" s="1014"/>
      <c r="S69" s="1014"/>
      <c r="T69" s="1014"/>
      <c r="U69" s="1014"/>
      <c r="V69" s="1014"/>
      <c r="W69" s="1014"/>
      <c r="X69" s="1014"/>
      <c r="Y69" s="1014"/>
      <c r="Z69" s="1014"/>
      <c r="AA69" s="1014"/>
      <c r="AB69" s="1014"/>
      <c r="AC69" s="1014"/>
      <c r="AD69" s="1014"/>
      <c r="AE69" s="1014"/>
      <c r="AF69" s="1014"/>
      <c r="AG69" s="1014"/>
    </row>
    <row r="70" s="281" customFormat="1">
      <c r="A70" s="1014"/>
      <c r="B70" s="1014"/>
      <c r="C70" s="1014"/>
      <c r="D70" s="1014"/>
      <c r="E70" s="1014"/>
      <c r="F70" s="1014"/>
      <c r="G70" s="1014"/>
      <c r="H70" s="1014"/>
      <c r="I70" s="1014"/>
      <c r="J70" s="1014"/>
      <c r="K70" s="1014"/>
      <c r="L70" s="1014"/>
      <c r="M70" s="1014"/>
      <c r="N70" s="1014"/>
      <c r="O70" s="1014"/>
      <c r="P70" s="1014"/>
      <c r="Q70" s="1014"/>
      <c r="R70" s="1014"/>
      <c r="S70" s="1014"/>
      <c r="T70" s="1014"/>
      <c r="U70" s="1014"/>
      <c r="V70" s="1014"/>
      <c r="W70" s="1014"/>
      <c r="X70" s="1014"/>
      <c r="Y70" s="1014"/>
      <c r="Z70" s="1014"/>
      <c r="AA70" s="1014"/>
      <c r="AB70" s="1014"/>
      <c r="AC70" s="1014"/>
      <c r="AD70" s="1014"/>
      <c r="AE70" s="1014"/>
      <c r="AF70" s="1014"/>
      <c r="AG70" s="1014"/>
    </row>
    <row r="71" s="281" customFormat="1">
      <c r="A71" s="1014"/>
      <c r="B71" s="1014"/>
      <c r="C71" s="1014"/>
      <c r="D71" s="1014"/>
      <c r="E71" s="1014"/>
      <c r="F71" s="1014"/>
      <c r="G71" s="1014"/>
      <c r="H71" s="1014"/>
      <c r="I71" s="1014"/>
      <c r="J71" s="1014"/>
      <c r="K71" s="1014"/>
      <c r="L71" s="1014"/>
      <c r="M71" s="1014"/>
      <c r="N71" s="1014"/>
      <c r="O71" s="1014"/>
      <c r="P71" s="1014"/>
      <c r="Q71" s="1014"/>
      <c r="R71" s="1014"/>
      <c r="S71" s="1014"/>
      <c r="T71" s="1014"/>
      <c r="U71" s="1014"/>
      <c r="V71" s="1014"/>
      <c r="W71" s="1014"/>
      <c r="X71" s="1014"/>
      <c r="Y71" s="1014"/>
      <c r="Z71" s="1014"/>
      <c r="AA71" s="1014"/>
      <c r="AB71" s="1014"/>
      <c r="AC71" s="1014"/>
      <c r="AD71" s="1014"/>
      <c r="AE71" s="1014"/>
      <c r="AF71" s="1014"/>
      <c r="AG71" s="1014"/>
    </row>
    <row r="72" s="281" customFormat="1">
      <c r="A72" s="1014"/>
      <c r="B72" s="1014"/>
      <c r="C72" s="1014"/>
      <c r="D72" s="1014"/>
      <c r="E72" s="1014"/>
      <c r="F72" s="1014"/>
      <c r="G72" s="1014"/>
      <c r="H72" s="1014"/>
      <c r="I72" s="1014"/>
      <c r="J72" s="1014"/>
      <c r="K72" s="1014"/>
      <c r="L72" s="1014"/>
      <c r="M72" s="1014"/>
      <c r="N72" s="1014"/>
      <c r="O72" s="1014"/>
      <c r="P72" s="1014"/>
      <c r="Q72" s="1014"/>
      <c r="R72" s="1014"/>
      <c r="S72" s="1014"/>
      <c r="T72" s="1014"/>
      <c r="U72" s="1014"/>
      <c r="V72" s="1014"/>
      <c r="W72" s="1014"/>
      <c r="X72" s="1014"/>
      <c r="Y72" s="1014"/>
      <c r="Z72" s="1014"/>
      <c r="AA72" s="1014"/>
      <c r="AB72" s="1014"/>
      <c r="AC72" s="1014"/>
      <c r="AD72" s="1014"/>
      <c r="AE72" s="1014"/>
      <c r="AF72" s="1014"/>
      <c r="AG72" s="1014"/>
    </row>
    <row r="73" s="281" customFormat="1">
      <c r="A73" s="1014"/>
      <c r="B73" s="1014"/>
      <c r="C73" s="1014"/>
      <c r="D73" s="1014"/>
      <c r="E73" s="1014"/>
      <c r="F73" s="1014"/>
      <c r="G73" s="1014"/>
      <c r="H73" s="1014"/>
      <c r="I73" s="1014"/>
      <c r="J73" s="1014"/>
      <c r="K73" s="1014"/>
      <c r="L73" s="1014"/>
      <c r="M73" s="1014"/>
      <c r="N73" s="1014"/>
      <c r="O73" s="1014"/>
      <c r="P73" s="1014"/>
      <c r="Q73" s="1014"/>
      <c r="R73" s="1014"/>
      <c r="S73" s="1014"/>
      <c r="T73" s="1014"/>
      <c r="U73" s="1014"/>
      <c r="V73" s="1014"/>
      <c r="W73" s="1014"/>
      <c r="X73" s="1014"/>
      <c r="Y73" s="1014"/>
      <c r="Z73" s="1014"/>
      <c r="AA73" s="1014"/>
      <c r="AB73" s="1014"/>
      <c r="AC73" s="1014"/>
      <c r="AD73" s="1014"/>
      <c r="AE73" s="1014"/>
      <c r="AF73" s="1014"/>
      <c r="AG73" s="1014"/>
    </row>
    <row r="74" s="281" customFormat="1"/>
    <row r="75" s="281" customFormat="1"/>
    <row r="76" s="281" customFormat="1"/>
    <row r="77" s="281" customFormat="1"/>
    <row r="78" s="281" customFormat="1"/>
    <row r="79" s="281" customFormat="1"/>
    <row r="80" s="281" customFormat="1"/>
    <row r="81" s="281" customFormat="1"/>
    <row r="82" s="281" customFormat="1"/>
    <row r="83" s="281" customFormat="1"/>
    <row r="84" s="281" customFormat="1"/>
    <row r="85" s="281" customFormat="1"/>
    <row r="86" s="281" customFormat="1"/>
    <row r="87" s="281" customFormat="1"/>
    <row r="88" s="281" customFormat="1"/>
    <row r="89" s="281" customFormat="1"/>
    <row r="90" s="281" customFormat="1"/>
    <row r="91" s="281" customFormat="1"/>
    <row r="92" s="281" customFormat="1"/>
    <row r="93" s="281" customFormat="1"/>
    <row r="94" s="281" customFormat="1"/>
  </sheetData>
  <mergeCells count="25">
    <mergeCell ref="Z19:AB19"/>
    <mergeCell ref="X18:AG18"/>
    <mergeCell ref="V19:X19"/>
    <mergeCell ref="AD19:AF19"/>
    <mergeCell ref="B2:AE2"/>
    <mergeCell ref="B57:AF57"/>
    <mergeCell ref="AA1:AF1"/>
    <mergeCell ref="AD43:AF43"/>
    <mergeCell ref="AD31:AF31"/>
    <mergeCell ref="B43:B44"/>
    <mergeCell ref="Z31:AB31"/>
    <mergeCell ref="Z43:AB43"/>
    <mergeCell ref="V31:X31"/>
    <mergeCell ref="B31:B32"/>
    <mergeCell ref="V43:X43"/>
    <mergeCell ref="B3:T3"/>
    <mergeCell ref="U3:AF3"/>
    <mergeCell ref="B4:AE4"/>
    <mergeCell ref="B19:B20"/>
    <mergeCell ref="C19:H19"/>
    <mergeCell ref="C31:H31"/>
    <mergeCell ref="C43:H43"/>
    <mergeCell ref="I19:T19"/>
    <mergeCell ref="I31:T31"/>
    <mergeCell ref="I43:T43"/>
  </mergeCells>
  <phoneticPr fontId="0" type="noConversion"/>
  <printOptions horizontalCentered="1" verticalCentered="1"/>
  <pageMargins left="0.25" right="0.25" top="0.25" bottom="0.25" header="0" footer="0"/>
  <pageSetup scale="45" fitToWidth="1" fitToHeight="1" orientation="landscape" r:id="rId1"/>
  <headerFooter alignWithMargins="0">
    <oddHeader/>
    <oddFooter/>
  </headerFooter>
  <rowBreaks count="1" manualBreakCount="1">
    <brk id="58" max="16383" man="1"/>
  </rowBreaks>
  <colBreaks count="1" manualBreakCount="1">
    <brk id="34" max="1048575" man="1"/>
  </colBreaks>
  <drawing r:id="rId31"/>
</worksheet>
</file>

<file path=xl/worksheets/sheet3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pageSetUpPr fitToPage="1"/>
  </sheetPr>
  <dimension ref="A1:AO79"/>
  <sheetViews>
    <sheetView showGridLines="0" workbookViewId="0"/>
  </sheetViews>
  <sheetFormatPr defaultRowHeight="12.75"/>
  <cols>
    <col min="1" max="1" width="2.7109375" customWidth="1"/>
    <col min="2" max="2" width="19.5703125" customWidth="1"/>
    <col min="3" max="3" width="4.42578125" customWidth="1"/>
    <col min="4" max="4" width="12.28515625" customWidth="1"/>
    <col min="5" max="5" width="9.42578125" customWidth="1"/>
    <col min="6" max="6" width="7.7109375" customWidth="1"/>
    <col min="7" max="7" width="2.7109375" customWidth="1"/>
    <col min="8" max="8" width="12.28515625" customWidth="1"/>
    <col min="9" max="9" width="9.42578125" customWidth="1"/>
    <col min="10" max="10" width="7.7109375" customWidth="1"/>
    <col min="11" max="11" width="2.7109375" customWidth="1"/>
    <col min="12" max="12" width="12.28515625" customWidth="1"/>
    <col min="13" max="13" width="8.7109375" customWidth="1"/>
    <col min="14" max="14" width="7.7109375" customWidth="1"/>
    <col min="15" max="15" width="2.7109375" customWidth="1"/>
    <col min="16" max="16" width="12.28515625" customWidth="1"/>
    <col min="17" max="17" width="9.42578125" customWidth="1"/>
    <col min="18" max="18" width="7.7109375" customWidth="1"/>
    <col min="19" max="20" width="2.7109375" customWidth="1"/>
    <col min="21" max="41" width="9.140625" style="236" customWidth="1"/>
  </cols>
  <sheetData>
    <row r="1" ht="26.25" customHeight="1">
      <c r="B1" s="20" t="s">
        <v>139</v>
      </c>
      <c r="C1" s="12"/>
      <c r="D1" s="12"/>
      <c r="E1" s="12"/>
      <c r="F1" s="12"/>
      <c r="G1" s="12"/>
      <c r="H1" s="2"/>
      <c r="I1" s="2"/>
      <c r="J1" s="2"/>
      <c r="K1" s="2"/>
      <c r="L1" s="2"/>
      <c r="M1" s="2"/>
      <c r="N1" s="2"/>
      <c r="O1" s="2"/>
      <c r="P1" s="131"/>
      <c r="Q1" s="2"/>
      <c r="R1" s="2"/>
      <c r="S1" s="222"/>
      <c r="T1" s="2"/>
      <c r="U1" s="236"/>
    </row>
    <row r="2" ht="14.25" customHeight="1">
      <c r="B2" s="999" t="s">
        <v>208</v>
      </c>
      <c r="C2" s="999"/>
      <c r="D2" s="999"/>
      <c r="E2" s="999"/>
      <c r="F2" s="999"/>
      <c r="G2" s="999"/>
      <c r="H2" s="999"/>
      <c r="I2" s="999"/>
      <c r="J2" s="999"/>
      <c r="K2" s="999"/>
      <c r="L2" s="999"/>
      <c r="M2" s="999"/>
      <c r="N2" s="999"/>
      <c r="O2" s="999"/>
      <c r="P2" s="999"/>
      <c r="Q2" s="999"/>
      <c r="R2" s="999"/>
      <c r="S2" s="999"/>
      <c r="T2" s="2"/>
    </row>
    <row r="3" ht="14.25" customHeight="1">
      <c r="B3" s="1030" t="s">
        <v>209</v>
      </c>
      <c r="C3" s="1030"/>
      <c r="D3" s="1030"/>
      <c r="E3" s="1030"/>
      <c r="F3" s="1030"/>
      <c r="G3" s="1030"/>
      <c r="H3" s="1030"/>
      <c r="I3" s="1030"/>
      <c r="J3" s="1030"/>
      <c r="K3" s="1030"/>
      <c r="L3" s="1030"/>
      <c r="M3" s="1030"/>
      <c r="N3" s="1030"/>
      <c r="O3" s="1030"/>
      <c r="P3" s="1030"/>
      <c r="Q3" s="1030"/>
      <c r="R3" s="1030"/>
      <c r="S3" s="1030"/>
      <c r="T3" s="2"/>
    </row>
    <row r="4" ht="14.25" customHeight="1">
      <c r="B4" s="1030" t="s">
        <v>210</v>
      </c>
      <c r="C4" s="1030"/>
      <c r="D4" s="1030"/>
      <c r="E4" s="1030"/>
      <c r="F4" s="1030"/>
      <c r="G4" s="1030"/>
      <c r="H4" s="1030"/>
      <c r="I4" s="1030"/>
      <c r="J4" s="1030"/>
      <c r="K4" s="1030"/>
      <c r="L4" s="1030"/>
      <c r="M4" s="1030"/>
      <c r="N4" s="1030"/>
      <c r="O4" s="1030"/>
      <c r="P4" s="1030"/>
      <c r="Q4" s="1030"/>
      <c r="R4" s="1030"/>
      <c r="S4" s="1030"/>
      <c r="T4" s="2"/>
    </row>
    <row r="5" ht="15" customHeight="1">
      <c r="A5" s="14"/>
      <c r="B5" s="13"/>
      <c r="C5" s="2"/>
      <c r="D5" s="2"/>
      <c r="E5" s="2"/>
      <c r="F5" s="2"/>
      <c r="G5" s="2"/>
      <c r="H5" s="2"/>
      <c r="I5" s="2"/>
      <c r="J5" s="2"/>
      <c r="K5" s="2"/>
      <c r="L5" s="2"/>
      <c r="M5" s="2"/>
      <c r="N5" s="2"/>
      <c r="O5" s="2"/>
      <c r="P5" s="2"/>
      <c r="Q5" s="2"/>
      <c r="R5" s="2"/>
      <c r="S5" s="2"/>
      <c r="T5" s="2"/>
    </row>
    <row r="6" s="0" customFormat="1" ht="18" customHeight="1">
      <c r="A6" s="14"/>
      <c r="B6" s="1031" t="s">
        <v>211</v>
      </c>
      <c r="C6" s="1031"/>
      <c r="D6" s="1031"/>
      <c r="E6" s="1031"/>
      <c r="F6" s="1031"/>
      <c r="G6" s="1031"/>
      <c r="H6" s="1031"/>
      <c r="I6" s="1031"/>
      <c r="J6" s="1031"/>
      <c r="K6" s="1031"/>
      <c r="L6" s="1031"/>
      <c r="M6" s="1031"/>
      <c r="N6" s="1031"/>
      <c r="O6" s="1031"/>
      <c r="P6" s="1031"/>
      <c r="Q6" s="1031"/>
      <c r="R6" s="1031"/>
      <c r="S6" s="1031"/>
      <c r="T6" s="2"/>
      <c r="U6" s="236"/>
      <c r="V6" s="236"/>
      <c r="W6" s="236"/>
      <c r="X6" s="236"/>
      <c r="Y6" s="236"/>
      <c r="Z6" s="236"/>
      <c r="AA6" s="236"/>
      <c r="AB6" s="236"/>
      <c r="AC6" s="236"/>
      <c r="AD6" s="236"/>
      <c r="AE6" s="236"/>
      <c r="AF6" s="236"/>
      <c r="AG6" s="236"/>
      <c r="AH6" s="236"/>
      <c r="AI6" s="236"/>
      <c r="AJ6" s="236"/>
      <c r="AK6" s="236"/>
      <c r="AL6" s="236"/>
      <c r="AM6" s="236"/>
      <c r="AN6" s="236"/>
      <c r="AO6" s="236"/>
    </row>
    <row r="7" ht="15" customHeight="1">
      <c r="A7" s="14"/>
      <c r="B7" s="13"/>
      <c r="C7" s="2"/>
      <c r="D7" s="2"/>
      <c r="E7" s="2"/>
      <c r="F7" s="2"/>
      <c r="G7" s="2"/>
      <c r="H7" s="2"/>
      <c r="I7" s="2"/>
      <c r="J7" s="2"/>
      <c r="K7" s="2"/>
      <c r="L7" s="2"/>
      <c r="M7" s="2"/>
      <c r="N7" s="2"/>
      <c r="O7" s="2"/>
      <c r="P7" s="2"/>
      <c r="Q7" s="2"/>
      <c r="R7" s="2"/>
      <c r="S7" s="2"/>
      <c r="T7" s="2"/>
    </row>
    <row r="8" ht="15" customHeight="1">
      <c r="A8" s="2"/>
      <c r="B8" s="2"/>
      <c r="C8" s="15"/>
      <c r="D8" s="1032" t="s">
        <v>11</v>
      </c>
      <c r="E8" s="1032"/>
      <c r="F8" s="1032"/>
      <c r="G8" s="2"/>
      <c r="H8" s="1032" t="s">
        <v>13</v>
      </c>
      <c r="I8" s="1032"/>
      <c r="J8" s="1032"/>
      <c r="K8" s="2"/>
      <c r="L8" s="1032" t="s">
        <v>14</v>
      </c>
      <c r="M8" s="1032"/>
      <c r="N8" s="1032"/>
      <c r="O8" s="2"/>
      <c r="P8" s="1032" t="s">
        <v>12</v>
      </c>
      <c r="Q8" s="1032"/>
      <c r="R8" s="1032"/>
      <c r="S8" s="3"/>
      <c r="T8" s="2"/>
    </row>
    <row r="9" ht="15" customHeight="1">
      <c r="A9" s="2"/>
      <c r="B9" s="2"/>
      <c r="C9" s="2"/>
      <c r="D9" s="3"/>
      <c r="E9" s="3"/>
      <c r="F9" s="171" t="s">
        <v>24</v>
      </c>
      <c r="G9" s="50"/>
      <c r="H9" s="2"/>
      <c r="I9" s="2"/>
      <c r="J9" s="171" t="s">
        <v>24</v>
      </c>
      <c r="K9" s="2"/>
      <c r="L9" s="2"/>
      <c r="M9" s="2"/>
      <c r="N9" s="171" t="s">
        <v>24</v>
      </c>
      <c r="O9" s="2"/>
      <c r="P9" s="2"/>
      <c r="Q9" s="2"/>
      <c r="R9" s="171" t="s">
        <v>24</v>
      </c>
      <c r="S9" s="2"/>
      <c r="T9" s="2"/>
    </row>
    <row r="10" ht="15" customHeight="1">
      <c r="A10" s="2"/>
      <c r="B10" s="173" t="s">
        <v>22</v>
      </c>
      <c r="C10" s="45"/>
      <c r="D10" s="18" t="s">
        <v>19</v>
      </c>
      <c r="E10" s="113">
        <v>80.22971652003910068426197458</v>
      </c>
      <c r="F10" s="113">
        <v>-8.576998050714339454874993020</v>
      </c>
      <c r="G10" s="659"/>
      <c r="H10" s="18" t="s">
        <v>19</v>
      </c>
      <c r="I10" s="667">
        <v>6.1094819159335288367546432100</v>
      </c>
      <c r="J10" s="113">
        <v>4.1666666665989583333333774100</v>
      </c>
      <c r="K10" s="9"/>
      <c r="L10" s="18" t="s">
        <v>19</v>
      </c>
      <c r="M10" s="667">
        <v>0</v>
      </c>
      <c r="N10" s="113">
        <v>0</v>
      </c>
      <c r="O10" s="9"/>
      <c r="P10" s="18" t="s">
        <v>19</v>
      </c>
      <c r="Q10" s="667">
        <v>86.33919843597262952101661779</v>
      </c>
      <c r="R10" s="113">
        <v>-7.7786478726522018884396566100</v>
      </c>
      <c r="S10" s="674"/>
      <c r="T10" s="9"/>
    </row>
    <row r="11" ht="15" customHeight="1">
      <c r="A11" s="2"/>
      <c r="B11" s="44"/>
      <c r="C11" s="45"/>
      <c r="D11" s="133" t="s">
        <v>16</v>
      </c>
      <c r="E11" s="92">
        <v>69.816868279569892473118279570</v>
      </c>
      <c r="F11" s="92">
        <v>16.051651789459080381302160290</v>
      </c>
      <c r="G11" s="661"/>
      <c r="H11" s="133" t="s">
        <v>16</v>
      </c>
      <c r="I11" s="668">
        <v>1.5288978494623655913978494600</v>
      </c>
      <c r="J11" s="92">
        <v>-42.779820260597877790809879110</v>
      </c>
      <c r="K11" s="120"/>
      <c r="L11" s="133" t="s">
        <v>16</v>
      </c>
      <c r="M11" s="668">
        <v>0</v>
      </c>
      <c r="N11" s="92">
        <v>0</v>
      </c>
      <c r="O11" s="120"/>
      <c r="P11" s="133" t="s">
        <v>16</v>
      </c>
      <c r="Q11" s="668">
        <v>71.345766129032258064516129030</v>
      </c>
      <c r="R11" s="92">
        <v>13.549825044599097958301731990</v>
      </c>
      <c r="S11" s="674"/>
      <c r="T11" s="9"/>
    </row>
    <row r="12" ht="15" customHeight="1">
      <c r="A12" s="2"/>
      <c r="B12" s="44"/>
      <c r="C12" s="45"/>
      <c r="D12" s="19" t="s">
        <v>97</v>
      </c>
      <c r="E12" s="113">
        <v>114.91451635833637359148433015</v>
      </c>
      <c r="F12" s="113">
        <v>-21.222145019391446248612387440</v>
      </c>
      <c r="G12" s="113"/>
      <c r="H12" s="19" t="s">
        <v>97</v>
      </c>
      <c r="I12" s="667">
        <v>399.60039959056328287121730365</v>
      </c>
      <c r="J12" s="113">
        <v>82.04533285023508603317239570</v>
      </c>
      <c r="K12" s="9"/>
      <c r="L12" s="19" t="s">
        <v>97</v>
      </c>
      <c r="M12" s="667">
        <v>0</v>
      </c>
      <c r="N12" s="113">
        <v>0</v>
      </c>
      <c r="O12" s="9"/>
      <c r="P12" s="19" t="s">
        <v>97</v>
      </c>
      <c r="Q12" s="667">
        <v>121.01516757120957024157014752</v>
      </c>
      <c r="R12" s="113">
        <v>-18.783360440053229451018440160</v>
      </c>
      <c r="S12" s="667"/>
      <c r="T12" s="9"/>
    </row>
    <row r="13" ht="15" customHeight="1">
      <c r="A13" s="2"/>
      <c r="B13" s="17"/>
      <c r="C13" s="2"/>
      <c r="D13" s="2"/>
      <c r="E13" s="662"/>
      <c r="F13" s="659"/>
      <c r="G13" s="662"/>
      <c r="H13" s="2"/>
      <c r="I13" s="9"/>
      <c r="J13" s="659"/>
      <c r="K13" s="9"/>
      <c r="L13" s="2"/>
      <c r="M13" s="9"/>
      <c r="N13" s="659"/>
      <c r="O13" s="9"/>
      <c r="P13" s="2"/>
      <c r="Q13" s="674"/>
      <c r="R13" s="659"/>
      <c r="S13" s="674"/>
      <c r="T13" s="9"/>
    </row>
    <row r="14" ht="15" customHeight="1">
      <c r="A14" s="2"/>
      <c r="B14" s="173" t="s">
        <v>9</v>
      </c>
      <c r="C14" s="45"/>
      <c r="D14" s="18" t="s">
        <v>19</v>
      </c>
      <c r="E14" s="663">
        <v>317.6725555893999390801096558</v>
      </c>
      <c r="F14" s="113">
        <v>-5.4005767437935339860577036700</v>
      </c>
      <c r="G14" s="664"/>
      <c r="H14" s="53" t="s">
        <v>19</v>
      </c>
      <c r="I14" s="670">
        <v>346.78</v>
      </c>
      <c r="J14" s="113">
        <v>-2.2053017484489565707839819500</v>
      </c>
      <c r="K14" s="671"/>
      <c r="L14" s="53" t="s">
        <v>19</v>
      </c>
      <c r="M14" s="670">
        <v>0</v>
      </c>
      <c r="N14" s="113">
        <v>0</v>
      </c>
      <c r="O14" s="671"/>
      <c r="P14" s="53" t="s">
        <v>19</v>
      </c>
      <c r="Q14" s="670">
        <v>319.73223889046136427964902349</v>
      </c>
      <c r="R14" s="113">
        <v>-5.1198492329308838951420960200</v>
      </c>
      <c r="S14" s="675"/>
      <c r="T14" s="9"/>
    </row>
    <row r="15" ht="15" customHeight="1">
      <c r="A15" s="2"/>
      <c r="B15" s="44"/>
      <c r="C15" s="45"/>
      <c r="D15" s="133" t="s">
        <v>16</v>
      </c>
      <c r="E15" s="665">
        <v>371.79099987967753579593310071</v>
      </c>
      <c r="F15" s="92">
        <v>-14.312647968482308130841686930</v>
      </c>
      <c r="G15" s="666"/>
      <c r="H15" s="143" t="s">
        <v>16</v>
      </c>
      <c r="I15" s="672">
        <v>455.64835164835164835164835165</v>
      </c>
      <c r="J15" s="92">
        <v>39.860766334101706719433414740</v>
      </c>
      <c r="K15" s="673"/>
      <c r="L15" s="143" t="s">
        <v>16</v>
      </c>
      <c r="M15" s="672">
        <v>0</v>
      </c>
      <c r="N15" s="92">
        <v>0</v>
      </c>
      <c r="O15" s="673"/>
      <c r="P15" s="143" t="s">
        <v>16</v>
      </c>
      <c r="Q15" s="672">
        <v>373.58801365830684092782291299</v>
      </c>
      <c r="R15" s="92">
        <v>-12.976447383096689005693377690</v>
      </c>
      <c r="S15" s="675"/>
      <c r="T15" s="9"/>
    </row>
    <row r="16" ht="15" customHeight="1">
      <c r="A16" s="2"/>
      <c r="B16" s="44"/>
      <c r="C16" s="45"/>
      <c r="D16" s="19" t="s">
        <v>98</v>
      </c>
      <c r="E16" s="113">
        <v>85.44385304974808273975340967</v>
      </c>
      <c r="F16" s="113">
        <v>10.400684597354587801419138260</v>
      </c>
      <c r="G16" s="113"/>
      <c r="H16" s="19" t="s">
        <v>98</v>
      </c>
      <c r="I16" s="667">
        <v>76.106936137364102100159068060</v>
      </c>
      <c r="J16" s="113">
        <v>-30.077103955021300216045420260</v>
      </c>
      <c r="K16" s="9"/>
      <c r="L16" s="19" t="s">
        <v>98</v>
      </c>
      <c r="M16" s="667">
        <v>0</v>
      </c>
      <c r="N16" s="113">
        <v>0</v>
      </c>
      <c r="O16" s="9"/>
      <c r="P16" s="19" t="s">
        <v>98</v>
      </c>
      <c r="Q16" s="667">
        <v>85.58418022022047744073031072</v>
      </c>
      <c r="R16" s="113">
        <v>9.028128493857597995173151010</v>
      </c>
      <c r="S16" s="667"/>
      <c r="T16" s="9"/>
    </row>
    <row r="17" ht="15" customHeight="1">
      <c r="A17" s="2"/>
      <c r="B17" s="17"/>
      <c r="C17" s="2"/>
      <c r="D17" s="2"/>
      <c r="E17" s="662"/>
      <c r="F17" s="113"/>
      <c r="G17" s="662"/>
      <c r="H17" s="2"/>
      <c r="I17" s="9"/>
      <c r="J17" s="113"/>
      <c r="K17" s="9"/>
      <c r="L17" s="2"/>
      <c r="M17" s="9"/>
      <c r="N17" s="113"/>
      <c r="O17" s="9"/>
      <c r="P17" s="2"/>
      <c r="Q17" s="675"/>
      <c r="R17" s="113"/>
      <c r="S17" s="675"/>
      <c r="T17" s="9"/>
    </row>
    <row r="18" ht="15" customHeight="1">
      <c r="A18" s="2"/>
      <c r="B18" s="173" t="s">
        <v>10</v>
      </c>
      <c r="C18" s="45"/>
      <c r="D18" s="18" t="s">
        <v>19</v>
      </c>
      <c r="E18" s="663">
        <v>254.86779081133919843597262952</v>
      </c>
      <c r="F18" s="113">
        <v>-13.514367432445502469819601610</v>
      </c>
      <c r="G18" s="664"/>
      <c r="H18" s="53" t="s">
        <v>19</v>
      </c>
      <c r="I18" s="670">
        <v>21.186461388074291300097751711</v>
      </c>
      <c r="J18" s="113">
        <v>1.8694773455825666160817301300</v>
      </c>
      <c r="K18" s="671"/>
      <c r="L18" s="53" t="s">
        <v>19</v>
      </c>
      <c r="M18" s="670">
        <v>0</v>
      </c>
      <c r="N18" s="113">
        <v>0</v>
      </c>
      <c r="O18" s="671"/>
      <c r="P18" s="53" t="s">
        <v>19</v>
      </c>
      <c r="Q18" s="670">
        <v>276.05425219941348973607038123</v>
      </c>
      <c r="R18" s="113">
        <v>-12.500242062100870585097259470</v>
      </c>
      <c r="S18" s="675"/>
      <c r="T18" s="9"/>
    </row>
    <row r="19" ht="15" customHeight="1">
      <c r="A19" s="2"/>
      <c r="B19" s="44"/>
      <c r="C19" s="45"/>
      <c r="D19" s="133" t="s">
        <v>16</v>
      </c>
      <c r="E19" s="665">
        <v>259.57283266129032258064516129</v>
      </c>
      <c r="F19" s="92">
        <v>-0.5584125928206952593174407100</v>
      </c>
      <c r="G19" s="666"/>
      <c r="H19" s="143" t="s">
        <v>16</v>
      </c>
      <c r="I19" s="672">
        <v>6.9663978494623655913978494624</v>
      </c>
      <c r="J19" s="92">
        <v>-19.971418120183114732194605850</v>
      </c>
      <c r="K19" s="673"/>
      <c r="L19" s="143" t="s">
        <v>16</v>
      </c>
      <c r="M19" s="672">
        <v>0</v>
      </c>
      <c r="N19" s="92">
        <v>0</v>
      </c>
      <c r="O19" s="673"/>
      <c r="P19" s="143" t="s">
        <v>16</v>
      </c>
      <c r="Q19" s="672">
        <v>266.53923051075268817204301075</v>
      </c>
      <c r="R19" s="92">
        <v>-1.1849082558581411484459643500</v>
      </c>
      <c r="S19" s="675"/>
      <c r="T19" s="9"/>
    </row>
    <row r="20" ht="15" customHeight="1">
      <c r="A20" s="2"/>
      <c r="B20" s="44"/>
      <c r="C20" s="45"/>
      <c r="D20" s="19" t="s">
        <v>99</v>
      </c>
      <c r="E20" s="113">
        <v>98.18739049009026689087619716</v>
      </c>
      <c r="F20" s="113">
        <v>-13.028708790224835711989466740</v>
      </c>
      <c r="G20" s="113"/>
      <c r="H20" s="19" t="s">
        <v>99</v>
      </c>
      <c r="I20" s="667">
        <v>304.12362092691719300430620218</v>
      </c>
      <c r="J20" s="113">
        <v>27.291368848422361081666062240</v>
      </c>
      <c r="K20" s="9"/>
      <c r="L20" s="19" t="s">
        <v>99</v>
      </c>
      <c r="M20" s="667">
        <v>0</v>
      </c>
      <c r="N20" s="113">
        <v>0</v>
      </c>
      <c r="O20" s="9"/>
      <c r="P20" s="19" t="s">
        <v>99</v>
      </c>
      <c r="Q20" s="667">
        <v>103.56983910787869822128096893</v>
      </c>
      <c r="R20" s="113">
        <v>-11.451017862299144093358157120</v>
      </c>
      <c r="S20" s="667"/>
      <c r="T20" s="9"/>
    </row>
    <row r="21" ht="15" customHeight="1">
      <c r="A21" s="2"/>
      <c r="B21" s="17"/>
      <c r="C21" s="2"/>
      <c r="D21" s="2"/>
      <c r="E21" s="9"/>
      <c r="F21" s="9"/>
      <c r="G21" s="9"/>
      <c r="H21" s="2"/>
      <c r="I21" s="9"/>
      <c r="J21" s="9"/>
      <c r="K21" s="9"/>
      <c r="L21" s="2"/>
      <c r="M21" s="9"/>
      <c r="N21" s="9"/>
      <c r="O21" s="9"/>
      <c r="P21" s="2"/>
      <c r="Q21" s="9"/>
      <c r="R21" s="9"/>
      <c r="S21" s="9"/>
      <c r="T21" s="9"/>
    </row>
    <row r="22" ht="15" customHeight="1">
      <c r="A22" s="2"/>
      <c r="E22" s="4"/>
      <c r="F22" s="4"/>
      <c r="G22" s="4"/>
      <c r="I22" s="4"/>
      <c r="J22" s="4"/>
      <c r="K22" s="4"/>
      <c r="M22" s="4"/>
      <c r="N22" s="4"/>
      <c r="O22" s="4"/>
      <c r="Q22" s="4"/>
      <c r="R22" s="4"/>
      <c r="S22" s="4"/>
      <c r="T22" s="9"/>
    </row>
    <row r="23" s="0" customFormat="1" ht="18" customHeight="1">
      <c r="A23" s="2"/>
      <c r="B23" s="1033" t="s">
        <v>58</v>
      </c>
      <c r="C23" s="1033"/>
      <c r="D23" s="1033"/>
      <c r="E23" s="1033"/>
      <c r="F23" s="1033"/>
      <c r="G23" s="1033"/>
      <c r="H23" s="1033"/>
      <c r="I23" s="1033"/>
      <c r="J23" s="1033"/>
      <c r="K23" s="1033"/>
      <c r="L23" s="1033"/>
      <c r="M23" s="1033"/>
      <c r="N23" s="1033"/>
      <c r="O23" s="1033"/>
      <c r="P23" s="1033"/>
      <c r="Q23" s="1033"/>
      <c r="R23" s="1033"/>
      <c r="S23" s="1033"/>
      <c r="T23" s="2"/>
      <c r="U23" s="236"/>
      <c r="V23" s="236"/>
      <c r="W23" s="236"/>
      <c r="X23" s="236"/>
      <c r="Y23" s="236"/>
      <c r="Z23" s="236"/>
      <c r="AA23" s="236"/>
      <c r="AB23" s="236"/>
      <c r="AC23" s="236"/>
      <c r="AD23" s="236"/>
      <c r="AE23" s="236"/>
      <c r="AF23" s="236"/>
      <c r="AG23" s="236"/>
      <c r="AH23" s="236"/>
      <c r="AI23" s="236"/>
      <c r="AJ23" s="236"/>
      <c r="AK23" s="236"/>
      <c r="AL23" s="236"/>
      <c r="AM23" s="236"/>
      <c r="AN23" s="236"/>
      <c r="AO23" s="236"/>
    </row>
    <row r="24" ht="15" customHeight="1">
      <c r="A24" s="2"/>
      <c r="B24" s="17"/>
      <c r="C24" s="2"/>
      <c r="D24" s="2"/>
      <c r="E24" s="2"/>
      <c r="F24" s="2"/>
      <c r="G24" s="2"/>
      <c r="H24" s="2"/>
      <c r="I24" s="2"/>
      <c r="J24" s="2"/>
      <c r="K24" s="2"/>
      <c r="L24" s="2"/>
      <c r="M24" s="2"/>
      <c r="N24" s="2"/>
      <c r="O24" s="2"/>
      <c r="P24" s="2"/>
      <c r="Q24" s="2"/>
      <c r="R24" s="2"/>
      <c r="S24" s="2"/>
      <c r="T24" s="2"/>
    </row>
    <row r="25" ht="15" customHeight="1">
      <c r="A25" s="2"/>
      <c r="B25" s="2"/>
      <c r="C25" s="15"/>
      <c r="D25" s="1032" t="s">
        <v>11</v>
      </c>
      <c r="E25" s="1032"/>
      <c r="F25" s="1032"/>
      <c r="G25" s="2"/>
      <c r="H25" s="1032" t="s">
        <v>13</v>
      </c>
      <c r="I25" s="1032"/>
      <c r="J25" s="1032"/>
      <c r="K25" s="2"/>
      <c r="L25" s="1032" t="s">
        <v>14</v>
      </c>
      <c r="M25" s="1032"/>
      <c r="N25" s="1032"/>
      <c r="O25" s="2"/>
      <c r="P25" s="1032" t="s">
        <v>12</v>
      </c>
      <c r="Q25" s="1032"/>
      <c r="R25" s="1032"/>
      <c r="S25" s="3"/>
      <c r="T25" s="2"/>
    </row>
    <row r="26" ht="15" customHeight="1">
      <c r="A26" s="2"/>
      <c r="B26" s="17"/>
      <c r="C26" s="2"/>
      <c r="D26" s="2"/>
      <c r="E26" s="2"/>
      <c r="F26" s="171" t="s">
        <v>24</v>
      </c>
      <c r="G26" s="2"/>
      <c r="H26" s="2"/>
      <c r="I26" s="2"/>
      <c r="J26" s="171" t="s">
        <v>24</v>
      </c>
      <c r="K26" s="2"/>
      <c r="L26" s="2"/>
      <c r="M26" s="2"/>
      <c r="N26" s="171" t="s">
        <v>24</v>
      </c>
      <c r="O26" s="2"/>
      <c r="P26" s="2"/>
      <c r="Q26" s="2"/>
      <c r="R26" s="171" t="s">
        <v>24</v>
      </c>
      <c r="S26" s="2"/>
      <c r="T26" s="2"/>
    </row>
    <row r="27" ht="15" customHeight="1">
      <c r="A27" s="2"/>
      <c r="B27" s="173" t="s">
        <v>22</v>
      </c>
      <c r="C27" s="45"/>
      <c r="D27" s="18" t="s">
        <v>19</v>
      </c>
      <c r="E27" s="667">
        <v>75.514736405147364051473640510</v>
      </c>
      <c r="F27" s="113">
        <v>-6.0550506093560076498549292800</v>
      </c>
      <c r="G27" s="9"/>
      <c r="H27" s="18" t="s">
        <v>19</v>
      </c>
      <c r="I27" s="667">
        <v>9.514321295143212951432129510</v>
      </c>
      <c r="J27" s="113">
        <v>218.33333333204673611111631096</v>
      </c>
      <c r="K27" s="9"/>
      <c r="L27" s="18" t="s">
        <v>19</v>
      </c>
      <c r="M27" s="667">
        <v>0</v>
      </c>
      <c r="N27" s="113">
        <v>0</v>
      </c>
      <c r="O27" s="9"/>
      <c r="P27" s="18" t="s">
        <v>19</v>
      </c>
      <c r="Q27" s="667">
        <v>85.02905770029057700290577003</v>
      </c>
      <c r="R27" s="113">
        <v>1.989145588536662112782954400</v>
      </c>
      <c r="S27" s="674"/>
      <c r="T27" s="9"/>
    </row>
    <row r="28" ht="15" customHeight="1">
      <c r="A28" s="2"/>
      <c r="B28" s="44"/>
      <c r="C28" s="45"/>
      <c r="D28" s="133" t="s">
        <v>16</v>
      </c>
      <c r="E28" s="668">
        <v>65.400407269371441140959424210</v>
      </c>
      <c r="F28" s="92">
        <v>3.7779231628723636168233771600</v>
      </c>
      <c r="G28" s="120"/>
      <c r="H28" s="133" t="s">
        <v>16</v>
      </c>
      <c r="I28" s="668">
        <v>2.7395604806528154822424570700</v>
      </c>
      <c r="J28" s="92">
        <v>130.93688283854686346844496073</v>
      </c>
      <c r="K28" s="120"/>
      <c r="L28" s="133" t="s">
        <v>16</v>
      </c>
      <c r="M28" s="668">
        <v>0.0025579863531428059831300800</v>
      </c>
      <c r="N28" s="92">
        <v>-76.509840765781752233348629870</v>
      </c>
      <c r="O28" s="120"/>
      <c r="P28" s="133" t="s">
        <v>16</v>
      </c>
      <c r="Q28" s="668">
        <v>68.142525736377399429185011360</v>
      </c>
      <c r="R28" s="92">
        <v>6.1133258352292565291292786200</v>
      </c>
      <c r="S28" s="674"/>
      <c r="T28" s="9"/>
    </row>
    <row r="29" ht="15" customHeight="1">
      <c r="A29" s="2"/>
      <c r="B29" s="44"/>
      <c r="C29" s="45"/>
      <c r="D29" s="19" t="s">
        <v>97</v>
      </c>
      <c r="E29" s="667">
        <v>115.46523876232759656337168570</v>
      </c>
      <c r="F29" s="113">
        <v>-9.475014986414268852301943110</v>
      </c>
      <c r="G29" s="676"/>
      <c r="H29" s="19" t="s">
        <v>97</v>
      </c>
      <c r="I29" s="667">
        <v>347.29371233710295620385094826</v>
      </c>
      <c r="J29" s="113">
        <v>37.844301618283430211347131600</v>
      </c>
      <c r="K29" s="676"/>
      <c r="L29" s="19" t="s">
        <v>97</v>
      </c>
      <c r="M29" s="667">
        <v>0</v>
      </c>
      <c r="N29" s="113">
        <v>0</v>
      </c>
      <c r="O29" s="676"/>
      <c r="P29" s="19" t="s">
        <v>97</v>
      </c>
      <c r="Q29" s="667">
        <v>124.78119468188456381020198787</v>
      </c>
      <c r="R29" s="113">
        <v>-3.8865808928874147870007314100</v>
      </c>
      <c r="S29" s="667"/>
      <c r="T29" s="9"/>
    </row>
    <row r="30" ht="15" customHeight="1">
      <c r="A30" s="2"/>
      <c r="B30" s="17"/>
      <c r="C30" s="2"/>
      <c r="D30" s="2"/>
      <c r="E30" s="9"/>
      <c r="F30" s="659"/>
      <c r="G30" s="9"/>
      <c r="H30" s="2"/>
      <c r="I30" s="9"/>
      <c r="J30" s="659"/>
      <c r="K30" s="9"/>
      <c r="L30" s="2"/>
      <c r="M30" s="9"/>
      <c r="N30" s="659"/>
      <c r="O30" s="9"/>
      <c r="P30" s="2"/>
      <c r="Q30" s="674"/>
      <c r="R30" s="659"/>
      <c r="S30" s="674"/>
      <c r="T30" s="9"/>
    </row>
    <row r="31" ht="15" customHeight="1">
      <c r="A31" s="2"/>
      <c r="B31" s="173" t="s">
        <v>9</v>
      </c>
      <c r="C31" s="45"/>
      <c r="D31" s="18" t="s">
        <v>19</v>
      </c>
      <c r="E31" s="670">
        <v>274.05340406233680565099084737</v>
      </c>
      <c r="F31" s="113">
        <v>17.492848528244048465463537510</v>
      </c>
      <c r="G31" s="671"/>
      <c r="H31" s="53" t="s">
        <v>19</v>
      </c>
      <c r="I31" s="670">
        <v>287.87870855148342059336823735</v>
      </c>
      <c r="J31" s="113">
        <v>16.476402499019717524184898160</v>
      </c>
      <c r="K31" s="671"/>
      <c r="L31" s="53" t="s">
        <v>19</v>
      </c>
      <c r="M31" s="670">
        <v>0</v>
      </c>
      <c r="N31" s="113">
        <v>0</v>
      </c>
      <c r="O31" s="671"/>
      <c r="P31" s="53" t="s">
        <v>19</v>
      </c>
      <c r="Q31" s="670">
        <v>275.60038567627602704615910367</v>
      </c>
      <c r="R31" s="113">
        <v>17.904096670558583726120748430</v>
      </c>
      <c r="S31" s="675"/>
      <c r="T31" s="9"/>
    </row>
    <row r="32" ht="15" customHeight="1">
      <c r="A32" s="2"/>
      <c r="B32" s="44"/>
      <c r="C32" s="45"/>
      <c r="D32" s="133" t="s">
        <v>16</v>
      </c>
      <c r="E32" s="672">
        <v>325.57723777756067098468307457</v>
      </c>
      <c r="F32" s="92">
        <v>13.543411546599432592110634230</v>
      </c>
      <c r="G32" s="673"/>
      <c r="H32" s="143" t="s">
        <v>16</v>
      </c>
      <c r="I32" s="672">
        <v>323.02507726079765660986000089</v>
      </c>
      <c r="J32" s="92">
        <v>17.243499893764352706740305520</v>
      </c>
      <c r="K32" s="673"/>
      <c r="L32" s="143" t="s">
        <v>16</v>
      </c>
      <c r="M32" s="672">
        <v>307.2499585315252956249626432</v>
      </c>
      <c r="N32" s="92">
        <v>12.545790455954064216701295800</v>
      </c>
      <c r="O32" s="673"/>
      <c r="P32" s="143" t="s">
        <v>16</v>
      </c>
      <c r="Q32" s="672">
        <v>325.4739442916479457233911508</v>
      </c>
      <c r="R32" s="92">
        <v>13.590463695740310542987316250</v>
      </c>
      <c r="S32" s="675"/>
      <c r="T32" s="9"/>
    </row>
    <row r="33" ht="15" customHeight="1">
      <c r="A33" s="2"/>
      <c r="B33" s="44"/>
      <c r="C33" s="45"/>
      <c r="D33" s="19" t="s">
        <v>98</v>
      </c>
      <c r="E33" s="667">
        <v>84.17462041665859990422290319</v>
      </c>
      <c r="F33" s="113">
        <v>3.4783497587542992497256212600</v>
      </c>
      <c r="G33" s="676"/>
      <c r="H33" s="19" t="s">
        <v>98</v>
      </c>
      <c r="I33" s="667">
        <v>89.11961603496791735898941025</v>
      </c>
      <c r="J33" s="113">
        <v>-0.6542771202170781948426850700</v>
      </c>
      <c r="K33" s="676"/>
      <c r="L33" s="19" t="s">
        <v>98</v>
      </c>
      <c r="M33" s="667">
        <v>0</v>
      </c>
      <c r="N33" s="113">
        <v>0</v>
      </c>
      <c r="O33" s="676"/>
      <c r="P33" s="19" t="s">
        <v>98</v>
      </c>
      <c r="Q33" s="667">
        <v>84.67663556790246709584700569</v>
      </c>
      <c r="R33" s="113">
        <v>3.7975309146087264515578459700</v>
      </c>
      <c r="S33" s="667"/>
      <c r="T33" s="9"/>
    </row>
    <row r="34" ht="15" customHeight="1">
      <c r="A34" s="2"/>
      <c r="B34" s="17"/>
      <c r="C34" s="2"/>
      <c r="D34" s="2"/>
      <c r="E34" s="9"/>
      <c r="F34" s="113"/>
      <c r="G34" s="9"/>
      <c r="H34" s="2"/>
      <c r="I34" s="9"/>
      <c r="J34" s="113"/>
      <c r="K34" s="9"/>
      <c r="L34" s="2"/>
      <c r="M34" s="9"/>
      <c r="N34" s="113"/>
      <c r="O34" s="9"/>
      <c r="P34" s="2"/>
      <c r="Q34" s="675"/>
      <c r="R34" s="113"/>
      <c r="S34" s="675"/>
      <c r="T34" s="9"/>
    </row>
    <row r="35" ht="15" customHeight="1">
      <c r="A35" s="2"/>
      <c r="B35" s="173" t="s">
        <v>10</v>
      </c>
      <c r="C35" s="45"/>
      <c r="D35" s="18" t="s">
        <v>19</v>
      </c>
      <c r="E35" s="670">
        <v>206.9507056870070568700705687</v>
      </c>
      <c r="F35" s="113">
        <v>10.378597087469243380630391810</v>
      </c>
      <c r="G35" s="671"/>
      <c r="H35" s="53" t="s">
        <v>19</v>
      </c>
      <c r="I35" s="670">
        <v>27.38970527189705271897052719</v>
      </c>
      <c r="J35" s="113">
        <v>270.78321462036673486568389740</v>
      </c>
      <c r="K35" s="671"/>
      <c r="L35" s="53" t="s">
        <v>19</v>
      </c>
      <c r="M35" s="670">
        <v>0</v>
      </c>
      <c r="N35" s="113">
        <v>0</v>
      </c>
      <c r="O35" s="671"/>
      <c r="P35" s="53" t="s">
        <v>19</v>
      </c>
      <c r="Q35" s="670">
        <v>234.34041095890410958904109589</v>
      </c>
      <c r="R35" s="113">
        <v>20.249380808160366492609650750</v>
      </c>
      <c r="S35" s="675"/>
      <c r="T35" s="9"/>
    </row>
    <row r="36" ht="15" customHeight="1">
      <c r="A36" s="2"/>
      <c r="B36" s="44"/>
      <c r="C36" s="45"/>
      <c r="D36" s="133" t="s">
        <v>16</v>
      </c>
      <c r="E36" s="672">
        <v>212.92883948289453092425699224</v>
      </c>
      <c r="F36" s="92">
        <v>17.832994391335346343910949840</v>
      </c>
      <c r="G36" s="673"/>
      <c r="H36" s="143" t="s">
        <v>16</v>
      </c>
      <c r="I36" s="672">
        <v>8.849467359235036849133978114</v>
      </c>
      <c r="J36" s="92">
        <v>170.75848399024424830218010285</v>
      </c>
      <c r="K36" s="673"/>
      <c r="L36" s="143" t="s">
        <v>16</v>
      </c>
      <c r="M36" s="672">
        <v>0.0078594120092733475887771583</v>
      </c>
      <c r="N36" s="92">
        <v>-73.562814654135119137199961500</v>
      </c>
      <c r="O36" s="673"/>
      <c r="P36" s="143" t="s">
        <v>16</v>
      </c>
      <c r="Q36" s="672">
        <v>221.78616625413884112097974751</v>
      </c>
      <c r="R36" s="92">
        <v>20.534618859240013532904122520</v>
      </c>
      <c r="S36" s="675"/>
      <c r="T36" s="9"/>
    </row>
    <row r="37" ht="15" customHeight="1">
      <c r="A37" s="2"/>
      <c r="B37" s="44"/>
      <c r="C37" s="45"/>
      <c r="D37" s="19" t="s">
        <v>99</v>
      </c>
      <c r="E37" s="667">
        <v>97.19242644142949071563178816</v>
      </c>
      <c r="F37" s="113">
        <v>-6.3262393885649893265150308800</v>
      </c>
      <c r="G37" s="676"/>
      <c r="H37" s="19" t="s">
        <v>99</v>
      </c>
      <c r="I37" s="667">
        <v>309.50682295497056110516341493</v>
      </c>
      <c r="J37" s="113">
        <v>36.942417891765605027085751330</v>
      </c>
      <c r="K37" s="676"/>
      <c r="L37" s="19" t="s">
        <v>99</v>
      </c>
      <c r="M37" s="667">
        <v>0</v>
      </c>
      <c r="N37" s="113">
        <v>0</v>
      </c>
      <c r="O37" s="676"/>
      <c r="P37" s="19" t="s">
        <v>99</v>
      </c>
      <c r="Q37" s="667">
        <v>105.66051747809226959503355085</v>
      </c>
      <c r="R37" s="113">
        <v>-0.2366440892350585880210638100</v>
      </c>
      <c r="S37" s="667"/>
      <c r="T37" s="9"/>
    </row>
    <row r="38" ht="9.95" customHeight="1">
      <c r="A38" s="2"/>
      <c r="B38" s="44"/>
      <c r="C38" s="45"/>
      <c r="D38" s="19"/>
      <c r="E38" s="172"/>
      <c r="F38" s="113"/>
      <c r="G38" s="51"/>
      <c r="H38" s="52"/>
      <c r="I38" s="172"/>
      <c r="J38" s="113"/>
      <c r="K38" s="51"/>
      <c r="L38" s="52"/>
      <c r="M38" s="172"/>
      <c r="N38" s="113"/>
      <c r="O38" s="51"/>
      <c r="P38" s="52"/>
      <c r="Q38" s="172"/>
      <c r="R38" s="113"/>
      <c r="S38" s="172"/>
      <c r="T38" s="2"/>
    </row>
    <row r="39" s="680" customFormat="1" ht="9.75" customHeight="1">
      <c r="A39" s="678"/>
      <c r="B39" s="678"/>
      <c r="C39" s="678"/>
      <c r="D39" s="678"/>
      <c r="E39" s="678"/>
      <c r="F39" s="678"/>
      <c r="G39" s="678"/>
      <c r="H39" s="678"/>
      <c r="I39" s="678"/>
      <c r="J39" s="678"/>
      <c r="K39" s="678"/>
      <c r="L39" s="678"/>
      <c r="M39" s="678"/>
      <c r="N39" s="678"/>
      <c r="O39" s="678"/>
      <c r="P39" s="678"/>
      <c r="Q39" s="678"/>
      <c r="R39" s="678"/>
      <c r="S39" s="678"/>
      <c r="T39" s="678"/>
      <c r="U39" s="679"/>
      <c r="V39" s="679"/>
      <c r="W39" s="679"/>
      <c r="X39" s="679"/>
      <c r="Y39" s="679"/>
      <c r="Z39" s="679"/>
      <c r="AA39" s="679"/>
      <c r="AB39" s="679"/>
      <c r="AC39" s="679"/>
      <c r="AD39" s="679"/>
      <c r="AE39" s="679"/>
      <c r="AF39" s="679"/>
      <c r="AG39" s="679"/>
      <c r="AH39" s="679"/>
      <c r="AI39" s="679"/>
      <c r="AJ39" s="679"/>
      <c r="AK39" s="679"/>
      <c r="AL39" s="679"/>
      <c r="AM39" s="679"/>
      <c r="AN39" s="679"/>
      <c r="AO39" s="679"/>
    </row>
    <row r="40" ht="35.1" customHeight="1">
      <c r="A40" s="2"/>
      <c r="B40" s="1034" t="s">
        <v>126</v>
      </c>
      <c r="C40" s="1034"/>
      <c r="D40" s="1034"/>
      <c r="E40" s="1034"/>
      <c r="F40" s="1034"/>
      <c r="G40" s="1034"/>
      <c r="H40" s="1034"/>
      <c r="I40" s="1034"/>
      <c r="J40" s="1034"/>
      <c r="K40" s="1034"/>
      <c r="L40" s="1034"/>
      <c r="M40" s="1034"/>
      <c r="N40" s="1034"/>
      <c r="O40" s="1034"/>
      <c r="P40" s="1034"/>
      <c r="Q40" s="1034"/>
      <c r="R40" s="1034"/>
      <c r="S40" s="1034"/>
      <c r="T40" s="2"/>
    </row>
    <row r="41" s="683" customFormat="1" ht="15" customHeight="1">
      <c r="A41" s="681"/>
      <c r="B41" s="681"/>
      <c r="C41" s="681"/>
      <c r="D41" s="681"/>
      <c r="E41" s="681"/>
      <c r="F41" s="681"/>
      <c r="G41" s="681"/>
      <c r="H41" s="681"/>
      <c r="I41" s="681"/>
      <c r="J41" s="681"/>
      <c r="K41" s="681"/>
      <c r="L41" s="681"/>
      <c r="M41" s="681"/>
      <c r="N41" s="681"/>
      <c r="O41" s="681"/>
      <c r="P41" s="681"/>
      <c r="Q41" s="681"/>
      <c r="R41" s="681"/>
      <c r="S41" s="681"/>
      <c r="T41" s="681"/>
      <c r="U41" s="682"/>
      <c r="V41" s="682"/>
      <c r="W41" s="682"/>
      <c r="X41" s="682"/>
      <c r="Y41" s="682"/>
      <c r="Z41" s="682"/>
      <c r="AA41" s="682"/>
      <c r="AB41" s="682"/>
      <c r="AC41" s="682"/>
      <c r="AD41" s="682"/>
      <c r="AE41" s="682"/>
      <c r="AF41" s="682"/>
      <c r="AG41" s="682"/>
      <c r="AH41" s="682"/>
      <c r="AI41" s="682"/>
      <c r="AJ41" s="682"/>
      <c r="AK41" s="682"/>
      <c r="AL41" s="682"/>
      <c r="AM41" s="682"/>
      <c r="AN41" s="682"/>
      <c r="AO41" s="682"/>
    </row>
    <row r="42" ht="18" customHeight="1">
      <c r="A42" s="236"/>
      <c r="B42" s="236"/>
      <c r="C42" s="236"/>
      <c r="D42" s="236"/>
      <c r="E42" s="236"/>
      <c r="F42" s="236"/>
      <c r="G42" s="236"/>
      <c r="H42" s="236"/>
      <c r="I42" s="236"/>
      <c r="J42" s="236"/>
      <c r="K42" s="236"/>
      <c r="L42" s="236"/>
      <c r="M42" s="236"/>
      <c r="N42" s="236"/>
      <c r="O42" s="236"/>
      <c r="P42" s="236"/>
      <c r="Q42" s="236"/>
      <c r="R42" s="236"/>
      <c r="S42" s="236"/>
      <c r="T42" s="236"/>
    </row>
    <row r="43">
      <c r="A43" s="236"/>
      <c r="B43" s="236"/>
      <c r="C43" s="236"/>
      <c r="D43" s="236"/>
      <c r="E43" s="236"/>
      <c r="F43" s="236"/>
      <c r="G43" s="236"/>
      <c r="H43" s="236"/>
      <c r="I43" s="236"/>
      <c r="J43" s="236"/>
      <c r="K43" s="236"/>
      <c r="L43" s="236"/>
      <c r="M43" s="236"/>
      <c r="N43" s="236"/>
      <c r="O43" s="236"/>
      <c r="P43" s="236"/>
      <c r="Q43" s="236"/>
      <c r="R43" s="236"/>
      <c r="S43" s="236"/>
      <c r="T43" s="236"/>
    </row>
    <row r="44">
      <c r="A44" s="236"/>
      <c r="B44" s="236"/>
      <c r="C44" s="236"/>
      <c r="D44" s="236"/>
      <c r="E44" s="236"/>
      <c r="F44" s="236"/>
      <c r="G44" s="236"/>
      <c r="H44" s="236"/>
      <c r="I44" s="236"/>
      <c r="J44" s="236"/>
      <c r="K44" s="236"/>
      <c r="L44" s="236"/>
      <c r="M44" s="236"/>
      <c r="N44" s="236"/>
      <c r="O44" s="236"/>
      <c r="P44" s="236"/>
      <c r="Q44" s="236"/>
      <c r="R44" s="236"/>
      <c r="S44" s="236"/>
      <c r="T44" s="236"/>
    </row>
    <row r="45">
      <c r="A45" s="236"/>
      <c r="B45" s="236"/>
      <c r="C45" s="236"/>
      <c r="D45" s="236"/>
      <c r="E45" s="236"/>
      <c r="F45" s="236"/>
      <c r="G45" s="236"/>
      <c r="H45" s="236"/>
      <c r="I45" s="236"/>
      <c r="J45" s="236"/>
      <c r="K45" s="236"/>
      <c r="L45" s="236"/>
      <c r="M45" s="236"/>
      <c r="N45" s="236"/>
      <c r="O45" s="236"/>
      <c r="P45" s="236"/>
      <c r="Q45" s="236"/>
      <c r="R45" s="236"/>
      <c r="S45" s="236"/>
      <c r="T45" s="236"/>
    </row>
    <row r="46">
      <c r="A46" s="236"/>
      <c r="B46" s="236"/>
      <c r="C46" s="236"/>
      <c r="D46" s="236"/>
      <c r="E46" s="236"/>
      <c r="F46" s="236"/>
      <c r="G46" s="236"/>
      <c r="H46" s="236"/>
      <c r="I46" s="236"/>
      <c r="J46" s="236"/>
      <c r="K46" s="236"/>
      <c r="L46" s="236"/>
      <c r="M46" s="236"/>
      <c r="N46" s="236"/>
      <c r="O46" s="236"/>
      <c r="P46" s="236"/>
      <c r="Q46" s="236"/>
      <c r="R46" s="236"/>
      <c r="S46" s="236"/>
      <c r="T46" s="236"/>
    </row>
    <row r="47">
      <c r="A47" s="236"/>
      <c r="B47" s="236"/>
      <c r="C47" s="236"/>
      <c r="D47" s="236"/>
      <c r="E47" s="236"/>
      <c r="F47" s="236"/>
      <c r="G47" s="236"/>
      <c r="H47" s="236"/>
      <c r="I47" s="236"/>
      <c r="J47" s="236"/>
      <c r="K47" s="236"/>
      <c r="L47" s="236"/>
      <c r="M47" s="236"/>
      <c r="N47" s="236"/>
      <c r="O47" s="236"/>
      <c r="P47" s="236"/>
      <c r="Q47" s="236"/>
      <c r="R47" s="236"/>
      <c r="S47" s="236"/>
      <c r="T47" s="236"/>
    </row>
    <row r="48">
      <c r="A48" s="236"/>
      <c r="B48" s="236"/>
      <c r="C48" s="236"/>
      <c r="D48" s="236"/>
      <c r="E48" s="236"/>
      <c r="F48" s="236"/>
      <c r="G48" s="236"/>
      <c r="H48" s="236"/>
      <c r="I48" s="236"/>
      <c r="J48" s="236"/>
      <c r="K48" s="236"/>
      <c r="L48" s="236"/>
      <c r="M48" s="236"/>
      <c r="N48" s="236"/>
      <c r="O48" s="236"/>
      <c r="P48" s="236"/>
      <c r="Q48" s="236"/>
      <c r="R48" s="236"/>
      <c r="S48" s="236"/>
      <c r="T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sheetData>
  <mergeCells count="14">
    <mergeCell ref="B40:S40"/>
    <mergeCell ref="D25:F25"/>
    <mergeCell ref="H25:J25"/>
    <mergeCell ref="L25:N25"/>
    <mergeCell ref="P25:R25"/>
    <mergeCell ref="B2:S2"/>
    <mergeCell ref="B6:S6"/>
    <mergeCell ref="B23:S23"/>
    <mergeCell ref="D8:F8"/>
    <mergeCell ref="H8:J8"/>
    <mergeCell ref="L8:N8"/>
    <mergeCell ref="P8:R8"/>
    <mergeCell ref="B4:S4"/>
    <mergeCell ref="B3:S3"/>
  </mergeCells>
  <phoneticPr fontId="0" type="noConversion"/>
  <printOptions horizontalCentered="1" verticalCentered="1"/>
  <pageMargins left="0.25" right="0.25" top="0.25" bottom="0.25" header="0" footer="0"/>
  <pageSetup scale="88" fitToWidth="1" fitToHeight="1" orientation="landscape" r:id="rId1"/>
  <headerFooter alignWithMargins="0">
    <oddHeader/>
    <oddFooter/>
  </headerFooter>
  <rowBreaks count="1" manualBreakCount="1">
    <brk id="42" max="16383" man="1"/>
  </rowBreaks>
  <colBreaks count="1" manualBreakCount="1">
    <brk id="21" max="1048575" man="1"/>
  </colBreaks>
  <drawing r:id="rId35"/>
</worksheet>
</file>

<file path=xl/worksheets/sheet3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6">
    <pageSetUpPr fitToPage="1"/>
  </sheetPr>
  <dimension ref="A1:AD86"/>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89"/>
      <c r="B1" s="656" t="s">
        <v>141</v>
      </c>
      <c r="Z1" s="5"/>
      <c r="AB1" s="685"/>
      <c r="AD1" s="236"/>
    </row>
    <row r="2" ht="15" customHeight="1">
      <c r="A2" s="11"/>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209</v>
      </c>
      <c r="C3" s="999"/>
      <c r="D3" s="999"/>
      <c r="E3" s="999"/>
      <c r="F3" s="999"/>
      <c r="G3" s="999"/>
      <c r="H3" s="999"/>
      <c r="I3" s="999"/>
      <c r="J3" s="999"/>
      <c r="K3" s="999"/>
      <c r="L3" s="999"/>
      <c r="M3" s="999"/>
      <c r="N3" s="999"/>
      <c r="O3" s="999"/>
      <c r="P3" s="999"/>
      <c r="Q3" s="999"/>
      <c r="R3" s="1035" t="s">
        <v>301</v>
      </c>
      <c r="S3" s="1035"/>
      <c r="T3" s="1035"/>
      <c r="U3" s="1035"/>
      <c r="V3" s="1035"/>
      <c r="W3" s="1035"/>
      <c r="X3" s="1035"/>
      <c r="Y3" s="1035"/>
      <c r="Z3" s="1035"/>
      <c r="AA3" s="1035"/>
      <c r="AB3" s="1035"/>
    </row>
    <row r="4" ht="19.5" customHeight="1">
      <c r="A4" s="4"/>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2.75" customHeight="1"/>
    <row r="6" ht="15.75">
      <c r="D6" s="960" t="s">
        <v>22</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18" customHeight="1">
      <c r="A9" s="57"/>
      <c r="B9" s="284">
        <v>2021</v>
      </c>
      <c r="C9" s="285" t="s">
        <v>218</v>
      </c>
      <c r="D9" s="415">
        <v>85.55718475073313782991202346</v>
      </c>
      <c r="E9" s="416">
        <v>75.752387817624797260767705890</v>
      </c>
      <c r="F9" s="417">
        <v>61.577256725005504984429129550</v>
      </c>
      <c r="G9" s="415">
        <v>1.3929618768328445747800586500</v>
      </c>
      <c r="H9" s="416">
        <v>1.7390520814561182194990088300</v>
      </c>
      <c r="I9" s="417">
        <v>7.2984859389432175353324494800</v>
      </c>
      <c r="J9" s="415">
        <v>0</v>
      </c>
      <c r="K9" s="416">
        <v>0</v>
      </c>
      <c r="L9" s="417">
        <v>4.3848801840709747122387287400</v>
      </c>
      <c r="M9" s="415">
        <v>86.95014662756598240469208211</v>
      </c>
      <c r="N9" s="416">
        <v>77.491439899080915480266714720</v>
      </c>
      <c r="O9" s="417">
        <v>73.260622848019697232000307770</v>
      </c>
      <c r="P9" s="5"/>
      <c r="Q9" s="415">
        <v>553.17164178912425651593347047</v>
      </c>
      <c r="R9" s="416"/>
      <c r="S9" s="417">
        <v>250.70944357497715285826884365</v>
      </c>
      <c r="T9" s="415">
        <v>0</v>
      </c>
      <c r="U9" s="416"/>
      <c r="V9" s="417">
        <v>107.08353465217198192218374582</v>
      </c>
      <c r="W9" s="415">
        <v>0</v>
      </c>
      <c r="X9" s="416"/>
      <c r="Y9" s="417">
        <v>45.200543432030777254324168120</v>
      </c>
      <c r="Z9" s="415">
        <v>563.80597014730194364001464950</v>
      </c>
      <c r="AA9" s="416"/>
      <c r="AB9" s="417">
        <v>203.95814725580031441875538696</v>
      </c>
    </row>
    <row r="10" ht="18" customHeight="1">
      <c r="A10" s="58"/>
      <c r="B10" s="286"/>
      <c r="C10" s="287" t="s">
        <v>221</v>
      </c>
      <c r="D10" s="271">
        <v>62.805474095796676441837732160</v>
      </c>
      <c r="E10" s="92">
        <v>56.766985042349972968102360790</v>
      </c>
      <c r="F10" s="272">
        <v>48.338635130936979073656237930</v>
      </c>
      <c r="G10" s="271">
        <v>0.6842619745845552297165200400</v>
      </c>
      <c r="H10" s="92">
        <v>0.549648585330690214453054600</v>
      </c>
      <c r="I10" s="272">
        <v>5.5038582070776726928221382300</v>
      </c>
      <c r="J10" s="271">
        <v>0</v>
      </c>
      <c r="K10" s="92">
        <v>0</v>
      </c>
      <c r="L10" s="272">
        <v>4.5124800207096446922516909700</v>
      </c>
      <c r="M10" s="271">
        <v>63.489736070381231671554252200</v>
      </c>
      <c r="N10" s="92">
        <v>57.316633627680663182555415390</v>
      </c>
      <c r="O10" s="272">
        <v>58.354973358724296458730067130</v>
      </c>
      <c r="P10" s="5"/>
      <c r="Q10" s="271">
        <v>145.93301435408769579451020069</v>
      </c>
      <c r="R10" s="92"/>
      <c r="S10" s="272">
        <v>151.41182054789262361208200645</v>
      </c>
      <c r="T10" s="271">
        <v>0</v>
      </c>
      <c r="U10" s="92"/>
      <c r="V10" s="272">
        <v>-23.715483367196738047218772880</v>
      </c>
      <c r="W10" s="271">
        <v>0</v>
      </c>
      <c r="X10" s="92"/>
      <c r="Y10" s="272">
        <v>37.848223577543730346268862840</v>
      </c>
      <c r="Z10" s="271">
        <v>148.61244019140849559304961144</v>
      </c>
      <c r="AA10" s="92"/>
      <c r="AB10" s="272">
        <v>96.38024931258116922008245549</v>
      </c>
    </row>
    <row r="11" ht="18" customHeight="1">
      <c r="A11" s="58"/>
      <c r="B11" s="288"/>
      <c r="C11" s="289" t="s">
        <v>222</v>
      </c>
      <c r="D11" s="420">
        <v>57.449494949494949494949494950</v>
      </c>
      <c r="E11" s="91">
        <v>44.720670391061452513966480450</v>
      </c>
      <c r="F11" s="421">
        <v>42.572632796619462127600989400</v>
      </c>
      <c r="G11" s="420">
        <v>1.6919191919191919191919191900</v>
      </c>
      <c r="H11" s="91">
        <v>1.2756052141527001862197392900</v>
      </c>
      <c r="I11" s="421">
        <v>6.4555524058099538837586318500</v>
      </c>
      <c r="J11" s="420">
        <v>0</v>
      </c>
      <c r="K11" s="91">
        <v>0</v>
      </c>
      <c r="L11" s="421">
        <v>5.2218644894807410150764749600</v>
      </c>
      <c r="M11" s="420">
        <v>59.141414141414141414141414140</v>
      </c>
      <c r="N11" s="91">
        <v>45.996275605214152700186219740</v>
      </c>
      <c r="O11" s="421">
        <v>54.250049691910157026436096200</v>
      </c>
      <c r="P11" s="5"/>
      <c r="Q11" s="420">
        <v>21.139510117254267506388172080</v>
      </c>
      <c r="R11" s="91"/>
      <c r="S11" s="421">
        <v>56.258144693739888043443021630</v>
      </c>
      <c r="T11" s="420">
        <v>0</v>
      </c>
      <c r="U11" s="91"/>
      <c r="V11" s="421">
        <v>479.28851495061960525072943114</v>
      </c>
      <c r="W11" s="420">
        <v>0</v>
      </c>
      <c r="X11" s="91"/>
      <c r="Y11" s="421">
        <v>96.24060551087548759627608936</v>
      </c>
      <c r="Z11" s="420">
        <v>24.707135250377799780202680880</v>
      </c>
      <c r="AA11" s="91"/>
      <c r="AB11" s="421">
        <v>74.885028611883200579537282850</v>
      </c>
    </row>
    <row r="12" ht="18" customHeight="1">
      <c r="A12" s="58"/>
      <c r="B12" s="286"/>
      <c r="C12" s="287" t="s">
        <v>224</v>
      </c>
      <c r="D12" s="271">
        <v>71.114369501466275659824046920</v>
      </c>
      <c r="E12" s="92">
        <v>45.026569867524885861836688870</v>
      </c>
      <c r="F12" s="272">
        <v>48.726309558334623705304861250</v>
      </c>
      <c r="G12" s="271">
        <v>2.248289345063538611925708700</v>
      </c>
      <c r="H12" s="92">
        <v>1.1900306863258738118404311100</v>
      </c>
      <c r="I12" s="272">
        <v>7.6424948413076466600661635900</v>
      </c>
      <c r="J12" s="271">
        <v>0</v>
      </c>
      <c r="K12" s="92">
        <v>0.1122670458797994162113614300</v>
      </c>
      <c r="L12" s="272">
        <v>5.9464133621775435173000656100</v>
      </c>
      <c r="M12" s="271">
        <v>73.362658846529814271749755620</v>
      </c>
      <c r="N12" s="92">
        <v>46.328867599730559089888481400</v>
      </c>
      <c r="O12" s="272">
        <v>62.315217761819813882671090460</v>
      </c>
      <c r="P12" s="5"/>
      <c r="Q12" s="271">
        <v>38.373751783255337290725960610</v>
      </c>
      <c r="R12" s="92"/>
      <c r="S12" s="272">
        <v>54.995468539760782597509842920</v>
      </c>
      <c r="T12" s="271">
        <v>48.387096769445161290474529040</v>
      </c>
      <c r="U12" s="92"/>
      <c r="V12" s="272">
        <v>173.07721960829432442923673085</v>
      </c>
      <c r="W12" s="271">
        <v>0</v>
      </c>
      <c r="X12" s="92"/>
      <c r="Y12" s="272">
        <v>68.361200757633291075973009290</v>
      </c>
      <c r="Z12" s="271">
        <v>38.660508083099887886756035140</v>
      </c>
      <c r="AA12" s="92"/>
      <c r="AB12" s="272">
        <v>64.995437653382463560947095830</v>
      </c>
    </row>
    <row r="13" ht="18" customHeight="1">
      <c r="A13" s="58"/>
      <c r="B13" s="288"/>
      <c r="C13" s="289" t="s">
        <v>227</v>
      </c>
      <c r="D13" s="420">
        <v>76.287878787878787878787878790</v>
      </c>
      <c r="E13" s="91">
        <v>51.306614877486439327569190570</v>
      </c>
      <c r="F13" s="421">
        <v>55.067165497574662071452144320</v>
      </c>
      <c r="G13" s="420">
        <v>8.080808080808080808080808080</v>
      </c>
      <c r="H13" s="91">
        <v>4.2772985022506063027479014600</v>
      </c>
      <c r="I13" s="421">
        <v>10.012547031739938965484611830</v>
      </c>
      <c r="J13" s="420">
        <v>0</v>
      </c>
      <c r="K13" s="91">
        <v>0</v>
      </c>
      <c r="L13" s="421">
        <v>7.0016150116818374586211476600</v>
      </c>
      <c r="M13" s="420">
        <v>84.36868686868686868686868687</v>
      </c>
      <c r="N13" s="91">
        <v>55.583913379737045630317092030</v>
      </c>
      <c r="O13" s="421">
        <v>72.081327540996438495557903800</v>
      </c>
      <c r="P13" s="5"/>
      <c r="Q13" s="420">
        <v>50.149105367736524194791511060</v>
      </c>
      <c r="R13" s="91"/>
      <c r="S13" s="421">
        <v>62.099669320312603359999706970</v>
      </c>
      <c r="T13" s="420">
        <v>680.48780484302201070948389017</v>
      </c>
      <c r="U13" s="91"/>
      <c r="V13" s="421">
        <v>324.94601493634825571798785483</v>
      </c>
      <c r="W13" s="420">
        <v>0</v>
      </c>
      <c r="X13" s="91"/>
      <c r="Y13" s="421">
        <v>90.14277361182999649228036811</v>
      </c>
      <c r="Z13" s="420">
        <v>62.737457379552519698994735230</v>
      </c>
      <c r="AA13" s="91"/>
      <c r="AB13" s="421">
        <v>80.15979598634855859370046927</v>
      </c>
    </row>
    <row r="14" ht="18" customHeight="1">
      <c r="A14" s="58"/>
      <c r="B14" s="286"/>
      <c r="C14" s="287" t="s">
        <v>229</v>
      </c>
      <c r="D14" s="271">
        <v>87.75659824046920821114369501</v>
      </c>
      <c r="E14" s="92">
        <v>60.160167652121847167128208970</v>
      </c>
      <c r="F14" s="272">
        <v>62.059288446800506836269542530</v>
      </c>
      <c r="G14" s="271">
        <v>5.8651026392961876832844574800</v>
      </c>
      <c r="H14" s="92">
        <v>2.6719556919392261058304019200</v>
      </c>
      <c r="I14" s="272">
        <v>8.592890961220842730685423690</v>
      </c>
      <c r="J14" s="271">
        <v>0</v>
      </c>
      <c r="K14" s="92">
        <v>0</v>
      </c>
      <c r="L14" s="272">
        <v>7.3666244412731245128850789600</v>
      </c>
      <c r="M14" s="271">
        <v>93.62170087976539589442815249</v>
      </c>
      <c r="N14" s="92">
        <v>62.832123344061073272958610880</v>
      </c>
      <c r="O14" s="272">
        <v>78.018803849294474079840045180</v>
      </c>
      <c r="P14" s="5"/>
      <c r="Q14" s="271">
        <v>27.115044247877603571148939890</v>
      </c>
      <c r="R14" s="92">
        <v>21.749746438677332128634165870</v>
      </c>
      <c r="S14" s="272">
        <v>47.704437633220531766868704950</v>
      </c>
      <c r="T14" s="271">
        <v>122.22222222081481481482372847</v>
      </c>
      <c r="U14" s="92">
        <v>0</v>
      </c>
      <c r="V14" s="272">
        <v>725.88691880563638106647166427</v>
      </c>
      <c r="W14" s="271">
        <v>0</v>
      </c>
      <c r="X14" s="92">
        <v>0</v>
      </c>
      <c r="Y14" s="272">
        <v>79.98812276751420760429073476</v>
      </c>
      <c r="Z14" s="271">
        <v>30.617115581374664890591574850</v>
      </c>
      <c r="AA14" s="92">
        <v>27.157143736339413189833767400</v>
      </c>
      <c r="AB14" s="272">
        <v>65.472371246963219956588736500</v>
      </c>
    </row>
    <row r="15" ht="18" customHeight="1">
      <c r="A15" s="58"/>
      <c r="B15" s="288">
        <v>2022</v>
      </c>
      <c r="C15" s="289" t="s">
        <v>230</v>
      </c>
      <c r="D15" s="420">
        <v>81.20723362658846529814271750</v>
      </c>
      <c r="E15" s="91">
        <v>50.376846548085619535725052760</v>
      </c>
      <c r="F15" s="421">
        <v>50.838014659075578398177236970</v>
      </c>
      <c r="G15" s="420">
        <v>10.679374389051808406647116320</v>
      </c>
      <c r="H15" s="91">
        <v>0.7009345794392523364485981300</v>
      </c>
      <c r="I15" s="421">
        <v>9.521862463351768339668802330</v>
      </c>
      <c r="J15" s="420">
        <v>0</v>
      </c>
      <c r="K15" s="91">
        <v>0.0301477238468495628580042200</v>
      </c>
      <c r="L15" s="421">
        <v>7.8075107145957841335872200</v>
      </c>
      <c r="M15" s="420">
        <v>91.88660801564027370478983382</v>
      </c>
      <c r="N15" s="91">
        <v>51.107928851371721435031655110</v>
      </c>
      <c r="O15" s="421">
        <v>68.167387837023130871433259310</v>
      </c>
      <c r="P15" s="5"/>
      <c r="Q15" s="420">
        <v>-3.2605531295180088861768365800</v>
      </c>
      <c r="R15" s="91">
        <v>1.3564617458849682959755177400</v>
      </c>
      <c r="S15" s="421">
        <v>18.714239501938287363353238570</v>
      </c>
      <c r="T15" s="420">
        <v>653.44827586025029726516491276</v>
      </c>
      <c r="U15" s="91">
        <v>309.41957693604641313539451238</v>
      </c>
      <c r="V15" s="421">
        <v>288.26852640325783495025754003</v>
      </c>
      <c r="W15" s="420">
        <v>0</v>
      </c>
      <c r="X15" s="91">
        <v>0</v>
      </c>
      <c r="Y15" s="421">
        <v>92.82872558076611525734420227</v>
      </c>
      <c r="Z15" s="420">
        <v>7.643859146894496694505537800</v>
      </c>
      <c r="AA15" s="91">
        <v>2.4743982641298149237126332200</v>
      </c>
      <c r="AB15" s="421">
        <v>38.199971564538374324062636950</v>
      </c>
    </row>
    <row r="16" ht="18" customHeight="1">
      <c r="A16" s="58"/>
      <c r="B16" s="286"/>
      <c r="C16" s="287" t="s">
        <v>231</v>
      </c>
      <c r="D16" s="271">
        <v>88.98809523809523809523809524</v>
      </c>
      <c r="E16" s="92">
        <v>64.694592790387182910547396530</v>
      </c>
      <c r="F16" s="272">
        <v>59.415357239038131718861343070</v>
      </c>
      <c r="G16" s="271">
        <v>7.5216450216450216450216450200</v>
      </c>
      <c r="H16" s="92">
        <v>3.1458611481975967957276368500</v>
      </c>
      <c r="I16" s="272">
        <v>14.455495429340468424347465300</v>
      </c>
      <c r="J16" s="271">
        <v>0</v>
      </c>
      <c r="K16" s="92">
        <v>0</v>
      </c>
      <c r="L16" s="272">
        <v>7.851761874127143876253281100</v>
      </c>
      <c r="M16" s="271">
        <v>96.50974025974025974025974026</v>
      </c>
      <c r="N16" s="92">
        <v>67.840453938584779706275033380</v>
      </c>
      <c r="O16" s="272">
        <v>81.72261454250574401946208947</v>
      </c>
      <c r="P16" s="5"/>
      <c r="Q16" s="271">
        <v>-0.0607718018751800371555575900</v>
      </c>
      <c r="R16" s="92">
        <v>-12.364923086894680105302350750</v>
      </c>
      <c r="S16" s="272">
        <v>7.3717825352152646163315253800</v>
      </c>
      <c r="T16" s="271">
        <v>239.02439024615157644260861526</v>
      </c>
      <c r="U16" s="92">
        <v>0</v>
      </c>
      <c r="V16" s="272">
        <v>151.73819785966160371385142728</v>
      </c>
      <c r="W16" s="271">
        <v>0</v>
      </c>
      <c r="X16" s="92">
        <v>0</v>
      </c>
      <c r="Y16" s="272">
        <v>63.414941367145783868739203290</v>
      </c>
      <c r="Z16" s="271">
        <v>5.7515564779389224117965150300</v>
      </c>
      <c r="AA16" s="92">
        <v>-8.103550199465206920689811900</v>
      </c>
      <c r="AB16" s="272">
        <v>24.041708197963923613134597520</v>
      </c>
    </row>
    <row r="17" ht="18" customHeight="1">
      <c r="A17" s="58"/>
      <c r="B17" s="288"/>
      <c r="C17" s="289" t="s">
        <v>232</v>
      </c>
      <c r="D17" s="420">
        <v>75.733137829912023460410557180</v>
      </c>
      <c r="E17" s="91">
        <v>69.663852879107627374133252950</v>
      </c>
      <c r="F17" s="421">
        <v>60.275561126452991482019891390</v>
      </c>
      <c r="G17" s="420">
        <v>18.475073313782991202346041060</v>
      </c>
      <c r="H17" s="91">
        <v>2.7208320771781730479348809200</v>
      </c>
      <c r="I17" s="421">
        <v>15.968439147860343771802261160</v>
      </c>
      <c r="J17" s="420">
        <v>0</v>
      </c>
      <c r="K17" s="91">
        <v>0</v>
      </c>
      <c r="L17" s="421">
        <v>7.66092734155088630192164500</v>
      </c>
      <c r="M17" s="420">
        <v>94.20821114369501466275659824</v>
      </c>
      <c r="N17" s="91">
        <v>72.384684956285800422068133860</v>
      </c>
      <c r="O17" s="421">
        <v>83.90492761586422155574379755</v>
      </c>
      <c r="P17" s="5"/>
      <c r="Q17" s="420">
        <v>-14.792411328016659801059422790</v>
      </c>
      <c r="R17" s="91">
        <v>-10.993472134885463687216895640</v>
      </c>
      <c r="S17" s="421">
        <v>-0.0130939396201677820922014900</v>
      </c>
      <c r="T17" s="420">
        <v>2599.9999999390571428585184251</v>
      </c>
      <c r="U17" s="91">
        <v>0</v>
      </c>
      <c r="V17" s="421">
        <v>273.96975974273638353264828808</v>
      </c>
      <c r="W17" s="420">
        <v>0</v>
      </c>
      <c r="X17" s="91">
        <v>0</v>
      </c>
      <c r="Y17" s="421">
        <v>61.652830111718184928656068590</v>
      </c>
      <c r="Z17" s="420">
        <v>5.1841746248124777540578747600</v>
      </c>
      <c r="AA17" s="91">
        <v>-7.5171812597035587203322585500</v>
      </c>
      <c r="AB17" s="421">
        <v>21.087932333569426051629705550</v>
      </c>
    </row>
    <row r="18" ht="18" customHeight="1">
      <c r="A18" s="58"/>
      <c r="B18" s="286"/>
      <c r="C18" s="287" t="s">
        <v>233</v>
      </c>
      <c r="D18" s="271">
        <v>77.500</v>
      </c>
      <c r="E18" s="92">
        <v>74.953271028037383177570093460</v>
      </c>
      <c r="F18" s="272">
        <v>59.154034209657604400499972770</v>
      </c>
      <c r="G18" s="271">
        <v>13.308080808080808080808080810</v>
      </c>
      <c r="H18" s="92">
        <v>3.2476635514018691588785046700</v>
      </c>
      <c r="I18" s="272">
        <v>16.621747767970355955139115320</v>
      </c>
      <c r="J18" s="271">
        <v>0</v>
      </c>
      <c r="K18" s="92">
        <v>0</v>
      </c>
      <c r="L18" s="272">
        <v>7.2452731442078570089220663900</v>
      </c>
      <c r="M18" s="271">
        <v>90.80808080808080808080808081</v>
      </c>
      <c r="N18" s="92">
        <v>78.200934579439252336448598130</v>
      </c>
      <c r="O18" s="272">
        <v>83.02105512183581736456115448</v>
      </c>
      <c r="P18" s="5"/>
      <c r="Q18" s="271">
        <v>-5.5401662050384819023794800700</v>
      </c>
      <c r="R18" s="92">
        <v>2.6224937084264310508951689400</v>
      </c>
      <c r="S18" s="272">
        <v>-4.4680246642554448518447127200</v>
      </c>
      <c r="T18" s="271">
        <v>62.654320988015775034294356070</v>
      </c>
      <c r="U18" s="92">
        <v>850.5998990779430957994247043</v>
      </c>
      <c r="V18" s="272">
        <v>340.26145258134245037943666450</v>
      </c>
      <c r="W18" s="271">
        <v>0</v>
      </c>
      <c r="X18" s="92">
        <v>0</v>
      </c>
      <c r="Y18" s="272">
        <v>42.251942373084413694486349460</v>
      </c>
      <c r="Z18" s="271">
        <v>0.6437167645931443565335122900</v>
      </c>
      <c r="AA18" s="92">
        <v>6.5705450479182924696682962200</v>
      </c>
      <c r="AB18" s="272">
        <v>17.279002810494131492573226940</v>
      </c>
    </row>
    <row r="19" ht="18" customHeight="1">
      <c r="A19" s="58"/>
      <c r="B19" s="288"/>
      <c r="C19" s="289" t="s">
        <v>234</v>
      </c>
      <c r="D19" s="420">
        <v>70.014662756598240469208211140</v>
      </c>
      <c r="E19" s="91">
        <v>62.488694603557431413928248410</v>
      </c>
      <c r="F19" s="421">
        <v>52.085901387540918886019312070</v>
      </c>
      <c r="G19" s="420">
        <v>17.302052785923753665689149560</v>
      </c>
      <c r="H19" s="91">
        <v>3.4217666566174253843834790500</v>
      </c>
      <c r="I19" s="421">
        <v>16.199159106611175996446842460</v>
      </c>
      <c r="J19" s="420">
        <v>0</v>
      </c>
      <c r="K19" s="91">
        <v>0</v>
      </c>
      <c r="L19" s="421">
        <v>6.9416589215508874668947706100</v>
      </c>
      <c r="M19" s="420">
        <v>87.31671554252199413489736070</v>
      </c>
      <c r="N19" s="91">
        <v>65.910461260174856798311727460</v>
      </c>
      <c r="O19" s="421">
        <v>75.226719415702982349360925140</v>
      </c>
      <c r="P19" s="5"/>
      <c r="Q19" s="420">
        <v>-22.672064777298131095412140820</v>
      </c>
      <c r="R19" s="91">
        <v>-18.007857743144556295796388510</v>
      </c>
      <c r="S19" s="421">
        <v>-18.588235169958395875284816610</v>
      </c>
      <c r="T19" s="420">
        <v>1041.9354838344258064527822452</v>
      </c>
      <c r="U19" s="91">
        <v>622.50925763701772839652863584</v>
      </c>
      <c r="V19" s="421">
        <v>177.67808793033391280665668176</v>
      </c>
      <c r="W19" s="420">
        <v>0</v>
      </c>
      <c r="X19" s="91">
        <v>0</v>
      </c>
      <c r="Y19" s="421">
        <v>32.410517935447008528641106390</v>
      </c>
      <c r="Z19" s="420">
        <v>-5.149986726852332521205168600</v>
      </c>
      <c r="AA19" s="91">
        <v>-14.052205550803219812010889330</v>
      </c>
      <c r="AB19" s="421">
        <v>0.2292371376838015402590047300</v>
      </c>
    </row>
    <row r="20" ht="18" customHeight="1">
      <c r="A20" s="58"/>
      <c r="B20" s="286"/>
      <c r="C20" s="287" t="s">
        <v>235</v>
      </c>
      <c r="D20" s="271">
        <v>69.595959595959595959595959600</v>
      </c>
      <c r="E20" s="92">
        <v>58.363794604003481288076588340</v>
      </c>
      <c r="F20" s="272">
        <v>50.726164494753540082915612890</v>
      </c>
      <c r="G20" s="271">
        <v>11.439393939393939393939393940</v>
      </c>
      <c r="H20" s="92">
        <v>3.0722367275892080069625761500</v>
      </c>
      <c r="I20" s="272">
        <v>12.896093970327285028928401210</v>
      </c>
      <c r="J20" s="271">
        <v>0</v>
      </c>
      <c r="K20" s="92">
        <v>0</v>
      </c>
      <c r="L20" s="272">
        <v>7.974046566365715768659130550</v>
      </c>
      <c r="M20" s="271">
        <v>81.03535353535353535353535354</v>
      </c>
      <c r="N20" s="92">
        <v>61.436031331592689295039164490</v>
      </c>
      <c r="O20" s="272">
        <v>71.596305031446540880503144650</v>
      </c>
      <c r="P20" s="5"/>
      <c r="Q20" s="271">
        <v>-22.212813999438141253830106520</v>
      </c>
      <c r="R20" s="92">
        <v>-25.669731525293188595407002300</v>
      </c>
      <c r="S20" s="272">
        <v>-13.142501086855128726721177920</v>
      </c>
      <c r="T20" s="271">
        <v>452.43902439213027959548532294</v>
      </c>
      <c r="U20" s="92">
        <v>407.62803775874225470051142609</v>
      </c>
      <c r="V20" s="272">
        <v>73.912788937251256932757414780</v>
      </c>
      <c r="W20" s="271">
        <v>0</v>
      </c>
      <c r="X20" s="92">
        <v>0</v>
      </c>
      <c r="Y20" s="272">
        <v>45.486850512775621378381562130</v>
      </c>
      <c r="Z20" s="271">
        <v>-11.475862068961609969084423130</v>
      </c>
      <c r="AA20" s="92">
        <v>-22.355498175862398829866824060</v>
      </c>
      <c r="AB20" s="272">
        <v>0.4186745184574298922454842400</v>
      </c>
    </row>
    <row r="21" ht="18" customHeight="1">
      <c r="A21" s="58"/>
      <c r="B21" s="288"/>
      <c r="C21" s="289" t="s">
        <v>218</v>
      </c>
      <c r="D21" s="420">
        <v>79.86314760508308895405669599</v>
      </c>
      <c r="E21" s="91">
        <v>73.216541733344563294870715070</v>
      </c>
      <c r="F21" s="421">
        <v>56.615549916828479828321680630</v>
      </c>
      <c r="G21" s="420">
        <v>5.3274682306940371456500488800</v>
      </c>
      <c r="H21" s="91">
        <v>0.126337067295544512760043800</v>
      </c>
      <c r="I21" s="421">
        <v>8.676093442627157532073483460</v>
      </c>
      <c r="J21" s="420">
        <v>0</v>
      </c>
      <c r="K21" s="91">
        <v>0</v>
      </c>
      <c r="L21" s="421">
        <v>8.222887985644788689513539510</v>
      </c>
      <c r="M21" s="420">
        <v>85.19061583577712609970674487</v>
      </c>
      <c r="N21" s="91">
        <v>73.342878800640107807630758860</v>
      </c>
      <c r="O21" s="421">
        <v>73.514531345100426049908703590</v>
      </c>
      <c r="P21" s="5"/>
      <c r="Q21" s="420">
        <v>-6.6552413595753854633772020100</v>
      </c>
      <c r="R21" s="91">
        <v>-3.3475460738760614964101476200</v>
      </c>
      <c r="S21" s="421">
        <v>-8.057693817589468413718651850</v>
      </c>
      <c r="T21" s="420">
        <v>282.45614035989510618673156210</v>
      </c>
      <c r="U21" s="91">
        <v>-92.73529133258770014818306636</v>
      </c>
      <c r="V21" s="421">
        <v>18.875250500719403832699537980</v>
      </c>
      <c r="W21" s="420">
        <v>0</v>
      </c>
      <c r="X21" s="91">
        <v>0</v>
      </c>
      <c r="Y21" s="421">
        <v>87.52822518302270820566888269</v>
      </c>
      <c r="Z21" s="420">
        <v>-2.0236087690096636134326977300</v>
      </c>
      <c r="AA21" s="91">
        <v>-5.3535733803135517072667830300</v>
      </c>
      <c r="AB21" s="421">
        <v>0.3465824985234311311607586400</v>
      </c>
    </row>
    <row r="22" ht="18" customHeight="1">
      <c r="A22" s="58"/>
      <c r="B22" s="286"/>
      <c r="C22" s="287" t="s">
        <v>221</v>
      </c>
      <c r="D22" s="271">
        <v>77.737047898338220918866080160</v>
      </c>
      <c r="E22" s="92">
        <v>69.489247311827956989247311830</v>
      </c>
      <c r="F22" s="272">
        <v>55.185199960217023922219092220</v>
      </c>
      <c r="G22" s="271">
        <v>1.6862170087976539589442815200</v>
      </c>
      <c r="H22" s="92">
        <v>0.5880376344086021505376344100</v>
      </c>
      <c r="I22" s="272">
        <v>6.5432883459287215769596066600</v>
      </c>
      <c r="J22" s="271">
        <v>0</v>
      </c>
      <c r="K22" s="92">
        <v>0</v>
      </c>
      <c r="L22" s="272">
        <v>8.381067384663749327358124020</v>
      </c>
      <c r="M22" s="271">
        <v>79.42326490713587487781036168</v>
      </c>
      <c r="N22" s="92">
        <v>70.077284946236559139784946240</v>
      </c>
      <c r="O22" s="272">
        <v>70.109555690809494826536822880</v>
      </c>
      <c r="P22" s="5"/>
      <c r="Q22" s="271">
        <v>23.774319066141309997123348170</v>
      </c>
      <c r="R22" s="92">
        <v>22.411375661483422246997659330</v>
      </c>
      <c r="S22" s="272">
        <v>14.163752887884962808688486760</v>
      </c>
      <c r="T22" s="271">
        <v>146.42857142300918367359493485</v>
      </c>
      <c r="U22" s="92">
        <v>6.9842896234599206085929700300</v>
      </c>
      <c r="V22" s="272">
        <v>18.885481778724829260138711110</v>
      </c>
      <c r="W22" s="271">
        <v>0</v>
      </c>
      <c r="X22" s="92">
        <v>0</v>
      </c>
      <c r="Y22" s="272">
        <v>85.73084747671931841641902253</v>
      </c>
      <c r="Z22" s="271">
        <v>25.096227867553474248267020370</v>
      </c>
      <c r="AA22" s="92">
        <v>22.263434732443162396226616940</v>
      </c>
      <c r="AB22" s="272">
        <v>20.143239994054479243548627520</v>
      </c>
    </row>
    <row r="23" ht="18" customHeight="1">
      <c r="A23" s="58"/>
      <c r="B23" s="288"/>
      <c r="C23" s="289" t="s">
        <v>222</v>
      </c>
      <c r="D23" s="420">
        <v>64.015151515151515151515151520</v>
      </c>
      <c r="E23" s="91">
        <v>57.413194444444444444444444440</v>
      </c>
      <c r="F23" s="421">
        <v>49.679814162030700847064000900</v>
      </c>
      <c r="G23" s="420">
        <v>3.5858585858585858585858585900</v>
      </c>
      <c r="H23" s="91">
        <v>3.6197916666666666666666666700</v>
      </c>
      <c r="I23" s="421">
        <v>10.154672667018014488600493730</v>
      </c>
      <c r="J23" s="420">
        <v>0</v>
      </c>
      <c r="K23" s="91">
        <v>0</v>
      </c>
      <c r="L23" s="421">
        <v>6.8663779508254985008134927900</v>
      </c>
      <c r="M23" s="420">
        <v>67.601010101010101010101010100</v>
      </c>
      <c r="N23" s="91">
        <v>61.032986111111111111111111110</v>
      </c>
      <c r="O23" s="421">
        <v>66.700864779874213836477987420</v>
      </c>
      <c r="P23" s="5"/>
      <c r="Q23" s="420">
        <v>11.428571428561632653061225360</v>
      </c>
      <c r="R23" s="91">
        <v>28.381783954362238756560956410</v>
      </c>
      <c r="S23" s="421">
        <v>16.694249095156514060599330320</v>
      </c>
      <c r="T23" s="420">
        <v>111.94029850986678547563431005</v>
      </c>
      <c r="U23" s="91">
        <v>183.77052918655799789585609786</v>
      </c>
      <c r="V23" s="421">
        <v>57.301374517454691663383006750</v>
      </c>
      <c r="W23" s="420">
        <v>0</v>
      </c>
      <c r="X23" s="91">
        <v>0</v>
      </c>
      <c r="Y23" s="421">
        <v>31.492840624881146694365837970</v>
      </c>
      <c r="Z23" s="420">
        <v>14.304013663562771241525019280</v>
      </c>
      <c r="AA23" s="91">
        <v>32.691147942011138436883641750</v>
      </c>
      <c r="AB23" s="421">
        <v>22.950790199613822367883852890</v>
      </c>
    </row>
    <row r="24" ht="18" customHeight="1">
      <c r="A24" s="59"/>
      <c r="B24" s="286"/>
      <c r="C24" s="287" t="s">
        <v>224</v>
      </c>
      <c r="D24" s="271">
        <v>67.937438905180840664711632450</v>
      </c>
      <c r="E24" s="92">
        <v>63.575268817204301075268817200</v>
      </c>
      <c r="F24" s="272">
        <v>50.342199732830407080907820860</v>
      </c>
      <c r="G24" s="271">
        <v>6.2805474095796676441837732200</v>
      </c>
      <c r="H24" s="92">
        <v>4.6286962365591397849462365600</v>
      </c>
      <c r="I24" s="272">
        <v>13.810681388966535530087110780</v>
      </c>
      <c r="J24" s="271">
        <v>0</v>
      </c>
      <c r="K24" s="92">
        <v>0</v>
      </c>
      <c r="L24" s="272">
        <v>6.9833986433914355072402528200</v>
      </c>
      <c r="M24" s="271">
        <v>74.217986314760508308895405670</v>
      </c>
      <c r="N24" s="92">
        <v>68.203965053763440860215053760</v>
      </c>
      <c r="O24" s="272">
        <v>71.136279765188378118235184460</v>
      </c>
      <c r="P24" s="93"/>
      <c r="Q24" s="271">
        <v>-4.467353951935338505686023800</v>
      </c>
      <c r="R24" s="92">
        <v>41.195007757170236048447350010</v>
      </c>
      <c r="S24" s="272">
        <v>3.3162580732633334855686073200</v>
      </c>
      <c r="T24" s="271">
        <v>179.34782608242622873353282699</v>
      </c>
      <c r="U24" s="92">
        <v>288.95604036485086602646513284</v>
      </c>
      <c r="V24" s="272">
        <v>80.70907047700823326805155877</v>
      </c>
      <c r="W24" s="271">
        <v>0</v>
      </c>
      <c r="X24" s="92">
        <v>-100</v>
      </c>
      <c r="Y24" s="272">
        <v>17.438836118984185664190030940</v>
      </c>
      <c r="Z24" s="271">
        <v>1.1658894071030720803053516800</v>
      </c>
      <c r="AA24" s="92">
        <v>47.216991451362588095222818540</v>
      </c>
      <c r="AB24" s="272">
        <v>14.155550313740215055597457310</v>
      </c>
    </row>
    <row r="25" ht="18" customHeight="1">
      <c r="A25" s="60"/>
      <c r="B25" s="288"/>
      <c r="C25" s="289" t="s">
        <v>227</v>
      </c>
      <c r="D25" s="420">
        <v>74.116161616161616161616161620</v>
      </c>
      <c r="E25" s="91">
        <v>70.668402777777777777777777770</v>
      </c>
      <c r="F25" s="421">
        <v>50.963269882369066474625773980</v>
      </c>
      <c r="G25" s="420">
        <v>12.348484848484848484848484850</v>
      </c>
      <c r="H25" s="91">
        <v>6.2760416666666666666666666700</v>
      </c>
      <c r="I25" s="421">
        <v>16.870246671359158650593773840</v>
      </c>
      <c r="J25" s="420">
        <v>0</v>
      </c>
      <c r="K25" s="91">
        <v>0</v>
      </c>
      <c r="L25" s="421">
        <v>7.976917066588636139866743800</v>
      </c>
      <c r="M25" s="420">
        <v>86.46464646464646464646464646</v>
      </c>
      <c r="N25" s="91">
        <v>76.944444444444444444444444440</v>
      </c>
      <c r="O25" s="421">
        <v>75.810433620316861265086291620</v>
      </c>
      <c r="P25" s="93"/>
      <c r="Q25" s="420">
        <v>-2.8467394902620353322834094300</v>
      </c>
      <c r="R25" s="91">
        <v>37.737410559059695738309582590</v>
      </c>
      <c r="S25" s="421">
        <v>-7.4525274329033590511643578900</v>
      </c>
      <c r="T25" s="420">
        <v>52.812500000152812500000152830</v>
      </c>
      <c r="U25" s="91">
        <v>46.729101634872977162210872010</v>
      </c>
      <c r="V25" s="421">
        <v>68.491060445933412239991304510</v>
      </c>
      <c r="W25" s="420">
        <v>0</v>
      </c>
      <c r="X25" s="91">
        <v>0</v>
      </c>
      <c r="Y25" s="421">
        <v>13.929672700639272994758335890</v>
      </c>
      <c r="Z25" s="420">
        <v>2.4842861418577396501664872700</v>
      </c>
      <c r="AA25" s="91">
        <v>38.429340012151070433466657890</v>
      </c>
      <c r="AB25" s="421">
        <v>5.1734703099020178811585625800</v>
      </c>
    </row>
    <row r="26" ht="18" customHeight="1">
      <c r="A26" s="60"/>
      <c r="B26" s="290"/>
      <c r="C26" s="291" t="s">
        <v>229</v>
      </c>
      <c r="D26" s="273">
        <v>80.22971652003910068426197458</v>
      </c>
      <c r="E26" s="274">
        <v>69.816868279569892473118279570</v>
      </c>
      <c r="F26" s="275">
        <v>56.653425479230820083815315880</v>
      </c>
      <c r="G26" s="273">
        <v>6.1094819159335288367546432100</v>
      </c>
      <c r="H26" s="274">
        <v>1.5288978494623655913978494600</v>
      </c>
      <c r="I26" s="275">
        <v>10.118216940296635069982077790</v>
      </c>
      <c r="J26" s="273">
        <v>0</v>
      </c>
      <c r="K26" s="274">
        <v>0</v>
      </c>
      <c r="L26" s="275">
        <v>8.905267136909891003121597840</v>
      </c>
      <c r="M26" s="273">
        <v>86.33919843597262952101661779</v>
      </c>
      <c r="N26" s="274">
        <v>71.345766129032258064516129030</v>
      </c>
      <c r="O26" s="275">
        <v>75.676909556437346156918991510</v>
      </c>
      <c r="P26" s="184"/>
      <c r="Q26" s="273">
        <v>-8.576998050714339454874993020</v>
      </c>
      <c r="R26" s="274">
        <v>16.051651789459080381302160290</v>
      </c>
      <c r="S26" s="275">
        <v>-8.710803979332324496742305950</v>
      </c>
      <c r="T26" s="273">
        <v>4.1666666665989583333333774100</v>
      </c>
      <c r="U26" s="274">
        <v>-42.779820260597877790809879110</v>
      </c>
      <c r="V26" s="275">
        <v>17.751022164531490854711135540</v>
      </c>
      <c r="W26" s="273">
        <v>0</v>
      </c>
      <c r="X26" s="274">
        <v>0</v>
      </c>
      <c r="Y26" s="275">
        <v>20.886672150458701341989883260</v>
      </c>
      <c r="Z26" s="273">
        <v>-7.7786478726522018884396566100</v>
      </c>
      <c r="AA26" s="274">
        <v>13.549825044599097958301731990</v>
      </c>
      <c r="AB26" s="275">
        <v>-3.0017049446005647492289930100</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973" t="s">
        <v>59</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9"/>
    </row>
    <row r="29" ht="18" customHeight="1">
      <c r="A29" s="58"/>
      <c r="B29" s="284">
        <v>2020</v>
      </c>
      <c r="C29" s="285"/>
      <c r="D29" s="427">
        <v>45.213611525086934923000496770</v>
      </c>
      <c r="E29" s="428"/>
      <c r="F29" s="429">
        <v>31.365359766972449294565830810</v>
      </c>
      <c r="G29" s="427">
        <v>4.1231992051664182811723795300</v>
      </c>
      <c r="H29" s="428"/>
      <c r="I29" s="429">
        <v>8.022289490812676374910763150</v>
      </c>
      <c r="J29" s="427">
        <v>0</v>
      </c>
      <c r="K29" s="428"/>
      <c r="L29" s="429">
        <v>4.4260951396093904953153844400</v>
      </c>
      <c r="M29" s="427">
        <v>49.336810730253353204172876300</v>
      </c>
      <c r="N29" s="428"/>
      <c r="O29" s="429">
        <v>43.813744397394516164791978400</v>
      </c>
      <c r="P29" s="5"/>
      <c r="Q29" s="427">
        <v>-26.035861629825902477602968260</v>
      </c>
      <c r="R29" s="428"/>
      <c r="S29" s="429">
        <v>-46.142306825174093746331389130</v>
      </c>
      <c r="T29" s="427">
        <v>-36.164608706733670529514760330</v>
      </c>
      <c r="U29" s="428"/>
      <c r="V29" s="429">
        <v>-46.052647466111163860904264210</v>
      </c>
      <c r="W29" s="427">
        <v>0</v>
      </c>
      <c r="X29" s="428"/>
      <c r="Y29" s="429">
        <v>-28.928395478051993108228278800</v>
      </c>
      <c r="Z29" s="427">
        <v>-27.003821981851820098190248650</v>
      </c>
      <c r="AA29" s="428"/>
      <c r="AB29" s="429">
        <v>-44.774252069655117073118471030</v>
      </c>
    </row>
    <row r="30" ht="18" customHeight="1">
      <c r="A30" s="58"/>
      <c r="B30" s="286">
        <v>2021</v>
      </c>
      <c r="C30" s="287"/>
      <c r="D30" s="271">
        <v>80.38190120381901203819012038</v>
      </c>
      <c r="E30" s="92">
        <v>63.019576106499641808150288460</v>
      </c>
      <c r="F30" s="272">
        <v>55.111855100723119044449545570</v>
      </c>
      <c r="G30" s="271">
        <v>2.9887920298879202988792029900</v>
      </c>
      <c r="H30" s="92">
        <v>1.1862810508769789285680191500</v>
      </c>
      <c r="I30" s="272">
        <v>6.3382800647483239553786223500</v>
      </c>
      <c r="J30" s="271">
        <v>0</v>
      </c>
      <c r="K30" s="92">
        <v>0.0108896084096815878501009100</v>
      </c>
      <c r="L30" s="272">
        <v>5.3517627084456159470445270100</v>
      </c>
      <c r="M30" s="271">
        <v>83.37069323370693233706932337</v>
      </c>
      <c r="N30" s="92">
        <v>64.216746765786302324568408520</v>
      </c>
      <c r="O30" s="272">
        <v>66.801897873917058946872694920</v>
      </c>
      <c r="P30" s="5"/>
      <c r="Q30" s="271">
        <v>77.782527191387039969483467050</v>
      </c>
      <c r="R30" s="92"/>
      <c r="S30" s="272">
        <v>75.709303225360064604833153830</v>
      </c>
      <c r="T30" s="271">
        <v>-27.512790890176117972462714760</v>
      </c>
      <c r="U30" s="92"/>
      <c r="V30" s="272">
        <v>-20.991631229250778318489369590</v>
      </c>
      <c r="W30" s="271">
        <v>0</v>
      </c>
      <c r="X30" s="92"/>
      <c r="Y30" s="272">
        <v>20.913865148621080197544315120</v>
      </c>
      <c r="Z30" s="271">
        <v>68.982737229314182152003445530</v>
      </c>
      <c r="AA30" s="92"/>
      <c r="AB30" s="272">
        <v>52.467904290511231581535375330</v>
      </c>
    </row>
    <row r="31" ht="18" customHeight="1">
      <c r="A31" s="58"/>
      <c r="B31" s="425">
        <v>2022</v>
      </c>
      <c r="C31" s="426"/>
      <c r="D31" s="430">
        <v>75.514736405147364051473640510</v>
      </c>
      <c r="E31" s="431">
        <v>65.400407269371441140959424210</v>
      </c>
      <c r="F31" s="432">
        <v>54.301719065286990429342385350</v>
      </c>
      <c r="G31" s="430">
        <v>9.514321295143212951432129510</v>
      </c>
      <c r="H31" s="431">
        <v>2.7395604806528154822424570700</v>
      </c>
      <c r="I31" s="432">
        <v>12.620436326581320554667718350</v>
      </c>
      <c r="J31" s="430">
        <v>0</v>
      </c>
      <c r="K31" s="431">
        <v>0.0025579863531428059831300800</v>
      </c>
      <c r="L31" s="432">
        <v>7.7362906069596487733542805100</v>
      </c>
      <c r="M31" s="430">
        <v>85.02905770029057700290577003</v>
      </c>
      <c r="N31" s="431">
        <v>68.142525736377399429185011360</v>
      </c>
      <c r="O31" s="432">
        <v>74.658445998827959757364384210</v>
      </c>
      <c r="P31" s="184"/>
      <c r="Q31" s="430">
        <v>-6.0550506093560076498549292800</v>
      </c>
      <c r="R31" s="431">
        <v>3.7779231628723636168233771600</v>
      </c>
      <c r="S31" s="432">
        <v>-1.4699850584465622084430409900</v>
      </c>
      <c r="T31" s="430">
        <v>218.33333333204673611111631096</v>
      </c>
      <c r="U31" s="431">
        <v>130.93688283854686346844496073</v>
      </c>
      <c r="V31" s="432">
        <v>99.11452630294373294747349648</v>
      </c>
      <c r="W31" s="430">
        <v>0</v>
      </c>
      <c r="X31" s="431">
        <v>-76.509840765781752233348629870</v>
      </c>
      <c r="Y31" s="432">
        <v>44.555934716928877603864139780</v>
      </c>
      <c r="Z31" s="430">
        <v>1.989145588536662112782954400</v>
      </c>
      <c r="AA31" s="431">
        <v>6.1133258352292565291292786200</v>
      </c>
      <c r="AB31" s="432">
        <v>11.760965444063486313410496890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9"/>
    </row>
    <row r="34" ht="18" customHeight="1">
      <c r="A34" s="58"/>
      <c r="B34" s="284">
        <v>2020</v>
      </c>
      <c r="C34" s="285"/>
      <c r="D34" s="427">
        <v>57.147562582345191040843214760</v>
      </c>
      <c r="E34" s="428"/>
      <c r="F34" s="429">
        <v>35.899884042708063718017905210</v>
      </c>
      <c r="G34" s="427">
        <v>1.7374835309617918313570487500</v>
      </c>
      <c r="H34" s="428"/>
      <c r="I34" s="429">
        <v>2.0498828668758782745423617500</v>
      </c>
      <c r="J34" s="427">
        <v>0</v>
      </c>
      <c r="K34" s="428"/>
      <c r="L34" s="429">
        <v>3.7738598712774596380087851600</v>
      </c>
      <c r="M34" s="427">
        <v>58.885046113306982872200263500</v>
      </c>
      <c r="N34" s="428"/>
      <c r="O34" s="429">
        <v>41.723626780861401630569052130</v>
      </c>
      <c r="P34" s="5"/>
      <c r="Q34" s="427">
        <v>-19.076492537282331637057239100</v>
      </c>
      <c r="R34" s="428"/>
      <c r="S34" s="429">
        <v>-40.470084591084611294255093250</v>
      </c>
      <c r="T34" s="427">
        <v>-65.181518151988929189947830790</v>
      </c>
      <c r="U34" s="428"/>
      <c r="V34" s="429">
        <v>-84.80931104873423775201101699</v>
      </c>
      <c r="W34" s="427">
        <v>0</v>
      </c>
      <c r="X34" s="428"/>
      <c r="Y34" s="429">
        <v>-37.727060330797904994414499490</v>
      </c>
      <c r="Z34" s="427">
        <v>-22.119363972988326777063891620</v>
      </c>
      <c r="AA34" s="428"/>
      <c r="AB34" s="429">
        <v>-47.754133616029393272822826380</v>
      </c>
    </row>
    <row r="35" ht="18" customHeight="1">
      <c r="A35" s="58"/>
      <c r="B35" s="286">
        <v>2021</v>
      </c>
      <c r="C35" s="287"/>
      <c r="D35" s="271">
        <v>78.409090909090909090909090910</v>
      </c>
      <c r="E35" s="92">
        <v>52.173775102539585910054212500</v>
      </c>
      <c r="F35" s="272">
        <v>55.269691381583055544926783380</v>
      </c>
      <c r="G35" s="271">
        <v>5.3689064558629776021080368900</v>
      </c>
      <c r="H35" s="92">
        <v>2.6960927477580031144590529100</v>
      </c>
      <c r="I35" s="272">
        <v>8.735936653036864844007970550</v>
      </c>
      <c r="J35" s="271">
        <v>0</v>
      </c>
      <c r="K35" s="92">
        <v>0.0378291132855845858973065700</v>
      </c>
      <c r="L35" s="272">
        <v>6.767557091996772569582974200</v>
      </c>
      <c r="M35" s="271">
        <v>83.77799736495388669301712780</v>
      </c>
      <c r="N35" s="92">
        <v>54.907696963583173610410571970</v>
      </c>
      <c r="O35" s="272">
        <v>70.773185126616692958517728130</v>
      </c>
      <c r="P35" s="5"/>
      <c r="Q35" s="271">
        <v>37.204610951117143934423592350</v>
      </c>
      <c r="R35" s="92"/>
      <c r="S35" s="272">
        <v>53.955069369706712489828705710</v>
      </c>
      <c r="T35" s="271">
        <v>209.00473932969771568488247674</v>
      </c>
      <c r="U35" s="92"/>
      <c r="V35" s="272">
        <v>326.16760177365941396404821817</v>
      </c>
      <c r="W35" s="271">
        <v>0</v>
      </c>
      <c r="X35" s="92"/>
      <c r="Y35" s="272">
        <v>79.32719610136237041216009392</v>
      </c>
      <c r="Z35" s="271">
        <v>42.273807859057565122229685470</v>
      </c>
      <c r="AA35" s="92"/>
      <c r="AB35" s="272">
        <v>69.623761372093452289693036750</v>
      </c>
    </row>
    <row r="36" ht="18" customHeight="1">
      <c r="A36" s="58"/>
      <c r="B36" s="425">
        <v>2022</v>
      </c>
      <c r="C36" s="426"/>
      <c r="D36" s="430">
        <v>74.094202898550724637681159420</v>
      </c>
      <c r="E36" s="431">
        <v>67.991394927536231884057971010</v>
      </c>
      <c r="F36" s="432">
        <v>52.671331283097500395056418030</v>
      </c>
      <c r="G36" s="430">
        <v>8.201581027667984189723320160</v>
      </c>
      <c r="H36" s="431">
        <v>4.1213768115942028985507246400</v>
      </c>
      <c r="I36" s="432">
        <v>13.564165742912315740434326750</v>
      </c>
      <c r="J36" s="430">
        <v>0</v>
      </c>
      <c r="K36" s="431">
        <v>0</v>
      </c>
      <c r="L36" s="432">
        <v>7.954958165076089195839344400</v>
      </c>
      <c r="M36" s="430">
        <v>82.29578392621870882740447958</v>
      </c>
      <c r="N36" s="431">
        <v>72.112771739130434782608695650</v>
      </c>
      <c r="O36" s="432">
        <v>74.190455191085905331330089170</v>
      </c>
      <c r="P36" s="184"/>
      <c r="Q36" s="430">
        <v>-5.5030455786709015582525884600</v>
      </c>
      <c r="R36" s="431">
        <v>30.317184819310309526701688240</v>
      </c>
      <c r="S36" s="432">
        <v>-4.7012386600145328808299733300</v>
      </c>
      <c r="T36" s="430">
        <v>52.760736195265625352862094740</v>
      </c>
      <c r="U36" s="431">
        <v>52.864800921898125308652063130</v>
      </c>
      <c r="V36" s="432">
        <v>55.268590898656047528396915790</v>
      </c>
      <c r="W36" s="430">
        <v>0</v>
      </c>
      <c r="X36" s="431">
        <v>-100</v>
      </c>
      <c r="Y36" s="432">
        <v>17.545490299294680790841334210</v>
      </c>
      <c r="Z36" s="430">
        <v>-1.7692156477835750336517015900</v>
      </c>
      <c r="AA36" s="431">
        <v>31.334540924082479144908805880</v>
      </c>
      <c r="AB36" s="432">
        <v>4.8284813780431782273574737900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7.25" customHeight="1">
      <c r="A38" s="112"/>
      <c r="B38" s="972" t="s">
        <v>45</v>
      </c>
      <c r="C38" s="972"/>
      <c r="D38" s="972"/>
      <c r="E38" s="972"/>
      <c r="F38" s="972"/>
      <c r="G38" s="972"/>
      <c r="H38" s="972"/>
      <c r="I38" s="972"/>
      <c r="J38" s="972"/>
      <c r="K38" s="972"/>
      <c r="L38" s="972"/>
      <c r="M38" s="972"/>
      <c r="N38" s="972"/>
      <c r="O38" s="972"/>
      <c r="P38" s="411"/>
      <c r="Q38" s="971"/>
      <c r="R38" s="971"/>
      <c r="S38" s="971"/>
      <c r="T38" s="971"/>
      <c r="U38" s="971"/>
      <c r="V38" s="971"/>
      <c r="W38" s="971"/>
      <c r="X38" s="971"/>
      <c r="Y38" s="971"/>
      <c r="Z38" s="971"/>
      <c r="AA38" s="971"/>
      <c r="AB38" s="971"/>
      <c r="AC38" s="9"/>
    </row>
    <row r="39" ht="18" customHeight="1">
      <c r="A39" s="58"/>
      <c r="B39" s="284">
        <v>2020</v>
      </c>
      <c r="C39" s="285"/>
      <c r="D39" s="427">
        <v>45.213611525086934923000496770</v>
      </c>
      <c r="E39" s="428"/>
      <c r="F39" s="429">
        <v>31.365359766972449294565830810</v>
      </c>
      <c r="G39" s="427">
        <v>4.1231992051664182811723795300</v>
      </c>
      <c r="H39" s="428"/>
      <c r="I39" s="429">
        <v>8.022289490812676374910763150</v>
      </c>
      <c r="J39" s="427">
        <v>0</v>
      </c>
      <c r="K39" s="428"/>
      <c r="L39" s="429">
        <v>4.4260951396093904953153844400</v>
      </c>
      <c r="M39" s="427">
        <v>49.336810730253353204172876300</v>
      </c>
      <c r="N39" s="428"/>
      <c r="O39" s="429">
        <v>43.813744397394516164791978400</v>
      </c>
      <c r="P39" s="5"/>
      <c r="Q39" s="427">
        <v>-26.035861629825902477602968260</v>
      </c>
      <c r="R39" s="428"/>
      <c r="S39" s="429">
        <v>-46.142306825174093746331389130</v>
      </c>
      <c r="T39" s="427">
        <v>-36.164608706733670529514760330</v>
      </c>
      <c r="U39" s="428"/>
      <c r="V39" s="429">
        <v>-46.052647466111163860904264210</v>
      </c>
      <c r="W39" s="427">
        <v>0</v>
      </c>
      <c r="X39" s="428"/>
      <c r="Y39" s="429">
        <v>-28.928395478051993108228278800</v>
      </c>
      <c r="Z39" s="427">
        <v>-27.003821981851820098190248650</v>
      </c>
      <c r="AA39" s="428"/>
      <c r="AB39" s="429">
        <v>-44.774252069655117073118471030</v>
      </c>
    </row>
    <row r="40" ht="18" customHeight="1">
      <c r="A40" s="58"/>
      <c r="B40" s="286">
        <v>2021</v>
      </c>
      <c r="C40" s="287"/>
      <c r="D40" s="271">
        <v>80.38190120381901203819012038</v>
      </c>
      <c r="E40" s="92">
        <v>63.019576106499641808150288460</v>
      </c>
      <c r="F40" s="272">
        <v>55.111855100723119044449545570</v>
      </c>
      <c r="G40" s="271">
        <v>2.9887920298879202988792029900</v>
      </c>
      <c r="H40" s="92">
        <v>1.1862810508769789285680191500</v>
      </c>
      <c r="I40" s="272">
        <v>6.3382800647483239553786223500</v>
      </c>
      <c r="J40" s="271">
        <v>0</v>
      </c>
      <c r="K40" s="92">
        <v>0.0108896084096815878501009100</v>
      </c>
      <c r="L40" s="272">
        <v>5.3517627084456159470445270100</v>
      </c>
      <c r="M40" s="271">
        <v>83.37069323370693233706932337</v>
      </c>
      <c r="N40" s="92">
        <v>64.216746765786302324568408520</v>
      </c>
      <c r="O40" s="272">
        <v>66.801897873917058946872694920</v>
      </c>
      <c r="P40" s="5"/>
      <c r="Q40" s="271">
        <v>77.782527191387039969483467050</v>
      </c>
      <c r="R40" s="92"/>
      <c r="S40" s="272">
        <v>75.709303225360064604833153830</v>
      </c>
      <c r="T40" s="271">
        <v>-27.512790890176117972462714760</v>
      </c>
      <c r="U40" s="92"/>
      <c r="V40" s="272">
        <v>-20.991631229250778318489369590</v>
      </c>
      <c r="W40" s="271">
        <v>0</v>
      </c>
      <c r="X40" s="92"/>
      <c r="Y40" s="272">
        <v>20.913865148621080197544315120</v>
      </c>
      <c r="Z40" s="271">
        <v>68.982737229314182152003445530</v>
      </c>
      <c r="AA40" s="92"/>
      <c r="AB40" s="272">
        <v>52.467904290511231581535375330</v>
      </c>
    </row>
    <row r="41" ht="18" customHeight="1">
      <c r="A41" s="58"/>
      <c r="B41" s="425">
        <v>2022</v>
      </c>
      <c r="C41" s="426"/>
      <c r="D41" s="430">
        <v>75.514736405147364051473640510</v>
      </c>
      <c r="E41" s="431">
        <v>65.400407269371441140959424210</v>
      </c>
      <c r="F41" s="432">
        <v>54.301719065286990429342385350</v>
      </c>
      <c r="G41" s="430">
        <v>9.514321295143212951432129510</v>
      </c>
      <c r="H41" s="431">
        <v>2.7395604806528154822424570700</v>
      </c>
      <c r="I41" s="432">
        <v>12.620436326581320554667718350</v>
      </c>
      <c r="J41" s="430">
        <v>0</v>
      </c>
      <c r="K41" s="431">
        <v>0.0025579863531428059831300800</v>
      </c>
      <c r="L41" s="432">
        <v>7.7362906069596487733542805100</v>
      </c>
      <c r="M41" s="430">
        <v>85.02905770029057700290577003</v>
      </c>
      <c r="N41" s="431">
        <v>68.142525736377399429185011360</v>
      </c>
      <c r="O41" s="432">
        <v>74.658445998827959757364384210</v>
      </c>
      <c r="P41" s="184"/>
      <c r="Q41" s="430">
        <v>-6.0550506093560076498549292800</v>
      </c>
      <c r="R41" s="431">
        <v>3.7779231628723636168233771600</v>
      </c>
      <c r="S41" s="432">
        <v>-1.4699850584465622084430409900</v>
      </c>
      <c r="T41" s="430">
        <v>218.33333333204673611111631096</v>
      </c>
      <c r="U41" s="431">
        <v>130.93688283854686346844496073</v>
      </c>
      <c r="V41" s="432">
        <v>99.11452630294373294747349648</v>
      </c>
      <c r="W41" s="430">
        <v>0</v>
      </c>
      <c r="X41" s="431">
        <v>-76.509840765781752233348629870</v>
      </c>
      <c r="Y41" s="432">
        <v>44.555934716928877603864139780</v>
      </c>
      <c r="Z41" s="430">
        <v>1.989145588536662112782954400</v>
      </c>
      <c r="AA41" s="431">
        <v>6.1133258352292565291292786200</v>
      </c>
      <c r="AB41" s="432">
        <v>11.760965444063486313410496890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row>
    <row r="44" ht="12" customHeight="1">
      <c r="Z44" s="55"/>
      <c r="AA44" s="233"/>
      <c r="AB44" s="233"/>
    </row>
    <row r="45" ht="12" customHeight="1"/>
    <row r="46">
      <c r="A46" s="236"/>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c r="AA46" s="236"/>
      <c r="AB46" s="236"/>
      <c r="AC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sheetData>
  <mergeCells count="22">
    <mergeCell ref="B43:AB43"/>
    <mergeCell ref="Q38:AB38"/>
    <mergeCell ref="Q7:S7"/>
    <mergeCell ref="T7:V7"/>
    <mergeCell ref="Q33:AB33"/>
    <mergeCell ref="B33:O33"/>
    <mergeCell ref="B38:O38"/>
    <mergeCell ref="J7:L7"/>
    <mergeCell ref="G7:I7"/>
    <mergeCell ref="D7:F7"/>
    <mergeCell ref="B8:C8"/>
    <mergeCell ref="M7:O7"/>
    <mergeCell ref="Q28:AB28"/>
    <mergeCell ref="W7:Y7"/>
    <mergeCell ref="Z7:AB7"/>
    <mergeCell ref="B28:O28"/>
    <mergeCell ref="B2:AB2"/>
    <mergeCell ref="Q6:AB6"/>
    <mergeCell ref="D6:O6"/>
    <mergeCell ref="B3:Q3"/>
    <mergeCell ref="R3:AB3"/>
    <mergeCell ref="B4:AB4"/>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39"/>
</worksheet>
</file>

<file path=xl/worksheets/sheet4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7">
    <pageSetUpPr fitToPage="1"/>
  </sheetPr>
  <dimension ref="A1:AD82"/>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89"/>
      <c r="B1" s="656" t="s">
        <v>143</v>
      </c>
      <c r="Z1" s="5"/>
      <c r="AB1" s="685"/>
      <c r="AD1" s="236"/>
    </row>
    <row r="2" ht="15" customHeight="1">
      <c r="A2" s="11"/>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209</v>
      </c>
      <c r="C3" s="999"/>
      <c r="D3" s="999"/>
      <c r="E3" s="999"/>
      <c r="F3" s="999"/>
      <c r="G3" s="999"/>
      <c r="H3" s="999"/>
      <c r="I3" s="999"/>
      <c r="J3" s="999"/>
      <c r="K3" s="999"/>
      <c r="L3" s="999"/>
      <c r="M3" s="999"/>
      <c r="N3" s="999"/>
      <c r="O3" s="999"/>
      <c r="P3" s="999"/>
      <c r="Q3" s="999"/>
      <c r="R3" s="1035" t="s">
        <v>301</v>
      </c>
      <c r="S3" s="1035"/>
      <c r="T3" s="1035"/>
      <c r="U3" s="1035"/>
      <c r="V3" s="1035"/>
      <c r="W3" s="1035"/>
      <c r="X3" s="1035"/>
      <c r="Y3" s="1035"/>
      <c r="Z3" s="1035"/>
      <c r="AA3" s="1035"/>
      <c r="AB3" s="1035"/>
    </row>
    <row r="4" ht="19.5" customHeight="1">
      <c r="A4" s="4"/>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2.75" customHeight="1"/>
    <row r="6" ht="15.75" customHeight="1">
      <c r="D6" s="960" t="s">
        <v>90</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ustomHeight="1">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18" customHeight="1">
      <c r="A9" s="57"/>
      <c r="B9" s="284">
        <v>2021</v>
      </c>
      <c r="C9" s="285" t="s">
        <v>218</v>
      </c>
      <c r="D9" s="434">
        <v>266.72950585546986575264210226</v>
      </c>
      <c r="E9" s="435">
        <v>287.72766995916971485776884082</v>
      </c>
      <c r="F9" s="436">
        <v>218.99685118176811715391830019</v>
      </c>
      <c r="G9" s="434">
        <v>297.22807017543859649122807018</v>
      </c>
      <c r="H9" s="435">
        <v>297.10874949875755021107437966</v>
      </c>
      <c r="I9" s="436">
        <v>151.51748901806425508029525342</v>
      </c>
      <c r="J9" s="434">
        <v>0</v>
      </c>
      <c r="K9" s="435">
        <v>0</v>
      </c>
      <c r="L9" s="436">
        <v>101.62759217447171951642308267</v>
      </c>
      <c r="M9" s="434">
        <v>267.21810005621135469364811692</v>
      </c>
      <c r="N9" s="435">
        <v>287.93819883720930232558139536</v>
      </c>
      <c r="O9" s="436">
        <v>205.24939347791839521083862837</v>
      </c>
      <c r="P9" s="5"/>
      <c r="Q9" s="415">
        <v>94.21171942638365367788438488</v>
      </c>
      <c r="R9" s="416"/>
      <c r="S9" s="417">
        <v>81.79875997555040771909885104</v>
      </c>
      <c r="T9" s="415">
        <v>0</v>
      </c>
      <c r="U9" s="416"/>
      <c r="V9" s="417">
        <v>54.725421668473484721440414380</v>
      </c>
      <c r="W9" s="415">
        <v>0</v>
      </c>
      <c r="X9" s="416"/>
      <c r="Y9" s="417">
        <v>14.624797662485821381224128700</v>
      </c>
      <c r="Z9" s="415">
        <v>94.56747579283222250525818635</v>
      </c>
      <c r="AA9" s="416"/>
      <c r="AB9" s="417">
        <v>81.34520602196220431315120058</v>
      </c>
    </row>
    <row r="10" ht="18" customHeight="1">
      <c r="A10" s="58"/>
      <c r="B10" s="286"/>
      <c r="C10" s="287" t="s">
        <v>221</v>
      </c>
      <c r="D10" s="276">
        <v>207.13852140077821011673151751</v>
      </c>
      <c r="E10" s="94">
        <v>232.01852594402147576550098821</v>
      </c>
      <c r="F10" s="277">
        <v>176.52542297881522454205829666</v>
      </c>
      <c r="G10" s="276">
        <v>169.39285714285714285714285714</v>
      </c>
      <c r="H10" s="94">
        <v>288.27863201089676520235695564</v>
      </c>
      <c r="I10" s="277">
        <v>135.93448366307495165120220637</v>
      </c>
      <c r="J10" s="276">
        <v>0</v>
      </c>
      <c r="K10" s="94">
        <v>0</v>
      </c>
      <c r="L10" s="277">
        <v>107.34725241459576764777947836</v>
      </c>
      <c r="M10" s="276">
        <v>206.73171670515781370284834488</v>
      </c>
      <c r="N10" s="94">
        <v>232.55804276057223706964313787</v>
      </c>
      <c r="O10" s="277">
        <v>167.34759534561756271219962422</v>
      </c>
      <c r="P10" s="5"/>
      <c r="Q10" s="271">
        <v>87.87462992136818015666041693</v>
      </c>
      <c r="R10" s="92"/>
      <c r="S10" s="272">
        <v>49.491639666305336033671596400</v>
      </c>
      <c r="T10" s="271">
        <v>0</v>
      </c>
      <c r="U10" s="92"/>
      <c r="V10" s="272">
        <v>37.29159487304430214323079500</v>
      </c>
      <c r="W10" s="271">
        <v>0</v>
      </c>
      <c r="X10" s="92"/>
      <c r="Y10" s="272">
        <v>22.343634939482356221595607720</v>
      </c>
      <c r="Z10" s="271">
        <v>87.50565808009448037464337649</v>
      </c>
      <c r="AA10" s="92"/>
      <c r="AB10" s="272">
        <v>51.981440731285173536237678020</v>
      </c>
    </row>
    <row r="11" ht="18" customHeight="1">
      <c r="A11" s="58"/>
      <c r="B11" s="288"/>
      <c r="C11" s="289" t="s">
        <v>222</v>
      </c>
      <c r="D11" s="439">
        <v>183.53538461538461538461538462</v>
      </c>
      <c r="E11" s="95">
        <v>215.58630428793228192257599594</v>
      </c>
      <c r="F11" s="440">
        <v>165.97403868370549048519004481</v>
      </c>
      <c r="G11" s="439">
        <v>161.35820895522388059701492537</v>
      </c>
      <c r="H11" s="95">
        <v>195.81022266468065639319336901</v>
      </c>
      <c r="I11" s="440">
        <v>141.68606996440668662572195548</v>
      </c>
      <c r="J11" s="439">
        <v>0</v>
      </c>
      <c r="K11" s="95">
        <v>0</v>
      </c>
      <c r="L11" s="440">
        <v>109.69756567325236916467276279</v>
      </c>
      <c r="M11" s="439">
        <v>182.90093936806148590947907771</v>
      </c>
      <c r="N11" s="95">
        <v>215.0378582995951417004048583</v>
      </c>
      <c r="O11" s="440">
        <v>157.66694268169360866442923512</v>
      </c>
      <c r="P11" s="5"/>
      <c r="Q11" s="420">
        <v>63.419474156974620621591704970</v>
      </c>
      <c r="R11" s="91"/>
      <c r="S11" s="421">
        <v>39.408700844205378655607918520</v>
      </c>
      <c r="T11" s="420">
        <v>0</v>
      </c>
      <c r="U11" s="91"/>
      <c r="V11" s="421">
        <v>47.041896129743617943833575920</v>
      </c>
      <c r="W11" s="420">
        <v>0</v>
      </c>
      <c r="X11" s="91"/>
      <c r="Y11" s="421">
        <v>27.628358210094894474582860900</v>
      </c>
      <c r="Z11" s="420">
        <v>62.854565603148828120779834780</v>
      </c>
      <c r="AA11" s="91"/>
      <c r="AB11" s="421">
        <v>36.625824246936828589026390030</v>
      </c>
    </row>
    <row r="12" ht="18" customHeight="1">
      <c r="A12" s="58"/>
      <c r="B12" s="286"/>
      <c r="C12" s="287" t="s">
        <v>224</v>
      </c>
      <c r="D12" s="276">
        <v>185.48419243986254295532646048</v>
      </c>
      <c r="E12" s="94">
        <v>229.25977031035106061628089069</v>
      </c>
      <c r="F12" s="277">
        <v>176.07071725510865379474198286</v>
      </c>
      <c r="G12" s="276">
        <v>174.94565217391304347826086957</v>
      </c>
      <c r="H12" s="94">
        <v>294.41504699058283257320312853</v>
      </c>
      <c r="I12" s="277">
        <v>169.3895807930117314811959266</v>
      </c>
      <c r="J12" s="276">
        <v>0</v>
      </c>
      <c r="K12" s="94">
        <v>272.99995609502326355432428011</v>
      </c>
      <c r="L12" s="277">
        <v>108.75433578903343106261961915</v>
      </c>
      <c r="M12" s="276">
        <v>185.16122584943371085942704863</v>
      </c>
      <c r="N12" s="94">
        <v>231.03938126009693053311793215</v>
      </c>
      <c r="O12" s="277">
        <v>168.82767779540384977724291766</v>
      </c>
      <c r="P12" s="5"/>
      <c r="Q12" s="271">
        <v>55.875920774344665281271925240</v>
      </c>
      <c r="R12" s="92"/>
      <c r="S12" s="272">
        <v>43.254060753492140631826478640</v>
      </c>
      <c r="T12" s="271">
        <v>36.676290760869565217391304350</v>
      </c>
      <c r="U12" s="92"/>
      <c r="V12" s="272">
        <v>59.903368998399508644634239610</v>
      </c>
      <c r="W12" s="271">
        <v>0</v>
      </c>
      <c r="X12" s="92"/>
      <c r="Y12" s="272">
        <v>17.707003169777560751466866510</v>
      </c>
      <c r="Z12" s="271">
        <v>55.268010149497998698846866090</v>
      </c>
      <c r="AA12" s="92"/>
      <c r="AB12" s="272">
        <v>42.114996168168317656453011340</v>
      </c>
    </row>
    <row r="13" ht="18" customHeight="1">
      <c r="A13" s="58"/>
      <c r="B13" s="288"/>
      <c r="C13" s="289" t="s">
        <v>227</v>
      </c>
      <c r="D13" s="439">
        <v>230.69248593181065872227739159</v>
      </c>
      <c r="E13" s="95">
        <v>298.69656701656129013517881843</v>
      </c>
      <c r="F13" s="440">
        <v>203.12566873214773390287577506</v>
      </c>
      <c r="G13" s="439">
        <v>253.3125</v>
      </c>
      <c r="H13" s="95">
        <v>256.92739427314322775248861606</v>
      </c>
      <c r="I13" s="440">
        <v>196.9100899205643881493644297</v>
      </c>
      <c r="J13" s="439">
        <v>0</v>
      </c>
      <c r="K13" s="95">
        <v>0</v>
      </c>
      <c r="L13" s="440">
        <v>110.70098712504991821521655494</v>
      </c>
      <c r="M13" s="439">
        <v>232.85902424423825202035318767</v>
      </c>
      <c r="N13" s="95">
        <v>295.48234172812021705857798805</v>
      </c>
      <c r="O13" s="440">
        <v>193.28462060540247047644902946</v>
      </c>
      <c r="P13" s="5"/>
      <c r="Q13" s="420">
        <v>82.28681908304251872320044616</v>
      </c>
      <c r="R13" s="91"/>
      <c r="S13" s="421">
        <v>66.938394402688316185377004260</v>
      </c>
      <c r="T13" s="420">
        <v>118.55666035351695651007125278</v>
      </c>
      <c r="U13" s="91"/>
      <c r="V13" s="421">
        <v>75.155958349635290548302379580</v>
      </c>
      <c r="W13" s="420">
        <v>0</v>
      </c>
      <c r="X13" s="91"/>
      <c r="Y13" s="421">
        <v>18.121879893144987612380452480</v>
      </c>
      <c r="Z13" s="420">
        <v>84.30857304858609216838980761</v>
      </c>
      <c r="AA13" s="91"/>
      <c r="AB13" s="421">
        <v>63.028743966457563735996518730</v>
      </c>
    </row>
    <row r="14" ht="18" customHeight="1">
      <c r="A14" s="58"/>
      <c r="B14" s="286"/>
      <c r="C14" s="287" t="s">
        <v>229</v>
      </c>
      <c r="D14" s="276">
        <v>335.80813143971038707880813144</v>
      </c>
      <c r="E14" s="94">
        <v>433.89250696294584279311065472</v>
      </c>
      <c r="F14" s="277">
        <v>273.89363168177619243854679264</v>
      </c>
      <c r="G14" s="276">
        <v>354.6</v>
      </c>
      <c r="H14" s="94">
        <v>325.78711213400928747612481031</v>
      </c>
      <c r="I14" s="277">
        <v>232.31443387872994994263781483</v>
      </c>
      <c r="J14" s="276">
        <v>0</v>
      </c>
      <c r="K14" s="94">
        <v>0</v>
      </c>
      <c r="L14" s="277">
        <v>115.62140582646370518809661123</v>
      </c>
      <c r="M14" s="276">
        <v>336.98538240668232837379274341</v>
      </c>
      <c r="N14" s="94">
        <v>429.2952912447885646217986897</v>
      </c>
      <c r="O14" s="277">
        <v>254.36990810252999261494519898</v>
      </c>
      <c r="P14" s="5"/>
      <c r="Q14" s="271">
        <v>107.67332336190679589339962781</v>
      </c>
      <c r="R14" s="92">
        <v>92.29131137907043127051121049</v>
      </c>
      <c r="S14" s="272">
        <v>74.924961545350713848925340790</v>
      </c>
      <c r="T14" s="271">
        <v>37.981624932466478802006948390</v>
      </c>
      <c r="U14" s="92">
        <v>0</v>
      </c>
      <c r="V14" s="272">
        <v>55.987695775593974287217510910</v>
      </c>
      <c r="W14" s="271">
        <v>0</v>
      </c>
      <c r="X14" s="92">
        <v>0</v>
      </c>
      <c r="Y14" s="272">
        <v>19.709057716747083982575033470</v>
      </c>
      <c r="Z14" s="271">
        <v>103.97519524991013283641442340</v>
      </c>
      <c r="AA14" s="92">
        <v>90.25392971206590858291768503</v>
      </c>
      <c r="AB14" s="272">
        <v>68.232584494329951884435292440</v>
      </c>
    </row>
    <row r="15" ht="18" customHeight="1">
      <c r="A15" s="58"/>
      <c r="B15" s="288">
        <v>2022</v>
      </c>
      <c r="C15" s="289" t="s">
        <v>230</v>
      </c>
      <c r="D15" s="439">
        <v>274.3238037917544387601564851</v>
      </c>
      <c r="E15" s="95">
        <v>382.90733910426943320854874919</v>
      </c>
      <c r="F15" s="440">
        <v>251.09552029043795630996399176</v>
      </c>
      <c r="G15" s="439">
        <v>259.58352402745995423340961098</v>
      </c>
      <c r="H15" s="95">
        <v>351.10747949394631453290655705</v>
      </c>
      <c r="I15" s="440">
        <v>235.96459214077300120901777166</v>
      </c>
      <c r="J15" s="439">
        <v>0</v>
      </c>
      <c r="K15" s="95">
        <v>307.2499585315252956249626432</v>
      </c>
      <c r="L15" s="440">
        <v>128.52249623451313318743953995</v>
      </c>
      <c r="M15" s="439">
        <v>272.61063829787234042553191489</v>
      </c>
      <c r="N15" s="95">
        <v>382.42658162512903701518950007</v>
      </c>
      <c r="O15" s="440">
        <v>234.94315109516426064517573566</v>
      </c>
      <c r="P15" s="5"/>
      <c r="Q15" s="420">
        <v>65.035048369320192531626685740</v>
      </c>
      <c r="R15" s="91">
        <v>70.943387164579760729423055020</v>
      </c>
      <c r="S15" s="421">
        <v>48.250365693224820760945068820</v>
      </c>
      <c r="T15" s="420">
        <v>2.0666015428952153232639932600</v>
      </c>
      <c r="U15" s="91">
        <v>-11.465940109554249380727372310</v>
      </c>
      <c r="V15" s="421">
        <v>77.357374803140072024332498270</v>
      </c>
      <c r="W15" s="420">
        <v>0</v>
      </c>
      <c r="X15" s="91">
        <v>0</v>
      </c>
      <c r="Y15" s="421">
        <v>35.853403362070742146151013800</v>
      </c>
      <c r="Z15" s="420">
        <v>62.573534812503983902355966970</v>
      </c>
      <c r="AA15" s="91">
        <v>70.278409454863836068720882420</v>
      </c>
      <c r="AB15" s="421">
        <v>45.539693264829258931072888500</v>
      </c>
    </row>
    <row r="16" ht="18" customHeight="1">
      <c r="A16" s="58"/>
      <c r="B16" s="286"/>
      <c r="C16" s="287" t="s">
        <v>231</v>
      </c>
      <c r="D16" s="276">
        <v>367.42809364548494983277591973</v>
      </c>
      <c r="E16" s="94">
        <v>462.07213201683595798196568736</v>
      </c>
      <c r="F16" s="277">
        <v>316.3872699390283008386505137</v>
      </c>
      <c r="G16" s="276">
        <v>277.34532374100719424460431655</v>
      </c>
      <c r="H16" s="94">
        <v>415.5040065609305511029708905</v>
      </c>
      <c r="I16" s="277">
        <v>286.31845470986371738321216387</v>
      </c>
      <c r="J16" s="276">
        <v>0</v>
      </c>
      <c r="K16" s="94">
        <v>0</v>
      </c>
      <c r="L16" s="277">
        <v>128.36754291601009768661693137</v>
      </c>
      <c r="M16" s="276">
        <v>360.40734510793383795906924586</v>
      </c>
      <c r="N16" s="94">
        <v>459.912699876998769987699877</v>
      </c>
      <c r="O16" s="277">
        <v>293.00395363139751825647439442</v>
      </c>
      <c r="P16" s="5"/>
      <c r="Q16" s="271">
        <v>81.69967050001735088509070241</v>
      </c>
      <c r="R16" s="92">
        <v>73.022641067985740687962524710</v>
      </c>
      <c r="S16" s="272">
        <v>69.676576618517006650367222800</v>
      </c>
      <c r="T16" s="271">
        <v>11.531148775264338993381431310</v>
      </c>
      <c r="U16" s="92">
        <v>0</v>
      </c>
      <c r="V16" s="272">
        <v>102.90722642315603130596778772</v>
      </c>
      <c r="W16" s="271">
        <v>0</v>
      </c>
      <c r="X16" s="92">
        <v>0</v>
      </c>
      <c r="Y16" s="272">
        <v>40.380025047341502616162137410</v>
      </c>
      <c r="Z16" s="271">
        <v>77.237971075308441506482345590</v>
      </c>
      <c r="AA16" s="92">
        <v>72.214042959264246428943124560</v>
      </c>
      <c r="AB16" s="272">
        <v>66.876034430160056317628574600</v>
      </c>
    </row>
    <row r="17" ht="18" customHeight="1">
      <c r="A17" s="58"/>
      <c r="B17" s="288"/>
      <c r="C17" s="289" t="s">
        <v>232</v>
      </c>
      <c r="D17" s="439">
        <v>347.97257179735398515650209745</v>
      </c>
      <c r="E17" s="95">
        <v>442.10167878357912622502480704</v>
      </c>
      <c r="F17" s="440">
        <v>324.75333680967041708099971334</v>
      </c>
      <c r="G17" s="439">
        <v>285.48412698412698412698412698</v>
      </c>
      <c r="H17" s="95">
        <v>432.770063721269075629073983</v>
      </c>
      <c r="I17" s="440">
        <v>280.18428874944714367508022144</v>
      </c>
      <c r="J17" s="439">
        <v>0</v>
      </c>
      <c r="K17" s="95">
        <v>0</v>
      </c>
      <c r="L17" s="440">
        <v>133.00698773346050653146017985</v>
      </c>
      <c r="M17" s="439">
        <v>335.71802853437094682230869001</v>
      </c>
      <c r="N17" s="95">
        <v>441.75091732611411911703456888</v>
      </c>
      <c r="O17" s="440">
        <v>298.76376692300346077410376865</v>
      </c>
      <c r="P17" s="5"/>
      <c r="Q17" s="420">
        <v>47.471261281329313916080072130</v>
      </c>
      <c r="R17" s="91">
        <v>46.488964793060380255638545710</v>
      </c>
      <c r="S17" s="421">
        <v>51.427309854149566789428119130</v>
      </c>
      <c r="T17" s="420">
        <v>-3.6921017403037940678376146300</v>
      </c>
      <c r="U17" s="91">
        <v>0</v>
      </c>
      <c r="V17" s="421">
        <v>53.356015302911618954955199590</v>
      </c>
      <c r="W17" s="420">
        <v>0</v>
      </c>
      <c r="X17" s="91">
        <v>0</v>
      </c>
      <c r="Y17" s="421">
        <v>35.637010172993325058615525200</v>
      </c>
      <c r="Z17" s="420">
        <v>41.999754707629583918543983940</v>
      </c>
      <c r="AA17" s="91">
        <v>46.372741115885638736265476710</v>
      </c>
      <c r="AB17" s="421">
        <v>46.063719315118038056085057200</v>
      </c>
    </row>
    <row r="18" ht="18" customHeight="1">
      <c r="A18" s="58"/>
      <c r="B18" s="286"/>
      <c r="C18" s="287" t="s">
        <v>233</v>
      </c>
      <c r="D18" s="276">
        <v>359.39882697947214076246334311</v>
      </c>
      <c r="E18" s="94">
        <v>419.39302280976363309850783218</v>
      </c>
      <c r="F18" s="277">
        <v>294.31413552655241256967223353</v>
      </c>
      <c r="G18" s="276">
        <v>327.76091081593927893738140417</v>
      </c>
      <c r="H18" s="94">
        <v>396.12954071663020398072091815</v>
      </c>
      <c r="I18" s="277">
        <v>258.14273152774267761381648002</v>
      </c>
      <c r="J18" s="276">
        <v>0</v>
      </c>
      <c r="K18" s="94">
        <v>0</v>
      </c>
      <c r="L18" s="277">
        <v>127.23309509773239600892719889</v>
      </c>
      <c r="M18" s="276">
        <v>354.76223581757508342602892102</v>
      </c>
      <c r="N18" s="94">
        <v>418.42689672343392092421073598</v>
      </c>
      <c r="O18" s="277">
        <v>272.49100010448427511659495246</v>
      </c>
      <c r="P18" s="5"/>
      <c r="Q18" s="271">
        <v>47.171332819455257517987446680</v>
      </c>
      <c r="R18" s="92">
        <v>42.700934127507270093849297230</v>
      </c>
      <c r="S18" s="272">
        <v>35.458696635756321799577426430</v>
      </c>
      <c r="T18" s="271">
        <v>62.860066718307474228706548810</v>
      </c>
      <c r="U18" s="92">
        <v>90.17506164638590445906098717</v>
      </c>
      <c r="V18" s="272">
        <v>50.346393592638332536083195610</v>
      </c>
      <c r="W18" s="271">
        <v>0</v>
      </c>
      <c r="X18" s="92">
        <v>0</v>
      </c>
      <c r="Y18" s="272">
        <v>31.548395158949956968014097350</v>
      </c>
      <c r="Z18" s="271">
        <v>47.627193746327478596713406380</v>
      </c>
      <c r="AA18" s="92">
        <v>42.565529146288920996458715140</v>
      </c>
      <c r="AB18" s="272">
        <v>32.169441112747475936012335680</v>
      </c>
    </row>
    <row r="19" ht="18" customHeight="1">
      <c r="A19" s="58"/>
      <c r="B19" s="288"/>
      <c r="C19" s="289" t="s">
        <v>234</v>
      </c>
      <c r="D19" s="439">
        <v>293.76893542757417102966841187</v>
      </c>
      <c r="E19" s="95">
        <v>346.42893811460091202799628524</v>
      </c>
      <c r="F19" s="440">
        <v>254.99040751803552219286769015</v>
      </c>
      <c r="G19" s="439">
        <v>410.65112994350282485875706215</v>
      </c>
      <c r="H19" s="95">
        <v>273.55069183225515060767136424</v>
      </c>
      <c r="I19" s="440">
        <v>269.04896323006976250076889469</v>
      </c>
      <c r="J19" s="439">
        <v>0</v>
      </c>
      <c r="K19" s="95">
        <v>0</v>
      </c>
      <c r="L19" s="440">
        <v>131.20157372690501214604483641</v>
      </c>
      <c r="M19" s="439">
        <v>316.9294710327455919395465995</v>
      </c>
      <c r="N19" s="95">
        <v>342.64543624928530588907947402</v>
      </c>
      <c r="O19" s="440">
        <v>246.5949452861101559497562653</v>
      </c>
      <c r="P19" s="5"/>
      <c r="Q19" s="420">
        <v>8.155898491272058704513463940</v>
      </c>
      <c r="R19" s="91">
        <v>11.864666156868640541498970460</v>
      </c>
      <c r="S19" s="421">
        <v>9.522749869789902206196609940</v>
      </c>
      <c r="T19" s="420">
        <v>127.32473264732462220982143213</v>
      </c>
      <c r="U19" s="91">
        <v>26.787823794231055969274203910</v>
      </c>
      <c r="V19" s="421">
        <v>62.005792375561656763872963230</v>
      </c>
      <c r="W19" s="420">
        <v>0</v>
      </c>
      <c r="X19" s="91">
        <v>0</v>
      </c>
      <c r="Y19" s="421">
        <v>32.230467218521927394569607670</v>
      </c>
      <c r="Z19" s="420">
        <v>17.329605123397602146698247530</v>
      </c>
      <c r="AA19" s="91">
        <v>10.850584335175944932952143920</v>
      </c>
      <c r="AB19" s="421">
        <v>12.961558114266492611570465390</v>
      </c>
    </row>
    <row r="20" ht="18" customHeight="1">
      <c r="A20" s="58"/>
      <c r="B20" s="286"/>
      <c r="C20" s="287" t="s">
        <v>235</v>
      </c>
      <c r="D20" s="276">
        <v>216.0232220609579100145137881</v>
      </c>
      <c r="E20" s="94">
        <v>235.14226066209364747986877423</v>
      </c>
      <c r="F20" s="277">
        <v>199.02660594253867495295115864</v>
      </c>
      <c r="G20" s="276">
        <v>192.01986754966887417218543046</v>
      </c>
      <c r="H20" s="94">
        <v>195.69405099150141643059490085</v>
      </c>
      <c r="I20" s="277">
        <v>200.15205582805060841904741868</v>
      </c>
      <c r="J20" s="276">
        <v>0</v>
      </c>
      <c r="K20" s="94">
        <v>0</v>
      </c>
      <c r="L20" s="277">
        <v>118.67318656695075130443140591</v>
      </c>
      <c r="M20" s="276">
        <v>212.63477718915550015581177937</v>
      </c>
      <c r="N20" s="94">
        <v>233.16957076073098172545686359</v>
      </c>
      <c r="O20" s="277">
        <v>190.27995344266255263779160101</v>
      </c>
      <c r="P20" s="5"/>
      <c r="Q20" s="271">
        <v>-5.8193596154251377403358450300</v>
      </c>
      <c r="R20" s="92">
        <v>-13.366616284397832119248159140</v>
      </c>
      <c r="S20" s="272">
        <v>-9.367110359941271787789705150</v>
      </c>
      <c r="T20" s="271">
        <v>-26.083798990369368179039376840</v>
      </c>
      <c r="U20" s="92">
        <v>-23.215530330051677769115304970</v>
      </c>
      <c r="V20" s="272">
        <v>20.293044548441518646398200500</v>
      </c>
      <c r="W20" s="271">
        <v>0</v>
      </c>
      <c r="X20" s="92">
        <v>0</v>
      </c>
      <c r="Y20" s="272">
        <v>17.499450840618869286329851220</v>
      </c>
      <c r="Z20" s="271">
        <v>-7.5738200557158284056744327100</v>
      </c>
      <c r="AA20" s="92">
        <v>-14.053303094894458698038893560</v>
      </c>
      <c r="AB20" s="272">
        <v>-7.1557813975970680721520806300</v>
      </c>
    </row>
    <row r="21" ht="18" customHeight="1">
      <c r="A21" s="58"/>
      <c r="B21" s="288"/>
      <c r="C21" s="289" t="s">
        <v>218</v>
      </c>
      <c r="D21" s="441">
        <v>229.52662178702570379436964504</v>
      </c>
      <c r="E21" s="154">
        <v>248.63556884849879213160013806</v>
      </c>
      <c r="F21" s="442">
        <v>200.08535630130095022059931069</v>
      </c>
      <c r="G21" s="441">
        <v>223.26146788990825688073394495</v>
      </c>
      <c r="H21" s="154">
        <v>154.33333333333333333333333334</v>
      </c>
      <c r="I21" s="442">
        <v>159.20013659743565767911035382</v>
      </c>
      <c r="J21" s="441">
        <v>0</v>
      </c>
      <c r="K21" s="154">
        <v>0</v>
      </c>
      <c r="L21" s="442">
        <v>117.63374281140348672797818498</v>
      </c>
      <c r="M21" s="441">
        <v>229.13482501434308663224325875</v>
      </c>
      <c r="N21" s="154">
        <v>248.47312815801561782269177768</v>
      </c>
      <c r="O21" s="442">
        <v>186.03759799228997956068407027</v>
      </c>
      <c r="P21" s="5"/>
      <c r="Q21" s="420">
        <v>-13.947794770267695711425032690</v>
      </c>
      <c r="R21" s="91">
        <v>-13.586493477059226596816366810</v>
      </c>
      <c r="S21" s="421">
        <v>-8.635509952971740531966856920</v>
      </c>
      <c r="T21" s="420">
        <v>-24.885470016961260997158176640</v>
      </c>
      <c r="U21" s="91">
        <v>-48.054934903909090662950528740</v>
      </c>
      <c r="V21" s="421">
        <v>5.0704691775996253197971236400</v>
      </c>
      <c r="W21" s="420">
        <v>0</v>
      </c>
      <c r="X21" s="91">
        <v>0</v>
      </c>
      <c r="Y21" s="421">
        <v>15.749807994486449878296171720</v>
      </c>
      <c r="Z21" s="420">
        <v>-14.251757285096864985392944240</v>
      </c>
      <c r="AA21" s="91">
        <v>-13.706090695350184443342414110</v>
      </c>
      <c r="AB21" s="421">
        <v>-9.360220344660180024106053940</v>
      </c>
    </row>
    <row r="22" ht="18" customHeight="1">
      <c r="A22" s="58"/>
      <c r="B22" s="286"/>
      <c r="C22" s="287" t="s">
        <v>221</v>
      </c>
      <c r="D22" s="276">
        <v>194.07859163784973278843131091</v>
      </c>
      <c r="E22" s="94">
        <v>218.87040618955512572533849127</v>
      </c>
      <c r="F22" s="277">
        <v>177.6470285048309064273781702</v>
      </c>
      <c r="G22" s="276">
        <v>153.26086956521739130434782609</v>
      </c>
      <c r="H22" s="94">
        <v>207.48571428571428571428571427</v>
      </c>
      <c r="I22" s="277">
        <v>163.83835053395872407894514487</v>
      </c>
      <c r="J22" s="276">
        <v>0</v>
      </c>
      <c r="K22" s="94">
        <v>0</v>
      </c>
      <c r="L22" s="277">
        <v>118.27043906842478094636012082</v>
      </c>
      <c r="M22" s="276">
        <v>193.212000000</v>
      </c>
      <c r="N22" s="94">
        <v>218.77487413090385998561496043</v>
      </c>
      <c r="O22" s="277">
        <v>169.26024937060508724715687126</v>
      </c>
      <c r="P22" s="5"/>
      <c r="Q22" s="271">
        <v>-6.3049256481270932768103037900</v>
      </c>
      <c r="R22" s="92">
        <v>-5.6668404822200727819056782900</v>
      </c>
      <c r="S22" s="272">
        <v>0.6353790332883704702609916600</v>
      </c>
      <c r="T22" s="271">
        <v>-9.523416659814437328238311120</v>
      </c>
      <c r="U22" s="92">
        <v>-28.025982072140151629362182210</v>
      </c>
      <c r="V22" s="272">
        <v>20.527438011987938793612157060</v>
      </c>
      <c r="W22" s="271">
        <v>0</v>
      </c>
      <c r="X22" s="92">
        <v>0</v>
      </c>
      <c r="Y22" s="272">
        <v>10.175562399712755792901932230</v>
      </c>
      <c r="Z22" s="271">
        <v>-6.5397399686276264166636040100</v>
      </c>
      <c r="AA22" s="92">
        <v>-5.9267649770706125908928835100</v>
      </c>
      <c r="AB22" s="272">
        <v>1.1429229210345960645931644600</v>
      </c>
    </row>
    <row r="23" ht="18" customHeight="1">
      <c r="A23" s="58"/>
      <c r="B23" s="288"/>
      <c r="C23" s="289" t="s">
        <v>222</v>
      </c>
      <c r="D23" s="439">
        <v>183.29151873767258382642998028</v>
      </c>
      <c r="E23" s="95">
        <v>200.68022376776534623525854249</v>
      </c>
      <c r="F23" s="440">
        <v>177.08218738605472896268816163</v>
      </c>
      <c r="G23" s="439">
        <v>207.43661971830985915492957746</v>
      </c>
      <c r="H23" s="95">
        <v>219.38609112709832134292565947</v>
      </c>
      <c r="I23" s="440">
        <v>177.09076225384746779280578235</v>
      </c>
      <c r="J23" s="439">
        <v>0</v>
      </c>
      <c r="K23" s="95">
        <v>0</v>
      </c>
      <c r="L23" s="440">
        <v>116.83941755560547625249588353</v>
      </c>
      <c r="M23" s="439">
        <v>184.57228240567799775868509526</v>
      </c>
      <c r="N23" s="95">
        <v>201.78964585407481154885507041</v>
      </c>
      <c r="O23" s="440">
        <v>170.88192967051099966408740799</v>
      </c>
      <c r="P23" s="5"/>
      <c r="Q23" s="420">
        <v>-0.132871314290941361706888400</v>
      </c>
      <c r="R23" s="91">
        <v>-6.9142056910204534979613416900</v>
      </c>
      <c r="S23" s="421">
        <v>6.6927025397771678593682615400</v>
      </c>
      <c r="T23" s="420">
        <v>28.556595330023286179868301380</v>
      </c>
      <c r="U23" s="91">
        <v>12.040162225222012685259578100</v>
      </c>
      <c r="V23" s="421">
        <v>24.988125013519847291705421700</v>
      </c>
      <c r="W23" s="420">
        <v>0</v>
      </c>
      <c r="X23" s="91">
        <v>0</v>
      </c>
      <c r="Y23" s="421">
        <v>6.5104925879351375373998524900</v>
      </c>
      <c r="Z23" s="420">
        <v>0.9137968582076615383711579200</v>
      </c>
      <c r="AA23" s="91">
        <v>-6.1608744387080011896211122200</v>
      </c>
      <c r="AB23" s="421">
        <v>8.381583839987042196135028320</v>
      </c>
    </row>
    <row r="24" ht="18" customHeight="1">
      <c r="A24" s="59"/>
      <c r="B24" s="286"/>
      <c r="C24" s="287" t="s">
        <v>224</v>
      </c>
      <c r="D24" s="276">
        <v>211.17913669064748201438848921</v>
      </c>
      <c r="E24" s="94">
        <v>259.70071353065539112050739958</v>
      </c>
      <c r="F24" s="277">
        <v>207.20564739249474574987171409</v>
      </c>
      <c r="G24" s="276">
        <v>223.68482490272373540856031128</v>
      </c>
      <c r="H24" s="94">
        <v>342.18148820326678765880217786</v>
      </c>
      <c r="I24" s="277">
        <v>216.32836961429486269013798216</v>
      </c>
      <c r="J24" s="276">
        <v>0</v>
      </c>
      <c r="K24" s="94">
        <v>0</v>
      </c>
      <c r="L24" s="277">
        <v>115.43575114858967683667437675</v>
      </c>
      <c r="M24" s="276">
        <v>212.23740533421139282186368126</v>
      </c>
      <c r="N24" s="94">
        <v>265.29831260007390072669047912</v>
      </c>
      <c r="O24" s="277">
        <v>199.96778282285365892791246169</v>
      </c>
      <c r="P24" s="93"/>
      <c r="Q24" s="271">
        <v>13.852902456403704801252600430</v>
      </c>
      <c r="R24" s="92">
        <v>13.277926248918730069328631640</v>
      </c>
      <c r="S24" s="272">
        <v>17.683196060526585235333820530</v>
      </c>
      <c r="T24" s="271">
        <v>27.859607897186194301847249900</v>
      </c>
      <c r="U24" s="92">
        <v>16.224184769398644569659393270</v>
      </c>
      <c r="V24" s="272">
        <v>27.710552562648883637548623070</v>
      </c>
      <c r="W24" s="271">
        <v>0</v>
      </c>
      <c r="X24" s="92">
        <v>-100</v>
      </c>
      <c r="Y24" s="272">
        <v>6.1435852751219425101190222400</v>
      </c>
      <c r="Z24" s="271">
        <v>14.623028855314273128633840750</v>
      </c>
      <c r="AA24" s="92">
        <v>14.828178275549400399400519810</v>
      </c>
      <c r="AB24" s="272">
        <v>18.444905144754721352076299700</v>
      </c>
    </row>
    <row r="25" ht="18" customHeight="1">
      <c r="A25" s="60"/>
      <c r="B25" s="288"/>
      <c r="C25" s="289" t="s">
        <v>227</v>
      </c>
      <c r="D25" s="439">
        <v>262.47632027257240204429301533</v>
      </c>
      <c r="E25" s="95">
        <v>311.0406583957744748802358433</v>
      </c>
      <c r="F25" s="440">
        <v>234.1682398870040831406339272</v>
      </c>
      <c r="G25" s="439">
        <v>265.70552147239263803680981595</v>
      </c>
      <c r="H25" s="95">
        <v>306.30982019363762102351313973</v>
      </c>
      <c r="I25" s="440">
        <v>229.81797077106219743570226798</v>
      </c>
      <c r="J25" s="439">
        <v>0</v>
      </c>
      <c r="K25" s="95">
        <v>0</v>
      </c>
      <c r="L25" s="440">
        <v>120.12546148813094720187628226</v>
      </c>
      <c r="M25" s="439">
        <v>262.937500000</v>
      </c>
      <c r="N25" s="95">
        <v>310.65478339350180505415162458</v>
      </c>
      <c r="O25" s="440">
        <v>221.200369219919207214308309</v>
      </c>
      <c r="P25" s="93"/>
      <c r="Q25" s="420">
        <v>13.777576765187189234308515100</v>
      </c>
      <c r="R25" s="91">
        <v>4.1326525786580113430559158100</v>
      </c>
      <c r="S25" s="421">
        <v>15.282446255399536263853134610</v>
      </c>
      <c r="T25" s="420">
        <v>4.8923844944061734169493475300</v>
      </c>
      <c r="U25" s="91">
        <v>19.220381719220940118328041060</v>
      </c>
      <c r="V25" s="421">
        <v>16.712135403387217458481542840</v>
      </c>
      <c r="W25" s="420">
        <v>0</v>
      </c>
      <c r="X25" s="91">
        <v>0</v>
      </c>
      <c r="Y25" s="421">
        <v>8.513451061180812575230486920</v>
      </c>
      <c r="Z25" s="420">
        <v>12.917032463494567736462841820</v>
      </c>
      <c r="AA25" s="91">
        <v>5.1348048674134779562052040100</v>
      </c>
      <c r="AB25" s="421">
        <v>14.442819365080562942933887310</v>
      </c>
    </row>
    <row r="26" ht="18" customHeight="1">
      <c r="A26" s="60"/>
      <c r="B26" s="290"/>
      <c r="C26" s="291" t="s">
        <v>229</v>
      </c>
      <c r="D26" s="443">
        <v>317.6725555893999390801096558</v>
      </c>
      <c r="E26" s="444">
        <v>371.79099987967753579593310071</v>
      </c>
      <c r="F26" s="445">
        <v>270.34708377958992941781987161</v>
      </c>
      <c r="G26" s="443">
        <v>346.78</v>
      </c>
      <c r="H26" s="444">
        <v>455.64835164835164835164835165</v>
      </c>
      <c r="I26" s="445">
        <v>242.09659519614852414811857595</v>
      </c>
      <c r="J26" s="443">
        <v>0</v>
      </c>
      <c r="K26" s="444">
        <v>0</v>
      </c>
      <c r="L26" s="445">
        <v>123.30046212504017062950212001</v>
      </c>
      <c r="M26" s="443">
        <v>319.73223889046136427964902349</v>
      </c>
      <c r="N26" s="444">
        <v>373.58801365830684092782291299</v>
      </c>
      <c r="O26" s="445">
        <v>249.26622795551891250578133483</v>
      </c>
      <c r="P26" s="184"/>
      <c r="Q26" s="273">
        <v>-5.4005767437935339860577036700</v>
      </c>
      <c r="R26" s="274">
        <v>-14.312647968482308130841686930</v>
      </c>
      <c r="S26" s="275">
        <v>-1.2948632213290469463887191700</v>
      </c>
      <c r="T26" s="273">
        <v>-2.2053017484489565707839819500</v>
      </c>
      <c r="U26" s="274">
        <v>39.860766334101706719433414740</v>
      </c>
      <c r="V26" s="275">
        <v>4.2107419475090188027004020600</v>
      </c>
      <c r="W26" s="273">
        <v>0</v>
      </c>
      <c r="X26" s="274">
        <v>0</v>
      </c>
      <c r="Y26" s="275">
        <v>6.6415524388825232854920462700</v>
      </c>
      <c r="Z26" s="273">
        <v>-5.1198492329308838951420960200</v>
      </c>
      <c r="AA26" s="274">
        <v>-12.976447383096689005693377690</v>
      </c>
      <c r="AB26" s="275">
        <v>-2.0064009084457138550609565300</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1037" t="s">
        <v>59</v>
      </c>
      <c r="C28" s="1037"/>
      <c r="D28" s="1037"/>
      <c r="E28" s="1037"/>
      <c r="F28" s="1037"/>
      <c r="G28" s="1037"/>
      <c r="H28" s="1037"/>
      <c r="I28" s="1037"/>
      <c r="J28" s="1037"/>
      <c r="K28" s="1037"/>
      <c r="L28" s="1037"/>
      <c r="M28" s="1037"/>
      <c r="N28" s="1037"/>
      <c r="O28" s="1037"/>
      <c r="P28" s="411"/>
      <c r="Q28" s="1038"/>
      <c r="R28" s="1038"/>
      <c r="S28" s="1038"/>
      <c r="T28" s="1038"/>
      <c r="U28" s="1038"/>
      <c r="V28" s="1038"/>
      <c r="W28" s="1038"/>
      <c r="X28" s="1038"/>
      <c r="Y28" s="1038"/>
      <c r="Z28" s="1038"/>
      <c r="AA28" s="1038"/>
      <c r="AB28" s="1038"/>
      <c r="AC28" s="9"/>
    </row>
    <row r="29" ht="18" customHeight="1">
      <c r="A29" s="58"/>
      <c r="B29" s="284">
        <v>2020</v>
      </c>
      <c r="C29" s="285"/>
      <c r="D29" s="454">
        <v>191.36636818106905455144756359</v>
      </c>
      <c r="E29" s="455"/>
      <c r="F29" s="456">
        <v>181.32585723221598178679763288</v>
      </c>
      <c r="G29" s="454">
        <v>362.10180722891566265060240964</v>
      </c>
      <c r="H29" s="455"/>
      <c r="I29" s="456">
        <v>250.73982541576837615764954314</v>
      </c>
      <c r="J29" s="454">
        <v>0</v>
      </c>
      <c r="K29" s="455"/>
      <c r="L29" s="456">
        <v>108.36126236379162657029779525</v>
      </c>
      <c r="M29" s="454">
        <v>205.63515078286260887076473846</v>
      </c>
      <c r="N29" s="455"/>
      <c r="O29" s="456">
        <v>186.66460907780639368664792193</v>
      </c>
      <c r="P29" s="5"/>
      <c r="Q29" s="427">
        <v>-0.9851504546912050768762679100</v>
      </c>
      <c r="R29" s="428"/>
      <c r="S29" s="429">
        <v>-2.6740277162946976595351100400</v>
      </c>
      <c r="T29" s="427">
        <v>73.966734455093404381074164910</v>
      </c>
      <c r="U29" s="428"/>
      <c r="V29" s="429">
        <v>28.598093696883829895902928890</v>
      </c>
      <c r="W29" s="427">
        <v>0</v>
      </c>
      <c r="X29" s="428"/>
      <c r="Y29" s="429">
        <v>-11.363922260303243251822516950</v>
      </c>
      <c r="Z29" s="427">
        <v>5.6208548544613259021366218100</v>
      </c>
      <c r="AA29" s="428"/>
      <c r="AB29" s="429">
        <v>2.0554258137590537445109074500</v>
      </c>
    </row>
    <row r="30" ht="18" customHeight="1">
      <c r="A30" s="58"/>
      <c r="B30" s="286">
        <v>2021</v>
      </c>
      <c r="C30" s="287"/>
      <c r="D30" s="276">
        <v>233.25113612889898781243544722</v>
      </c>
      <c r="E30" s="94">
        <v>286.74251842781762324991746781</v>
      </c>
      <c r="F30" s="277">
        <v>208.60733658574641691846954058</v>
      </c>
      <c r="G30" s="276">
        <v>247.15625</v>
      </c>
      <c r="H30" s="94">
        <v>275.51640607238663688468122787</v>
      </c>
      <c r="I30" s="277">
        <v>171.3861381701529048459393465</v>
      </c>
      <c r="J30" s="276">
        <v>0</v>
      </c>
      <c r="K30" s="94">
        <v>272.99995609502326355432428011</v>
      </c>
      <c r="L30" s="277">
        <v>104.26535583156926437878362633</v>
      </c>
      <c r="M30" s="276">
        <v>233.74962656841266679944234216</v>
      </c>
      <c r="N30" s="94">
        <v>286.53280715836121913719815501</v>
      </c>
      <c r="O30" s="277">
        <v>196.71647829114544472893073168</v>
      </c>
      <c r="P30" s="5"/>
      <c r="Q30" s="271">
        <v>21.887214742018431323648295450</v>
      </c>
      <c r="R30" s="92"/>
      <c r="S30" s="272">
        <v>15.045553772626394402443691620</v>
      </c>
      <c r="T30" s="271">
        <v>-31.743988826942807710188508710</v>
      </c>
      <c r="U30" s="92"/>
      <c r="V30" s="272">
        <v>-31.647819453513402534420659250</v>
      </c>
      <c r="W30" s="271">
        <v>0</v>
      </c>
      <c r="X30" s="92"/>
      <c r="Y30" s="272">
        <v>-3.7798623261508309848584548100</v>
      </c>
      <c r="Z30" s="271">
        <v>13.672018464972760852009297750</v>
      </c>
      <c r="AA30" s="92"/>
      <c r="AB30" s="272">
        <v>5.3849892933672944177066669500</v>
      </c>
    </row>
    <row r="31" ht="18" customHeight="1">
      <c r="A31" s="58"/>
      <c r="B31" s="425">
        <v>2022</v>
      </c>
      <c r="C31" s="426"/>
      <c r="D31" s="457">
        <v>274.05340406233680565099084737</v>
      </c>
      <c r="E31" s="458">
        <v>325.57723777756067098468307457</v>
      </c>
      <c r="F31" s="459">
        <v>244.17593630657084595203308252</v>
      </c>
      <c r="G31" s="457">
        <v>287.87870855148342059336823735</v>
      </c>
      <c r="H31" s="458">
        <v>323.02507726079765660986000089</v>
      </c>
      <c r="I31" s="459">
        <v>234.47053642710605862295295205</v>
      </c>
      <c r="J31" s="457">
        <v>0</v>
      </c>
      <c r="K31" s="458">
        <v>307.2499585315252956249626432</v>
      </c>
      <c r="L31" s="459">
        <v>123.14805454311241383864164468</v>
      </c>
      <c r="M31" s="457">
        <v>275.60038567627602704615910367</v>
      </c>
      <c r="N31" s="458">
        <v>325.4739442916479457233911508</v>
      </c>
      <c r="O31" s="459">
        <v>229.99410822396806199078871219</v>
      </c>
      <c r="P31" s="93"/>
      <c r="Q31" s="430">
        <v>17.492848528244048465463537510</v>
      </c>
      <c r="R31" s="431">
        <v>13.543411546599432592110634230</v>
      </c>
      <c r="S31" s="432">
        <v>17.050502778582077850741477540</v>
      </c>
      <c r="T31" s="430">
        <v>16.476402499019717524184898160</v>
      </c>
      <c r="U31" s="431">
        <v>17.243499893764352706740305520</v>
      </c>
      <c r="V31" s="432">
        <v>36.808343387875545790517068020</v>
      </c>
      <c r="W31" s="430">
        <v>0</v>
      </c>
      <c r="X31" s="431">
        <v>12.545790455954064216701295800</v>
      </c>
      <c r="Y31" s="432">
        <v>18.110232838997879544490380710</v>
      </c>
      <c r="Z31" s="430">
        <v>17.904096670558583726120748430</v>
      </c>
      <c r="AA31" s="431">
        <v>13.590463695740310542987316250</v>
      </c>
      <c r="AB31" s="432">
        <v>16.916544166485128877790553990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1039" t="s">
        <v>44</v>
      </c>
      <c r="C33" s="1039"/>
      <c r="D33" s="1039"/>
      <c r="E33" s="1039"/>
      <c r="F33" s="1039"/>
      <c r="G33" s="1039"/>
      <c r="H33" s="1039"/>
      <c r="I33" s="1039"/>
      <c r="J33" s="1039"/>
      <c r="K33" s="1039"/>
      <c r="L33" s="1039"/>
      <c r="M33" s="1039"/>
      <c r="N33" s="1039"/>
      <c r="O33" s="1039"/>
      <c r="P33" s="411"/>
      <c r="Q33" s="1038"/>
      <c r="R33" s="1038"/>
      <c r="S33" s="1038"/>
      <c r="T33" s="1038"/>
      <c r="U33" s="1038"/>
      <c r="V33" s="1038"/>
      <c r="W33" s="1038"/>
      <c r="X33" s="1038"/>
      <c r="Y33" s="1038"/>
      <c r="Z33" s="1038"/>
      <c r="AA33" s="1038"/>
      <c r="AB33" s="1038"/>
      <c r="AC33" s="9"/>
    </row>
    <row r="34" ht="18" customHeight="1">
      <c r="A34" s="58"/>
      <c r="B34" s="284">
        <v>2020</v>
      </c>
      <c r="C34" s="285"/>
      <c r="D34" s="454">
        <v>138.57017291066282420749279539</v>
      </c>
      <c r="E34" s="455"/>
      <c r="F34" s="456">
        <v>136.01719992799119220506310482</v>
      </c>
      <c r="G34" s="454">
        <v>191.67298578199052132701421801</v>
      </c>
      <c r="H34" s="455"/>
      <c r="I34" s="456">
        <v>115.87803109706984821141101678</v>
      </c>
      <c r="J34" s="454">
        <v>0</v>
      </c>
      <c r="K34" s="455"/>
      <c r="L34" s="456">
        <v>94.37878486243600442192320129</v>
      </c>
      <c r="M34" s="454">
        <v>140.13704377010208362466787862</v>
      </c>
      <c r="N34" s="455"/>
      <c r="O34" s="456">
        <v>131.26160948276807351119006108</v>
      </c>
      <c r="P34" s="5"/>
      <c r="Q34" s="427">
        <v>-28.967383628009099000250931870</v>
      </c>
      <c r="R34" s="428"/>
      <c r="S34" s="429">
        <v>-27.022147178638338196583809700</v>
      </c>
      <c r="T34" s="427">
        <v>20.595356358564467146364263820</v>
      </c>
      <c r="U34" s="428"/>
      <c r="V34" s="429">
        <v>-38.468187165343014079902446200</v>
      </c>
      <c r="W34" s="427">
        <v>0</v>
      </c>
      <c r="X34" s="428"/>
      <c r="Y34" s="429">
        <v>-23.298349624049515839669369040</v>
      </c>
      <c r="Z34" s="427">
        <v>-27.274979319885839337582836260</v>
      </c>
      <c r="AA34" s="428"/>
      <c r="AB34" s="429">
        <v>-27.839869216687380902128997490</v>
      </c>
    </row>
    <row r="35" ht="18" customHeight="1">
      <c r="A35" s="58"/>
      <c r="B35" s="286">
        <v>2021</v>
      </c>
      <c r="C35" s="287"/>
      <c r="D35" s="276">
        <v>256.51837849191346355807603445</v>
      </c>
      <c r="E35" s="94">
        <v>331.03294390103418171028902031</v>
      </c>
      <c r="F35" s="277">
        <v>221.71193327435550106631741201</v>
      </c>
      <c r="G35" s="276">
        <v>279.53834355828220858895705521</v>
      </c>
      <c r="H35" s="94">
        <v>285.49792126576721767411420856</v>
      </c>
      <c r="I35" s="277">
        <v>200.4539823279075200553921606</v>
      </c>
      <c r="J35" s="276">
        <v>0</v>
      </c>
      <c r="K35" s="94">
        <v>272.99995609502326355432428011</v>
      </c>
      <c r="L35" s="277">
        <v>111.91905622289232894039508784</v>
      </c>
      <c r="M35" s="276">
        <v>257.99361116571653233733045017</v>
      </c>
      <c r="N35" s="94">
        <v>328.75708846224508543082858719</v>
      </c>
      <c r="O35" s="277">
        <v>208.58919936149942784419284453</v>
      </c>
      <c r="P35" s="5"/>
      <c r="Q35" s="271">
        <v>85.11803305407135998550117919</v>
      </c>
      <c r="R35" s="92"/>
      <c r="S35" s="272">
        <v>63.002865366819464104853964180</v>
      </c>
      <c r="T35" s="271">
        <v>45.841284006613330333036140700</v>
      </c>
      <c r="U35" s="92"/>
      <c r="V35" s="272">
        <v>72.987045456387759054379899290</v>
      </c>
      <c r="W35" s="271">
        <v>0</v>
      </c>
      <c r="X35" s="92"/>
      <c r="Y35" s="272">
        <v>18.584972656794905037339564360</v>
      </c>
      <c r="Z35" s="271">
        <v>84.10093735740892845007746608</v>
      </c>
      <c r="AA35" s="92"/>
      <c r="AB35" s="272">
        <v>58.911048084346495930099380530</v>
      </c>
    </row>
    <row r="36" ht="18" customHeight="1">
      <c r="A36" s="58"/>
      <c r="B36" s="425">
        <v>2022</v>
      </c>
      <c r="C36" s="426"/>
      <c r="D36" s="457">
        <v>266.76650366748166259168704156</v>
      </c>
      <c r="E36" s="458">
        <v>315.88476269775187343880099918</v>
      </c>
      <c r="F36" s="459">
        <v>238.59711478719800350618521208</v>
      </c>
      <c r="G36" s="457">
        <v>275.21285140562248995983935743</v>
      </c>
      <c r="H36" s="458">
        <v>338.55219780219780219780219782</v>
      </c>
      <c r="I36" s="459">
        <v>228.27622725857999949542768604</v>
      </c>
      <c r="J36" s="457">
        <v>0</v>
      </c>
      <c r="K36" s="458">
        <v>0</v>
      </c>
      <c r="L36" s="459">
        <v>119.93587159739635292938710367</v>
      </c>
      <c r="M36" s="457">
        <v>267.60826495897538523113868321</v>
      </c>
      <c r="N36" s="458">
        <v>317.18024807662113361595226881</v>
      </c>
      <c r="O36" s="459">
        <v>223.98688693981366287910204307</v>
      </c>
      <c r="P36" s="93"/>
      <c r="Q36" s="430">
        <v>3.9950841868842019094646124600</v>
      </c>
      <c r="R36" s="431">
        <v>-4.576034344116034735767529900</v>
      </c>
      <c r="S36" s="432">
        <v>7.6158198899922061155123294600</v>
      </c>
      <c r="T36" s="430">
        <v>-1.5473698876574309368962688800</v>
      </c>
      <c r="U36" s="431">
        <v>18.583069292124198697522591660</v>
      </c>
      <c r="V36" s="432">
        <v>13.879616961247861606209423090</v>
      </c>
      <c r="W36" s="430">
        <v>0</v>
      </c>
      <c r="X36" s="431">
        <v>-100</v>
      </c>
      <c r="Y36" s="432">
        <v>7.1630476927270719852198004700</v>
      </c>
      <c r="Z36" s="430">
        <v>3.7267022814375971313477932500</v>
      </c>
      <c r="AA36" s="431">
        <v>-3.5213964327677011398140308800</v>
      </c>
      <c r="AB36" s="432">
        <v>7.3818239992514517119402932900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9" t="s">
        <v>45</v>
      </c>
      <c r="C38" s="1039"/>
      <c r="D38" s="1039"/>
      <c r="E38" s="1039"/>
      <c r="F38" s="1039"/>
      <c r="G38" s="1039"/>
      <c r="H38" s="1039"/>
      <c r="I38" s="1039"/>
      <c r="J38" s="1039"/>
      <c r="K38" s="1039"/>
      <c r="L38" s="1039"/>
      <c r="M38" s="1039"/>
      <c r="N38" s="1039"/>
      <c r="O38" s="1039"/>
      <c r="P38" s="411"/>
      <c r="Q38" s="1038"/>
      <c r="R38" s="1038"/>
      <c r="S38" s="1038"/>
      <c r="T38" s="1038"/>
      <c r="U38" s="1038"/>
      <c r="V38" s="1038"/>
      <c r="W38" s="1038"/>
      <c r="X38" s="1038"/>
      <c r="Y38" s="1038"/>
      <c r="Z38" s="1038"/>
      <c r="AA38" s="1038"/>
      <c r="AB38" s="1038"/>
      <c r="AC38" s="9"/>
    </row>
    <row r="39" ht="18" customHeight="1">
      <c r="A39" s="58"/>
      <c r="B39" s="284">
        <v>2020</v>
      </c>
      <c r="C39" s="285"/>
      <c r="D39" s="454">
        <v>191.36636818106905455144756359</v>
      </c>
      <c r="E39" s="455"/>
      <c r="F39" s="456">
        <v>181.32585723221598178679763288</v>
      </c>
      <c r="G39" s="454">
        <v>362.10180722891566265060240964</v>
      </c>
      <c r="H39" s="455"/>
      <c r="I39" s="456">
        <v>250.73982541576837615764954314</v>
      </c>
      <c r="J39" s="454">
        <v>0</v>
      </c>
      <c r="K39" s="455"/>
      <c r="L39" s="456">
        <v>108.36126236379162657029779525</v>
      </c>
      <c r="M39" s="454">
        <v>205.63515078286260887076473846</v>
      </c>
      <c r="N39" s="455"/>
      <c r="O39" s="456">
        <v>186.66460907780639368664792193</v>
      </c>
      <c r="P39" s="5"/>
      <c r="Q39" s="427">
        <v>-0.9851504546912050768762679100</v>
      </c>
      <c r="R39" s="428"/>
      <c r="S39" s="429">
        <v>-2.6740277162946976595351100400</v>
      </c>
      <c r="T39" s="427">
        <v>73.966734455093404381074164910</v>
      </c>
      <c r="U39" s="428"/>
      <c r="V39" s="429">
        <v>28.598093696883829895902928890</v>
      </c>
      <c r="W39" s="427">
        <v>0</v>
      </c>
      <c r="X39" s="428"/>
      <c r="Y39" s="429">
        <v>-11.363922260303243251822516950</v>
      </c>
      <c r="Z39" s="427">
        <v>5.6208548544613259021366218100</v>
      </c>
      <c r="AA39" s="428"/>
      <c r="AB39" s="429">
        <v>2.0554258137590537445109074500</v>
      </c>
    </row>
    <row r="40" ht="18" customHeight="1">
      <c r="A40" s="58"/>
      <c r="B40" s="286">
        <v>2021</v>
      </c>
      <c r="C40" s="287"/>
      <c r="D40" s="276">
        <v>233.25113612889898781243544722</v>
      </c>
      <c r="E40" s="94">
        <v>286.74251842781762324991746781</v>
      </c>
      <c r="F40" s="277">
        <v>208.60733658574641691846954058</v>
      </c>
      <c r="G40" s="276">
        <v>247.15625</v>
      </c>
      <c r="H40" s="94">
        <v>275.51640607238663688468122787</v>
      </c>
      <c r="I40" s="277">
        <v>171.3861381701529048459393465</v>
      </c>
      <c r="J40" s="276">
        <v>0</v>
      </c>
      <c r="K40" s="94">
        <v>272.99995609502326355432428011</v>
      </c>
      <c r="L40" s="277">
        <v>104.26535583156926437878362633</v>
      </c>
      <c r="M40" s="276">
        <v>233.74962656841266679944234216</v>
      </c>
      <c r="N40" s="94">
        <v>286.53280715836121913719815501</v>
      </c>
      <c r="O40" s="277">
        <v>196.71647829114544472893073168</v>
      </c>
      <c r="P40" s="5"/>
      <c r="Q40" s="271">
        <v>21.887214742018431323648295450</v>
      </c>
      <c r="R40" s="92"/>
      <c r="S40" s="272">
        <v>15.045553772626394402443691620</v>
      </c>
      <c r="T40" s="271">
        <v>-31.743988826942807710188508710</v>
      </c>
      <c r="U40" s="92"/>
      <c r="V40" s="272">
        <v>-31.647819453513402534420659250</v>
      </c>
      <c r="W40" s="271">
        <v>0</v>
      </c>
      <c r="X40" s="92"/>
      <c r="Y40" s="272">
        <v>-3.7798623261508309848584548100</v>
      </c>
      <c r="Z40" s="271">
        <v>13.672018464972760852009297750</v>
      </c>
      <c r="AA40" s="92"/>
      <c r="AB40" s="272">
        <v>5.3849892933672944177066669500</v>
      </c>
    </row>
    <row r="41" ht="18" customHeight="1">
      <c r="A41" s="58"/>
      <c r="B41" s="425">
        <v>2022</v>
      </c>
      <c r="C41" s="426"/>
      <c r="D41" s="457">
        <v>274.05340406233680565099084737</v>
      </c>
      <c r="E41" s="458">
        <v>325.57723777756067098468307457</v>
      </c>
      <c r="F41" s="459">
        <v>244.17593630657084595203308252</v>
      </c>
      <c r="G41" s="457">
        <v>287.87870855148342059336823735</v>
      </c>
      <c r="H41" s="458">
        <v>323.02507726079765660986000089</v>
      </c>
      <c r="I41" s="459">
        <v>234.47053642710605862295295205</v>
      </c>
      <c r="J41" s="457">
        <v>0</v>
      </c>
      <c r="K41" s="458">
        <v>307.2499585315252956249626432</v>
      </c>
      <c r="L41" s="459">
        <v>123.14805454311241383864164468</v>
      </c>
      <c r="M41" s="457">
        <v>275.60038567627602704615910367</v>
      </c>
      <c r="N41" s="458">
        <v>325.4739442916479457233911508</v>
      </c>
      <c r="O41" s="459">
        <v>229.99410822396806199078871219</v>
      </c>
      <c r="P41" s="93"/>
      <c r="Q41" s="430">
        <v>17.492848528244048465463537510</v>
      </c>
      <c r="R41" s="431">
        <v>13.543411546599432592110634230</v>
      </c>
      <c r="S41" s="432">
        <v>17.050502778582077850741477540</v>
      </c>
      <c r="T41" s="430">
        <v>16.476402499019717524184898160</v>
      </c>
      <c r="U41" s="431">
        <v>17.243499893764352706740305520</v>
      </c>
      <c r="V41" s="432">
        <v>36.808343387875545790517068020</v>
      </c>
      <c r="W41" s="430">
        <v>0</v>
      </c>
      <c r="X41" s="431">
        <v>12.545790455954064216701295800</v>
      </c>
      <c r="Y41" s="432">
        <v>18.110232838997879544490380710</v>
      </c>
      <c r="Z41" s="430">
        <v>17.904096670558583726120748430</v>
      </c>
      <c r="AA41" s="431">
        <v>13.590463695740310542987316250</v>
      </c>
      <c r="AB41" s="432">
        <v>16.916544166485128877790553990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row>
    <row r="44" ht="12" customHeight="1">
      <c r="Z44" s="55"/>
      <c r="AA44" s="233"/>
      <c r="AB44" s="233"/>
    </row>
    <row r="45" ht="12" customHeight="1"/>
    <row r="46">
      <c r="A46" s="236"/>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c r="AA46" s="236"/>
      <c r="AB46" s="236"/>
      <c r="AC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sheetData>
  <mergeCells count="22">
    <mergeCell ref="B43:AB43"/>
    <mergeCell ref="Q38:AB38"/>
    <mergeCell ref="B28:O28"/>
    <mergeCell ref="B33:O33"/>
    <mergeCell ref="B38:O38"/>
    <mergeCell ref="Q33:AB33"/>
    <mergeCell ref="Q28:AB28"/>
    <mergeCell ref="D7:F7"/>
    <mergeCell ref="Z7:AB7"/>
    <mergeCell ref="T7:V7"/>
    <mergeCell ref="B8:C8"/>
    <mergeCell ref="Q7:S7"/>
    <mergeCell ref="J7:L7"/>
    <mergeCell ref="M7:O7"/>
    <mergeCell ref="W7:Y7"/>
    <mergeCell ref="G7:I7"/>
    <mergeCell ref="B2:AB2"/>
    <mergeCell ref="Q6:AB6"/>
    <mergeCell ref="D6:O6"/>
    <mergeCell ref="B3:Q3"/>
    <mergeCell ref="R3:AB3"/>
    <mergeCell ref="B4:AB4"/>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43"/>
</worksheet>
</file>

<file path=xl/worksheets/sheet4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9">
    <pageSetUpPr fitToPage="1"/>
  </sheetPr>
  <dimension ref="A1:AD8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89"/>
      <c r="B1" s="656" t="s">
        <v>145</v>
      </c>
      <c r="Z1" s="5"/>
      <c r="AB1" s="685"/>
      <c r="AD1" s="236"/>
    </row>
    <row r="2" ht="15" customHeight="1">
      <c r="A2" s="11"/>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209</v>
      </c>
      <c r="C3" s="999"/>
      <c r="D3" s="999"/>
      <c r="E3" s="999"/>
      <c r="F3" s="999"/>
      <c r="G3" s="999"/>
      <c r="H3" s="999"/>
      <c r="I3" s="999"/>
      <c r="J3" s="999"/>
      <c r="K3" s="999"/>
      <c r="L3" s="999"/>
      <c r="M3" s="999"/>
      <c r="N3" s="999"/>
      <c r="O3" s="999"/>
      <c r="P3" s="999"/>
      <c r="Q3" s="999"/>
      <c r="R3" s="1035" t="s">
        <v>301</v>
      </c>
      <c r="S3" s="1035"/>
      <c r="T3" s="1035"/>
      <c r="U3" s="1035"/>
      <c r="V3" s="1035"/>
      <c r="W3" s="1035"/>
      <c r="X3" s="1035"/>
      <c r="Y3" s="1035"/>
      <c r="Z3" s="1035"/>
      <c r="AA3" s="1035"/>
      <c r="AB3" s="1035"/>
    </row>
    <row r="4" ht="19.5" customHeight="1">
      <c r="A4" s="4"/>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2.75" customHeight="1"/>
    <row r="6" ht="15.75" customHeight="1">
      <c r="D6" s="960" t="s">
        <v>10</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ustomHeight="1">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18" customHeight="1">
      <c r="A9" s="57"/>
      <c r="B9" s="284">
        <v>2021</v>
      </c>
      <c r="C9" s="285" t="s">
        <v>218</v>
      </c>
      <c r="D9" s="434">
        <v>228.20625610948191593352883675</v>
      </c>
      <c r="E9" s="435">
        <v>217.96058040608576255264576003</v>
      </c>
      <c r="F9" s="436">
        <v>134.85225327187560563662487545</v>
      </c>
      <c r="G9" s="434">
        <v>4.140273704789833822091886608</v>
      </c>
      <c r="H9" s="435">
        <v>5.166875892346387384279812153</v>
      </c>
      <c r="I9" s="436">
        <v>11.058482631023253462353600155</v>
      </c>
      <c r="J9" s="434">
        <v>0</v>
      </c>
      <c r="K9" s="435">
        <v>0</v>
      </c>
      <c r="L9" s="436">
        <v>4.4562481508068750268606764837</v>
      </c>
      <c r="M9" s="434">
        <v>232.34652981427174975562072336</v>
      </c>
      <c r="N9" s="435">
        <v>223.12745629843214993692557218</v>
      </c>
      <c r="O9" s="436">
        <v>150.3669840537057341258391521</v>
      </c>
      <c r="P9" s="5"/>
      <c r="Q9" s="415">
        <v>1168.5358763265489777039438291</v>
      </c>
      <c r="R9" s="416"/>
      <c r="S9" s="417">
        <v>537.58541953405482229510968754</v>
      </c>
      <c r="T9" s="415">
        <v>0</v>
      </c>
      <c r="U9" s="416"/>
      <c r="V9" s="417">
        <v>220.41087220345257433134353230</v>
      </c>
      <c r="W9" s="415">
        <v>0</v>
      </c>
      <c r="X9" s="416"/>
      <c r="Y9" s="417">
        <v>66.435829116439187127262881450</v>
      </c>
      <c r="Z9" s="415">
        <v>1191.5505202801207504013161454</v>
      </c>
      <c r="AA9" s="416"/>
      <c r="AB9" s="417">
        <v>451.21352836034635521662459549</v>
      </c>
    </row>
    <row r="10" ht="18" customHeight="1">
      <c r="A10" s="58"/>
      <c r="B10" s="286"/>
      <c r="C10" s="287" t="s">
        <v>221</v>
      </c>
      <c r="D10" s="276">
        <v>130.09433040078201368523949169</v>
      </c>
      <c r="E10" s="94">
        <v>131.70992191812356256286323893</v>
      </c>
      <c r="F10" s="277">
        <v>85.32998012707267486127043208</v>
      </c>
      <c r="G10" s="276">
        <v>1.1590909090909090909090909091</v>
      </c>
      <c r="H10" s="94">
        <v>1.5845194226585603421646940254</v>
      </c>
      <c r="I10" s="277">
        <v>7.4816412353388089289509545332</v>
      </c>
      <c r="J10" s="276">
        <v>0</v>
      </c>
      <c r="K10" s="94">
        <v>0</v>
      </c>
      <c r="L10" s="277">
        <v>4.8440233179893856579098769754</v>
      </c>
      <c r="M10" s="276">
        <v>131.2534213098729227761485826</v>
      </c>
      <c r="N10" s="94">
        <v>133.29444134078212290502793296</v>
      </c>
      <c r="O10" s="277">
        <v>97.65564468040086944813126359</v>
      </c>
      <c r="P10" s="5"/>
      <c r="Q10" s="271">
        <v>362.04574057150252502633156536</v>
      </c>
      <c r="R10" s="92"/>
      <c r="S10" s="272">
        <v>275.83965285135656270568701982</v>
      </c>
      <c r="T10" s="271">
        <v>0</v>
      </c>
      <c r="U10" s="92"/>
      <c r="V10" s="272">
        <v>4.7322295260958423362820598800</v>
      </c>
      <c r="W10" s="271">
        <v>0</v>
      </c>
      <c r="X10" s="92"/>
      <c r="Y10" s="272">
        <v>68.648527423742577949248475620</v>
      </c>
      <c r="Z10" s="271">
        <v>366.16239204917050126020932647</v>
      </c>
      <c r="AA10" s="92"/>
      <c r="AB10" s="272">
        <v>198.46153221724371015780560113</v>
      </c>
    </row>
    <row r="11" ht="18" customHeight="1">
      <c r="A11" s="58"/>
      <c r="B11" s="288"/>
      <c r="C11" s="289" t="s">
        <v>222</v>
      </c>
      <c r="D11" s="439">
        <v>105.44015151515151515151515152</v>
      </c>
      <c r="E11" s="95">
        <v>96.41164054887697859163244958</v>
      </c>
      <c r="F11" s="440">
        <v>70.659518026533076661646047748</v>
      </c>
      <c r="G11" s="439">
        <v>2.7300505050505050505050505051</v>
      </c>
      <c r="H11" s="95">
        <v>2.4977654101546787640472524724</v>
      </c>
      <c r="I11" s="440">
        <v>9.14661849828483032886929137</v>
      </c>
      <c r="J11" s="439">
        <v>0</v>
      </c>
      <c r="K11" s="95">
        <v>0</v>
      </c>
      <c r="L11" s="440">
        <v>5.7282582277163804274930091266</v>
      </c>
      <c r="M11" s="439">
        <v>108.17020202020202020202020202</v>
      </c>
      <c r="N11" s="95">
        <v>98.90940595903165735567970205</v>
      </c>
      <c r="O11" s="440">
        <v>85.53439475253428741800834824</v>
      </c>
      <c r="P11" s="5"/>
      <c r="Q11" s="420">
        <v>97.96555042967353163446626153</v>
      </c>
      <c r="R11" s="91"/>
      <c r="S11" s="421">
        <v>117.83744948076968718105979792</v>
      </c>
      <c r="T11" s="420">
        <v>0</v>
      </c>
      <c r="U11" s="91"/>
      <c r="V11" s="421">
        <v>751.79681647058915862484236292</v>
      </c>
      <c r="W11" s="420">
        <v>0</v>
      </c>
      <c r="X11" s="91"/>
      <c r="Y11" s="421">
        <v>150.45866295673548311253748085</v>
      </c>
      <c r="Z11" s="420">
        <v>103.09126338784837961539329120</v>
      </c>
      <c r="AA11" s="91"/>
      <c r="AB11" s="421">
        <v>138.93811182584476265641747863</v>
      </c>
    </row>
    <row r="12" ht="18" customHeight="1">
      <c r="A12" s="58"/>
      <c r="B12" s="286"/>
      <c r="C12" s="287" t="s">
        <v>224</v>
      </c>
      <c r="D12" s="276">
        <v>131.90591397849462365591397849</v>
      </c>
      <c r="E12" s="94">
        <v>103.22781065691729516260353554</v>
      </c>
      <c r="F12" s="277">
        <v>85.79276273130433757530838277</v>
      </c>
      <c r="G12" s="276">
        <v>3.9332844574780058651026392962</v>
      </c>
      <c r="H12" s="94">
        <v>3.5036294043486767741291293643</v>
      </c>
      <c r="I12" s="277">
        <v>12.945589973818569854784947912</v>
      </c>
      <c r="J12" s="276">
        <v>0</v>
      </c>
      <c r="K12" s="94">
        <v>0.3064889859610320300362895144</v>
      </c>
      <c r="L12" s="277">
        <v>6.466982355306518348330845637</v>
      </c>
      <c r="M12" s="276">
        <v>135.83919843597262952101661779</v>
      </c>
      <c r="N12" s="94">
        <v>107.03792904722700396676895442</v>
      </c>
      <c r="O12" s="277">
        <v>105.20533506042942577842417632</v>
      </c>
      <c r="P12" s="5"/>
      <c r="Q12" s="271">
        <v>115.69135970201111810636949983</v>
      </c>
      <c r="R12" s="92"/>
      <c r="S12" s="272">
        <v>122.03730266740687208661487305</v>
      </c>
      <c r="T12" s="271">
        <v>102.80997983807589623236085153</v>
      </c>
      <c r="U12" s="92"/>
      <c r="V12" s="272">
        <v>336.65967412085306919960376833</v>
      </c>
      <c r="W12" s="271">
        <v>0</v>
      </c>
      <c r="X12" s="92"/>
      <c r="Y12" s="272">
        <v>98.17292391261142065959370144</v>
      </c>
      <c r="Z12" s="271">
        <v>115.29541176373315822828155812</v>
      </c>
      <c r="AA12" s="92"/>
      <c r="AB12" s="272">
        <v>134.48325989837705085625640024</v>
      </c>
    </row>
    <row r="13" ht="18" customHeight="1">
      <c r="A13" s="58"/>
      <c r="B13" s="288"/>
      <c r="C13" s="289" t="s">
        <v>227</v>
      </c>
      <c r="D13" s="439">
        <v>175.99040404040404040404040404</v>
      </c>
      <c r="E13" s="95">
        <v>153.25109729146028751038640647</v>
      </c>
      <c r="F13" s="440">
        <v>111.85554816878706044641896107</v>
      </c>
      <c r="G13" s="439">
        <v>20.46969696969696969696969697</v>
      </c>
      <c r="H13" s="95">
        <v>10.989551587116665312506091601</v>
      </c>
      <c r="I13" s="440">
        <v>19.715715363537914386385547091</v>
      </c>
      <c r="J13" s="439">
        <v>0</v>
      </c>
      <c r="K13" s="95">
        <v>0</v>
      </c>
      <c r="L13" s="440">
        <v>7.7508569326274732122817898321</v>
      </c>
      <c r="M13" s="439">
        <v>196.46010101010101010101010101</v>
      </c>
      <c r="N13" s="95">
        <v>164.24064887857695282289249807</v>
      </c>
      <c r="O13" s="440">
        <v>139.32212046495244804508629799</v>
      </c>
      <c r="P13" s="5"/>
      <c r="Q13" s="420">
        <v>173.70202805661592597828989742</v>
      </c>
      <c r="R13" s="91"/>
      <c r="S13" s="421">
        <v>170.60658529534769420730412557</v>
      </c>
      <c r="T13" s="420">
        <v>1605.8080808080808080808080808</v>
      </c>
      <c r="U13" s="91"/>
      <c r="V13" s="421">
        <v>644.31826492023923809842589230</v>
      </c>
      <c r="W13" s="420">
        <v>0</v>
      </c>
      <c r="X13" s="91"/>
      <c r="Y13" s="421">
        <v>124.60021867380288950040377967</v>
      </c>
      <c r="Z13" s="420">
        <v>199.93908551160459557406122292</v>
      </c>
      <c r="AA13" s="91"/>
      <c r="AB13" s="421">
        <v>193.71225252899554154277850490</v>
      </c>
    </row>
    <row r="14" ht="18" customHeight="1">
      <c r="A14" s="58"/>
      <c r="B14" s="286"/>
      <c r="C14" s="287" t="s">
        <v>229</v>
      </c>
      <c r="D14" s="276">
        <v>294.69379276637341153470185728</v>
      </c>
      <c r="E14" s="94">
        <v>261.03045961890267827041564573</v>
      </c>
      <c r="F14" s="277">
        <v>169.97643892281086532731333534</v>
      </c>
      <c r="G14" s="276">
        <v>20.797653958944281524926686217</v>
      </c>
      <c r="H14" s="94">
        <v>8.704887286269090309780447368</v>
      </c>
      <c r="I14" s="277">
        <v>19.962525990376757109774919755</v>
      </c>
      <c r="J14" s="276">
        <v>0</v>
      </c>
      <c r="K14" s="94">
        <v>0</v>
      </c>
      <c r="L14" s="277">
        <v>8.517394740955863753834919278</v>
      </c>
      <c r="M14" s="276">
        <v>315.4914467253176930596285435</v>
      </c>
      <c r="N14" s="94">
        <v>269.73534690517176858019609311</v>
      </c>
      <c r="O14" s="277">
        <v>198.45635965414348619092317437</v>
      </c>
      <c r="P14" s="5"/>
      <c r="Q14" s="271">
        <v>163.98403688234256721753692299</v>
      </c>
      <c r="R14" s="92">
        <v>134.11418402769026376067891194</v>
      </c>
      <c r="S14" s="272">
        <v>158.37193073078462021534450322</v>
      </c>
      <c r="T14" s="271">
        <v>206.62583318182707424556423168</v>
      </c>
      <c r="U14" s="92">
        <v>0</v>
      </c>
      <c r="V14" s="272">
        <v>1188.2819744273703536920665960</v>
      </c>
      <c r="W14" s="271">
        <v>0</v>
      </c>
      <c r="X14" s="92">
        <v>0</v>
      </c>
      <c r="Y14" s="272">
        <v>115.46208576879120164566522630</v>
      </c>
      <c r="Z14" s="271">
        <v>166.42651653680275745749143577</v>
      </c>
      <c r="AA14" s="92">
        <v>141.92146286807247878388365785</v>
      </c>
      <c r="AB14" s="272">
        <v>178.37844677258443545282236254</v>
      </c>
    </row>
    <row r="15" ht="18" customHeight="1">
      <c r="A15" s="58"/>
      <c r="B15" s="288">
        <v>2022</v>
      </c>
      <c r="C15" s="289" t="s">
        <v>230</v>
      </c>
      <c r="D15" s="439">
        <v>222.77077223851417399804496579</v>
      </c>
      <c r="E15" s="95">
        <v>192.89664264191565356993818508</v>
      </c>
      <c r="F15" s="440">
        <v>127.65197741353494157628982166</v>
      </c>
      <c r="G15" s="439">
        <v>27.721896383186705767350928641</v>
      </c>
      <c r="H15" s="95">
        <v>2.4610337347706517373801861476</v>
      </c>
      <c r="I15" s="440">
        <v>22.468223925853361248139857797</v>
      </c>
      <c r="J15" s="439">
        <v>0</v>
      </c>
      <c r="K15" s="95">
        <v>0.0926288690176440445055660667</v>
      </c>
      <c r="L15" s="440">
        <v>10.034407664175576080001893309</v>
      </c>
      <c r="M15" s="439">
        <v>250.49266862170087976539589443</v>
      </c>
      <c r="N15" s="95">
        <v>195.45030524570394935182393729</v>
      </c>
      <c r="O15" s="440">
        <v>160.15460900356387890443157276</v>
      </c>
      <c r="P15" s="5"/>
      <c r="Q15" s="420">
        <v>59.653992934841792260587284550</v>
      </c>
      <c r="R15" s="91">
        <v>73.262168818682326495093364870</v>
      </c>
      <c r="S15" s="421">
        <v>75.994294191396315734987111410</v>
      </c>
      <c r="T15" s="420">
        <v>669.01904955114518607697608194</v>
      </c>
      <c r="U15" s="91">
        <v>262.47577347293051362474867073</v>
      </c>
      <c r="V15" s="421">
        <v>588.62286562254353521272028345</v>
      </c>
      <c r="W15" s="420">
        <v>0</v>
      </c>
      <c r="X15" s="91">
        <v>0</v>
      </c>
      <c r="Y15" s="421">
        <v>161.96438636573686989712962451</v>
      </c>
      <c r="Z15" s="420">
        <v>75.000426823618269348541443790</v>
      </c>
      <c r="AA15" s="91">
        <v>74.491775462724170602138655140</v>
      </c>
      <c r="AB15" s="421">
        <v>101.13581470712041369404969461</v>
      </c>
    </row>
    <row r="16" ht="18" customHeight="1">
      <c r="A16" s="58"/>
      <c r="B16" s="286"/>
      <c r="C16" s="287" t="s">
        <v>231</v>
      </c>
      <c r="D16" s="276">
        <v>326.9672619047619047619047619</v>
      </c>
      <c r="E16" s="94">
        <v>298.93568420615230158829939704</v>
      </c>
      <c r="F16" s="277">
        <v>187.98262669311356633288206458</v>
      </c>
      <c r="G16" s="276">
        <v>20.860930735930735930735930736</v>
      </c>
      <c r="H16" s="94">
        <v>13.071179111604707757494995471</v>
      </c>
      <c r="I16" s="277">
        <v>41.388751133942608809826396802</v>
      </c>
      <c r="J16" s="276">
        <v>0</v>
      </c>
      <c r="K16" s="94">
        <v>0</v>
      </c>
      <c r="L16" s="277">
        <v>10.079113793433080162062453608</v>
      </c>
      <c r="M16" s="276">
        <v>347.82819264069264069264069264</v>
      </c>
      <c r="N16" s="94">
        <v>312.00686331775700934579439252</v>
      </c>
      <c r="O16" s="277">
        <v>239.45049162048925530477091499</v>
      </c>
      <c r="P16" s="5"/>
      <c r="Q16" s="271">
        <v>81.58924833621809744946327717</v>
      </c>
      <c r="R16" s="92">
        <v>51.628524576942613489845232470</v>
      </c>
      <c r="S16" s="272">
        <v>82.18476486010303187669083263</v>
      </c>
      <c r="T16" s="271">
        <v>278.11779707044891324152005382</v>
      </c>
      <c r="U16" s="92">
        <v>0</v>
      </c>
      <c r="V16" s="272">
        <v>410.79499511932112797493650473</v>
      </c>
      <c r="W16" s="271">
        <v>0</v>
      </c>
      <c r="X16" s="92">
        <v>0</v>
      </c>
      <c r="Y16" s="272">
        <v>129.40193562299211642606775372</v>
      </c>
      <c r="Z16" s="271">
        <v>87.43191308197637322132585219</v>
      </c>
      <c r="AA16" s="92">
        <v>58.258591537455664127082316770</v>
      </c>
      <c r="AB16" s="272">
        <v>106.99588368026483219268363383</v>
      </c>
    </row>
    <row r="17" ht="18" customHeight="1">
      <c r="A17" s="58"/>
      <c r="B17" s="288"/>
      <c r="C17" s="289" t="s">
        <v>232</v>
      </c>
      <c r="D17" s="439">
        <v>263.53054740957966764418377322</v>
      </c>
      <c r="E17" s="95">
        <v>307.98506308385754173182878293</v>
      </c>
      <c r="F17" s="440">
        <v>195.74689603890865548012030265</v>
      </c>
      <c r="G17" s="439">
        <v>52.743401759530791788856304985</v>
      </c>
      <c r="H17" s="95">
        <v>11.774946714152708494279145906</v>
      </c>
      <c r="I17" s="440">
        <v>44.741057650820782514509176588</v>
      </c>
      <c r="J17" s="439">
        <v>0</v>
      </c>
      <c r="K17" s="95">
        <v>0</v>
      </c>
      <c r="L17" s="440">
        <v>10.189568689445909426327960257</v>
      </c>
      <c r="M17" s="439">
        <v>316.2739491691104594330400782</v>
      </c>
      <c r="N17" s="95">
        <v>319.76000979801025022610792885</v>
      </c>
      <c r="O17" s="440">
        <v>250.6775223791753474209574395</v>
      </c>
      <c r="P17" s="5"/>
      <c r="Q17" s="420">
        <v>25.656705721969673970052021350</v>
      </c>
      <c r="R17" s="91">
        <v>30.384741267764480980978435380</v>
      </c>
      <c r="S17" s="421">
        <v>51.407482053746020177416979910</v>
      </c>
      <c r="T17" s="420">
        <v>2500.3132529991406137321006514</v>
      </c>
      <c r="U17" s="91">
        <v>0</v>
      </c>
      <c r="V17" s="421">
        <v>473.50512197688370619650284051</v>
      </c>
      <c r="W17" s="420">
        <v>0</v>
      </c>
      <c r="X17" s="91">
        <v>0</v>
      </c>
      <c r="Y17" s="421">
        <v>119.26106562751782194825725989</v>
      </c>
      <c r="Z17" s="420">
        <v>49.361269958515153617240792630</v>
      </c>
      <c r="AA17" s="91">
        <v>35.369636851315860346225103420</v>
      </c>
      <c r="AB17" s="421">
        <v>76.865537608195404066443804130</v>
      </c>
    </row>
    <row r="18" ht="18" customHeight="1">
      <c r="A18" s="58"/>
      <c r="B18" s="286"/>
      <c r="C18" s="287" t="s">
        <v>233</v>
      </c>
      <c r="D18" s="276">
        <v>278.53409090909090909090909091</v>
      </c>
      <c r="E18" s="94">
        <v>314.34878905928077920093764618</v>
      </c>
      <c r="F18" s="277">
        <v>174.09868441323485911629479135</v>
      </c>
      <c r="G18" s="276">
        <v>43.618686868686868686868686869</v>
      </c>
      <c r="H18" s="94">
        <v>12.864954710189625783486029819</v>
      </c>
      <c r="I18" s="277">
        <v>42.9078337158902768699187793</v>
      </c>
      <c r="J18" s="276">
        <v>0</v>
      </c>
      <c r="K18" s="94">
        <v>0</v>
      </c>
      <c r="L18" s="277">
        <v>9.218385269660448746851645022</v>
      </c>
      <c r="M18" s="276">
        <v>322.15277777777777777777777778</v>
      </c>
      <c r="N18" s="94">
        <v>327.21374376947040498442367601</v>
      </c>
      <c r="O18" s="277">
        <v>226.22490339878558473306521568</v>
      </c>
      <c r="P18" s="5"/>
      <c r="Q18" s="271">
        <v>39.017796375176092111873900510</v>
      </c>
      <c r="R18" s="92">
        <v>46.443257146872216288878848970</v>
      </c>
      <c r="S18" s="272">
        <v>29.406368660166475078887183390</v>
      </c>
      <c r="T18" s="271">
        <v>164.89893568014807474429680540</v>
      </c>
      <c r="U18" s="92">
        <v>1707.8039439860288585232339396</v>
      </c>
      <c r="V18" s="272">
        <v>561.91721633974484477590315329</v>
      </c>
      <c r="W18" s="271">
        <v>0</v>
      </c>
      <c r="X18" s="92">
        <v>0</v>
      </c>
      <c r="Y18" s="272">
        <v>87.13014727460973576075960608</v>
      </c>
      <c r="Z18" s="271">
        <v>48.577494741631318605552856180</v>
      </c>
      <c r="AA18" s="92">
        <v>51.932861461543304510373657850</v>
      </c>
      <c r="AB18" s="272">
        <v>55.007002557277757761375303080</v>
      </c>
    </row>
    <row r="19" ht="18" customHeight="1">
      <c r="A19" s="58"/>
      <c r="B19" s="288"/>
      <c r="C19" s="289" t="s">
        <v>234</v>
      </c>
      <c r="D19" s="439">
        <v>205.68132942326490713587487781</v>
      </c>
      <c r="E19" s="95">
        <v>216.47892115677993379741612908</v>
      </c>
      <c r="F19" s="440">
        <v>132.81405220753270760081022695</v>
      </c>
      <c r="G19" s="439">
        <v>71.051075268817204301075268817</v>
      </c>
      <c r="H19" s="95">
        <v>9.360266362062393606864847705</v>
      </c>
      <c r="I19" s="440">
        <v>43.583669628326800344247155371</v>
      </c>
      <c r="J19" s="439">
        <v>0</v>
      </c>
      <c r="K19" s="95">
        <v>0</v>
      </c>
      <c r="L19" s="440">
        <v>9.107565747828866978862276835</v>
      </c>
      <c r="M19" s="439">
        <v>276.73240469208211143695014663</v>
      </c>
      <c r="N19" s="95">
        <v>225.83918751884232740428097679</v>
      </c>
      <c r="O19" s="440">
        <v>185.50528758368837492391965916</v>
      </c>
      <c r="P19" s="5"/>
      <c r="Q19" s="420">
        <v>-16.365276875175874008980310210</v>
      </c>
      <c r="R19" s="91">
        <v>-8.279763789537474794239866670</v>
      </c>
      <c r="S19" s="421">
        <v>-10.835596440508548085878803690</v>
      </c>
      <c r="T19" s="420">
        <v>2495.9017857505356285081592654</v>
      </c>
      <c r="U19" s="91">
        <v>816.0537644643309114243665569</v>
      </c>
      <c r="V19" s="421">
        <v>349.85458660310474784365230198</v>
      </c>
      <c r="W19" s="420">
        <v>0</v>
      </c>
      <c r="X19" s="91">
        <v>0</v>
      </c>
      <c r="Y19" s="421">
        <v>75.087046511862737837669221360</v>
      </c>
      <c r="Z19" s="420">
        <v>11.287146032878493029340349550</v>
      </c>
      <c r="AA19" s="91">
        <v>-4.7263676298968609271910856800</v>
      </c>
      <c r="AB19" s="421">
        <v>13.220507956712946817610200570</v>
      </c>
    </row>
    <row r="20" ht="18" customHeight="1">
      <c r="A20" s="58"/>
      <c r="B20" s="286"/>
      <c r="C20" s="287" t="s">
        <v>235</v>
      </c>
      <c r="D20" s="276">
        <v>150.34343434343434343434343434</v>
      </c>
      <c r="E20" s="94">
        <v>137.23794604003481288076588338</v>
      </c>
      <c r="F20" s="277">
        <v>100.95856351873709262764551791</v>
      </c>
      <c r="G20" s="276">
        <v>21.965909090909090909090909091</v>
      </c>
      <c r="H20" s="94">
        <v>6.0121845082680591818973020019</v>
      </c>
      <c r="I20" s="277">
        <v>25.811797203127335794694711673</v>
      </c>
      <c r="J20" s="276">
        <v>0</v>
      </c>
      <c r="K20" s="94">
        <v>0</v>
      </c>
      <c r="L20" s="277">
        <v>9.463055158638716231747820727</v>
      </c>
      <c r="M20" s="276">
        <v>172.30934343434343434343434343</v>
      </c>
      <c r="N20" s="94">
        <v>143.25013054830287206266318538</v>
      </c>
      <c r="O20" s="277">
        <v>136.23341588050314465408805031</v>
      </c>
      <c r="P20" s="5"/>
      <c r="Q20" s="271">
        <v>-26.739530087547762739283915830</v>
      </c>
      <c r="R20" s="92">
        <v>-35.605173295488478642285030730</v>
      </c>
      <c r="S20" s="272">
        <v>-21.278538866018282672966192170</v>
      </c>
      <c r="T20" s="271">
        <v>308.34193972343284319255205523</v>
      </c>
      <c r="U20" s="92">
        <v>289.77949668733066029487118326</v>
      </c>
      <c r="V20" s="272">
        <v>109.20498866991831880357833902</v>
      </c>
      <c r="W20" s="271">
        <v>0</v>
      </c>
      <c r="X20" s="92">
        <v>0</v>
      </c>
      <c r="Y20" s="272">
        <v>70.946250398782462871283412450</v>
      </c>
      <c r="Z20" s="271">
        <v>-18.180520981732806616930937140</v>
      </c>
      <c r="AA20" s="92">
        <v>-33.267115353742014090640336050</v>
      </c>
      <c r="AB20" s="272">
        <v>-6.7670663125032874701336255900</v>
      </c>
    </row>
    <row r="21" ht="18" customHeight="1">
      <c r="A21" s="58"/>
      <c r="B21" s="288"/>
      <c r="C21" s="289" t="s">
        <v>218</v>
      </c>
      <c r="D21" s="439">
        <v>183.30718475073313782991202346</v>
      </c>
      <c r="E21" s="95">
        <v>182.04236502989977259327886803</v>
      </c>
      <c r="F21" s="440">
        <v>113.27942477302715764590755596</v>
      </c>
      <c r="G21" s="439">
        <v>11.89418377321603128054740958</v>
      </c>
      <c r="H21" s="95">
        <v>0.1949802071927903646930009265</v>
      </c>
      <c r="I21" s="440">
        <v>13.812352611983592683808954826</v>
      </c>
      <c r="J21" s="439">
        <v>0</v>
      </c>
      <c r="K21" s="95">
        <v>0</v>
      </c>
      <c r="L21" s="440">
        <v>9.672890904703187588725363833</v>
      </c>
      <c r="M21" s="439">
        <v>195.20136852394916911045943304</v>
      </c>
      <c r="N21" s="95">
        <v>182.23734523709256295797186895</v>
      </c>
      <c r="O21" s="440">
        <v>136.76466828971393791844187462</v>
      </c>
      <c r="P21" s="5"/>
      <c r="Q21" s="420">
        <v>-19.674776723571934705320571070</v>
      </c>
      <c r="R21" s="91">
        <v>-16.479225421990569564467771630</v>
      </c>
      <c r="S21" s="421">
        <v>-15.997380818973757826131979060</v>
      </c>
      <c r="T21" s="420">
        <v>187.28013221508966748316918132</v>
      </c>
      <c r="U21" s="91">
        <v>-96.22634235354168263514338783</v>
      </c>
      <c r="V21" s="421">
        <v>24.902783436705229507982710740</v>
      </c>
      <c r="W21" s="420">
        <v>0</v>
      </c>
      <c r="X21" s="91">
        <v>0</v>
      </c>
      <c r="Y21" s="421">
        <v>117.06356058664908739501347415</v>
      </c>
      <c r="Z21" s="420">
        <v>-15.986966243928251136143642570</v>
      </c>
      <c r="AA21" s="91">
        <v>-18.325898452686591855020899340</v>
      </c>
      <c r="AB21" s="421">
        <v>-9.046078731703708177476801750</v>
      </c>
    </row>
    <row r="22" ht="18" customHeight="1">
      <c r="A22" s="58"/>
      <c r="B22" s="286"/>
      <c r="C22" s="287" t="s">
        <v>221</v>
      </c>
      <c r="D22" s="276">
        <v>150.87096774193548387096774194</v>
      </c>
      <c r="E22" s="94">
        <v>152.09139784946236559139784945</v>
      </c>
      <c r="F22" s="277">
        <v>98.03486790377467052079598822</v>
      </c>
      <c r="G22" s="276">
        <v>2.5843108504398826979472140762</v>
      </c>
      <c r="H22" s="94">
        <v>1.2200940860215053763440860214</v>
      </c>
      <c r="I22" s="277">
        <v>10.720415696650368572511915858</v>
      </c>
      <c r="J22" s="276">
        <v>0</v>
      </c>
      <c r="K22" s="94">
        <v>0</v>
      </c>
      <c r="L22" s="277">
        <v>9.91232519446236200224900402</v>
      </c>
      <c r="M22" s="276">
        <v>153.45527859237536656891495601</v>
      </c>
      <c r="N22" s="94">
        <v>153.31149193548387096774193548</v>
      </c>
      <c r="O22" s="277">
        <v>118.66760879488740109555690809</v>
      </c>
      <c r="P22" s="5"/>
      <c r="Q22" s="271">
        <v>15.970440277547806455943263370</v>
      </c>
      <c r="R22" s="92">
        <v>15.474518270564305743792040100</v>
      </c>
      <c r="S22" s="272">
        <v>14.889125437215140669311705490</v>
      </c>
      <c r="T22" s="271">
        <v>122.96015180090783941661527058</v>
      </c>
      <c r="U22" s="92">
        <v>-22.999108212729806865491695470</v>
      </c>
      <c r="V22" s="272">
        <v>43.289625357456741193759548590</v>
      </c>
      <c r="W22" s="271">
        <v>0</v>
      </c>
      <c r="X22" s="92">
        <v>0</v>
      </c>
      <c r="Y22" s="272">
        <v>104.63000575635053130536982316</v>
      </c>
      <c r="Z22" s="271">
        <v>16.915259854487888951753103750</v>
      </c>
      <c r="AA22" s="92">
        <v>15.017168302994242191343567050</v>
      </c>
      <c r="AB22" s="272">
        <v>21.516384621957866693046008800</v>
      </c>
    </row>
    <row r="23" ht="18" customHeight="1">
      <c r="A23" s="58"/>
      <c r="B23" s="288"/>
      <c r="C23" s="289" t="s">
        <v>222</v>
      </c>
      <c r="D23" s="439">
        <v>117.33434343434343434343434343</v>
      </c>
      <c r="E23" s="95">
        <v>115.21692708333333333333333333</v>
      </c>
      <c r="F23" s="440">
        <v>87.97410160745096058380324917</v>
      </c>
      <c r="G23" s="439">
        <v>7.4383838383838383838383838384</v>
      </c>
      <c r="H23" s="95">
        <v>7.941319444444444444444444444</v>
      </c>
      <c r="I23" s="440">
        <v>17.98298723040530396300642378</v>
      </c>
      <c r="J23" s="439">
        <v>0</v>
      </c>
      <c r="K23" s="95">
        <v>0</v>
      </c>
      <c r="L23" s="440">
        <v>8.022636004911031050674603779</v>
      </c>
      <c r="M23" s="439">
        <v>124.77272727272727272727272727</v>
      </c>
      <c r="N23" s="95">
        <v>123.15824652777777777777777778</v>
      </c>
      <c r="O23" s="440">
        <v>113.97972484276729559748427673</v>
      </c>
      <c r="P23" s="5"/>
      <c r="Q23" s="420">
        <v>11.280514821176822844962875800</v>
      </c>
      <c r="R23" s="91">
        <v>19.505203342012719822031358690</v>
      </c>
      <c r="S23" s="421">
        <v>24.504248068119194990477662890</v>
      </c>
      <c r="T23" s="420">
        <v>172.46323188850219281748714922</v>
      </c>
      <c r="U23" s="91">
        <v>217.93696125404228902090368310</v>
      </c>
      <c r="V23" s="421">
        <v>96.60803862922281736909888256</v>
      </c>
      <c r="W23" s="420">
        <v>0</v>
      </c>
      <c r="X23" s="91">
        <v>0</v>
      </c>
      <c r="Y23" s="421">
        <v>40.053672268407241704394502100</v>
      </c>
      <c r="Z23" s="420">
        <v>15.348520149224526415444220890</v>
      </c>
      <c r="AA23" s="91">
        <v>24.516212926027909901156641100</v>
      </c>
      <c r="AB23" s="421">
        <v>33.256013762154896470382055660</v>
      </c>
    </row>
    <row r="24" ht="18" customHeight="1">
      <c r="A24" s="59"/>
      <c r="B24" s="286"/>
      <c r="C24" s="287" t="s">
        <v>224</v>
      </c>
      <c r="D24" s="276">
        <v>143.46969696969696969696969697</v>
      </c>
      <c r="E24" s="94">
        <v>165.10542674731182795698924731</v>
      </c>
      <c r="F24" s="277">
        <v>104.31188086803400525099416729</v>
      </c>
      <c r="G24" s="276">
        <v>14.04863147605083088954056696</v>
      </c>
      <c r="H24" s="94">
        <v>15.838541666666666666666666667</v>
      </c>
      <c r="I24" s="277">
        <v>29.876421881376158542967371541</v>
      </c>
      <c r="J24" s="276">
        <v>0</v>
      </c>
      <c r="K24" s="94">
        <v>0</v>
      </c>
      <c r="L24" s="277">
        <v>8.06133867969932492389548173</v>
      </c>
      <c r="M24" s="276">
        <v>157.51832844574780058651026393</v>
      </c>
      <c r="N24" s="94">
        <v>180.94396841397849462365591398</v>
      </c>
      <c r="O24" s="277">
        <v>142.24964142910948871785702057</v>
      </c>
      <c r="P24" s="93"/>
      <c r="Q24" s="271">
        <v>8.766690319193579232236938600</v>
      </c>
      <c r="R24" s="92">
        <v>59.942776754294920581988433160</v>
      </c>
      <c r="S24" s="272">
        <v>21.585874550671890784831743710</v>
      </c>
      <c r="T24" s="271">
        <v>257.17303510207234711654634910</v>
      </c>
      <c r="U24" s="92">
        <v>352.06098702185922474353937100</v>
      </c>
      <c r="V24" s="272">
        <v>130.78455243709797144422957980</v>
      </c>
      <c r="W24" s="271">
        <v>0</v>
      </c>
      <c r="X24" s="92">
        <v>-100</v>
      </c>
      <c r="Y24" s="272">
        <v>24.653791162622764731629044870</v>
      </c>
      <c r="Z24" s="271">
        <v>15.959406606747477838533219660</v>
      </c>
      <c r="AA24" s="92">
        <v>69.046589395604341736591955810</v>
      </c>
      <c r="AB24" s="272">
        <v>35.211433286574091525649596850</v>
      </c>
    </row>
    <row r="25" ht="18" customHeight="1">
      <c r="A25" s="60"/>
      <c r="B25" s="288"/>
      <c r="C25" s="289" t="s">
        <v>227</v>
      </c>
      <c r="D25" s="439">
        <v>194.53737373737373737373737374</v>
      </c>
      <c r="E25" s="95">
        <v>219.80746527777777777777777778</v>
      </c>
      <c r="F25" s="440">
        <v>119.33979207240729920296512139</v>
      </c>
      <c r="G25" s="439">
        <v>32.810606060606060606060606061</v>
      </c>
      <c r="H25" s="95">
        <v>19.224131944444444444444444444</v>
      </c>
      <c r="I25" s="440">
        <v>38.770858564190284516879349801</v>
      </c>
      <c r="J25" s="439">
        <v>0</v>
      </c>
      <c r="K25" s="95">
        <v>0</v>
      </c>
      <c r="L25" s="440">
        <v>9.582308438765076971274764575</v>
      </c>
      <c r="M25" s="439">
        <v>227.3479797979797979797979798</v>
      </c>
      <c r="N25" s="95">
        <v>239.03159722222222222222222222</v>
      </c>
      <c r="O25" s="440">
        <v>167.69295907536266069111923576</v>
      </c>
      <c r="P25" s="93"/>
      <c r="Q25" s="420">
        <v>10.538625556377569682129279950</v>
      </c>
      <c r="R25" s="91">
        <v>43.429619208324778115951137090</v>
      </c>
      <c r="S25" s="421">
        <v>6.6909903229054919456481952800</v>
      </c>
      <c r="T25" s="420">
        <v>60.288675055490704859355219730</v>
      </c>
      <c r="U25" s="91">
        <v>74.930995064535142705635759090</v>
      </c>
      <c r="V25" s="421">
        <v>96.64951460989012526265846545</v>
      </c>
      <c r="W25" s="420">
        <v>0</v>
      </c>
      <c r="X25" s="91">
        <v>0</v>
      </c>
      <c r="Y25" s="421">
        <v>23.629019630874833614971898350</v>
      </c>
      <c r="Z25" s="420">
        <v>15.722214652781764730878877820</v>
      </c>
      <c r="AA25" s="91">
        <v>45.537416500895978470171498220</v>
      </c>
      <c r="AB25" s="421">
        <v>20.363484646711130353107230650</v>
      </c>
    </row>
    <row r="26" ht="18" customHeight="1">
      <c r="A26" s="60"/>
      <c r="B26" s="290"/>
      <c r="C26" s="291" t="s">
        <v>229</v>
      </c>
      <c r="D26" s="443">
        <v>254.86779081133919843597262952</v>
      </c>
      <c r="E26" s="444">
        <v>259.57283266129032258064516129</v>
      </c>
      <c r="F26" s="445">
        <v>153.16088364434369263988559124</v>
      </c>
      <c r="G26" s="443">
        <v>21.186461388074291300097751711</v>
      </c>
      <c r="H26" s="444">
        <v>6.9663978494623655913978494624</v>
      </c>
      <c r="I26" s="445">
        <v>24.495858707018069602499247198</v>
      </c>
      <c r="J26" s="443">
        <v>0</v>
      </c>
      <c r="K26" s="444">
        <v>0</v>
      </c>
      <c r="L26" s="445">
        <v>10.980235533279229353550470435</v>
      </c>
      <c r="M26" s="443">
        <v>276.05425219941348973607038123</v>
      </c>
      <c r="N26" s="444">
        <v>266.53923051075268817204301075</v>
      </c>
      <c r="O26" s="445">
        <v>188.63697788464099159593530887</v>
      </c>
      <c r="P26" s="184"/>
      <c r="Q26" s="273">
        <v>-13.514367432445502469819601610</v>
      </c>
      <c r="R26" s="274">
        <v>-0.5584125928206952593174407100</v>
      </c>
      <c r="S26" s="275">
        <v>-9.892874203638073771696677160</v>
      </c>
      <c r="T26" s="273">
        <v>1.8694773455825666160817301300</v>
      </c>
      <c r="U26" s="274">
        <v>-19.971418120183114732194605850</v>
      </c>
      <c r="V26" s="275">
        <v>22.709213847977726525716780250</v>
      </c>
      <c r="W26" s="273">
        <v>0</v>
      </c>
      <c r="X26" s="274">
        <v>0</v>
      </c>
      <c r="Y26" s="275">
        <v>28.915423872794172209782174690</v>
      </c>
      <c r="Z26" s="273">
        <v>-12.500242062100870585097259470</v>
      </c>
      <c r="AA26" s="274">
        <v>-1.1849082558581411484459643500</v>
      </c>
      <c r="AB26" s="275">
        <v>-4.9478796177526001191752861600</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973" t="s">
        <v>59</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9"/>
    </row>
    <row r="29" ht="18" customHeight="1">
      <c r="A29" s="58"/>
      <c r="B29" s="284">
        <v>2020</v>
      </c>
      <c r="C29" s="285"/>
      <c r="D29" s="454">
        <v>86.5236462990561351217088922</v>
      </c>
      <c r="E29" s="455"/>
      <c r="F29" s="456">
        <v>56.873507471431374761098242472</v>
      </c>
      <c r="G29" s="454">
        <v>14.930178837555886736214605067</v>
      </c>
      <c r="H29" s="455"/>
      <c r="I29" s="456">
        <v>20.115074663611238566885227929</v>
      </c>
      <c r="J29" s="454">
        <v>0</v>
      </c>
      <c r="K29" s="455"/>
      <c r="L29" s="456">
        <v>4.796172566703160913165696184</v>
      </c>
      <c r="M29" s="454">
        <v>101.45382513661202185792349727</v>
      </c>
      <c r="N29" s="455"/>
      <c r="O29" s="456">
        <v>81.78475470174577424114916658</v>
      </c>
      <c r="P29" s="5"/>
      <c r="Q29" s="427">
        <v>-26.764519675259238745284952550</v>
      </c>
      <c r="R29" s="428"/>
      <c r="S29" s="429">
        <v>-47.582476468031892116369312830</v>
      </c>
      <c r="T29" s="427">
        <v>11.052345660055744193240182380</v>
      </c>
      <c r="U29" s="428"/>
      <c r="V29" s="429">
        <v>-30.624733041570802859774709760</v>
      </c>
      <c r="W29" s="427">
        <v>0</v>
      </c>
      <c r="X29" s="428"/>
      <c r="Y29" s="429">
        <v>-37.004917364539613007609552390</v>
      </c>
      <c r="Z29" s="427">
        <v>-22.900812766146078637758322040</v>
      </c>
      <c r="AA29" s="428"/>
      <c r="AB29" s="429">
        <v>-43.639127790874194778625398270</v>
      </c>
    </row>
    <row r="30" ht="18" customHeight="1">
      <c r="A30" s="58"/>
      <c r="B30" s="286">
        <v>2021</v>
      </c>
      <c r="C30" s="287"/>
      <c r="D30" s="276">
        <v>187.49169779991697799916977999</v>
      </c>
      <c r="E30" s="94">
        <v>180.70391963031228726267051127</v>
      </c>
      <c r="F30" s="277">
        <v>114.9673730686143319245193151</v>
      </c>
      <c r="G30" s="276">
        <v>7.386986301369863013698630137</v>
      </c>
      <c r="H30" s="94">
        <v>3.2683989172939927820980129403</v>
      </c>
      <c r="I30" s="277">
        <v>10.862933429380819494292622578</v>
      </c>
      <c r="J30" s="276">
        <v>0</v>
      </c>
      <c r="K30" s="94">
        <v>0.0297286261773506958700424274</v>
      </c>
      <c r="L30" s="277">
        <v>5.5800344312220502350418633236</v>
      </c>
      <c r="M30" s="276">
        <v>194.87868410128684101286841013</v>
      </c>
      <c r="N30" s="94">
        <v>184.00204717378363074063856664</v>
      </c>
      <c r="O30" s="277">
        <v>131.41034092921720165385380101</v>
      </c>
      <c r="P30" s="5"/>
      <c r="Q30" s="271">
        <v>116.69417069154103083077492686</v>
      </c>
      <c r="R30" s="92"/>
      <c r="S30" s="272">
        <v>102.14574092591003610834022401</v>
      </c>
      <c r="T30" s="271">
        <v>-50.523122450706638187318117750</v>
      </c>
      <c r="U30" s="92"/>
      <c r="V30" s="272">
        <v>-45.996057131031908628223946700</v>
      </c>
      <c r="W30" s="271">
        <v>0</v>
      </c>
      <c r="X30" s="92"/>
      <c r="Y30" s="272">
        <v>16.343487512614362059081149190</v>
      </c>
      <c r="Z30" s="271">
        <v>92.08608826616171883247526863</v>
      </c>
      <c r="AA30" s="92"/>
      <c r="AB30" s="272">
        <v>60.678284612481292696769094830</v>
      </c>
    </row>
    <row r="31" ht="18" customHeight="1">
      <c r="A31" s="58"/>
      <c r="B31" s="425">
        <v>2022</v>
      </c>
      <c r="C31" s="426"/>
      <c r="D31" s="457">
        <v>206.9507056870070568700705687</v>
      </c>
      <c r="E31" s="458">
        <v>212.92883948289453092425699224</v>
      </c>
      <c r="F31" s="459">
        <v>132.59173095822819947202394618</v>
      </c>
      <c r="G31" s="457">
        <v>27.38970527189705271897052719</v>
      </c>
      <c r="H31" s="458">
        <v>8.849467359235036849133978114</v>
      </c>
      <c r="I31" s="459">
        <v>29.591204754376580955888437289</v>
      </c>
      <c r="J31" s="457">
        <v>0</v>
      </c>
      <c r="K31" s="458">
        <v>0.0078594120092733475887771583</v>
      </c>
      <c r="L31" s="459">
        <v>9.527091376272350686651316141</v>
      </c>
      <c r="M31" s="457">
        <v>234.34041095890410958904109589</v>
      </c>
      <c r="N31" s="458">
        <v>221.78616625413884112097974751</v>
      </c>
      <c r="O31" s="459">
        <v>171.71002708887713111456369961</v>
      </c>
      <c r="P31" s="93"/>
      <c r="Q31" s="430">
        <v>10.378597087469243380630391810</v>
      </c>
      <c r="R31" s="431">
        <v>17.832994391335346343910949840</v>
      </c>
      <c r="S31" s="432">
        <v>15.329877876840678310107373560</v>
      </c>
      <c r="T31" s="430">
        <v>270.78321462036673486568389740</v>
      </c>
      <c r="U31" s="431">
        <v>170.75848399024424830218010285</v>
      </c>
      <c r="V31" s="432">
        <v>172.40528487719005256899174061</v>
      </c>
      <c r="W31" s="430">
        <v>0</v>
      </c>
      <c r="X31" s="431">
        <v>-73.562814654135119137199961500</v>
      </c>
      <c r="Y31" s="432">
        <v>70.735351076024211444498660620</v>
      </c>
      <c r="Z31" s="430">
        <v>20.249380808160366492609650750</v>
      </c>
      <c r="AA31" s="431">
        <v>20.534618859240013532904122520</v>
      </c>
      <c r="AB31" s="432">
        <v>30.667058524252218894808491960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9"/>
    </row>
    <row r="34" ht="18" customHeight="1">
      <c r="A34" s="58"/>
      <c r="B34" s="284">
        <v>2020</v>
      </c>
      <c r="C34" s="285"/>
      <c r="D34" s="454">
        <v>79.189476284584980237154150198</v>
      </c>
      <c r="E34" s="455"/>
      <c r="F34" s="456">
        <v>48.830017052287233944544979412</v>
      </c>
      <c r="G34" s="454">
        <v>3.3302865612648221343873517787</v>
      </c>
      <c r="H34" s="455"/>
      <c r="I34" s="456">
        <v>2.3753639059319371458845986638</v>
      </c>
      <c r="J34" s="454">
        <v>0</v>
      </c>
      <c r="K34" s="455"/>
      <c r="L34" s="456">
        <v>3.5617230889227579587711502811</v>
      </c>
      <c r="M34" s="454">
        <v>82.51976284584980237154150198</v>
      </c>
      <c r="N34" s="455"/>
      <c r="O34" s="456">
        <v>54.767104047141929049200728357</v>
      </c>
      <c r="P34" s="5"/>
      <c r="Q34" s="427">
        <v>-42.517915389271467433874333870</v>
      </c>
      <c r="R34" s="428"/>
      <c r="S34" s="429">
        <v>-56.556345948177899601670998480</v>
      </c>
      <c r="T34" s="427">
        <v>-58.010527736637785204741634750</v>
      </c>
      <c r="U34" s="428"/>
      <c r="V34" s="429">
        <v>-90.65289370617016148300728793</v>
      </c>
      <c r="W34" s="427">
        <v>0</v>
      </c>
      <c r="X34" s="428"/>
      <c r="Y34" s="429">
        <v>-52.235627535697904644741217120</v>
      </c>
      <c r="Z34" s="427">
        <v>-43.361291343572961445259553310</v>
      </c>
      <c r="AA34" s="428"/>
      <c r="AB34" s="429">
        <v>-62.299314488452250279000956300</v>
      </c>
    </row>
    <row r="35" ht="18" customHeight="1">
      <c r="A35" s="58"/>
      <c r="B35" s="286">
        <v>2021</v>
      </c>
      <c r="C35" s="287"/>
      <c r="D35" s="276">
        <v>201.13372859025032938076416337</v>
      </c>
      <c r="E35" s="94">
        <v>172.71238366624160654059985667</v>
      </c>
      <c r="F35" s="277">
        <v>122.53950127687763717687029759</v>
      </c>
      <c r="G35" s="276">
        <v>15.008152173913043478260869565</v>
      </c>
      <c r="H35" s="94">
        <v>7.6972887502462036845258655079</v>
      </c>
      <c r="I35" s="277">
        <v>17.511532914655712740355277625</v>
      </c>
      <c r="J35" s="276">
        <v>0</v>
      </c>
      <c r="K35" s="94">
        <v>0.1032734626607825318600540755</v>
      </c>
      <c r="L35" s="277">
        <v>7.5741860267082050250666903817</v>
      </c>
      <c r="M35" s="276">
        <v>216.14188076416337285902503294</v>
      </c>
      <c r="N35" s="94">
        <v>180.51294587914859275698577625</v>
      </c>
      <c r="O35" s="277">
        <v>147.62522021824155494229226559</v>
      </c>
      <c r="P35" s="5"/>
      <c r="Q35" s="271">
        <v>153.99047705201816424536066879</v>
      </c>
      <c r="R35" s="92"/>
      <c r="S35" s="272">
        <v>150.95117444999081802393208211</v>
      </c>
      <c r="T35" s="271">
        <v>350.65647948489181198140726993</v>
      </c>
      <c r="U35" s="92"/>
      <c r="V35" s="272">
        <v>637.21474301937664802483760032</v>
      </c>
      <c r="W35" s="271">
        <v>0</v>
      </c>
      <c r="X35" s="92"/>
      <c r="Y35" s="272">
        <v>112.65510646554533795011248612</v>
      </c>
      <c r="Z35" s="271">
        <v>161.92741388272703239124683003</v>
      </c>
      <c r="AA35" s="92"/>
      <c r="AB35" s="272">
        <v>169.55089699700587136523139908</v>
      </c>
    </row>
    <row r="36" ht="18" customHeight="1">
      <c r="A36" s="58"/>
      <c r="B36" s="425">
        <v>2022</v>
      </c>
      <c r="C36" s="426"/>
      <c r="D36" s="457">
        <v>197.6585144927536231884057971</v>
      </c>
      <c r="E36" s="458">
        <v>214.7744565217391304347826087</v>
      </c>
      <c r="F36" s="459">
        <v>125.6722767614774740294155017</v>
      </c>
      <c r="G36" s="457">
        <v>22.571805006587615283267457181</v>
      </c>
      <c r="H36" s="458">
        <v>13.953011775362318840579710145</v>
      </c>
      <c r="I36" s="459">
        <v>30.963765817020974000172235597</v>
      </c>
      <c r="J36" s="457">
        <v>0</v>
      </c>
      <c r="K36" s="458">
        <v>0</v>
      </c>
      <c r="L36" s="459">
        <v>9.540848410492255344989863634</v>
      </c>
      <c r="M36" s="457">
        <v>220.23031949934123847167325428</v>
      </c>
      <c r="N36" s="458">
        <v>228.72746829710144927536231884</v>
      </c>
      <c r="O36" s="459">
        <v>166.17689098899070337457760093</v>
      </c>
      <c r="P36" s="93"/>
      <c r="Q36" s="430">
        <v>-1.7278126955152437039141040100</v>
      </c>
      <c r="R36" s="431">
        <v>24.353825685616267431853473450</v>
      </c>
      <c r="S36" s="432">
        <v>2.5565433610655926064403312500</v>
      </c>
      <c r="T36" s="430">
        <v>50.396962564393653421066723480</v>
      </c>
      <c r="U36" s="431">
        <v>81.27177280441474012483786145</v>
      </c>
      <c r="V36" s="432">
        <v>76.819276575316489532453847230</v>
      </c>
      <c r="W36" s="430">
        <v>0</v>
      </c>
      <c r="X36" s="431">
        <v>-100</v>
      </c>
      <c r="Y36" s="432">
        <v>25.965329830288195725625372490</v>
      </c>
      <c r="Z36" s="430">
        <v>1.8915532337768083904659682600</v>
      </c>
      <c r="AA36" s="431">
        <v>26.709731085045564630684386750</v>
      </c>
      <c r="AB36" s="432">
        <v>12.566735374463852983587407170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972" t="s">
        <v>45</v>
      </c>
      <c r="C38" s="972"/>
      <c r="D38" s="972"/>
      <c r="E38" s="972"/>
      <c r="F38" s="972"/>
      <c r="G38" s="972"/>
      <c r="H38" s="972"/>
      <c r="I38" s="972"/>
      <c r="J38" s="972"/>
      <c r="K38" s="972"/>
      <c r="L38" s="972"/>
      <c r="M38" s="972"/>
      <c r="N38" s="972"/>
      <c r="O38" s="972"/>
      <c r="P38" s="467"/>
      <c r="Q38" s="971"/>
      <c r="R38" s="971"/>
      <c r="S38" s="971"/>
      <c r="T38" s="971"/>
      <c r="U38" s="971"/>
      <c r="V38" s="971"/>
      <c r="W38" s="971"/>
      <c r="X38" s="971"/>
      <c r="Y38" s="971"/>
      <c r="Z38" s="971"/>
      <c r="AA38" s="971"/>
      <c r="AB38" s="971"/>
      <c r="AC38" s="9"/>
    </row>
    <row r="39" ht="18" customHeight="1">
      <c r="A39" s="58"/>
      <c r="B39" s="284">
        <v>2020</v>
      </c>
      <c r="C39" s="285"/>
      <c r="D39" s="454">
        <v>86.5236462990561351217088922</v>
      </c>
      <c r="E39" s="455"/>
      <c r="F39" s="456">
        <v>56.873507471431374761098242472</v>
      </c>
      <c r="G39" s="454">
        <v>14.930178837555886736214605067</v>
      </c>
      <c r="H39" s="455"/>
      <c r="I39" s="456">
        <v>20.115074663611238566885227929</v>
      </c>
      <c r="J39" s="454">
        <v>0</v>
      </c>
      <c r="K39" s="455"/>
      <c r="L39" s="456">
        <v>4.796172566703160913165696184</v>
      </c>
      <c r="M39" s="454">
        <v>101.45382513661202185792349727</v>
      </c>
      <c r="N39" s="455"/>
      <c r="O39" s="456">
        <v>81.78475470174577424114916658</v>
      </c>
      <c r="P39" s="5"/>
      <c r="Q39" s="427">
        <v>-26.764519675259238745284952550</v>
      </c>
      <c r="R39" s="428"/>
      <c r="S39" s="429">
        <v>-47.582476468031892116369312830</v>
      </c>
      <c r="T39" s="427">
        <v>11.052345660055744193240182380</v>
      </c>
      <c r="U39" s="428"/>
      <c r="V39" s="429">
        <v>-30.624733041570802859774709760</v>
      </c>
      <c r="W39" s="427">
        <v>0</v>
      </c>
      <c r="X39" s="428"/>
      <c r="Y39" s="429">
        <v>-37.004917364539613007609552390</v>
      </c>
      <c r="Z39" s="427">
        <v>-22.900812766146078637758322040</v>
      </c>
      <c r="AA39" s="428"/>
      <c r="AB39" s="429">
        <v>-43.639127790874194778625398270</v>
      </c>
    </row>
    <row r="40" ht="18" customHeight="1">
      <c r="A40" s="58"/>
      <c r="B40" s="286">
        <v>2021</v>
      </c>
      <c r="C40" s="287"/>
      <c r="D40" s="276">
        <v>187.49169779991697799916977999</v>
      </c>
      <c r="E40" s="94">
        <v>180.70391963031228726267051127</v>
      </c>
      <c r="F40" s="277">
        <v>114.9673730686143319245193151</v>
      </c>
      <c r="G40" s="276">
        <v>7.386986301369863013698630137</v>
      </c>
      <c r="H40" s="94">
        <v>3.2683989172939927820980129403</v>
      </c>
      <c r="I40" s="277">
        <v>10.862933429380819494292622578</v>
      </c>
      <c r="J40" s="276">
        <v>0</v>
      </c>
      <c r="K40" s="94">
        <v>0.0297286261773506958700424274</v>
      </c>
      <c r="L40" s="277">
        <v>5.5800344312220502350418633236</v>
      </c>
      <c r="M40" s="276">
        <v>194.87868410128684101286841013</v>
      </c>
      <c r="N40" s="94">
        <v>184.00204717378363074063856664</v>
      </c>
      <c r="O40" s="277">
        <v>131.41034092921720165385380101</v>
      </c>
      <c r="P40" s="5"/>
      <c r="Q40" s="271">
        <v>116.69417069154103083077492686</v>
      </c>
      <c r="R40" s="92"/>
      <c r="S40" s="272">
        <v>102.14574092591003610834022401</v>
      </c>
      <c r="T40" s="271">
        <v>-50.523122450706638187318117750</v>
      </c>
      <c r="U40" s="92"/>
      <c r="V40" s="272">
        <v>-45.996057131031908628223946700</v>
      </c>
      <c r="W40" s="271">
        <v>0</v>
      </c>
      <c r="X40" s="92"/>
      <c r="Y40" s="272">
        <v>16.343487512614362059081149190</v>
      </c>
      <c r="Z40" s="271">
        <v>92.08608826616171883247526863</v>
      </c>
      <c r="AA40" s="92"/>
      <c r="AB40" s="272">
        <v>60.678284612481292696769094830</v>
      </c>
    </row>
    <row r="41" ht="18" customHeight="1">
      <c r="A41" s="58"/>
      <c r="B41" s="425">
        <v>2022</v>
      </c>
      <c r="C41" s="426"/>
      <c r="D41" s="457">
        <v>206.9507056870070568700705687</v>
      </c>
      <c r="E41" s="458">
        <v>212.92883948289453092425699224</v>
      </c>
      <c r="F41" s="459">
        <v>132.59173095822819947202394618</v>
      </c>
      <c r="G41" s="457">
        <v>27.38970527189705271897052719</v>
      </c>
      <c r="H41" s="458">
        <v>8.849467359235036849133978114</v>
      </c>
      <c r="I41" s="459">
        <v>29.591204754376580955888437289</v>
      </c>
      <c r="J41" s="457">
        <v>0</v>
      </c>
      <c r="K41" s="458">
        <v>0.0078594120092733475887771583</v>
      </c>
      <c r="L41" s="459">
        <v>9.527091376272350686651316141</v>
      </c>
      <c r="M41" s="457">
        <v>234.34041095890410958904109589</v>
      </c>
      <c r="N41" s="458">
        <v>221.78616625413884112097974751</v>
      </c>
      <c r="O41" s="459">
        <v>171.71002708887713111456369961</v>
      </c>
      <c r="P41" s="93"/>
      <c r="Q41" s="430">
        <v>10.378597087469243380630391810</v>
      </c>
      <c r="R41" s="431">
        <v>17.832994391335346343910949840</v>
      </c>
      <c r="S41" s="432">
        <v>15.329877876840678310107373560</v>
      </c>
      <c r="T41" s="430">
        <v>270.78321462036673486568389740</v>
      </c>
      <c r="U41" s="431">
        <v>170.75848399024424830218010285</v>
      </c>
      <c r="V41" s="432">
        <v>172.40528487719005256899174061</v>
      </c>
      <c r="W41" s="430">
        <v>0</v>
      </c>
      <c r="X41" s="431">
        <v>-73.562814654135119137199961500</v>
      </c>
      <c r="Y41" s="432">
        <v>70.735351076024211444498660620</v>
      </c>
      <c r="Z41" s="430">
        <v>20.249380808160366492609650750</v>
      </c>
      <c r="AA41" s="431">
        <v>20.534618859240013532904122520</v>
      </c>
      <c r="AB41" s="432">
        <v>30.667058524252218894808491960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row>
    <row r="44" ht="12" customHeight="1">
      <c r="Z44" s="55"/>
      <c r="AA44" s="233"/>
      <c r="AB44" s="233"/>
    </row>
    <row r="45" ht="12" customHeight="1"/>
    <row r="46">
      <c r="A46" s="236"/>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c r="AA46" s="236"/>
      <c r="AB46" s="236"/>
      <c r="AC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sheetData>
  <mergeCells count="22">
    <mergeCell ref="B43:AB43"/>
    <mergeCell ref="B33:O33"/>
    <mergeCell ref="B38:O38"/>
    <mergeCell ref="B8:C8"/>
    <mergeCell ref="Q28:AB28"/>
    <mergeCell ref="Q33:AB33"/>
    <mergeCell ref="Q38:AB38"/>
    <mergeCell ref="B28:O28"/>
    <mergeCell ref="Q7:S7"/>
    <mergeCell ref="T7:V7"/>
    <mergeCell ref="W7:Y7"/>
    <mergeCell ref="Z7:AB7"/>
    <mergeCell ref="D7:F7"/>
    <mergeCell ref="M7:O7"/>
    <mergeCell ref="J7:L7"/>
    <mergeCell ref="G7:I7"/>
    <mergeCell ref="B4:AB4"/>
    <mergeCell ref="B2:AB2"/>
    <mergeCell ref="Q6:AB6"/>
    <mergeCell ref="D6:O6"/>
    <mergeCell ref="B3:Q3"/>
    <mergeCell ref="R3:AB3"/>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47"/>
</worksheet>
</file>

<file path=xl/worksheets/sheet4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2">
    <pageSetUpPr fitToPage="1"/>
  </sheetPr>
  <dimension ref="A1:AP81"/>
  <sheetViews>
    <sheetView showGridLines="0" zoomScale="85" workbookViewId="0"/>
  </sheetViews>
  <sheetFormatPr defaultRowHeight="12.75"/>
  <cols>
    <col min="1" max="1" width="2.7109375" customWidth="1"/>
    <col min="2" max="2" width="6.7109375" customWidth="1"/>
    <col min="3" max="3" width="6.140625" style="26"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236" customWidth="1"/>
  </cols>
  <sheetData>
    <row r="1" ht="30">
      <c r="A1" s="89"/>
      <c r="B1" s="656" t="s">
        <v>147</v>
      </c>
      <c r="Y1" s="21"/>
      <c r="Z1" s="5"/>
      <c r="AB1" s="685"/>
      <c r="AD1" s="236"/>
    </row>
    <row r="2" ht="15" customHeight="1">
      <c r="A2" s="11"/>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209</v>
      </c>
      <c r="C3" s="999"/>
      <c r="D3" s="999"/>
      <c r="E3" s="999"/>
      <c r="F3" s="999"/>
      <c r="G3" s="999"/>
      <c r="H3" s="999"/>
      <c r="I3" s="999"/>
      <c r="J3" s="999"/>
      <c r="K3" s="999"/>
      <c r="L3" s="999"/>
      <c r="M3" s="999"/>
      <c r="N3" s="999"/>
      <c r="O3" s="999"/>
      <c r="P3" s="999"/>
      <c r="Q3" s="999"/>
      <c r="R3" s="999"/>
      <c r="S3" s="999"/>
      <c r="T3" s="999"/>
      <c r="U3" s="999"/>
      <c r="V3" s="999"/>
      <c r="W3" s="999"/>
      <c r="X3" s="999"/>
      <c r="Y3" s="999"/>
      <c r="Z3" s="999"/>
      <c r="AA3" s="999"/>
      <c r="AB3" s="999"/>
    </row>
    <row r="4" ht="19.5" customHeight="1">
      <c r="A4" s="4"/>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5" customHeight="1"/>
    <row r="6" ht="15.75" customHeight="1">
      <c r="D6" s="960" t="s">
        <v>54</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ustomHeight="1">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53</v>
      </c>
      <c r="E8" s="413" t="s">
        <v>9</v>
      </c>
      <c r="F8" s="414" t="s">
        <v>10</v>
      </c>
      <c r="G8" s="412" t="s">
        <v>53</v>
      </c>
      <c r="H8" s="413" t="s">
        <v>9</v>
      </c>
      <c r="I8" s="414" t="s">
        <v>10</v>
      </c>
      <c r="J8" s="412" t="s">
        <v>53</v>
      </c>
      <c r="K8" s="413" t="s">
        <v>9</v>
      </c>
      <c r="L8" s="414" t="s">
        <v>10</v>
      </c>
      <c r="M8" s="412" t="s">
        <v>53</v>
      </c>
      <c r="N8" s="413" t="s">
        <v>9</v>
      </c>
      <c r="O8" s="414" t="s">
        <v>10</v>
      </c>
      <c r="P8" s="63"/>
      <c r="Q8" s="412" t="s">
        <v>53</v>
      </c>
      <c r="R8" s="413" t="s">
        <v>9</v>
      </c>
      <c r="S8" s="414" t="s">
        <v>10</v>
      </c>
      <c r="T8" s="412" t="s">
        <v>53</v>
      </c>
      <c r="U8" s="413" t="s">
        <v>9</v>
      </c>
      <c r="V8" s="414" t="s">
        <v>10</v>
      </c>
      <c r="W8" s="412" t="s">
        <v>53</v>
      </c>
      <c r="X8" s="413" t="s">
        <v>9</v>
      </c>
      <c r="Y8" s="414" t="s">
        <v>10</v>
      </c>
      <c r="Z8" s="412" t="s">
        <v>53</v>
      </c>
      <c r="AA8" s="413" t="s">
        <v>9</v>
      </c>
      <c r="AB8" s="414" t="s">
        <v>10</v>
      </c>
    </row>
    <row r="9" ht="18.95" customHeight="1">
      <c r="A9" s="57"/>
      <c r="B9" s="284">
        <v>2021</v>
      </c>
      <c r="C9" s="285" t="s">
        <v>218</v>
      </c>
      <c r="D9" s="415">
        <v>112.94321831377984814715869615</v>
      </c>
      <c r="E9" s="416">
        <v>92.70206994457373887260414951</v>
      </c>
      <c r="F9" s="417">
        <v>104.70070123886271921395480505</v>
      </c>
      <c r="G9" s="415">
        <v>80.09891662539288791162397686</v>
      </c>
      <c r="H9" s="416">
        <v>100.04016060679461020669457111</v>
      </c>
      <c r="I9" s="417">
        <v>80.13108483909836802355676756</v>
      </c>
      <c r="J9" s="415">
        <v>0</v>
      </c>
      <c r="K9" s="416">
        <v>0</v>
      </c>
      <c r="L9" s="417">
        <v>0</v>
      </c>
      <c r="M9" s="415">
        <v>112.20613107819646745833129153</v>
      </c>
      <c r="N9" s="416">
        <v>92.80397708096251216097072508</v>
      </c>
      <c r="O9" s="417">
        <v>104.13175216928148962648718512</v>
      </c>
      <c r="P9" s="5"/>
      <c r="Q9" s="415"/>
      <c r="R9" s="416"/>
      <c r="S9" s="417"/>
      <c r="T9" s="415"/>
      <c r="U9" s="416"/>
      <c r="V9" s="417"/>
      <c r="W9" s="415"/>
      <c r="X9" s="416"/>
      <c r="Y9" s="417"/>
      <c r="Z9" s="415"/>
      <c r="AA9" s="416"/>
      <c r="AB9" s="417"/>
    </row>
    <row r="10" ht="18.95" customHeight="1">
      <c r="A10" s="58"/>
      <c r="B10" s="286"/>
      <c r="C10" s="287" t="s">
        <v>221</v>
      </c>
      <c r="D10" s="271">
        <v>110.63732563742303329515877772</v>
      </c>
      <c r="E10" s="92">
        <v>89.27671639926424293391101603</v>
      </c>
      <c r="F10" s="272">
        <v>98.77337144097420761922352952</v>
      </c>
      <c r="G10" s="271">
        <v>124.49080974366245307181727408</v>
      </c>
      <c r="H10" s="92">
        <v>58.760115503965722394301702320</v>
      </c>
      <c r="I10" s="272">
        <v>73.150943591201527460398665710</v>
      </c>
      <c r="J10" s="271">
        <v>0</v>
      </c>
      <c r="K10" s="92">
        <v>0</v>
      </c>
      <c r="L10" s="272">
        <v>0</v>
      </c>
      <c r="M10" s="271">
        <v>110.77017621582348629032383803</v>
      </c>
      <c r="N10" s="92">
        <v>88.89467517490748151487362474</v>
      </c>
      <c r="O10" s="272">
        <v>98.46878833776068134833933590</v>
      </c>
      <c r="P10" s="5"/>
      <c r="Q10" s="271"/>
      <c r="R10" s="92"/>
      <c r="S10" s="272"/>
      <c r="T10" s="271"/>
      <c r="U10" s="92"/>
      <c r="V10" s="272"/>
      <c r="W10" s="271"/>
      <c r="X10" s="92"/>
      <c r="Y10" s="272"/>
      <c r="Z10" s="271"/>
      <c r="AA10" s="92"/>
      <c r="AB10" s="272"/>
    </row>
    <row r="11" ht="18.95" customHeight="1">
      <c r="A11" s="58"/>
      <c r="B11" s="288"/>
      <c r="C11" s="289" t="s">
        <v>222</v>
      </c>
      <c r="D11" s="420">
        <v>128.46295560213281718500202913</v>
      </c>
      <c r="E11" s="91">
        <v>85.13313738626286429102870947</v>
      </c>
      <c r="F11" s="421">
        <v>109.36454448326937544351444464</v>
      </c>
      <c r="G11" s="420">
        <v>132.63658482144764497246903696</v>
      </c>
      <c r="H11" s="91">
        <v>82.40540598921089369212303686</v>
      </c>
      <c r="I11" s="421">
        <v>109.29971621441845565777987108</v>
      </c>
      <c r="J11" s="420">
        <v>0</v>
      </c>
      <c r="K11" s="91">
        <v>0</v>
      </c>
      <c r="L11" s="421">
        <v>0</v>
      </c>
      <c r="M11" s="420">
        <v>128.57870199979419401111710021</v>
      </c>
      <c r="N11" s="91">
        <v>85.05522739778966019355589739</v>
      </c>
      <c r="O11" s="421">
        <v>109.36290737105509684706102848</v>
      </c>
      <c r="P11" s="5"/>
      <c r="Q11" s="420"/>
      <c r="R11" s="91"/>
      <c r="S11" s="421"/>
      <c r="T11" s="420"/>
      <c r="U11" s="91"/>
      <c r="V11" s="421"/>
      <c r="W11" s="420"/>
      <c r="X11" s="91"/>
      <c r="Y11" s="421"/>
      <c r="Z11" s="420"/>
      <c r="AA11" s="91"/>
      <c r="AB11" s="421"/>
    </row>
    <row r="12" ht="18.95" customHeight="1">
      <c r="A12" s="58"/>
      <c r="B12" s="286"/>
      <c r="C12" s="287" t="s">
        <v>224</v>
      </c>
      <c r="D12" s="271">
        <v>157.93867867513564747298934789</v>
      </c>
      <c r="E12" s="92">
        <v>80.90568711149421905171081893</v>
      </c>
      <c r="F12" s="272">
        <v>127.78137319691155234757183274</v>
      </c>
      <c r="G12" s="271">
        <v>188.92700591224566071306935339</v>
      </c>
      <c r="H12" s="92">
        <v>59.421437172502483737686173030</v>
      </c>
      <c r="I12" s="272">
        <v>112.26314211916051263808715764</v>
      </c>
      <c r="J12" s="271">
        <v>0</v>
      </c>
      <c r="K12" s="92">
        <v>0</v>
      </c>
      <c r="L12" s="272">
        <v>0</v>
      </c>
      <c r="M12" s="271">
        <v>158.35193616302607422297287889</v>
      </c>
      <c r="N12" s="92">
        <v>80.14271196518766514439974698</v>
      </c>
      <c r="O12" s="272">
        <v>126.90753609038182389193684503</v>
      </c>
      <c r="P12" s="5"/>
      <c r="Q12" s="271"/>
      <c r="R12" s="92"/>
      <c r="S12" s="272"/>
      <c r="T12" s="271"/>
      <c r="U12" s="92"/>
      <c r="V12" s="272"/>
      <c r="W12" s="271"/>
      <c r="X12" s="92"/>
      <c r="Y12" s="272"/>
      <c r="Z12" s="271"/>
      <c r="AA12" s="92"/>
      <c r="AB12" s="272"/>
    </row>
    <row r="13" ht="18.95" customHeight="1">
      <c r="A13" s="58"/>
      <c r="B13" s="288"/>
      <c r="C13" s="289" t="s">
        <v>227</v>
      </c>
      <c r="D13" s="420">
        <v>148.69014252845215470976163270</v>
      </c>
      <c r="E13" s="91">
        <v>77.233055684563649999579615420</v>
      </c>
      <c r="F13" s="421">
        <v>114.83794057647198677059033555</v>
      </c>
      <c r="G13" s="420">
        <v>188.92317373835021830014325769</v>
      </c>
      <c r="H13" s="91">
        <v>98.59302886586801178830874679</v>
      </c>
      <c r="I13" s="421">
        <v>186.26507922056769737923547246</v>
      </c>
      <c r="J13" s="420">
        <v>0</v>
      </c>
      <c r="K13" s="91">
        <v>0</v>
      </c>
      <c r="L13" s="421">
        <v>0</v>
      </c>
      <c r="M13" s="420">
        <v>151.78615851020568635320384117</v>
      </c>
      <c r="N13" s="91">
        <v>78.806409507378576101483430130</v>
      </c>
      <c r="O13" s="421">
        <v>119.61722165096675743486848042</v>
      </c>
      <c r="P13" s="5"/>
      <c r="Q13" s="420"/>
      <c r="R13" s="91"/>
      <c r="S13" s="421"/>
      <c r="T13" s="420"/>
      <c r="U13" s="91"/>
      <c r="V13" s="421"/>
      <c r="W13" s="420"/>
      <c r="X13" s="91"/>
      <c r="Y13" s="421"/>
      <c r="Z13" s="420"/>
      <c r="AA13" s="91"/>
      <c r="AB13" s="421"/>
    </row>
    <row r="14" ht="18.95" customHeight="1">
      <c r="A14" s="58"/>
      <c r="B14" s="286"/>
      <c r="C14" s="287" t="s">
        <v>229</v>
      </c>
      <c r="D14" s="271">
        <v>145.87159854333601519099762464</v>
      </c>
      <c r="E14" s="92">
        <v>77.394314502053311042559651720</v>
      </c>
      <c r="F14" s="272">
        <v>112.89632374575032405404194677</v>
      </c>
      <c r="G14" s="271">
        <v>219.50598421508906022306699763</v>
      </c>
      <c r="H14" s="92">
        <v>108.84408461625975143369450817</v>
      </c>
      <c r="I14" s="272">
        <v>238.91927919246263848004175412</v>
      </c>
      <c r="J14" s="271">
        <v>0</v>
      </c>
      <c r="K14" s="92">
        <v>0</v>
      </c>
      <c r="L14" s="272">
        <v>0</v>
      </c>
      <c r="M14" s="271">
        <v>149.00292381819779515648315648</v>
      </c>
      <c r="N14" s="92">
        <v>78.497339542101066553448249330</v>
      </c>
      <c r="O14" s="272">
        <v>116.96333103729224293432391336</v>
      </c>
      <c r="P14" s="5"/>
      <c r="Q14" s="271">
        <v>4.4068246268598798227651809400</v>
      </c>
      <c r="R14" s="92">
        <v>7.999327620460519306619806320</v>
      </c>
      <c r="S14" s="272">
        <v>12.758668586807745112442315410</v>
      </c>
      <c r="T14" s="271">
        <v>0</v>
      </c>
      <c r="U14" s="92">
        <v>0</v>
      </c>
      <c r="V14" s="272">
        <v>0</v>
      </c>
      <c r="W14" s="271">
        <v>0</v>
      </c>
      <c r="X14" s="92">
        <v>0</v>
      </c>
      <c r="Y14" s="272">
        <v>0</v>
      </c>
      <c r="Z14" s="271">
        <v>2.7210204186688575358730738600</v>
      </c>
      <c r="AA14" s="92">
        <v>7.2120799599490550384338042700</v>
      </c>
      <c r="AB14" s="272">
        <v>10.129342546950944703317153590</v>
      </c>
    </row>
    <row r="15" ht="18.95" customHeight="1">
      <c r="A15" s="58"/>
      <c r="B15" s="288">
        <v>2022</v>
      </c>
      <c r="C15" s="289" t="s">
        <v>230</v>
      </c>
      <c r="D15" s="420">
        <v>161.19951761778398996052406402</v>
      </c>
      <c r="E15" s="91">
        <v>71.642346796866035271009838310</v>
      </c>
      <c r="F15" s="421">
        <v>115.48711744665952614558083777</v>
      </c>
      <c r="G15" s="420">
        <v>1523.5907462567124144720311569</v>
      </c>
      <c r="H15" s="91">
        <v>73.932781039479352326590881260</v>
      </c>
      <c r="I15" s="421">
        <v>1126.4330102910828968353452674</v>
      </c>
      <c r="J15" s="420">
        <v>0</v>
      </c>
      <c r="K15" s="91">
        <v>0</v>
      </c>
      <c r="L15" s="421">
        <v>0</v>
      </c>
      <c r="M15" s="420">
        <v>179.78934009008119479592000155</v>
      </c>
      <c r="N15" s="91">
        <v>71.284437692439930165338039470</v>
      </c>
      <c r="O15" s="421">
        <v>128.16182011422662540472427291</v>
      </c>
      <c r="P15" s="5"/>
      <c r="Q15" s="420">
        <v>-4.5552249910094444221703951100</v>
      </c>
      <c r="R15" s="91">
        <v>-3.4563131650726607302762945700</v>
      </c>
      <c r="S15" s="421">
        <v>-7.8540953150018067707724009300</v>
      </c>
      <c r="T15" s="420">
        <v>84.02839491525741708775636031</v>
      </c>
      <c r="U15" s="91">
        <v>15.285124921573493706427705240</v>
      </c>
      <c r="V15" s="421">
        <v>112.15736494018826303093681349</v>
      </c>
      <c r="W15" s="420">
        <v>0</v>
      </c>
      <c r="X15" s="91">
        <v>0</v>
      </c>
      <c r="Y15" s="421">
        <v>0</v>
      </c>
      <c r="Z15" s="420">
        <v>5.044636485078697221823813200</v>
      </c>
      <c r="AA15" s="91">
        <v>-4.5248688115813364016610333600</v>
      </c>
      <c r="AB15" s="421">
        <v>0.2915044904602884216900298900</v>
      </c>
    </row>
    <row r="16" ht="18.95" customHeight="1">
      <c r="A16" s="58"/>
      <c r="B16" s="286"/>
      <c r="C16" s="287" t="s">
        <v>231</v>
      </c>
      <c r="D16" s="271">
        <v>137.55105550536850959784303977</v>
      </c>
      <c r="E16" s="92">
        <v>79.51747534346564184811597595</v>
      </c>
      <c r="F16" s="272">
        <v>109.37712664615384947403452988</v>
      </c>
      <c r="G16" s="271">
        <v>239.09653564807713419541842893</v>
      </c>
      <c r="H16" s="92">
        <v>66.749133428718688416910520280</v>
      </c>
      <c r="I16" s="272">
        <v>159.59486560334661408432329951</v>
      </c>
      <c r="J16" s="271">
        <v>0</v>
      </c>
      <c r="K16" s="92">
        <v>0</v>
      </c>
      <c r="L16" s="272">
        <v>0</v>
      </c>
      <c r="M16" s="271">
        <v>142.25986805319407020023907765</v>
      </c>
      <c r="N16" s="92">
        <v>78.364295050848111146226756200</v>
      </c>
      <c r="O16" s="272">
        <v>111.48094274016216260743127944</v>
      </c>
      <c r="P16" s="5"/>
      <c r="Q16" s="271">
        <v>14.040212798797427151067747220</v>
      </c>
      <c r="R16" s="92">
        <v>5.0149676242033496688630603100</v>
      </c>
      <c r="S16" s="272">
        <v>19.759292549187688362183554580</v>
      </c>
      <c r="T16" s="271">
        <v>0</v>
      </c>
      <c r="U16" s="92">
        <v>0</v>
      </c>
      <c r="V16" s="272">
        <v>0</v>
      </c>
      <c r="W16" s="271">
        <v>0</v>
      </c>
      <c r="X16" s="92">
        <v>0</v>
      </c>
      <c r="Y16" s="272">
        <v>0</v>
      </c>
      <c r="Z16" s="271">
        <v>15.076868265805240626062241200</v>
      </c>
      <c r="AA16" s="92">
        <v>2.9172580990936665167880878200</v>
      </c>
      <c r="AB16" s="272">
        <v>18.433957525578719353927285790</v>
      </c>
    </row>
    <row r="17" ht="18.95" customHeight="1">
      <c r="A17" s="58"/>
      <c r="B17" s="288"/>
      <c r="C17" s="289" t="s">
        <v>232</v>
      </c>
      <c r="D17" s="420">
        <v>108.71224415529403268027831118</v>
      </c>
      <c r="E17" s="91">
        <v>78.708719848060033019622169070</v>
      </c>
      <c r="F17" s="421">
        <v>85.56601569271227302279856869</v>
      </c>
      <c r="G17" s="420">
        <v>679.02291613658248450857542911</v>
      </c>
      <c r="H17" s="91">
        <v>65.966699389811809008672475710</v>
      </c>
      <c r="I17" s="421">
        <v>447.92900587757966627772499704</v>
      </c>
      <c r="J17" s="420">
        <v>0</v>
      </c>
      <c r="K17" s="91">
        <v>0</v>
      </c>
      <c r="L17" s="421">
        <v>0</v>
      </c>
      <c r="M17" s="420">
        <v>130.14936958083093014714330071</v>
      </c>
      <c r="N17" s="91">
        <v>75.997132177213861627912429950</v>
      </c>
      <c r="O17" s="421">
        <v>98.90978842817406468618502009</v>
      </c>
      <c r="P17" s="5"/>
      <c r="Q17" s="420">
        <v>-4.268157947747024121035683700</v>
      </c>
      <c r="R17" s="91">
        <v>0.670560058651174012422761200</v>
      </c>
      <c r="S17" s="421">
        <v>-3.6262184514808172381774183900</v>
      </c>
      <c r="T17" s="420">
        <v>0</v>
      </c>
      <c r="U17" s="91">
        <v>0</v>
      </c>
      <c r="V17" s="421">
        <v>0</v>
      </c>
      <c r="W17" s="420">
        <v>0</v>
      </c>
      <c r="X17" s="91">
        <v>0</v>
      </c>
      <c r="Y17" s="421">
        <v>0</v>
      </c>
      <c r="Z17" s="420">
        <v>13.733746502859127337077677510</v>
      </c>
      <c r="AA17" s="91">
        <v>-2.9875688430719641163732722900</v>
      </c>
      <c r="AB17" s="421">
        <v>10.335872528502370963358913840</v>
      </c>
    </row>
    <row r="18" ht="18.95" customHeight="1">
      <c r="A18" s="58"/>
      <c r="B18" s="286"/>
      <c r="C18" s="287" t="s">
        <v>233</v>
      </c>
      <c r="D18" s="271">
        <v>103.39775561102413853147682002</v>
      </c>
      <c r="E18" s="92">
        <v>85.69499429714261601238621434</v>
      </c>
      <c r="F18" s="272">
        <v>88.60670077419866743364781377</v>
      </c>
      <c r="G18" s="271">
        <v>409.77399898286791730774975036</v>
      </c>
      <c r="H18" s="92">
        <v>82.74084033799105642950472560</v>
      </c>
      <c r="I18" s="272">
        <v>339.05045024452144213090388707</v>
      </c>
      <c r="J18" s="271">
        <v>0</v>
      </c>
      <c r="K18" s="92">
        <v>0</v>
      </c>
      <c r="L18" s="272">
        <v>0</v>
      </c>
      <c r="M18" s="271">
        <v>116.12147769906810357585689282</v>
      </c>
      <c r="N18" s="92">
        <v>84.78475896163284329064184551</v>
      </c>
      <c r="O18" s="272">
        <v>98.45331496977482363427519911</v>
      </c>
      <c r="P18" s="5"/>
      <c r="Q18" s="271">
        <v>-7.954065057640700846752005120</v>
      </c>
      <c r="R18" s="92">
        <v>3.1327045749616550655536376200</v>
      </c>
      <c r="S18" s="272">
        <v>-5.0705378426986131417033639900</v>
      </c>
      <c r="T18" s="271">
        <v>-82.88929746936465384181174917</v>
      </c>
      <c r="U18" s="92">
        <v>-14.363079307867219620727745950</v>
      </c>
      <c r="V18" s="272">
        <v>-85.34692124321435653178469958</v>
      </c>
      <c r="W18" s="271">
        <v>0</v>
      </c>
      <c r="X18" s="92">
        <v>0</v>
      </c>
      <c r="Y18" s="272">
        <v>0</v>
      </c>
      <c r="Z18" s="271">
        <v>-5.561413128325313665749462100</v>
      </c>
      <c r="AA18" s="92">
        <v>3.5504126630724788142094217600</v>
      </c>
      <c r="AB18" s="272">
        <v>-2.2084535812267126508805060200</v>
      </c>
    </row>
    <row r="19" ht="18.95" customHeight="1">
      <c r="A19" s="58"/>
      <c r="B19" s="288"/>
      <c r="C19" s="289" t="s">
        <v>234</v>
      </c>
      <c r="D19" s="420">
        <v>112.04372759062991576070711225</v>
      </c>
      <c r="E19" s="91">
        <v>84.79919057177443376119315725</v>
      </c>
      <c r="F19" s="421">
        <v>95.01217408335374055803623144</v>
      </c>
      <c r="G19" s="420">
        <v>505.64677613393264093124512914</v>
      </c>
      <c r="H19" s="91">
        <v>150.11884166436403031650731156</v>
      </c>
      <c r="I19" s="421">
        <v>759.07108323866877174062837898</v>
      </c>
      <c r="J19" s="420">
        <v>0</v>
      </c>
      <c r="K19" s="91">
        <v>0</v>
      </c>
      <c r="L19" s="421">
        <v>0</v>
      </c>
      <c r="M19" s="420">
        <v>132.47777951031902484955651887</v>
      </c>
      <c r="N19" s="91">
        <v>92.49487589910751542100550948</v>
      </c>
      <c r="O19" s="421">
        <v>122.53515775203783080364076958</v>
      </c>
      <c r="P19" s="5"/>
      <c r="Q19" s="420">
        <v>-5.6886024756471108546256708300</v>
      </c>
      <c r="R19" s="91">
        <v>-3.3154058318711435391887364900</v>
      </c>
      <c r="S19" s="421">
        <v>-8.815408049216520841174390150</v>
      </c>
      <c r="T19" s="420">
        <v>58.051329004634714553548557380</v>
      </c>
      <c r="U19" s="91">
        <v>79.29539749513899787174910491</v>
      </c>
      <c r="V19" s="421">
        <v>183.37875858430417491027341496</v>
      </c>
      <c r="W19" s="420">
        <v>0</v>
      </c>
      <c r="X19" s="91">
        <v>0</v>
      </c>
      <c r="Y19" s="421">
        <v>0</v>
      </c>
      <c r="Z19" s="420">
        <v>10.357704791576769448854433780</v>
      </c>
      <c r="AA19" s="91">
        <v>5.8448233060766961621952375600</v>
      </c>
      <c r="AB19" s="421">
        <v>16.807917641466953002206033930</v>
      </c>
    </row>
    <row r="20" ht="18.95" customHeight="1">
      <c r="A20" s="58"/>
      <c r="B20" s="286"/>
      <c r="C20" s="287" t="s">
        <v>235</v>
      </c>
      <c r="D20" s="271">
        <v>119.24509033069243298715923841</v>
      </c>
      <c r="E20" s="92">
        <v>91.86916101456717943302258517</v>
      </c>
      <c r="F20" s="272">
        <v>109.54946403789412428191382624</v>
      </c>
      <c r="G20" s="271">
        <v>372.34741179369590041285964151</v>
      </c>
      <c r="H20" s="92">
        <v>98.12248587874001620615351861</v>
      </c>
      <c r="I20" s="272">
        <v>365.35653655646293580818229079</v>
      </c>
      <c r="J20" s="271">
        <v>0</v>
      </c>
      <c r="K20" s="92">
        <v>0</v>
      </c>
      <c r="L20" s="272">
        <v>0</v>
      </c>
      <c r="M20" s="271">
        <v>131.90199916717684141278095816</v>
      </c>
      <c r="N20" s="92">
        <v>91.19319321790098053842918714</v>
      </c>
      <c r="O20" s="272">
        <v>120.28564495879846184735914524</v>
      </c>
      <c r="P20" s="5"/>
      <c r="Q20" s="271">
        <v>4.6507534505536034860187592900</v>
      </c>
      <c r="R20" s="92">
        <v>8.711718676192248759966633250</v>
      </c>
      <c r="S20" s="272">
        <v>13.767632683683186074702487400</v>
      </c>
      <c r="T20" s="271">
        <v>8.827523953848748388142935500</v>
      </c>
      <c r="U20" s="92">
        <v>-3.7354801988557754381151565800</v>
      </c>
      <c r="V20" s="272">
        <v>4.7622933458994102725714107500</v>
      </c>
      <c r="W20" s="271">
        <v>0</v>
      </c>
      <c r="X20" s="92">
        <v>0</v>
      </c>
      <c r="Y20" s="272">
        <v>0</v>
      </c>
      <c r="Z20" s="271">
        <v>14.012113995573260069241006900</v>
      </c>
      <c r="AA20" s="92">
        <v>7.5389552740555151913148316200</v>
      </c>
      <c r="AB20" s="272">
        <v>22.607436276761592240704986180</v>
      </c>
    </row>
    <row r="21" ht="18.95" customHeight="1">
      <c r="A21" s="58"/>
      <c r="B21" s="288"/>
      <c r="C21" s="289" t="s">
        <v>218</v>
      </c>
      <c r="D21" s="420">
        <v>109.07801121773020210616221811</v>
      </c>
      <c r="E21" s="91">
        <v>92.31447570032996143056649172</v>
      </c>
      <c r="F21" s="421">
        <v>100.69479415993381231676033959</v>
      </c>
      <c r="G21" s="420">
        <v>4216.8686867199719663352110121</v>
      </c>
      <c r="H21" s="91">
        <v>144.66185824403227483810925856</v>
      </c>
      <c r="I21" s="421">
        <v>6100.2006019080849969203487337</v>
      </c>
      <c r="J21" s="420">
        <v>0</v>
      </c>
      <c r="K21" s="91">
        <v>0</v>
      </c>
      <c r="L21" s="421">
        <v>0</v>
      </c>
      <c r="M21" s="420">
        <v>116.15390236779225345256012960</v>
      </c>
      <c r="N21" s="91">
        <v>92.21714505426920751224973949</v>
      </c>
      <c r="O21" s="421">
        <v>107.11381263263153847993673048</v>
      </c>
      <c r="P21" s="5"/>
      <c r="Q21" s="420">
        <v>-3.4222569126113935429599933600</v>
      </c>
      <c r="R21" s="91">
        <v>-0.4181074322306611782124116200</v>
      </c>
      <c r="S21" s="421">
        <v>-3.8260556343607869184674708700</v>
      </c>
      <c r="T21" s="420">
        <v>5164.5764317151445125533249796</v>
      </c>
      <c r="U21" s="91">
        <v>44.603784486726641153564728450</v>
      </c>
      <c r="V21" s="421">
        <v>7512.7767571811149184174439138</v>
      </c>
      <c r="W21" s="420">
        <v>0</v>
      </c>
      <c r="X21" s="91">
        <v>0</v>
      </c>
      <c r="Y21" s="421">
        <v>0</v>
      </c>
      <c r="Z21" s="420">
        <v>3.5183204800466088944495211600</v>
      </c>
      <c r="AA21" s="91">
        <v>-0.6323349981203942793019970900</v>
      </c>
      <c r="AB21" s="421">
        <v>2.8637379101076011840505302100</v>
      </c>
    </row>
    <row r="22" ht="18.95" customHeight="1">
      <c r="A22" s="58"/>
      <c r="B22" s="286"/>
      <c r="C22" s="287" t="s">
        <v>221</v>
      </c>
      <c r="D22" s="271">
        <v>111.86917531216035812785549902</v>
      </c>
      <c r="E22" s="92">
        <v>88.67283385480905984142658987</v>
      </c>
      <c r="F22" s="272">
        <v>99.19756795925291162728570221</v>
      </c>
      <c r="G22" s="271">
        <v>286.75324675744154359931924792</v>
      </c>
      <c r="H22" s="92">
        <v>73.865745452808840875508647170</v>
      </c>
      <c r="I22" s="272">
        <v>211.81242332813690057892912991</v>
      </c>
      <c r="J22" s="271">
        <v>0</v>
      </c>
      <c r="K22" s="92">
        <v>0</v>
      </c>
      <c r="L22" s="272">
        <v>0</v>
      </c>
      <c r="M22" s="271">
        <v>113.33667531227987242344924328</v>
      </c>
      <c r="N22" s="92">
        <v>88.31544333760881730461883760</v>
      </c>
      <c r="O22" s="272">
        <v>100.09378726608169683427100851</v>
      </c>
      <c r="P22" s="5"/>
      <c r="Q22" s="271">
        <v>1.1134123747690642837554896400</v>
      </c>
      <c r="R22" s="92">
        <v>-0.6764166166125651490579441700</v>
      </c>
      <c r="S22" s="272">
        <v>0.4294644518703056054831362300</v>
      </c>
      <c r="T22" s="271">
        <v>130.34089612542906610439272131</v>
      </c>
      <c r="U22" s="92">
        <v>25.707284302020389159085011680</v>
      </c>
      <c r="V22" s="272">
        <v>189.55528518106192368359631002</v>
      </c>
      <c r="W22" s="271">
        <v>0</v>
      </c>
      <c r="X22" s="92">
        <v>0</v>
      </c>
      <c r="Y22" s="272">
        <v>0</v>
      </c>
      <c r="Z22" s="271">
        <v>2.3169585750950470805373927400</v>
      </c>
      <c r="AA22" s="92">
        <v>-0.6515934010125419064867795600</v>
      </c>
      <c r="AB22" s="272">
        <v>1.6502680247339811339199384100</v>
      </c>
    </row>
    <row r="23" ht="18.95" customHeight="1">
      <c r="A23" s="58"/>
      <c r="B23" s="288"/>
      <c r="C23" s="289" t="s">
        <v>222</v>
      </c>
      <c r="D23" s="420">
        <v>111.49902410872638789671775395</v>
      </c>
      <c r="E23" s="91">
        <v>91.33511777909552627840887416</v>
      </c>
      <c r="F23" s="421">
        <v>101.83776499221557619300050284</v>
      </c>
      <c r="G23" s="420">
        <v>99.06256812640409791199927871</v>
      </c>
      <c r="H23" s="91">
        <v>94.55322288327417843015767881</v>
      </c>
      <c r="I23" s="421">
        <v>93.66685083584166898921963531</v>
      </c>
      <c r="J23" s="420">
        <v>0</v>
      </c>
      <c r="K23" s="91">
        <v>0</v>
      </c>
      <c r="L23" s="421">
        <v>0</v>
      </c>
      <c r="M23" s="420">
        <v>110.76143313380431492970770955</v>
      </c>
      <c r="N23" s="91">
        <v>91.46766754282790342160122842</v>
      </c>
      <c r="O23" s="421">
        <v>101.31089942447568274469423163</v>
      </c>
      <c r="P23" s="5"/>
      <c r="Q23" s="420">
        <v>-13.205309977389544502864501750</v>
      </c>
      <c r="R23" s="91">
        <v>7.2850368061186669256325698700</v>
      </c>
      <c r="S23" s="421">
        <v>-6.8822848635681606841195045600</v>
      </c>
      <c r="T23" s="420">
        <v>-25.312787373260959890248075710</v>
      </c>
      <c r="U23" s="91">
        <v>14.74152908811135955288383100</v>
      </c>
      <c r="V23" s="421">
        <v>-14.302750199180055128174648230</v>
      </c>
      <c r="W23" s="420">
        <v>0</v>
      </c>
      <c r="X23" s="91">
        <v>0</v>
      </c>
      <c r="Y23" s="421">
        <v>0</v>
      </c>
      <c r="Z23" s="420">
        <v>-13.857091873600807740335947760</v>
      </c>
      <c r="AA23" s="91">
        <v>7.5391487874544965297749910500</v>
      </c>
      <c r="AB23" s="421">
        <v>-7.3626498601591887313813073600</v>
      </c>
    </row>
    <row r="24" ht="18.95" customHeight="1">
      <c r="A24" s="59"/>
      <c r="B24" s="286"/>
      <c r="C24" s="287" t="s">
        <v>224</v>
      </c>
      <c r="D24" s="271">
        <v>106.86142610033396410186187152</v>
      </c>
      <c r="E24" s="92">
        <v>81.31634827629511425796136256</v>
      </c>
      <c r="F24" s="272">
        <v>86.89580942077856720195947059</v>
      </c>
      <c r="G24" s="271">
        <v>135.68718033208054662654881421</v>
      </c>
      <c r="H24" s="92">
        <v>65.370229721435444334990457740</v>
      </c>
      <c r="I24" s="272">
        <v>88.69902148622436019127492592</v>
      </c>
      <c r="J24" s="271">
        <v>0</v>
      </c>
      <c r="K24" s="92">
        <v>0</v>
      </c>
      <c r="L24" s="272">
        <v>0</v>
      </c>
      <c r="M24" s="271">
        <v>108.81770034369202072634501311</v>
      </c>
      <c r="N24" s="92">
        <v>79.99953081274569452012825790</v>
      </c>
      <c r="O24" s="272">
        <v>87.05364971621805638824473579</v>
      </c>
      <c r="P24" s="93"/>
      <c r="Q24" s="271">
        <v>-32.339926484910296766260583120</v>
      </c>
      <c r="R24" s="92">
        <v>0.5075800965995906446636056500</v>
      </c>
      <c r="S24" s="272">
        <v>-31.996497418383765043159221680</v>
      </c>
      <c r="T24" s="271">
        <v>-28.180103380700154715682056400</v>
      </c>
      <c r="U24" s="92">
        <v>10.01118928117834448358731800</v>
      </c>
      <c r="V24" s="272">
        <v>-20.990077587491242071628026880</v>
      </c>
      <c r="W24" s="271">
        <v>0</v>
      </c>
      <c r="X24" s="92">
        <v>0</v>
      </c>
      <c r="Y24" s="272">
        <v>0</v>
      </c>
      <c r="Z24" s="271">
        <v>-31.281105251734830519108533760</v>
      </c>
      <c r="AA24" s="92">
        <v>-0.1786577331154932353623542800</v>
      </c>
      <c r="AB24" s="272">
        <v>-31.403876871262269972788828040</v>
      </c>
    </row>
    <row r="25" ht="18.95" customHeight="1">
      <c r="A25" s="60"/>
      <c r="B25" s="288"/>
      <c r="C25" s="289" t="s">
        <v>227</v>
      </c>
      <c r="D25" s="420">
        <v>104.87878415648118517312094215</v>
      </c>
      <c r="E25" s="91">
        <v>84.38649841673452263300503137</v>
      </c>
      <c r="F25" s="421">
        <v>88.50353353172555864861267192</v>
      </c>
      <c r="G25" s="420">
        <v>196.75594115323639243627402175</v>
      </c>
      <c r="H25" s="91">
        <v>86.74404278140876162964754229</v>
      </c>
      <c r="I25" s="421">
        <v>170.67405777020692911542460616</v>
      </c>
      <c r="J25" s="420">
        <v>0</v>
      </c>
      <c r="K25" s="91">
        <v>0</v>
      </c>
      <c r="L25" s="421">
        <v>0</v>
      </c>
      <c r="M25" s="420">
        <v>112.37282573029136073950945611</v>
      </c>
      <c r="N25" s="91">
        <v>84.63977188046143736675840718</v>
      </c>
      <c r="O25" s="421">
        <v>95.11210335370043330626101996</v>
      </c>
      <c r="P25" s="93"/>
      <c r="Q25" s="420">
        <v>-29.464870789010997586481513750</v>
      </c>
      <c r="R25" s="91">
        <v>9.262151637955837069450859860</v>
      </c>
      <c r="S25" s="421">
        <v>-22.931800163406460799757537940</v>
      </c>
      <c r="T25" s="420">
        <v>4.1460066861264706081959372900</v>
      </c>
      <c r="U25" s="91">
        <v>-12.018076958166565276388680330</v>
      </c>
      <c r="V25" s="421">
        <v>-8.370340546725937629188118200</v>
      </c>
      <c r="W25" s="420">
        <v>0</v>
      </c>
      <c r="X25" s="91">
        <v>0</v>
      </c>
      <c r="Y25" s="421">
        <v>0</v>
      </c>
      <c r="Z25" s="420">
        <v>-25.966355013365774751541152460</v>
      </c>
      <c r="AA25" s="91">
        <v>7.4021420459635061223758807700</v>
      </c>
      <c r="AB25" s="421">
        <v>-20.486279449623635276302827990</v>
      </c>
    </row>
    <row r="26" ht="18.95" customHeight="1">
      <c r="A26" s="60"/>
      <c r="B26" s="290"/>
      <c r="C26" s="291" t="s">
        <v>229</v>
      </c>
      <c r="D26" s="273">
        <v>114.91451635833637359148433015</v>
      </c>
      <c r="E26" s="274">
        <v>85.44385304974808273975340967</v>
      </c>
      <c r="F26" s="275">
        <v>98.18739049009026689087619716</v>
      </c>
      <c r="G26" s="273">
        <v>399.60039959056328287121730365</v>
      </c>
      <c r="H26" s="274">
        <v>76.106936137364102100159068060</v>
      </c>
      <c r="I26" s="275">
        <v>304.12362092691719300430620218</v>
      </c>
      <c r="J26" s="273">
        <v>0</v>
      </c>
      <c r="K26" s="274">
        <v>0</v>
      </c>
      <c r="L26" s="275">
        <v>0</v>
      </c>
      <c r="M26" s="273">
        <v>121.01516757120957024157014752</v>
      </c>
      <c r="N26" s="274">
        <v>85.58418022022047744073031072</v>
      </c>
      <c r="O26" s="275">
        <v>103.56983910787869822128096893</v>
      </c>
      <c r="P26" s="184"/>
      <c r="Q26" s="273">
        <v>-21.222145019391446248612387440</v>
      </c>
      <c r="R26" s="274">
        <v>10.400684597354587801419138260</v>
      </c>
      <c r="S26" s="275">
        <v>-13.028708790224835711989466740</v>
      </c>
      <c r="T26" s="273">
        <v>82.04533285023508603317239570</v>
      </c>
      <c r="U26" s="274">
        <v>-30.077103955021300216045420260</v>
      </c>
      <c r="V26" s="275">
        <v>27.291368848422361081666062240</v>
      </c>
      <c r="W26" s="273">
        <v>0</v>
      </c>
      <c r="X26" s="274">
        <v>0</v>
      </c>
      <c r="Y26" s="275">
        <v>0</v>
      </c>
      <c r="Z26" s="273">
        <v>-18.783360440053229451018440160</v>
      </c>
      <c r="AA26" s="274">
        <v>9.028128493857597995173151010</v>
      </c>
      <c r="AB26" s="275">
        <v>-11.451017862299144093358157120</v>
      </c>
    </row>
    <row r="27" ht="21.95"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95" customHeight="1">
      <c r="A28" s="112"/>
      <c r="B28" s="973" t="s">
        <v>59</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9"/>
    </row>
    <row r="29" ht="18.95" customHeight="1">
      <c r="A29" s="58"/>
      <c r="B29" s="284">
        <v>2020</v>
      </c>
      <c r="C29" s="285"/>
      <c r="D29" s="427"/>
      <c r="E29" s="428"/>
      <c r="F29" s="429"/>
      <c r="G29" s="427"/>
      <c r="H29" s="428"/>
      <c r="I29" s="429"/>
      <c r="J29" s="427"/>
      <c r="K29" s="428"/>
      <c r="L29" s="429"/>
      <c r="M29" s="427"/>
      <c r="N29" s="428"/>
      <c r="O29" s="429"/>
      <c r="P29" s="5"/>
      <c r="Q29" s="427"/>
      <c r="R29" s="428"/>
      <c r="S29" s="429"/>
      <c r="T29" s="427"/>
      <c r="U29" s="428"/>
      <c r="V29" s="429"/>
      <c r="W29" s="427"/>
      <c r="X29" s="428"/>
      <c r="Y29" s="429"/>
      <c r="Z29" s="427"/>
      <c r="AA29" s="428"/>
      <c r="AB29" s="429"/>
    </row>
    <row r="30" ht="18.95" customHeight="1">
      <c r="A30" s="58"/>
      <c r="B30" s="286">
        <v>2021</v>
      </c>
      <c r="C30" s="287"/>
      <c r="D30" s="271">
        <v>127.55068531082711851656894543</v>
      </c>
      <c r="E30" s="92">
        <v>81.34515153448726761473822182</v>
      </c>
      <c r="F30" s="272">
        <v>103.75629824937057957961997321</v>
      </c>
      <c r="G30" s="271">
        <v>251.94636866368243688172048757</v>
      </c>
      <c r="H30" s="92">
        <v>89.70654543709911093408362901</v>
      </c>
      <c r="I30" s="272">
        <v>226.01238368638909516073196188</v>
      </c>
      <c r="J30" s="271">
        <v>0</v>
      </c>
      <c r="K30" s="92">
        <v>0</v>
      </c>
      <c r="L30" s="272">
        <v>0</v>
      </c>
      <c r="M30" s="271">
        <v>129.82702711141975134930827472</v>
      </c>
      <c r="N30" s="92">
        <v>81.57866070784420446424381774</v>
      </c>
      <c r="O30" s="272">
        <v>105.91114995433353107872584326</v>
      </c>
      <c r="P30" s="5"/>
      <c r="Q30" s="271"/>
      <c r="R30" s="92"/>
      <c r="S30" s="272"/>
      <c r="T30" s="271"/>
      <c r="U30" s="92"/>
      <c r="V30" s="272"/>
      <c r="W30" s="271"/>
      <c r="X30" s="92"/>
      <c r="Y30" s="272"/>
      <c r="Z30" s="271"/>
      <c r="AA30" s="92"/>
      <c r="AB30" s="272"/>
    </row>
    <row r="31" ht="18.95" customHeight="1">
      <c r="A31" s="58"/>
      <c r="B31" s="425">
        <v>2022</v>
      </c>
      <c r="C31" s="426"/>
      <c r="D31" s="430">
        <v>115.46523876232759656337168570</v>
      </c>
      <c r="E31" s="431">
        <v>84.17462041665859990422290319</v>
      </c>
      <c r="F31" s="432">
        <v>97.19242644142949071563178816</v>
      </c>
      <c r="G31" s="430">
        <v>347.29371233710295620385094826</v>
      </c>
      <c r="H31" s="431">
        <v>89.11961603496791735898941025</v>
      </c>
      <c r="I31" s="432">
        <v>309.50682295497056110516341493</v>
      </c>
      <c r="J31" s="430">
        <v>0</v>
      </c>
      <c r="K31" s="431">
        <v>0</v>
      </c>
      <c r="L31" s="432">
        <v>0</v>
      </c>
      <c r="M31" s="430">
        <v>124.78119468188456381020198787</v>
      </c>
      <c r="N31" s="431">
        <v>84.67663556790246709584700569</v>
      </c>
      <c r="O31" s="432">
        <v>105.66051747809226959503355085</v>
      </c>
      <c r="P31" s="184"/>
      <c r="Q31" s="430">
        <v>-9.475014986414268852301943110</v>
      </c>
      <c r="R31" s="431">
        <v>3.4783497587542992497256212600</v>
      </c>
      <c r="S31" s="432">
        <v>-6.3262393885649893265150308800</v>
      </c>
      <c r="T31" s="430">
        <v>37.844301618283430211347131600</v>
      </c>
      <c r="U31" s="431">
        <v>-0.6542771202170781948426850700</v>
      </c>
      <c r="V31" s="432">
        <v>36.942417891765605027085751330</v>
      </c>
      <c r="W31" s="430">
        <v>0</v>
      </c>
      <c r="X31" s="431">
        <v>0</v>
      </c>
      <c r="Y31" s="432">
        <v>0</v>
      </c>
      <c r="Z31" s="430">
        <v>-3.8865808928874147870007314100</v>
      </c>
      <c r="AA31" s="431">
        <v>3.7975309146087264515578459700</v>
      </c>
      <c r="AB31" s="432">
        <v>-0.2366440892350585880210638100</v>
      </c>
    </row>
    <row r="32" ht="21.95"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95"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9"/>
    </row>
    <row r="34" ht="18.95" customHeight="1">
      <c r="A34" s="58"/>
      <c r="B34" s="284">
        <v>2020</v>
      </c>
      <c r="C34" s="285"/>
      <c r="D34" s="427"/>
      <c r="E34" s="428"/>
      <c r="F34" s="429"/>
      <c r="G34" s="427"/>
      <c r="H34" s="428"/>
      <c r="I34" s="429"/>
      <c r="J34" s="427"/>
      <c r="K34" s="428"/>
      <c r="L34" s="429"/>
      <c r="M34" s="427"/>
      <c r="N34" s="428"/>
      <c r="O34" s="429"/>
      <c r="P34" s="5"/>
      <c r="Q34" s="427"/>
      <c r="R34" s="428"/>
      <c r="S34" s="429"/>
      <c r="T34" s="427"/>
      <c r="U34" s="428"/>
      <c r="V34" s="429"/>
      <c r="W34" s="427"/>
      <c r="X34" s="428"/>
      <c r="Y34" s="429"/>
      <c r="Z34" s="427"/>
      <c r="AA34" s="428"/>
      <c r="AB34" s="429"/>
    </row>
    <row r="35" ht="18.95" customHeight="1">
      <c r="A35" s="58"/>
      <c r="B35" s="286">
        <v>2021</v>
      </c>
      <c r="C35" s="287"/>
      <c r="D35" s="271">
        <v>150.28448824155298067528616765</v>
      </c>
      <c r="E35" s="92">
        <v>77.490287059957648126838429140</v>
      </c>
      <c r="F35" s="272">
        <v>116.45588134489537317140206866</v>
      </c>
      <c r="G35" s="271">
        <v>199.13656383831683856391837181</v>
      </c>
      <c r="H35" s="92">
        <v>97.91256704038507005296670409</v>
      </c>
      <c r="I35" s="272">
        <v>194.97972157434114752564254875</v>
      </c>
      <c r="J35" s="271">
        <v>0</v>
      </c>
      <c r="K35" s="92">
        <v>0</v>
      </c>
      <c r="L35" s="272">
        <v>0</v>
      </c>
      <c r="M35" s="271">
        <v>152.57969646858963363111688047</v>
      </c>
      <c r="N35" s="92">
        <v>78.475452003943712135296262470</v>
      </c>
      <c r="O35" s="272">
        <v>119.73760647002356223319490874</v>
      </c>
      <c r="P35" s="5"/>
      <c r="Q35" s="271"/>
      <c r="R35" s="92"/>
      <c r="S35" s="272"/>
      <c r="T35" s="271"/>
      <c r="U35" s="92"/>
      <c r="V35" s="272"/>
      <c r="W35" s="271"/>
      <c r="X35" s="92"/>
      <c r="Y35" s="272"/>
      <c r="Z35" s="271"/>
      <c r="AA35" s="92"/>
      <c r="AB35" s="272"/>
    </row>
    <row r="36" ht="18.95" customHeight="1">
      <c r="A36" s="58"/>
      <c r="B36" s="425">
        <v>2022</v>
      </c>
      <c r="C36" s="426"/>
      <c r="D36" s="430">
        <v>108.97585345551186057136680066</v>
      </c>
      <c r="E36" s="431">
        <v>84.45057665623818178493111645</v>
      </c>
      <c r="F36" s="432">
        <v>92.03073665921857580552432507</v>
      </c>
      <c r="G36" s="430">
        <v>199.00099900071908750590108648</v>
      </c>
      <c r="H36" s="431">
        <v>81.29111350989259047209225367</v>
      </c>
      <c r="I36" s="432">
        <v>161.77012798328649565935244972</v>
      </c>
      <c r="J36" s="430">
        <v>0</v>
      </c>
      <c r="K36" s="431">
        <v>0</v>
      </c>
      <c r="L36" s="432">
        <v>0</v>
      </c>
      <c r="M36" s="430">
        <v>114.12095519495531378414200087</v>
      </c>
      <c r="N36" s="431">
        <v>84.37103715687465215960506458</v>
      </c>
      <c r="O36" s="432">
        <v>96.28503351126957952845931626</v>
      </c>
      <c r="P36" s="184"/>
      <c r="Q36" s="430">
        <v>-27.486958414284013064424203100</v>
      </c>
      <c r="R36" s="431">
        <v>8.982144550385901983689356140</v>
      </c>
      <c r="S36" s="432">
        <v>-20.973732201075377063152954410</v>
      </c>
      <c r="T36" s="430">
        <v>-0.0680763165578130081489691400</v>
      </c>
      <c r="U36" s="431">
        <v>-16.975812230159568165466727870</v>
      </c>
      <c r="V36" s="432">
        <v>-17.032332040928923797974221590</v>
      </c>
      <c r="W36" s="430">
        <v>0</v>
      </c>
      <c r="X36" s="431">
        <v>0</v>
      </c>
      <c r="Y36" s="432">
        <v>0</v>
      </c>
      <c r="Z36" s="430">
        <v>-25.205674256639557499999890340</v>
      </c>
      <c r="AA36" s="431">
        <v>7.5126488633434807791035964100</v>
      </c>
      <c r="AB36" s="432">
        <v>-19.586639193933120944521819900</v>
      </c>
    </row>
    <row r="37" ht="21.9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95" customHeight="1">
      <c r="A38" s="112"/>
      <c r="B38" s="972" t="s">
        <v>45</v>
      </c>
      <c r="C38" s="972"/>
      <c r="D38" s="972"/>
      <c r="E38" s="972"/>
      <c r="F38" s="972"/>
      <c r="G38" s="972"/>
      <c r="H38" s="972"/>
      <c r="I38" s="972"/>
      <c r="J38" s="972"/>
      <c r="K38" s="972"/>
      <c r="L38" s="972"/>
      <c r="M38" s="972"/>
      <c r="N38" s="972"/>
      <c r="O38" s="972"/>
      <c r="P38" s="411"/>
      <c r="Q38" s="971"/>
      <c r="R38" s="971"/>
      <c r="S38" s="971"/>
      <c r="T38" s="971"/>
      <c r="U38" s="971"/>
      <c r="V38" s="971"/>
      <c r="W38" s="971"/>
      <c r="X38" s="971"/>
      <c r="Y38" s="971"/>
      <c r="Z38" s="971"/>
      <c r="AA38" s="971"/>
      <c r="AB38" s="971"/>
      <c r="AC38" s="9"/>
    </row>
    <row r="39" ht="18.95" customHeight="1">
      <c r="A39" s="58"/>
      <c r="B39" s="284">
        <v>2020</v>
      </c>
      <c r="C39" s="285"/>
      <c r="D39" s="427"/>
      <c r="E39" s="428"/>
      <c r="F39" s="429"/>
      <c r="G39" s="427"/>
      <c r="H39" s="428"/>
      <c r="I39" s="429"/>
      <c r="J39" s="427"/>
      <c r="K39" s="428"/>
      <c r="L39" s="429"/>
      <c r="M39" s="427"/>
      <c r="N39" s="428"/>
      <c r="O39" s="429"/>
      <c r="P39" s="5"/>
      <c r="Q39" s="427"/>
      <c r="R39" s="428"/>
      <c r="S39" s="429"/>
      <c r="T39" s="427"/>
      <c r="U39" s="428"/>
      <c r="V39" s="429"/>
      <c r="W39" s="427"/>
      <c r="X39" s="428"/>
      <c r="Y39" s="429"/>
      <c r="Z39" s="427"/>
      <c r="AA39" s="428"/>
      <c r="AB39" s="429"/>
    </row>
    <row r="40" ht="18.95" customHeight="1">
      <c r="A40" s="58"/>
      <c r="B40" s="286">
        <v>2021</v>
      </c>
      <c r="C40" s="287"/>
      <c r="D40" s="271">
        <v>127.55068531082711851656894543</v>
      </c>
      <c r="E40" s="92">
        <v>81.34515153448726761473822182</v>
      </c>
      <c r="F40" s="272">
        <v>103.75629824937057957961997321</v>
      </c>
      <c r="G40" s="271">
        <v>251.94636866368243688172048757</v>
      </c>
      <c r="H40" s="92">
        <v>89.70654543709911093408362901</v>
      </c>
      <c r="I40" s="272">
        <v>226.01238368638909516073196188</v>
      </c>
      <c r="J40" s="271">
        <v>0</v>
      </c>
      <c r="K40" s="92">
        <v>0</v>
      </c>
      <c r="L40" s="272">
        <v>0</v>
      </c>
      <c r="M40" s="271">
        <v>129.82702711141975134930827472</v>
      </c>
      <c r="N40" s="92">
        <v>81.57866070784420446424381774</v>
      </c>
      <c r="O40" s="272">
        <v>105.91114995433353107872584326</v>
      </c>
      <c r="P40" s="5"/>
      <c r="Q40" s="271"/>
      <c r="R40" s="92"/>
      <c r="S40" s="272"/>
      <c r="T40" s="271"/>
      <c r="U40" s="92"/>
      <c r="V40" s="272"/>
      <c r="W40" s="271"/>
      <c r="X40" s="92"/>
      <c r="Y40" s="272"/>
      <c r="Z40" s="271"/>
      <c r="AA40" s="92"/>
      <c r="AB40" s="272"/>
    </row>
    <row r="41" ht="18.95" customHeight="1">
      <c r="A41" s="58"/>
      <c r="B41" s="425">
        <v>2022</v>
      </c>
      <c r="C41" s="426"/>
      <c r="D41" s="430">
        <v>115.46523876232759656337168570</v>
      </c>
      <c r="E41" s="431">
        <v>84.17462041665859990422290319</v>
      </c>
      <c r="F41" s="432">
        <v>97.19242644142949071563178816</v>
      </c>
      <c r="G41" s="430">
        <v>347.29371233710295620385094826</v>
      </c>
      <c r="H41" s="431">
        <v>89.11961603496791735898941025</v>
      </c>
      <c r="I41" s="432">
        <v>309.50682295497056110516341493</v>
      </c>
      <c r="J41" s="430">
        <v>0</v>
      </c>
      <c r="K41" s="431">
        <v>0</v>
      </c>
      <c r="L41" s="432">
        <v>0</v>
      </c>
      <c r="M41" s="430">
        <v>124.78119468188456381020198787</v>
      </c>
      <c r="N41" s="431">
        <v>84.67663556790246709584700569</v>
      </c>
      <c r="O41" s="432">
        <v>105.66051747809226959503355085</v>
      </c>
      <c r="P41" s="184"/>
      <c r="Q41" s="430">
        <v>-9.475014986414268852301943110</v>
      </c>
      <c r="R41" s="431">
        <v>3.4783497587542992497256212600</v>
      </c>
      <c r="S41" s="432">
        <v>-6.3262393885649893265150308800</v>
      </c>
      <c r="T41" s="430">
        <v>37.844301618283430211347131600</v>
      </c>
      <c r="U41" s="431">
        <v>-0.6542771202170781948426850700</v>
      </c>
      <c r="V41" s="432">
        <v>36.942417891765605027085751330</v>
      </c>
      <c r="W41" s="430">
        <v>0</v>
      </c>
      <c r="X41" s="431">
        <v>0</v>
      </c>
      <c r="Y41" s="432">
        <v>0</v>
      </c>
      <c r="Z41" s="430">
        <v>-3.8865808928874147870007314100</v>
      </c>
      <c r="AA41" s="431">
        <v>3.7975309146087264515578459700</v>
      </c>
      <c r="AB41" s="432">
        <v>-0.2366440892350585880210638100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c r="AP42" s="236"/>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c r="AP43" s="236"/>
    </row>
    <row r="44" ht="12" customHeight="1">
      <c r="Z44" s="55"/>
      <c r="AA44" s="233"/>
      <c r="AB44" s="233"/>
      <c r="AP44" s="236"/>
    </row>
    <row r="45" ht="12" customHeight="1">
      <c r="AP45" s="236"/>
    </row>
    <row r="46" s="466" customFormat="1">
      <c r="A46"/>
    </row>
    <row r="47" s="466" customFormat="1"/>
    <row r="48" s="466" customFormat="1"/>
    <row r="49" s="466" customFormat="1"/>
    <row r="50" s="466" customFormat="1"/>
    <row r="51" s="466" customFormat="1"/>
    <row r="52" s="466" customFormat="1"/>
    <row r="53" s="466" customFormat="1"/>
    <row r="54" s="466" customFormat="1"/>
    <row r="55" s="466" customFormat="1"/>
    <row r="56" s="466" customFormat="1"/>
    <row r="57" s="466" customFormat="1"/>
    <row r="58" s="466" customFormat="1"/>
    <row r="59" s="466" customFormat="1"/>
    <row r="60" s="466" customFormat="1"/>
    <row r="61" s="466" customFormat="1"/>
    <row r="62" s="466" customFormat="1"/>
    <row r="63" s="466" customFormat="1"/>
    <row r="64" s="466" customFormat="1"/>
    <row r="65" s="466" customFormat="1"/>
    <row r="66" s="466" customFormat="1"/>
    <row r="67" s="466" customFormat="1"/>
    <row r="68" s="466" customFormat="1"/>
    <row r="69" s="466" customFormat="1"/>
    <row r="70" s="466" customFormat="1"/>
    <row r="71" s="466" customFormat="1"/>
    <row r="72" s="466" customFormat="1"/>
    <row r="73" s="466" customFormat="1"/>
    <row r="74" s="466" customFormat="1"/>
    <row r="75" s="466" customFormat="1"/>
    <row r="76" s="466" customFormat="1"/>
    <row r="77" s="466" customFormat="1"/>
    <row r="78" s="466" customFormat="1"/>
    <row r="79" s="466" customFormat="1"/>
    <row r="80" s="466" customFormat="1"/>
    <row r="81" s="466" customFormat="1"/>
  </sheetData>
  <mergeCells count="21">
    <mergeCell ref="B3:AB3"/>
    <mergeCell ref="Q33:AB33"/>
    <mergeCell ref="B8:C8"/>
    <mergeCell ref="B2:AB2"/>
    <mergeCell ref="Q6:AB6"/>
    <mergeCell ref="D6:O6"/>
    <mergeCell ref="B4:AB4"/>
    <mergeCell ref="T7:V7"/>
    <mergeCell ref="M7:O7"/>
    <mergeCell ref="G7:I7"/>
    <mergeCell ref="D7:F7"/>
    <mergeCell ref="Q7:S7"/>
    <mergeCell ref="J7:L7"/>
    <mergeCell ref="B43:AB43"/>
    <mergeCell ref="B33:O33"/>
    <mergeCell ref="W7:Y7"/>
    <mergeCell ref="Q38:AB38"/>
    <mergeCell ref="B28:O28"/>
    <mergeCell ref="Z7:AB7"/>
    <mergeCell ref="B38:O38"/>
    <mergeCell ref="Q28:AB28"/>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30" max="1048575" man="1"/>
  </colBreaks>
  <drawing r:id="rId51"/>
</worksheet>
</file>

<file path=xl/worksheets/sheet5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4">
    <pageSetUpPr fitToPage="1"/>
  </sheetPr>
  <dimension ref="A1:AP78"/>
  <sheetViews>
    <sheetView showGridLines="0" zoomScale="85" workbookViewId="0"/>
  </sheetViews>
  <sheetFormatPr defaultRowHeight="12.75"/>
  <cols>
    <col min="1" max="1" width="2.7109375" customWidth="1"/>
    <col min="2" max="2" width="6.7109375" customWidth="1"/>
    <col min="3" max="3" width="6.140625" style="26"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236" customWidth="1"/>
  </cols>
  <sheetData>
    <row r="1" ht="30">
      <c r="A1" s="89"/>
      <c r="B1" s="656" t="s">
        <v>149</v>
      </c>
      <c r="Z1" s="5"/>
      <c r="AB1" s="685"/>
      <c r="AD1" s="236"/>
    </row>
    <row r="2" ht="15" customHeight="1">
      <c r="A2" s="11"/>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209</v>
      </c>
      <c r="C3" s="999"/>
      <c r="D3" s="999"/>
      <c r="E3" s="999"/>
      <c r="F3" s="999"/>
      <c r="G3" s="999"/>
      <c r="H3" s="999"/>
      <c r="I3" s="999"/>
      <c r="J3" s="999"/>
      <c r="K3" s="999"/>
      <c r="L3" s="999"/>
      <c r="M3" s="999"/>
      <c r="N3" s="999"/>
      <c r="O3" s="999"/>
      <c r="P3" s="999"/>
      <c r="Q3" s="999"/>
      <c r="R3" s="999"/>
      <c r="S3" s="999"/>
      <c r="T3" s="999"/>
      <c r="U3" s="999"/>
      <c r="V3" s="999"/>
      <c r="W3" s="999"/>
      <c r="X3" s="999"/>
      <c r="Y3" s="999"/>
      <c r="Z3" s="999"/>
      <c r="AA3" s="999"/>
      <c r="AB3" s="999"/>
    </row>
    <row r="4" ht="19.5" customHeight="1">
      <c r="A4" s="4"/>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5" customHeight="1"/>
    <row r="6" ht="15.75" customHeight="1">
      <c r="D6" s="960" t="s">
        <v>77</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ustomHeight="1">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53</v>
      </c>
      <c r="E8" s="413" t="s">
        <v>9</v>
      </c>
      <c r="F8" s="414" t="s">
        <v>10</v>
      </c>
      <c r="G8" s="412" t="s">
        <v>53</v>
      </c>
      <c r="H8" s="413" t="s">
        <v>9</v>
      </c>
      <c r="I8" s="414" t="s">
        <v>10</v>
      </c>
      <c r="J8" s="412" t="s">
        <v>53</v>
      </c>
      <c r="K8" s="413" t="s">
        <v>9</v>
      </c>
      <c r="L8" s="414" t="s">
        <v>10</v>
      </c>
      <c r="M8" s="412" t="s">
        <v>53</v>
      </c>
      <c r="N8" s="413" t="s">
        <v>9</v>
      </c>
      <c r="O8" s="414" t="s">
        <v>10</v>
      </c>
      <c r="P8" s="63"/>
      <c r="Q8" s="412" t="s">
        <v>53</v>
      </c>
      <c r="R8" s="413" t="s">
        <v>9</v>
      </c>
      <c r="S8" s="414" t="s">
        <v>10</v>
      </c>
      <c r="T8" s="412" t="s">
        <v>53</v>
      </c>
      <c r="U8" s="413" t="s">
        <v>9</v>
      </c>
      <c r="V8" s="414" t="s">
        <v>10</v>
      </c>
      <c r="W8" s="412" t="s">
        <v>53</v>
      </c>
      <c r="X8" s="413" t="s">
        <v>9</v>
      </c>
      <c r="Y8" s="414" t="s">
        <v>10</v>
      </c>
      <c r="Z8" s="412" t="s">
        <v>53</v>
      </c>
      <c r="AA8" s="413" t="s">
        <v>9</v>
      </c>
      <c r="AB8" s="414" t="s">
        <v>10</v>
      </c>
    </row>
    <row r="9" ht="18.95" customHeight="1">
      <c r="A9" s="57"/>
      <c r="B9" s="284">
        <v>2021</v>
      </c>
      <c r="C9" s="285" t="s">
        <v>218</v>
      </c>
      <c r="D9" s="415" t="s">
        <v>219</v>
      </c>
      <c r="E9" s="416" t="s">
        <v>220</v>
      </c>
      <c r="F9" s="417" t="s">
        <v>220</v>
      </c>
      <c r="G9" s="415" t="s">
        <v>220</v>
      </c>
      <c r="H9" s="416" t="s">
        <v>223</v>
      </c>
      <c r="I9" s="417" t="s">
        <v>220</v>
      </c>
      <c r="J9" s="415" t="s">
        <v>278</v>
      </c>
      <c r="K9" s="416" t="s">
        <v>278</v>
      </c>
      <c r="L9" s="417" t="s">
        <v>278</v>
      </c>
      <c r="M9" s="415" t="s">
        <v>219</v>
      </c>
      <c r="N9" s="416" t="s">
        <v>220</v>
      </c>
      <c r="O9" s="417" t="s">
        <v>220</v>
      </c>
      <c r="P9" s="5"/>
      <c r="Q9" s="415"/>
      <c r="R9" s="416"/>
      <c r="S9" s="417"/>
      <c r="T9" s="415"/>
      <c r="U9" s="416"/>
      <c r="V9" s="417"/>
      <c r="W9" s="415"/>
      <c r="X9" s="416"/>
      <c r="Y9" s="417"/>
      <c r="Z9" s="415"/>
      <c r="AA9" s="416"/>
      <c r="AB9" s="417"/>
    </row>
    <row r="10" ht="18.95" customHeight="1">
      <c r="A10" s="58"/>
      <c r="B10" s="286"/>
      <c r="C10" s="287" t="s">
        <v>221</v>
      </c>
      <c r="D10" s="271" t="s">
        <v>220</v>
      </c>
      <c r="E10" s="92" t="s">
        <v>220</v>
      </c>
      <c r="F10" s="272" t="s">
        <v>220</v>
      </c>
      <c r="G10" s="271" t="s">
        <v>223</v>
      </c>
      <c r="H10" s="92" t="s">
        <v>223</v>
      </c>
      <c r="I10" s="272" t="s">
        <v>223</v>
      </c>
      <c r="J10" s="271" t="s">
        <v>278</v>
      </c>
      <c r="K10" s="92" t="s">
        <v>278</v>
      </c>
      <c r="L10" s="272" t="s">
        <v>278</v>
      </c>
      <c r="M10" s="271" t="s">
        <v>220</v>
      </c>
      <c r="N10" s="92" t="s">
        <v>220</v>
      </c>
      <c r="O10" s="272" t="s">
        <v>220</v>
      </c>
      <c r="P10" s="5"/>
      <c r="Q10" s="271"/>
      <c r="R10" s="92"/>
      <c r="S10" s="272"/>
      <c r="T10" s="271"/>
      <c r="U10" s="92"/>
      <c r="V10" s="272"/>
      <c r="W10" s="271"/>
      <c r="X10" s="92"/>
      <c r="Y10" s="272"/>
      <c r="Z10" s="271"/>
      <c r="AA10" s="92"/>
      <c r="AB10" s="272"/>
    </row>
    <row r="11" ht="18.95" customHeight="1">
      <c r="A11" s="58"/>
      <c r="B11" s="288"/>
      <c r="C11" s="289" t="s">
        <v>222</v>
      </c>
      <c r="D11" s="420" t="s">
        <v>223</v>
      </c>
      <c r="E11" s="91" t="s">
        <v>220</v>
      </c>
      <c r="F11" s="421" t="s">
        <v>220</v>
      </c>
      <c r="G11" s="420" t="s">
        <v>223</v>
      </c>
      <c r="H11" s="91" t="s">
        <v>223</v>
      </c>
      <c r="I11" s="421" t="s">
        <v>223</v>
      </c>
      <c r="J11" s="420" t="s">
        <v>278</v>
      </c>
      <c r="K11" s="91" t="s">
        <v>278</v>
      </c>
      <c r="L11" s="421" t="s">
        <v>278</v>
      </c>
      <c r="M11" s="420" t="s">
        <v>223</v>
      </c>
      <c r="N11" s="91" t="s">
        <v>220</v>
      </c>
      <c r="O11" s="421" t="s">
        <v>220</v>
      </c>
      <c r="P11" s="5"/>
      <c r="Q11" s="420"/>
      <c r="R11" s="91"/>
      <c r="S11" s="421"/>
      <c r="T11" s="420"/>
      <c r="U11" s="91"/>
      <c r="V11" s="421"/>
      <c r="W11" s="420"/>
      <c r="X11" s="91"/>
      <c r="Y11" s="421"/>
      <c r="Z11" s="420"/>
      <c r="AA11" s="91"/>
      <c r="AB11" s="421"/>
    </row>
    <row r="12" ht="18.95" customHeight="1">
      <c r="A12" s="58"/>
      <c r="B12" s="286"/>
      <c r="C12" s="287" t="s">
        <v>224</v>
      </c>
      <c r="D12" s="271" t="s">
        <v>225</v>
      </c>
      <c r="E12" s="92" t="s">
        <v>226</v>
      </c>
      <c r="F12" s="272" t="s">
        <v>225</v>
      </c>
      <c r="G12" s="271" t="s">
        <v>225</v>
      </c>
      <c r="H12" s="92" t="s">
        <v>226</v>
      </c>
      <c r="I12" s="272" t="s">
        <v>225</v>
      </c>
      <c r="J12" s="271" t="s">
        <v>278</v>
      </c>
      <c r="K12" s="92" t="s">
        <v>278</v>
      </c>
      <c r="L12" s="272" t="s">
        <v>278</v>
      </c>
      <c r="M12" s="271" t="s">
        <v>225</v>
      </c>
      <c r="N12" s="92" t="s">
        <v>226</v>
      </c>
      <c r="O12" s="272" t="s">
        <v>225</v>
      </c>
      <c r="P12" s="5"/>
      <c r="Q12" s="271"/>
      <c r="R12" s="92"/>
      <c r="S12" s="272"/>
      <c r="T12" s="271"/>
      <c r="U12" s="92"/>
      <c r="V12" s="272"/>
      <c r="W12" s="271"/>
      <c r="X12" s="92"/>
      <c r="Y12" s="272"/>
      <c r="Z12" s="271"/>
      <c r="AA12" s="92"/>
      <c r="AB12" s="272"/>
    </row>
    <row r="13" ht="18.95" customHeight="1">
      <c r="A13" s="58"/>
      <c r="B13" s="288"/>
      <c r="C13" s="289" t="s">
        <v>227</v>
      </c>
      <c r="D13" s="420" t="s">
        <v>219</v>
      </c>
      <c r="E13" s="91" t="s">
        <v>220</v>
      </c>
      <c r="F13" s="421" t="s">
        <v>223</v>
      </c>
      <c r="G13" s="420" t="s">
        <v>223</v>
      </c>
      <c r="H13" s="91" t="s">
        <v>223</v>
      </c>
      <c r="I13" s="421" t="s">
        <v>223</v>
      </c>
      <c r="J13" s="420" t="s">
        <v>278</v>
      </c>
      <c r="K13" s="91" t="s">
        <v>278</v>
      </c>
      <c r="L13" s="421" t="s">
        <v>278</v>
      </c>
      <c r="M13" s="420" t="s">
        <v>228</v>
      </c>
      <c r="N13" s="91" t="s">
        <v>226</v>
      </c>
      <c r="O13" s="421" t="s">
        <v>225</v>
      </c>
      <c r="P13" s="5"/>
      <c r="Q13" s="420"/>
      <c r="R13" s="91"/>
      <c r="S13" s="421"/>
      <c r="T13" s="420"/>
      <c r="U13" s="91"/>
      <c r="V13" s="421"/>
      <c r="W13" s="420"/>
      <c r="X13" s="91"/>
      <c r="Y13" s="421"/>
      <c r="Z13" s="420"/>
      <c r="AA13" s="91"/>
      <c r="AB13" s="421"/>
    </row>
    <row r="14" ht="18.95" customHeight="1">
      <c r="A14" s="58"/>
      <c r="B14" s="286"/>
      <c r="C14" s="287" t="s">
        <v>229</v>
      </c>
      <c r="D14" s="271" t="s">
        <v>228</v>
      </c>
      <c r="E14" s="92" t="s">
        <v>226</v>
      </c>
      <c r="F14" s="272" t="s">
        <v>225</v>
      </c>
      <c r="G14" s="271" t="s">
        <v>225</v>
      </c>
      <c r="H14" s="92" t="s">
        <v>228</v>
      </c>
      <c r="I14" s="272" t="s">
        <v>225</v>
      </c>
      <c r="J14" s="271" t="s">
        <v>278</v>
      </c>
      <c r="K14" s="92" t="s">
        <v>278</v>
      </c>
      <c r="L14" s="272" t="s">
        <v>278</v>
      </c>
      <c r="M14" s="271" t="s">
        <v>228</v>
      </c>
      <c r="N14" s="92" t="s">
        <v>226</v>
      </c>
      <c r="O14" s="272" t="s">
        <v>225</v>
      </c>
      <c r="P14" s="5"/>
      <c r="Q14" s="271" t="s">
        <v>236</v>
      </c>
      <c r="R14" s="92" t="s">
        <v>237</v>
      </c>
      <c r="S14" s="272" t="s">
        <v>236</v>
      </c>
      <c r="T14" s="271" t="s">
        <v>237</v>
      </c>
      <c r="U14" s="92" t="s">
        <v>237</v>
      </c>
      <c r="V14" s="272" t="s">
        <v>237</v>
      </c>
      <c r="W14" s="271"/>
      <c r="X14" s="92"/>
      <c r="Y14" s="272"/>
      <c r="Z14" s="271" t="s">
        <v>236</v>
      </c>
      <c r="AA14" s="92" t="s">
        <v>237</v>
      </c>
      <c r="AB14" s="272" t="s">
        <v>236</v>
      </c>
    </row>
    <row r="15" ht="18.95" customHeight="1">
      <c r="A15" s="58"/>
      <c r="B15" s="288">
        <v>2022</v>
      </c>
      <c r="C15" s="289" t="s">
        <v>230</v>
      </c>
      <c r="D15" s="420" t="s">
        <v>228</v>
      </c>
      <c r="E15" s="91" t="s">
        <v>226</v>
      </c>
      <c r="F15" s="421" t="s">
        <v>225</v>
      </c>
      <c r="G15" s="420" t="s">
        <v>228</v>
      </c>
      <c r="H15" s="91" t="s">
        <v>226</v>
      </c>
      <c r="I15" s="421" t="s">
        <v>228</v>
      </c>
      <c r="J15" s="420" t="s">
        <v>278</v>
      </c>
      <c r="K15" s="91" t="s">
        <v>278</v>
      </c>
      <c r="L15" s="421" t="s">
        <v>278</v>
      </c>
      <c r="M15" s="420" t="s">
        <v>228</v>
      </c>
      <c r="N15" s="91" t="s">
        <v>226</v>
      </c>
      <c r="O15" s="421" t="s">
        <v>225</v>
      </c>
      <c r="P15" s="5"/>
      <c r="Q15" s="420" t="s">
        <v>220</v>
      </c>
      <c r="R15" s="91" t="s">
        <v>220</v>
      </c>
      <c r="S15" s="421" t="s">
        <v>220</v>
      </c>
      <c r="T15" s="420" t="s">
        <v>219</v>
      </c>
      <c r="U15" s="91" t="s">
        <v>219</v>
      </c>
      <c r="V15" s="421" t="s">
        <v>219</v>
      </c>
      <c r="W15" s="420"/>
      <c r="X15" s="91"/>
      <c r="Y15" s="421"/>
      <c r="Z15" s="420" t="s">
        <v>220</v>
      </c>
      <c r="AA15" s="91" t="s">
        <v>220</v>
      </c>
      <c r="AB15" s="421" t="s">
        <v>223</v>
      </c>
    </row>
    <row r="16" ht="18.95" customHeight="1">
      <c r="A16" s="58"/>
      <c r="B16" s="286"/>
      <c r="C16" s="287" t="s">
        <v>231</v>
      </c>
      <c r="D16" s="271" t="s">
        <v>228</v>
      </c>
      <c r="E16" s="92" t="s">
        <v>226</v>
      </c>
      <c r="F16" s="272" t="s">
        <v>225</v>
      </c>
      <c r="G16" s="271" t="s">
        <v>228</v>
      </c>
      <c r="H16" s="92" t="s">
        <v>226</v>
      </c>
      <c r="I16" s="272" t="s">
        <v>226</v>
      </c>
      <c r="J16" s="271" t="s">
        <v>278</v>
      </c>
      <c r="K16" s="92" t="s">
        <v>278</v>
      </c>
      <c r="L16" s="272" t="s">
        <v>278</v>
      </c>
      <c r="M16" s="271" t="s">
        <v>228</v>
      </c>
      <c r="N16" s="92" t="s">
        <v>226</v>
      </c>
      <c r="O16" s="272" t="s">
        <v>225</v>
      </c>
      <c r="P16" s="5"/>
      <c r="Q16" s="271" t="s">
        <v>223</v>
      </c>
      <c r="R16" s="92" t="s">
        <v>223</v>
      </c>
      <c r="S16" s="272" t="s">
        <v>223</v>
      </c>
      <c r="T16" s="271" t="s">
        <v>219</v>
      </c>
      <c r="U16" s="92" t="s">
        <v>219</v>
      </c>
      <c r="V16" s="272" t="s">
        <v>219</v>
      </c>
      <c r="W16" s="271"/>
      <c r="X16" s="92"/>
      <c r="Y16" s="272"/>
      <c r="Z16" s="271" t="s">
        <v>219</v>
      </c>
      <c r="AA16" s="92" t="s">
        <v>223</v>
      </c>
      <c r="AB16" s="272" t="s">
        <v>223</v>
      </c>
    </row>
    <row r="17" ht="18.95" customHeight="1">
      <c r="A17" s="58"/>
      <c r="B17" s="288"/>
      <c r="C17" s="289" t="s">
        <v>232</v>
      </c>
      <c r="D17" s="420" t="s">
        <v>302</v>
      </c>
      <c r="E17" s="91" t="s">
        <v>226</v>
      </c>
      <c r="F17" s="421" t="s">
        <v>226</v>
      </c>
      <c r="G17" s="420" t="s">
        <v>228</v>
      </c>
      <c r="H17" s="91" t="s">
        <v>226</v>
      </c>
      <c r="I17" s="421" t="s">
        <v>228</v>
      </c>
      <c r="J17" s="420" t="s">
        <v>278</v>
      </c>
      <c r="K17" s="91" t="s">
        <v>278</v>
      </c>
      <c r="L17" s="421" t="s">
        <v>278</v>
      </c>
      <c r="M17" s="420" t="s">
        <v>228</v>
      </c>
      <c r="N17" s="91" t="s">
        <v>226</v>
      </c>
      <c r="O17" s="421" t="s">
        <v>225</v>
      </c>
      <c r="P17" s="5"/>
      <c r="Q17" s="420" t="s">
        <v>239</v>
      </c>
      <c r="R17" s="91" t="s">
        <v>223</v>
      </c>
      <c r="S17" s="421" t="s">
        <v>223</v>
      </c>
      <c r="T17" s="420" t="s">
        <v>219</v>
      </c>
      <c r="U17" s="91" t="s">
        <v>240</v>
      </c>
      <c r="V17" s="421" t="s">
        <v>219</v>
      </c>
      <c r="W17" s="420"/>
      <c r="X17" s="91"/>
      <c r="Y17" s="421"/>
      <c r="Z17" s="420" t="s">
        <v>223</v>
      </c>
      <c r="AA17" s="91" t="s">
        <v>223</v>
      </c>
      <c r="AB17" s="421" t="s">
        <v>223</v>
      </c>
    </row>
    <row r="18" ht="18.95" customHeight="1">
      <c r="A18" s="58"/>
      <c r="B18" s="286"/>
      <c r="C18" s="287" t="s">
        <v>233</v>
      </c>
      <c r="D18" s="271" t="s">
        <v>303</v>
      </c>
      <c r="E18" s="92" t="s">
        <v>226</v>
      </c>
      <c r="F18" s="272" t="s">
        <v>226</v>
      </c>
      <c r="G18" s="271" t="s">
        <v>228</v>
      </c>
      <c r="H18" s="92" t="s">
        <v>226</v>
      </c>
      <c r="I18" s="272" t="s">
        <v>228</v>
      </c>
      <c r="J18" s="271" t="s">
        <v>278</v>
      </c>
      <c r="K18" s="92" t="s">
        <v>278</v>
      </c>
      <c r="L18" s="272" t="s">
        <v>278</v>
      </c>
      <c r="M18" s="271" t="s">
        <v>228</v>
      </c>
      <c r="N18" s="92" t="s">
        <v>226</v>
      </c>
      <c r="O18" s="272" t="s">
        <v>225</v>
      </c>
      <c r="P18" s="5"/>
      <c r="Q18" s="271" t="s">
        <v>220</v>
      </c>
      <c r="R18" s="92" t="s">
        <v>223</v>
      </c>
      <c r="S18" s="272" t="s">
        <v>223</v>
      </c>
      <c r="T18" s="271" t="s">
        <v>223</v>
      </c>
      <c r="U18" s="92" t="s">
        <v>223</v>
      </c>
      <c r="V18" s="272" t="s">
        <v>223</v>
      </c>
      <c r="W18" s="271"/>
      <c r="X18" s="92"/>
      <c r="Y18" s="272"/>
      <c r="Z18" s="271" t="s">
        <v>220</v>
      </c>
      <c r="AA18" s="92" t="s">
        <v>223</v>
      </c>
      <c r="AB18" s="272" t="s">
        <v>223</v>
      </c>
    </row>
    <row r="19" ht="18.95" customHeight="1">
      <c r="A19" s="58"/>
      <c r="B19" s="288"/>
      <c r="C19" s="289" t="s">
        <v>234</v>
      </c>
      <c r="D19" s="420" t="s">
        <v>225</v>
      </c>
      <c r="E19" s="91" t="s">
        <v>226</v>
      </c>
      <c r="F19" s="421" t="s">
        <v>226</v>
      </c>
      <c r="G19" s="420" t="s">
        <v>228</v>
      </c>
      <c r="H19" s="91" t="s">
        <v>225</v>
      </c>
      <c r="I19" s="421" t="s">
        <v>228</v>
      </c>
      <c r="J19" s="420" t="s">
        <v>278</v>
      </c>
      <c r="K19" s="91" t="s">
        <v>278</v>
      </c>
      <c r="L19" s="421" t="s">
        <v>278</v>
      </c>
      <c r="M19" s="420" t="s">
        <v>228</v>
      </c>
      <c r="N19" s="91" t="s">
        <v>226</v>
      </c>
      <c r="O19" s="421" t="s">
        <v>225</v>
      </c>
      <c r="P19" s="5"/>
      <c r="Q19" s="420" t="s">
        <v>239</v>
      </c>
      <c r="R19" s="91" t="s">
        <v>223</v>
      </c>
      <c r="S19" s="421" t="s">
        <v>223</v>
      </c>
      <c r="T19" s="420" t="s">
        <v>219</v>
      </c>
      <c r="U19" s="91" t="s">
        <v>219</v>
      </c>
      <c r="V19" s="421" t="s">
        <v>219</v>
      </c>
      <c r="W19" s="420"/>
      <c r="X19" s="91"/>
      <c r="Y19" s="421"/>
      <c r="Z19" s="420" t="s">
        <v>219</v>
      </c>
      <c r="AA19" s="91" t="s">
        <v>223</v>
      </c>
      <c r="AB19" s="421" t="s">
        <v>223</v>
      </c>
    </row>
    <row r="20" ht="18.95" customHeight="1">
      <c r="A20" s="58"/>
      <c r="B20" s="286"/>
      <c r="C20" s="287" t="s">
        <v>235</v>
      </c>
      <c r="D20" s="271" t="s">
        <v>223</v>
      </c>
      <c r="E20" s="92" t="s">
        <v>223</v>
      </c>
      <c r="F20" s="272" t="s">
        <v>223</v>
      </c>
      <c r="G20" s="271" t="s">
        <v>219</v>
      </c>
      <c r="H20" s="92" t="s">
        <v>223</v>
      </c>
      <c r="I20" s="272" t="s">
        <v>219</v>
      </c>
      <c r="J20" s="271" t="s">
        <v>278</v>
      </c>
      <c r="K20" s="92" t="s">
        <v>278</v>
      </c>
      <c r="L20" s="272" t="s">
        <v>278</v>
      </c>
      <c r="M20" s="271" t="s">
        <v>219</v>
      </c>
      <c r="N20" s="92" t="s">
        <v>223</v>
      </c>
      <c r="O20" s="272" t="s">
        <v>223</v>
      </c>
      <c r="P20" s="5"/>
      <c r="Q20" s="271" t="s">
        <v>237</v>
      </c>
      <c r="R20" s="92" t="s">
        <v>236</v>
      </c>
      <c r="S20" s="272" t="s">
        <v>236</v>
      </c>
      <c r="T20" s="271" t="s">
        <v>237</v>
      </c>
      <c r="U20" s="92" t="s">
        <v>238</v>
      </c>
      <c r="V20" s="272" t="s">
        <v>237</v>
      </c>
      <c r="W20" s="271"/>
      <c r="X20" s="92"/>
      <c r="Y20" s="272"/>
      <c r="Z20" s="271" t="s">
        <v>237</v>
      </c>
      <c r="AA20" s="92" t="s">
        <v>236</v>
      </c>
      <c r="AB20" s="272" t="s">
        <v>237</v>
      </c>
    </row>
    <row r="21" ht="18.95" customHeight="1">
      <c r="A21" s="58"/>
      <c r="B21" s="288"/>
      <c r="C21" s="289" t="s">
        <v>218</v>
      </c>
      <c r="D21" s="420" t="s">
        <v>223</v>
      </c>
      <c r="E21" s="91" t="s">
        <v>223</v>
      </c>
      <c r="F21" s="421" t="s">
        <v>223</v>
      </c>
      <c r="G21" s="420" t="s">
        <v>219</v>
      </c>
      <c r="H21" s="91" t="s">
        <v>223</v>
      </c>
      <c r="I21" s="421" t="s">
        <v>219</v>
      </c>
      <c r="J21" s="420" t="s">
        <v>278</v>
      </c>
      <c r="K21" s="91" t="s">
        <v>278</v>
      </c>
      <c r="L21" s="421" t="s">
        <v>278</v>
      </c>
      <c r="M21" s="420" t="s">
        <v>219</v>
      </c>
      <c r="N21" s="91" t="s">
        <v>223</v>
      </c>
      <c r="O21" s="421" t="s">
        <v>223</v>
      </c>
      <c r="P21" s="5"/>
      <c r="Q21" s="420" t="s">
        <v>238</v>
      </c>
      <c r="R21" s="91" t="s">
        <v>238</v>
      </c>
      <c r="S21" s="421" t="s">
        <v>238</v>
      </c>
      <c r="T21" s="420" t="s">
        <v>237</v>
      </c>
      <c r="U21" s="91" t="s">
        <v>238</v>
      </c>
      <c r="V21" s="421" t="s">
        <v>237</v>
      </c>
      <c r="W21" s="420"/>
      <c r="X21" s="91"/>
      <c r="Y21" s="421"/>
      <c r="Z21" s="420" t="s">
        <v>236</v>
      </c>
      <c r="AA21" s="91" t="s">
        <v>238</v>
      </c>
      <c r="AB21" s="421" t="s">
        <v>238</v>
      </c>
    </row>
    <row r="22" ht="18.95" customHeight="1">
      <c r="A22" s="58"/>
      <c r="B22" s="286"/>
      <c r="C22" s="287" t="s">
        <v>221</v>
      </c>
      <c r="D22" s="271" t="s">
        <v>223</v>
      </c>
      <c r="E22" s="92" t="s">
        <v>223</v>
      </c>
      <c r="F22" s="272" t="s">
        <v>223</v>
      </c>
      <c r="G22" s="271" t="s">
        <v>219</v>
      </c>
      <c r="H22" s="92" t="s">
        <v>239</v>
      </c>
      <c r="I22" s="272" t="s">
        <v>219</v>
      </c>
      <c r="J22" s="271" t="s">
        <v>278</v>
      </c>
      <c r="K22" s="92" t="s">
        <v>278</v>
      </c>
      <c r="L22" s="272" t="s">
        <v>278</v>
      </c>
      <c r="M22" s="271" t="s">
        <v>219</v>
      </c>
      <c r="N22" s="92" t="s">
        <v>223</v>
      </c>
      <c r="O22" s="272" t="s">
        <v>223</v>
      </c>
      <c r="P22" s="5"/>
      <c r="Q22" s="271" t="s">
        <v>236</v>
      </c>
      <c r="R22" s="92" t="s">
        <v>238</v>
      </c>
      <c r="S22" s="272" t="s">
        <v>238</v>
      </c>
      <c r="T22" s="271" t="s">
        <v>237</v>
      </c>
      <c r="U22" s="92" t="s">
        <v>304</v>
      </c>
      <c r="V22" s="272" t="s">
        <v>237</v>
      </c>
      <c r="W22" s="271"/>
      <c r="X22" s="92"/>
      <c r="Y22" s="272"/>
      <c r="Z22" s="271" t="s">
        <v>236</v>
      </c>
      <c r="AA22" s="92" t="s">
        <v>238</v>
      </c>
      <c r="AB22" s="272" t="s">
        <v>238</v>
      </c>
    </row>
    <row r="23" ht="18.95" customHeight="1">
      <c r="A23" s="58"/>
      <c r="B23" s="288"/>
      <c r="C23" s="289" t="s">
        <v>222</v>
      </c>
      <c r="D23" s="420" t="s">
        <v>223</v>
      </c>
      <c r="E23" s="91" t="s">
        <v>223</v>
      </c>
      <c r="F23" s="421" t="s">
        <v>223</v>
      </c>
      <c r="G23" s="420" t="s">
        <v>239</v>
      </c>
      <c r="H23" s="91" t="s">
        <v>223</v>
      </c>
      <c r="I23" s="421" t="s">
        <v>220</v>
      </c>
      <c r="J23" s="420" t="s">
        <v>278</v>
      </c>
      <c r="K23" s="91" t="s">
        <v>278</v>
      </c>
      <c r="L23" s="421" t="s">
        <v>278</v>
      </c>
      <c r="M23" s="420" t="s">
        <v>223</v>
      </c>
      <c r="N23" s="91" t="s">
        <v>223</v>
      </c>
      <c r="O23" s="421" t="s">
        <v>223</v>
      </c>
      <c r="P23" s="5"/>
      <c r="Q23" s="420" t="s">
        <v>238</v>
      </c>
      <c r="R23" s="91" t="s">
        <v>238</v>
      </c>
      <c r="S23" s="421" t="s">
        <v>238</v>
      </c>
      <c r="T23" s="420" t="s">
        <v>237</v>
      </c>
      <c r="U23" s="91" t="s">
        <v>237</v>
      </c>
      <c r="V23" s="421" t="s">
        <v>237</v>
      </c>
      <c r="W23" s="420"/>
      <c r="X23" s="91"/>
      <c r="Y23" s="421"/>
      <c r="Z23" s="420" t="s">
        <v>238</v>
      </c>
      <c r="AA23" s="91" t="s">
        <v>238</v>
      </c>
      <c r="AB23" s="421" t="s">
        <v>238</v>
      </c>
    </row>
    <row r="24" ht="18.95" customHeight="1">
      <c r="A24" s="59"/>
      <c r="B24" s="286"/>
      <c r="C24" s="287" t="s">
        <v>224</v>
      </c>
      <c r="D24" s="271" t="s">
        <v>219</v>
      </c>
      <c r="E24" s="92" t="s">
        <v>223</v>
      </c>
      <c r="F24" s="272" t="s">
        <v>223</v>
      </c>
      <c r="G24" s="271" t="s">
        <v>223</v>
      </c>
      <c r="H24" s="92" t="s">
        <v>223</v>
      </c>
      <c r="I24" s="272" t="s">
        <v>223</v>
      </c>
      <c r="J24" s="271" t="s">
        <v>278</v>
      </c>
      <c r="K24" s="92" t="s">
        <v>278</v>
      </c>
      <c r="L24" s="272" t="s">
        <v>278</v>
      </c>
      <c r="M24" s="271" t="s">
        <v>219</v>
      </c>
      <c r="N24" s="92" t="s">
        <v>223</v>
      </c>
      <c r="O24" s="272" t="s">
        <v>223</v>
      </c>
      <c r="P24" s="93"/>
      <c r="Q24" s="271" t="s">
        <v>239</v>
      </c>
      <c r="R24" s="92" t="s">
        <v>220</v>
      </c>
      <c r="S24" s="272" t="s">
        <v>240</v>
      </c>
      <c r="T24" s="271" t="s">
        <v>219</v>
      </c>
      <c r="U24" s="92" t="s">
        <v>223</v>
      </c>
      <c r="V24" s="272" t="s">
        <v>223</v>
      </c>
      <c r="W24" s="271"/>
      <c r="X24" s="92"/>
      <c r="Y24" s="272"/>
      <c r="Z24" s="271" t="s">
        <v>239</v>
      </c>
      <c r="AA24" s="92" t="s">
        <v>220</v>
      </c>
      <c r="AB24" s="272" t="s">
        <v>240</v>
      </c>
    </row>
    <row r="25" ht="18.95" customHeight="1">
      <c r="A25" s="60"/>
      <c r="B25" s="288"/>
      <c r="C25" s="289" t="s">
        <v>227</v>
      </c>
      <c r="D25" s="420" t="s">
        <v>219</v>
      </c>
      <c r="E25" s="91" t="s">
        <v>223</v>
      </c>
      <c r="F25" s="421" t="s">
        <v>223</v>
      </c>
      <c r="G25" s="420" t="s">
        <v>219</v>
      </c>
      <c r="H25" s="91" t="s">
        <v>223</v>
      </c>
      <c r="I25" s="421" t="s">
        <v>219</v>
      </c>
      <c r="J25" s="420" t="s">
        <v>278</v>
      </c>
      <c r="K25" s="91" t="s">
        <v>278</v>
      </c>
      <c r="L25" s="421" t="s">
        <v>278</v>
      </c>
      <c r="M25" s="420" t="s">
        <v>219</v>
      </c>
      <c r="N25" s="91" t="s">
        <v>223</v>
      </c>
      <c r="O25" s="421" t="s">
        <v>223</v>
      </c>
      <c r="P25" s="93"/>
      <c r="Q25" s="420" t="s">
        <v>304</v>
      </c>
      <c r="R25" s="91" t="s">
        <v>304</v>
      </c>
      <c r="S25" s="421" t="s">
        <v>304</v>
      </c>
      <c r="T25" s="420" t="s">
        <v>237</v>
      </c>
      <c r="U25" s="91" t="s">
        <v>236</v>
      </c>
      <c r="V25" s="421" t="s">
        <v>237</v>
      </c>
      <c r="W25" s="420"/>
      <c r="X25" s="91"/>
      <c r="Y25" s="421"/>
      <c r="Z25" s="420" t="s">
        <v>239</v>
      </c>
      <c r="AA25" s="91" t="s">
        <v>240</v>
      </c>
      <c r="AB25" s="421" t="s">
        <v>240</v>
      </c>
    </row>
    <row r="26" ht="18.95" customHeight="1">
      <c r="A26" s="60"/>
      <c r="B26" s="290"/>
      <c r="C26" s="291" t="s">
        <v>229</v>
      </c>
      <c r="D26" s="273" t="s">
        <v>219</v>
      </c>
      <c r="E26" s="274" t="s">
        <v>223</v>
      </c>
      <c r="F26" s="275" t="s">
        <v>223</v>
      </c>
      <c r="G26" s="273" t="s">
        <v>219</v>
      </c>
      <c r="H26" s="274" t="s">
        <v>239</v>
      </c>
      <c r="I26" s="275" t="s">
        <v>223</v>
      </c>
      <c r="J26" s="273" t="s">
        <v>278</v>
      </c>
      <c r="K26" s="274" t="s">
        <v>278</v>
      </c>
      <c r="L26" s="275" t="s">
        <v>278</v>
      </c>
      <c r="M26" s="273" t="s">
        <v>219</v>
      </c>
      <c r="N26" s="274" t="s">
        <v>223</v>
      </c>
      <c r="O26" s="275" t="s">
        <v>223</v>
      </c>
      <c r="P26" s="184"/>
      <c r="Q26" s="273" t="s">
        <v>239</v>
      </c>
      <c r="R26" s="274" t="s">
        <v>220</v>
      </c>
      <c r="S26" s="275" t="s">
        <v>239</v>
      </c>
      <c r="T26" s="273" t="s">
        <v>223</v>
      </c>
      <c r="U26" s="274" t="s">
        <v>240</v>
      </c>
      <c r="V26" s="275" t="s">
        <v>223</v>
      </c>
      <c r="W26" s="273"/>
      <c r="X26" s="274"/>
      <c r="Y26" s="275"/>
      <c r="Z26" s="273" t="s">
        <v>239</v>
      </c>
      <c r="AA26" s="274" t="s">
        <v>239</v>
      </c>
      <c r="AB26" s="275" t="s">
        <v>239</v>
      </c>
    </row>
    <row r="27" ht="21.95"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95" customHeight="1">
      <c r="A28" s="112"/>
      <c r="B28" s="973" t="s">
        <v>59</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9"/>
    </row>
    <row r="29" ht="18.95" customHeight="1">
      <c r="A29" s="58"/>
      <c r="B29" s="284">
        <v>2020</v>
      </c>
      <c r="C29" s="285"/>
      <c r="D29" s="427"/>
      <c r="E29" s="428"/>
      <c r="F29" s="429"/>
      <c r="G29" s="427"/>
      <c r="H29" s="428"/>
      <c r="I29" s="429"/>
      <c r="J29" s="427"/>
      <c r="K29" s="428"/>
      <c r="L29" s="429"/>
      <c r="M29" s="427"/>
      <c r="N29" s="428"/>
      <c r="O29" s="429"/>
      <c r="P29" s="5"/>
      <c r="Q29" s="427"/>
      <c r="R29" s="428"/>
      <c r="S29" s="429"/>
      <c r="T29" s="427"/>
      <c r="U29" s="428"/>
      <c r="V29" s="429"/>
      <c r="W29" s="427"/>
      <c r="X29" s="428"/>
      <c r="Y29" s="429"/>
      <c r="Z29" s="427"/>
      <c r="AA29" s="428"/>
      <c r="AB29" s="429"/>
    </row>
    <row r="30" ht="18.95" customHeight="1">
      <c r="A30" s="58"/>
      <c r="B30" s="286">
        <v>2021</v>
      </c>
      <c r="C30" s="287"/>
      <c r="D30" s="271" t="s">
        <v>228</v>
      </c>
      <c r="E30" s="92" t="s">
        <v>226</v>
      </c>
      <c r="F30" s="272" t="s">
        <v>226</v>
      </c>
      <c r="G30" s="271" t="s">
        <v>228</v>
      </c>
      <c r="H30" s="92" t="s">
        <v>225</v>
      </c>
      <c r="I30" s="272" t="s">
        <v>228</v>
      </c>
      <c r="J30" s="271" t="s">
        <v>278</v>
      </c>
      <c r="K30" s="92" t="s">
        <v>278</v>
      </c>
      <c r="L30" s="272" t="s">
        <v>278</v>
      </c>
      <c r="M30" s="271" t="s">
        <v>228</v>
      </c>
      <c r="N30" s="92" t="s">
        <v>226</v>
      </c>
      <c r="O30" s="272" t="s">
        <v>226</v>
      </c>
      <c r="P30" s="5"/>
      <c r="Q30" s="271"/>
      <c r="R30" s="92"/>
      <c r="S30" s="272"/>
      <c r="T30" s="271"/>
      <c r="U30" s="92"/>
      <c r="V30" s="272"/>
      <c r="W30" s="271"/>
      <c r="X30" s="92"/>
      <c r="Y30" s="272"/>
      <c r="Z30" s="271"/>
      <c r="AA30" s="92"/>
      <c r="AB30" s="272"/>
    </row>
    <row r="31" ht="18.95" customHeight="1">
      <c r="A31" s="58"/>
      <c r="B31" s="425">
        <v>2022</v>
      </c>
      <c r="C31" s="426"/>
      <c r="D31" s="430" t="s">
        <v>219</v>
      </c>
      <c r="E31" s="431" t="s">
        <v>223</v>
      </c>
      <c r="F31" s="432" t="s">
        <v>223</v>
      </c>
      <c r="G31" s="430" t="s">
        <v>219</v>
      </c>
      <c r="H31" s="431" t="s">
        <v>220</v>
      </c>
      <c r="I31" s="432" t="s">
        <v>219</v>
      </c>
      <c r="J31" s="430" t="s">
        <v>278</v>
      </c>
      <c r="K31" s="431" t="s">
        <v>278</v>
      </c>
      <c r="L31" s="432" t="s">
        <v>278</v>
      </c>
      <c r="M31" s="430" t="s">
        <v>219</v>
      </c>
      <c r="N31" s="431" t="s">
        <v>223</v>
      </c>
      <c r="O31" s="432" t="s">
        <v>223</v>
      </c>
      <c r="P31" s="184"/>
      <c r="Q31" s="430" t="s">
        <v>239</v>
      </c>
      <c r="R31" s="431" t="s">
        <v>223</v>
      </c>
      <c r="S31" s="432" t="s">
        <v>239</v>
      </c>
      <c r="T31" s="430" t="s">
        <v>223</v>
      </c>
      <c r="U31" s="431" t="s">
        <v>220</v>
      </c>
      <c r="V31" s="432" t="s">
        <v>220</v>
      </c>
      <c r="W31" s="430"/>
      <c r="X31" s="431"/>
      <c r="Y31" s="432"/>
      <c r="Z31" s="430" t="s">
        <v>220</v>
      </c>
      <c r="AA31" s="431" t="s">
        <v>223</v>
      </c>
      <c r="AB31" s="432" t="s">
        <v>239</v>
      </c>
    </row>
    <row r="32" ht="21.95"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95"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9"/>
    </row>
    <row r="34" ht="18.95" customHeight="1">
      <c r="A34" s="58"/>
      <c r="B34" s="284">
        <v>2020</v>
      </c>
      <c r="C34" s="285"/>
      <c r="D34" s="427"/>
      <c r="E34" s="428"/>
      <c r="F34" s="429"/>
      <c r="G34" s="427"/>
      <c r="H34" s="428"/>
      <c r="I34" s="429"/>
      <c r="J34" s="427"/>
      <c r="K34" s="428"/>
      <c r="L34" s="429"/>
      <c r="M34" s="427"/>
      <c r="N34" s="428"/>
      <c r="O34" s="429"/>
      <c r="P34" s="5"/>
      <c r="Q34" s="427"/>
      <c r="R34" s="428"/>
      <c r="S34" s="429"/>
      <c r="T34" s="427"/>
      <c r="U34" s="428"/>
      <c r="V34" s="429"/>
      <c r="W34" s="427"/>
      <c r="X34" s="428"/>
      <c r="Y34" s="429"/>
      <c r="Z34" s="427"/>
      <c r="AA34" s="428"/>
      <c r="AB34" s="429"/>
    </row>
    <row r="35" ht="18.95" customHeight="1">
      <c r="A35" s="58"/>
      <c r="B35" s="286">
        <v>2021</v>
      </c>
      <c r="C35" s="287"/>
      <c r="D35" s="271" t="s">
        <v>228</v>
      </c>
      <c r="E35" s="92" t="s">
        <v>226</v>
      </c>
      <c r="F35" s="272" t="s">
        <v>225</v>
      </c>
      <c r="G35" s="271" t="s">
        <v>225</v>
      </c>
      <c r="H35" s="92" t="s">
        <v>225</v>
      </c>
      <c r="I35" s="272" t="s">
        <v>225</v>
      </c>
      <c r="J35" s="271" t="s">
        <v>278</v>
      </c>
      <c r="K35" s="92" t="s">
        <v>278</v>
      </c>
      <c r="L35" s="272" t="s">
        <v>278</v>
      </c>
      <c r="M35" s="271" t="s">
        <v>228</v>
      </c>
      <c r="N35" s="92" t="s">
        <v>226</v>
      </c>
      <c r="O35" s="272" t="s">
        <v>225</v>
      </c>
      <c r="P35" s="5"/>
      <c r="Q35" s="271"/>
      <c r="R35" s="92"/>
      <c r="S35" s="272"/>
      <c r="T35" s="271"/>
      <c r="U35" s="92"/>
      <c r="V35" s="272"/>
      <c r="W35" s="271"/>
      <c r="X35" s="92"/>
      <c r="Y35" s="272"/>
      <c r="Z35" s="271"/>
      <c r="AA35" s="92"/>
      <c r="AB35" s="272"/>
    </row>
    <row r="36" ht="18.95" customHeight="1">
      <c r="A36" s="58"/>
      <c r="B36" s="425">
        <v>2022</v>
      </c>
      <c r="C36" s="426"/>
      <c r="D36" s="430" t="s">
        <v>219</v>
      </c>
      <c r="E36" s="431" t="s">
        <v>223</v>
      </c>
      <c r="F36" s="432" t="s">
        <v>223</v>
      </c>
      <c r="G36" s="430" t="s">
        <v>219</v>
      </c>
      <c r="H36" s="431" t="s">
        <v>220</v>
      </c>
      <c r="I36" s="432" t="s">
        <v>219</v>
      </c>
      <c r="J36" s="430" t="s">
        <v>278</v>
      </c>
      <c r="K36" s="431" t="s">
        <v>278</v>
      </c>
      <c r="L36" s="432" t="s">
        <v>278</v>
      </c>
      <c r="M36" s="430" t="s">
        <v>219</v>
      </c>
      <c r="N36" s="431" t="s">
        <v>223</v>
      </c>
      <c r="O36" s="432" t="s">
        <v>223</v>
      </c>
      <c r="P36" s="184"/>
      <c r="Q36" s="430" t="s">
        <v>239</v>
      </c>
      <c r="R36" s="431" t="s">
        <v>220</v>
      </c>
      <c r="S36" s="432" t="s">
        <v>240</v>
      </c>
      <c r="T36" s="430" t="s">
        <v>220</v>
      </c>
      <c r="U36" s="431" t="s">
        <v>239</v>
      </c>
      <c r="V36" s="432" t="s">
        <v>220</v>
      </c>
      <c r="W36" s="430"/>
      <c r="X36" s="431"/>
      <c r="Y36" s="432"/>
      <c r="Z36" s="430" t="s">
        <v>239</v>
      </c>
      <c r="AA36" s="431" t="s">
        <v>220</v>
      </c>
      <c r="AB36" s="432" t="s">
        <v>240</v>
      </c>
    </row>
    <row r="37" ht="21.9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95" customHeight="1">
      <c r="A38" s="112"/>
      <c r="B38" s="972" t="s">
        <v>45</v>
      </c>
      <c r="C38" s="972"/>
      <c r="D38" s="972"/>
      <c r="E38" s="972"/>
      <c r="F38" s="972"/>
      <c r="G38" s="972"/>
      <c r="H38" s="972"/>
      <c r="I38" s="972"/>
      <c r="J38" s="972"/>
      <c r="K38" s="972"/>
      <c r="L38" s="972"/>
      <c r="M38" s="972"/>
      <c r="N38" s="972"/>
      <c r="O38" s="972"/>
      <c r="P38" s="411"/>
      <c r="Q38" s="971"/>
      <c r="R38" s="971"/>
      <c r="S38" s="971"/>
      <c r="T38" s="971"/>
      <c r="U38" s="971"/>
      <c r="V38" s="971"/>
      <c r="W38" s="971"/>
      <c r="X38" s="971"/>
      <c r="Y38" s="971"/>
      <c r="Z38" s="971"/>
      <c r="AA38" s="971"/>
      <c r="AB38" s="971"/>
      <c r="AC38" s="9"/>
    </row>
    <row r="39" ht="18.95" customHeight="1">
      <c r="A39" s="58"/>
      <c r="B39" s="284">
        <v>2020</v>
      </c>
      <c r="C39" s="285"/>
      <c r="D39" s="427"/>
      <c r="E39" s="428"/>
      <c r="F39" s="429"/>
      <c r="G39" s="427"/>
      <c r="H39" s="428"/>
      <c r="I39" s="429"/>
      <c r="J39" s="427"/>
      <c r="K39" s="428"/>
      <c r="L39" s="429"/>
      <c r="M39" s="427"/>
      <c r="N39" s="428"/>
      <c r="O39" s="429"/>
      <c r="P39" s="5"/>
      <c r="Q39" s="427"/>
      <c r="R39" s="428"/>
      <c r="S39" s="429"/>
      <c r="T39" s="427"/>
      <c r="U39" s="428"/>
      <c r="V39" s="429"/>
      <c r="W39" s="427"/>
      <c r="X39" s="428"/>
      <c r="Y39" s="429"/>
      <c r="Z39" s="427"/>
      <c r="AA39" s="428"/>
      <c r="AB39" s="429"/>
    </row>
    <row r="40" ht="18.95" customHeight="1">
      <c r="A40" s="58"/>
      <c r="B40" s="286">
        <v>2021</v>
      </c>
      <c r="C40" s="287"/>
      <c r="D40" s="271" t="s">
        <v>228</v>
      </c>
      <c r="E40" s="92" t="s">
        <v>226</v>
      </c>
      <c r="F40" s="272" t="s">
        <v>226</v>
      </c>
      <c r="G40" s="271" t="s">
        <v>228</v>
      </c>
      <c r="H40" s="92" t="s">
        <v>225</v>
      </c>
      <c r="I40" s="272" t="s">
        <v>228</v>
      </c>
      <c r="J40" s="271" t="s">
        <v>278</v>
      </c>
      <c r="K40" s="92" t="s">
        <v>278</v>
      </c>
      <c r="L40" s="272" t="s">
        <v>278</v>
      </c>
      <c r="M40" s="271" t="s">
        <v>228</v>
      </c>
      <c r="N40" s="92" t="s">
        <v>226</v>
      </c>
      <c r="O40" s="272" t="s">
        <v>226</v>
      </c>
      <c r="P40" s="5"/>
      <c r="Q40" s="271"/>
      <c r="R40" s="92"/>
      <c r="S40" s="272"/>
      <c r="T40" s="271"/>
      <c r="U40" s="92"/>
      <c r="V40" s="272"/>
      <c r="W40" s="271"/>
      <c r="X40" s="92"/>
      <c r="Y40" s="272"/>
      <c r="Z40" s="271"/>
      <c r="AA40" s="92"/>
      <c r="AB40" s="272"/>
    </row>
    <row r="41" ht="18.95" customHeight="1">
      <c r="A41" s="58"/>
      <c r="B41" s="425">
        <v>2022</v>
      </c>
      <c r="C41" s="426"/>
      <c r="D41" s="430" t="s">
        <v>219</v>
      </c>
      <c r="E41" s="431" t="s">
        <v>223</v>
      </c>
      <c r="F41" s="432" t="s">
        <v>223</v>
      </c>
      <c r="G41" s="430" t="s">
        <v>219</v>
      </c>
      <c r="H41" s="431" t="s">
        <v>220</v>
      </c>
      <c r="I41" s="432" t="s">
        <v>219</v>
      </c>
      <c r="J41" s="430" t="s">
        <v>278</v>
      </c>
      <c r="K41" s="431" t="s">
        <v>278</v>
      </c>
      <c r="L41" s="432" t="s">
        <v>278</v>
      </c>
      <c r="M41" s="430" t="s">
        <v>219</v>
      </c>
      <c r="N41" s="431" t="s">
        <v>223</v>
      </c>
      <c r="O41" s="432" t="s">
        <v>223</v>
      </c>
      <c r="P41" s="184"/>
      <c r="Q41" s="430" t="s">
        <v>239</v>
      </c>
      <c r="R41" s="431" t="s">
        <v>223</v>
      </c>
      <c r="S41" s="432" t="s">
        <v>239</v>
      </c>
      <c r="T41" s="430" t="s">
        <v>223</v>
      </c>
      <c r="U41" s="431" t="s">
        <v>220</v>
      </c>
      <c r="V41" s="432" t="s">
        <v>220</v>
      </c>
      <c r="W41" s="430"/>
      <c r="X41" s="431"/>
      <c r="Y41" s="432"/>
      <c r="Z41" s="430" t="s">
        <v>220</v>
      </c>
      <c r="AA41" s="431" t="s">
        <v>223</v>
      </c>
      <c r="AB41" s="432" t="s">
        <v>239</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c r="AP42" s="236"/>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c r="AP43" s="236"/>
    </row>
    <row r="44" ht="12" customHeight="1">
      <c r="Z44" s="55"/>
      <c r="AA44" s="233"/>
      <c r="AB44" s="233"/>
      <c r="AP44" s="236"/>
    </row>
    <row r="45" ht="12" customHeight="1">
      <c r="AP45" s="236"/>
    </row>
    <row r="46" s="236" customFormat="1">
      <c r="A46"/>
    </row>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sheetData>
  <mergeCells count="21">
    <mergeCell ref="B43:AB43"/>
    <mergeCell ref="T7:V7"/>
    <mergeCell ref="W7:Y7"/>
    <mergeCell ref="Z7:AB7"/>
    <mergeCell ref="B38:O38"/>
    <mergeCell ref="Q28:AB28"/>
    <mergeCell ref="Q7:S7"/>
    <mergeCell ref="Q33:AB33"/>
    <mergeCell ref="G7:I7"/>
    <mergeCell ref="B33:O33"/>
    <mergeCell ref="B8:C8"/>
    <mergeCell ref="Q38:AB38"/>
    <mergeCell ref="M7:O7"/>
    <mergeCell ref="B28:O28"/>
    <mergeCell ref="J7:L7"/>
    <mergeCell ref="D7:F7"/>
    <mergeCell ref="B2:AB2"/>
    <mergeCell ref="Q6:AB6"/>
    <mergeCell ref="D6:O6"/>
    <mergeCell ref="B4:AB4"/>
    <mergeCell ref="B3:AB3"/>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30" max="1048575" man="1"/>
  </colBreaks>
  <drawing r:id="rId55"/>
</worksheet>
</file>

<file path=xl/worksheets/sheet5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8"/>
      <c r="B1" s="656" t="s">
        <v>151</v>
      </c>
      <c r="Y1" s="5"/>
      <c r="AB1" s="685"/>
      <c r="AD1" s="236"/>
    </row>
    <row r="2" ht="15" customHeight="1">
      <c r="A2" s="11"/>
      <c r="B2" s="11" t="s">
        <v>208</v>
      </c>
    </row>
    <row r="3" ht="17.1" customHeight="1">
      <c r="A3" s="11"/>
      <c r="B3" s="11" t="s">
        <v>209</v>
      </c>
      <c r="R3" s="1040" t="s">
        <v>301</v>
      </c>
      <c r="S3" s="1040"/>
      <c r="T3" s="1040"/>
      <c r="U3" s="1040"/>
      <c r="V3" s="1040"/>
      <c r="W3" s="1040"/>
      <c r="X3" s="1040"/>
      <c r="Y3" s="1040"/>
      <c r="Z3" s="1040"/>
      <c r="AA3" s="1040"/>
      <c r="AB3" s="1040"/>
    </row>
    <row r="4" ht="19.5" customHeight="1">
      <c r="A4" s="4"/>
      <c r="B4" s="211" t="s">
        <v>210</v>
      </c>
      <c r="C4" s="5"/>
      <c r="D4" s="5"/>
      <c r="E4" s="5"/>
      <c r="F4" s="5"/>
      <c r="G4" s="5"/>
      <c r="H4" s="212"/>
      <c r="I4" s="212"/>
      <c r="J4" s="212"/>
      <c r="K4" s="212"/>
      <c r="L4" s="212"/>
      <c r="M4" s="212"/>
      <c r="N4" s="212"/>
      <c r="O4" s="212"/>
      <c r="P4" s="212"/>
      <c r="Q4" s="212"/>
      <c r="R4" s="212"/>
      <c r="S4" s="212"/>
      <c r="T4" s="212"/>
      <c r="U4" s="4"/>
      <c r="V4" s="4"/>
    </row>
    <row r="5" ht="12.75" customHeight="1"/>
    <row r="6" ht="15.75">
      <c r="D6" s="978" t="s">
        <v>42</v>
      </c>
      <c r="E6" s="978"/>
      <c r="F6" s="978"/>
      <c r="G6" s="978"/>
      <c r="H6" s="978"/>
      <c r="I6" s="978"/>
      <c r="J6" s="978"/>
      <c r="K6" s="978"/>
      <c r="L6" s="978"/>
      <c r="M6" s="978"/>
      <c r="N6" s="978"/>
      <c r="O6" s="978"/>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1041"/>
      <c r="C8" s="1041"/>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73" t="s">
        <v>22</v>
      </c>
      <c r="C10" s="973"/>
      <c r="D10" s="973"/>
      <c r="E10" s="973"/>
      <c r="F10" s="973"/>
      <c r="G10" s="973"/>
      <c r="H10" s="973"/>
      <c r="I10" s="973"/>
      <c r="J10" s="973"/>
      <c r="K10" s="973"/>
      <c r="L10" s="973"/>
      <c r="M10" s="973"/>
      <c r="N10" s="973"/>
      <c r="O10" s="973"/>
      <c r="P10" s="411"/>
      <c r="Q10" s="971"/>
      <c r="R10" s="971"/>
      <c r="S10" s="971"/>
      <c r="T10" s="971"/>
      <c r="U10" s="971"/>
      <c r="V10" s="971"/>
      <c r="W10" s="971"/>
      <c r="X10" s="971"/>
      <c r="Y10" s="971"/>
      <c r="Z10" s="971"/>
      <c r="AA10" s="971"/>
      <c r="AB10" s="971"/>
      <c r="AC10" s="9"/>
    </row>
    <row r="11" ht="18" customHeight="1">
      <c r="A11" s="58"/>
      <c r="B11" s="1042" t="s">
        <v>43</v>
      </c>
      <c r="C11" s="1042"/>
      <c r="D11" s="427">
        <v>77.651515151515151515151515220</v>
      </c>
      <c r="E11" s="428">
        <v>66.608391608391608391608391670</v>
      </c>
      <c r="F11" s="429">
        <v>54.245783700908125958249793660</v>
      </c>
      <c r="G11" s="427">
        <v>5.3030303030303030303030303100</v>
      </c>
      <c r="H11" s="428">
        <v>0.1748251748251748251748251700</v>
      </c>
      <c r="I11" s="429">
        <v>7.453709163816487793371859900</v>
      </c>
      <c r="J11" s="427">
        <v>0</v>
      </c>
      <c r="K11" s="428">
        <v>0</v>
      </c>
      <c r="L11" s="429">
        <v>9.210991862247906592758580030</v>
      </c>
      <c r="M11" s="427">
        <v>82.95454545454545454545454545</v>
      </c>
      <c r="N11" s="428">
        <v>66.783216783216783216783216780</v>
      </c>
      <c r="O11" s="429">
        <v>70.913433187875928765184573650</v>
      </c>
      <c r="P11" s="5"/>
      <c r="Q11" s="427">
        <v>-15.113871635636073711147967640</v>
      </c>
      <c r="R11" s="428">
        <v>15.294043306180863321852649460</v>
      </c>
      <c r="S11" s="429">
        <v>-10.944003222140939369038057910</v>
      </c>
      <c r="T11" s="427">
        <v>115.38461538647100591717575049</v>
      </c>
      <c r="U11" s="428">
        <v>-94.71230523868485149814712683</v>
      </c>
      <c r="V11" s="429">
        <v>16.154206950456769952265245110</v>
      </c>
      <c r="W11" s="427">
        <v>0</v>
      </c>
      <c r="X11" s="428">
        <v>0</v>
      </c>
      <c r="Y11" s="429">
        <v>21.623936280614913568100565930</v>
      </c>
      <c r="Z11" s="427">
        <v>-11.693548387102471383975025650</v>
      </c>
      <c r="AA11" s="428">
        <v>9.339283698266779454477606970</v>
      </c>
      <c r="AB11" s="429">
        <v>-5.3293068818595477120705322800</v>
      </c>
    </row>
    <row r="12" ht="18" customHeight="1">
      <c r="A12" s="58"/>
      <c r="B12" s="1043" t="s">
        <v>46</v>
      </c>
      <c r="C12" s="1043"/>
      <c r="D12" s="420">
        <v>73.295454545454545454545454610</v>
      </c>
      <c r="E12" s="91">
        <v>61.363636363636363636363636420</v>
      </c>
      <c r="F12" s="421">
        <v>50.669300625073711522585210570</v>
      </c>
      <c r="G12" s="420">
        <v>4.9242424242424242424242424300</v>
      </c>
      <c r="H12" s="91">
        <v>0.6410256410256410256410256400</v>
      </c>
      <c r="I12" s="421">
        <v>8.379525887486731925934662110</v>
      </c>
      <c r="J12" s="420">
        <v>0</v>
      </c>
      <c r="K12" s="91">
        <v>0</v>
      </c>
      <c r="L12" s="421">
        <v>8.771671187640051892911900</v>
      </c>
      <c r="M12" s="420">
        <v>78.219696969696969696969696970</v>
      </c>
      <c r="N12" s="91">
        <v>62.00466200466200466200466200</v>
      </c>
      <c r="O12" s="421">
        <v>67.817549239297086920627432480</v>
      </c>
      <c r="P12" s="5"/>
      <c r="Q12" s="420">
        <v>-19.206680584553846958477342600</v>
      </c>
      <c r="R12" s="91">
        <v>9.741606940709216713023077280</v>
      </c>
      <c r="S12" s="421">
        <v>-12.548712808741384046655184340</v>
      </c>
      <c r="T12" s="420">
        <v>85.71428571534693877551626844</v>
      </c>
      <c r="U12" s="91">
        <v>-34.992458521151379646873426820</v>
      </c>
      <c r="V12" s="421">
        <v>22.191482281806552487272837150</v>
      </c>
      <c r="W12" s="420">
        <v>0</v>
      </c>
      <c r="X12" s="91">
        <v>0</v>
      </c>
      <c r="Y12" s="421">
        <v>26.168793228323945455184731900</v>
      </c>
      <c r="Z12" s="420">
        <v>-16.227180527372491966640470260</v>
      </c>
      <c r="AA12" s="91">
        <v>8.966398874610436031146989020</v>
      </c>
      <c r="AB12" s="421">
        <v>-5.4886360982892017258129276900</v>
      </c>
    </row>
    <row r="13" ht="18" customHeight="1">
      <c r="A13" s="58"/>
      <c r="B13" s="1043" t="s">
        <v>47</v>
      </c>
      <c r="C13" s="1043"/>
      <c r="D13" s="420">
        <v>78.219696969696969696969697040</v>
      </c>
      <c r="E13" s="91">
        <v>61.94638694638694638694638700</v>
      </c>
      <c r="F13" s="421">
        <v>53.066399339544757636513739880</v>
      </c>
      <c r="G13" s="420">
        <v>5.6818181818181818181818181900</v>
      </c>
      <c r="H13" s="91">
        <v>0.6410256410256410256410256400</v>
      </c>
      <c r="I13" s="421">
        <v>9.464559499941030781931831590</v>
      </c>
      <c r="J13" s="420">
        <v>0</v>
      </c>
      <c r="K13" s="91">
        <v>0</v>
      </c>
      <c r="L13" s="421">
        <v>8.518103549946927703738648430</v>
      </c>
      <c r="M13" s="420">
        <v>83.90151515151515151515151515</v>
      </c>
      <c r="N13" s="91">
        <v>62.587412587412587412587412590</v>
      </c>
      <c r="O13" s="421">
        <v>71.046113928529307701379879700</v>
      </c>
      <c r="P13" s="184"/>
      <c r="Q13" s="420">
        <v>-11.563169164912526537331079140</v>
      </c>
      <c r="R13" s="91">
        <v>17.100406902953224672052642810</v>
      </c>
      <c r="S13" s="421">
        <v>-9.588202334479476672427715870</v>
      </c>
      <c r="T13" s="420">
        <v>3.4482758625255648038070095400</v>
      </c>
      <c r="U13" s="91">
        <v>-77.897435897729419487175589240</v>
      </c>
      <c r="V13" s="421">
        <v>33.189156907815923595596193750</v>
      </c>
      <c r="W13" s="420">
        <v>0</v>
      </c>
      <c r="X13" s="91">
        <v>0</v>
      </c>
      <c r="Y13" s="421">
        <v>16.477229941477047694933993780</v>
      </c>
      <c r="Z13" s="420">
        <v>-10.685483870973504162330904940</v>
      </c>
      <c r="AA13" s="91">
        <v>12.162889086012180045092266250</v>
      </c>
      <c r="AB13" s="421">
        <v>-2.835258893136345783007449200</v>
      </c>
    </row>
    <row r="14" ht="18" customHeight="1">
      <c r="A14" s="58"/>
      <c r="B14" s="1043" t="s">
        <v>48</v>
      </c>
      <c r="C14" s="1043"/>
      <c r="D14" s="420">
        <v>84.28030303030303030303030311</v>
      </c>
      <c r="E14" s="91">
        <v>64.160839160839160839160839220</v>
      </c>
      <c r="F14" s="421">
        <v>55.413374218657860596768486900</v>
      </c>
      <c r="G14" s="420">
        <v>4.9242424242424242424242424300</v>
      </c>
      <c r="H14" s="91">
        <v>0</v>
      </c>
      <c r="I14" s="421">
        <v>11.260172190116759051774973470</v>
      </c>
      <c r="J14" s="420">
        <v>0</v>
      </c>
      <c r="K14" s="91">
        <v>0</v>
      </c>
      <c r="L14" s="421">
        <v>8.804104257577544521759641480</v>
      </c>
      <c r="M14" s="420">
        <v>89.20454545454545454545454545</v>
      </c>
      <c r="N14" s="91">
        <v>64.160839160839160839160839160</v>
      </c>
      <c r="O14" s="421">
        <v>75.474702205448755749498761650</v>
      </c>
      <c r="P14" s="5"/>
      <c r="Q14" s="420">
        <v>-0.669642857160594706632649800</v>
      </c>
      <c r="R14" s="91">
        <v>4.9860352252626107056572815300</v>
      </c>
      <c r="S14" s="421">
        <v>-10.492440359891199448383203860</v>
      </c>
      <c r="T14" s="420">
        <v>-45.833333333279166666666612440</v>
      </c>
      <c r="U14" s="91">
        <v>-100</v>
      </c>
      <c r="V14" s="421">
        <v>19.021625024797306537408515990</v>
      </c>
      <c r="W14" s="420">
        <v>0</v>
      </c>
      <c r="X14" s="91">
        <v>0</v>
      </c>
      <c r="Y14" s="421">
        <v>23.187516375428006371793532960</v>
      </c>
      <c r="Z14" s="420">
        <v>-5.0403225806512877211238289500</v>
      </c>
      <c r="AA14" s="91">
        <v>0.5575333756405984904352399800</v>
      </c>
      <c r="AB14" s="421">
        <v>-3.8800981523323900370464757300</v>
      </c>
    </row>
    <row r="15" ht="18" customHeight="1">
      <c r="A15" s="58"/>
      <c r="B15" s="1043" t="s">
        <v>49</v>
      </c>
      <c r="C15" s="1043"/>
      <c r="D15" s="420">
        <v>82.27272727272727272727272735</v>
      </c>
      <c r="E15" s="91">
        <v>73.706293706293706293706293780</v>
      </c>
      <c r="F15" s="421">
        <v>58.716829814836655265951173540</v>
      </c>
      <c r="G15" s="420">
        <v>10.606060606060606060606060620</v>
      </c>
      <c r="H15" s="91">
        <v>3.3566433566433566433566433600</v>
      </c>
      <c r="I15" s="421">
        <v>13.133624248142469630852694910</v>
      </c>
      <c r="J15" s="420">
        <v>0</v>
      </c>
      <c r="K15" s="91">
        <v>0</v>
      </c>
      <c r="L15" s="421">
        <v>8.590635688170774855525415740</v>
      </c>
      <c r="M15" s="420">
        <v>92.87878787878787878787878788</v>
      </c>
      <c r="N15" s="91">
        <v>77.016317016317016317016317020</v>
      </c>
      <c r="O15" s="421">
        <v>80.44108975114989975232928411</v>
      </c>
      <c r="P15" s="184"/>
      <c r="Q15" s="420">
        <v>-7.6530612244803727613494366900</v>
      </c>
      <c r="R15" s="91">
        <v>18.623646704229937504062009780</v>
      </c>
      <c r="S15" s="421">
        <v>-5.0621429723868708542878848600</v>
      </c>
      <c r="T15" s="420">
        <v>89.18918918785975164354476956</v>
      </c>
      <c r="U15" s="91">
        <v>18.583056288644995423822114170</v>
      </c>
      <c r="V15" s="421">
        <v>32.972047178498076430821012170</v>
      </c>
      <c r="W15" s="420">
        <v>0</v>
      </c>
      <c r="X15" s="91">
        <v>0</v>
      </c>
      <c r="Y15" s="421">
        <v>21.977215498127641845250413770</v>
      </c>
      <c r="Z15" s="420">
        <v>-1.9200000000313855999999899600</v>
      </c>
      <c r="AA15" s="91">
        <v>18.550116550075057575757590290</v>
      </c>
      <c r="AB15" s="421">
        <v>2.1278567843985193275909125600</v>
      </c>
    </row>
    <row r="16" ht="18" customHeight="1">
      <c r="A16" s="58"/>
      <c r="B16" s="1044" t="s">
        <v>75</v>
      </c>
      <c r="C16" s="1044"/>
      <c r="D16" s="430">
        <v>79.29292929292929292929292936</v>
      </c>
      <c r="E16" s="431">
        <v>65.94516594516594516594516600</v>
      </c>
      <c r="F16" s="432">
        <v>54.626837171948623770772609140</v>
      </c>
      <c r="G16" s="430">
        <v>6.493506493506493506493506500</v>
      </c>
      <c r="H16" s="431">
        <v>1.0767010767010767010767010800</v>
      </c>
      <c r="I16" s="432">
        <v>10.090475628864589826967465850</v>
      </c>
      <c r="J16" s="430">
        <v>0</v>
      </c>
      <c r="K16" s="431">
        <v>0</v>
      </c>
      <c r="L16" s="432">
        <v>8.770126755738266529633436120</v>
      </c>
      <c r="M16" s="430">
        <v>85.78643578643578643578643579</v>
      </c>
      <c r="N16" s="431">
        <v>67.010767010767010767010767010</v>
      </c>
      <c r="O16" s="432">
        <v>73.486316333350181681352810020</v>
      </c>
      <c r="P16" s="5"/>
      <c r="Q16" s="430">
        <v>-10.645453369563640267799879790</v>
      </c>
      <c r="R16" s="431">
        <v>13.113614958787292551373193950</v>
      </c>
      <c r="S16" s="432">
        <v>-9.569686144892208046971127810</v>
      </c>
      <c r="T16" s="430">
        <v>23.249299720409952216182800820</v>
      </c>
      <c r="U16" s="431">
        <v>-57.986503665787802208346098500</v>
      </c>
      <c r="V16" s="432">
        <v>24.565736177652585246604874290</v>
      </c>
      <c r="W16" s="430">
        <v>0</v>
      </c>
      <c r="X16" s="431">
        <v>0</v>
      </c>
      <c r="Y16" s="432">
        <v>21.881367036722182202876845480</v>
      </c>
      <c r="Z16" s="629">
        <v>-8.745857317276261903803504040</v>
      </c>
      <c r="AA16" s="214">
        <v>10.101558273441236803886777100</v>
      </c>
      <c r="AB16" s="630">
        <v>-2.9333053832885057784509529700</v>
      </c>
    </row>
    <row r="17" ht="6" customHeight="1">
      <c r="A17" s="58"/>
      <c r="B17" s="631"/>
      <c r="C17" s="631"/>
      <c r="D17" s="91"/>
      <c r="E17" s="91"/>
      <c r="F17" s="91"/>
      <c r="G17" s="91"/>
      <c r="H17" s="91"/>
      <c r="I17" s="91"/>
      <c r="J17" s="91"/>
      <c r="K17" s="91"/>
      <c r="L17" s="91"/>
      <c r="M17" s="91"/>
      <c r="N17" s="91"/>
      <c r="O17" s="91"/>
      <c r="P17" s="5"/>
      <c r="Q17" s="91"/>
      <c r="R17" s="91"/>
      <c r="S17" s="91"/>
      <c r="T17" s="91"/>
      <c r="U17" s="91"/>
      <c r="V17" s="91"/>
      <c r="W17" s="91"/>
      <c r="X17" s="91"/>
      <c r="Y17" s="91"/>
      <c r="Z17" s="632"/>
      <c r="AA17" s="632"/>
      <c r="AB17" s="632"/>
      <c r="AC17" s="4"/>
    </row>
    <row r="18" ht="18" customHeight="1">
      <c r="A18" s="58"/>
      <c r="B18" s="1045" t="s">
        <v>50</v>
      </c>
      <c r="C18" s="1045"/>
      <c r="D18" s="479">
        <v>80.00000000000000000000000007</v>
      </c>
      <c r="E18" s="480">
        <v>76.503496503496503496503496570</v>
      </c>
      <c r="F18" s="481">
        <v>60.603844793018044580728859590</v>
      </c>
      <c r="G18" s="479">
        <v>7.1212121212121212121212121300</v>
      </c>
      <c r="H18" s="480">
        <v>3.0769230769230769230769230800</v>
      </c>
      <c r="I18" s="481">
        <v>11.428234461611039037622361140</v>
      </c>
      <c r="J18" s="479">
        <v>0</v>
      </c>
      <c r="K18" s="480">
        <v>0</v>
      </c>
      <c r="L18" s="481">
        <v>8.861894091284349569524708110</v>
      </c>
      <c r="M18" s="479">
        <v>87.12121212121212121212121212</v>
      </c>
      <c r="N18" s="480">
        <v>79.62703962703962703962703963</v>
      </c>
      <c r="O18" s="481">
        <v>80.89633211463615992451940087</v>
      </c>
      <c r="P18" s="184"/>
      <c r="Q18" s="479">
        <v>-3.8251366120008360954343170400</v>
      </c>
      <c r="R18" s="480">
        <v>16.759939777010125766053604160</v>
      </c>
      <c r="S18" s="481">
        <v>-6.6052528564801373853898149600</v>
      </c>
      <c r="T18" s="479">
        <v>-16.071428570948979591833994070</v>
      </c>
      <c r="U18" s="480">
        <v>14.323607428120095124861277390</v>
      </c>
      <c r="V18" s="481">
        <v>3.8193575524924434411548400</v>
      </c>
      <c r="W18" s="479">
        <v>0</v>
      </c>
      <c r="X18" s="480">
        <v>0</v>
      </c>
      <c r="Y18" s="481">
        <v>27.890837568797862154672266570</v>
      </c>
      <c r="Z18" s="479">
        <v>-4.9586776859849737039819558800</v>
      </c>
      <c r="AA18" s="480">
        <v>16.732156732098763126518257350</v>
      </c>
      <c r="AB18" s="481">
        <v>-2.3310400021665242088752434700</v>
      </c>
    </row>
    <row r="19" ht="18" customHeight="1">
      <c r="A19" s="58"/>
      <c r="B19" s="1046" t="s">
        <v>51</v>
      </c>
      <c r="C19" s="1046"/>
      <c r="D19" s="271">
        <v>84.39393939393939393939393947</v>
      </c>
      <c r="E19" s="92">
        <v>79.44055944055944055944055951</v>
      </c>
      <c r="F19" s="272">
        <v>61.917678971576836891142823500</v>
      </c>
      <c r="G19" s="271">
        <v>3.4848484848484848484848484900</v>
      </c>
      <c r="H19" s="92">
        <v>1.8648018648018648018648018700</v>
      </c>
      <c r="I19" s="272">
        <v>8.718009199198018634272909550</v>
      </c>
      <c r="J19" s="271">
        <v>0</v>
      </c>
      <c r="K19" s="92">
        <v>0</v>
      </c>
      <c r="L19" s="272">
        <v>9.019931595707040924637339320</v>
      </c>
      <c r="M19" s="271">
        <v>87.87878787878787878787878788</v>
      </c>
      <c r="N19" s="92">
        <v>81.30536130536130536130536131</v>
      </c>
      <c r="O19" s="272">
        <v>79.65797853520462318669654440</v>
      </c>
      <c r="P19" s="5"/>
      <c r="Q19" s="271">
        <v>-4.1720430107724720083246576400</v>
      </c>
      <c r="R19" s="92">
        <v>24.731807354778167871193046950</v>
      </c>
      <c r="S19" s="272">
        <v>-8.690932270622452048730302610</v>
      </c>
      <c r="T19" s="271">
        <v>-40.645161290200041623308800</v>
      </c>
      <c r="U19" s="92">
        <v>-42.590742590939422482278950130</v>
      </c>
      <c r="V19" s="272">
        <v>-8.671561623149769173531704480</v>
      </c>
      <c r="W19" s="271">
        <v>0</v>
      </c>
      <c r="X19" s="92">
        <v>0</v>
      </c>
      <c r="Y19" s="272">
        <v>22.153787280936595618226607300</v>
      </c>
      <c r="Z19" s="271">
        <v>-6.4516129032318418314255979400</v>
      </c>
      <c r="AA19" s="92">
        <v>21.464855191023350957718705830</v>
      </c>
      <c r="AB19" s="272">
        <v>-5.9982481104677319625045812800</v>
      </c>
    </row>
    <row r="20" ht="18" customHeight="1">
      <c r="A20" s="58"/>
      <c r="B20" s="1047" t="s">
        <v>76</v>
      </c>
      <c r="C20" s="1047"/>
      <c r="D20" s="273">
        <v>82.19696969696969696969696977</v>
      </c>
      <c r="E20" s="274">
        <v>77.972027972027972027972028040</v>
      </c>
      <c r="F20" s="275">
        <v>61.260761882297440735935841550</v>
      </c>
      <c r="G20" s="273">
        <v>5.3030303030303030303030303100</v>
      </c>
      <c r="H20" s="274">
        <v>2.4708624708624708624708624700</v>
      </c>
      <c r="I20" s="275">
        <v>10.073121830404528835947635340</v>
      </c>
      <c r="J20" s="273">
        <v>0</v>
      </c>
      <c r="K20" s="274">
        <v>0</v>
      </c>
      <c r="L20" s="275">
        <v>8.940912843495695247081023710</v>
      </c>
      <c r="M20" s="273">
        <v>87.500</v>
      </c>
      <c r="N20" s="274">
        <v>80.46620046620046620046620047</v>
      </c>
      <c r="O20" s="275">
        <v>80.27715532492039155560797264</v>
      </c>
      <c r="P20" s="184"/>
      <c r="Q20" s="273">
        <v>-3.6982248520311176079268767100</v>
      </c>
      <c r="R20" s="274">
        <v>20.499400997459901737434980770</v>
      </c>
      <c r="S20" s="275">
        <v>-7.4446717915435766041196198300</v>
      </c>
      <c r="T20" s="273">
        <v>-27.586206896232104637335093330</v>
      </c>
      <c r="U20" s="274">
        <v>-15.925653293817698700190991560</v>
      </c>
      <c r="V20" s="275">
        <v>-2.7504697891956655117514799800</v>
      </c>
      <c r="W20" s="273">
        <v>0</v>
      </c>
      <c r="X20" s="274">
        <v>0</v>
      </c>
      <c r="Y20" s="275">
        <v>25.373810286571239911544450640</v>
      </c>
      <c r="Z20" s="273">
        <v>-5.5858310627032289199563323900</v>
      </c>
      <c r="AA20" s="274">
        <v>18.951368753261894386502186600</v>
      </c>
      <c r="AB20" s="275">
        <v>-4.0638377801249210236507364500</v>
      </c>
    </row>
    <row r="21" ht="6" customHeight="1">
      <c r="A21" s="58"/>
      <c r="B21" s="631"/>
      <c r="C21" s="631"/>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82" t="s">
        <v>12</v>
      </c>
      <c r="C22" s="982"/>
      <c r="D22" s="468">
        <v>80.22971652003910068426197458</v>
      </c>
      <c r="E22" s="469">
        <v>69.816868279569892473118279570</v>
      </c>
      <c r="F22" s="470">
        <v>56.653425479230820083815315880</v>
      </c>
      <c r="G22" s="468">
        <v>6.1094819159335288367546432100</v>
      </c>
      <c r="H22" s="469">
        <v>1.5288978494623655913978494600</v>
      </c>
      <c r="I22" s="470">
        <v>10.118216940296635069982077790</v>
      </c>
      <c r="J22" s="468">
        <v>0</v>
      </c>
      <c r="K22" s="469">
        <v>0</v>
      </c>
      <c r="L22" s="470">
        <v>8.905267136909891003121597840</v>
      </c>
      <c r="M22" s="468">
        <v>86.33919843597262952101661779</v>
      </c>
      <c r="N22" s="469">
        <v>71.345766129032258064516129030</v>
      </c>
      <c r="O22" s="470">
        <v>75.676909556437346156918991510</v>
      </c>
      <c r="P22" s="184"/>
      <c r="Q22" s="468">
        <v>-8.576998050714339454874993020</v>
      </c>
      <c r="R22" s="469">
        <v>16.051651789459080381302160290</v>
      </c>
      <c r="S22" s="470">
        <v>-8.710803979332324496742305950</v>
      </c>
      <c r="T22" s="468">
        <v>4.1666666665989583333333774100</v>
      </c>
      <c r="U22" s="469">
        <v>-42.779820260597877790809879110</v>
      </c>
      <c r="V22" s="470">
        <v>17.751022164531490854711135540</v>
      </c>
      <c r="W22" s="468">
        <v>0</v>
      </c>
      <c r="X22" s="469">
        <v>0</v>
      </c>
      <c r="Y22" s="470">
        <v>20.886672150458701341989883260</v>
      </c>
      <c r="Z22" s="468">
        <v>-7.7786478726522018884396566100</v>
      </c>
      <c r="AA22" s="469">
        <v>13.549825044599097958301731990</v>
      </c>
      <c r="AB22" s="470">
        <v>-3.0017049446005647492289930100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37" t="s">
        <v>9</v>
      </c>
      <c r="C24" s="1037"/>
      <c r="D24" s="1037"/>
      <c r="E24" s="1037"/>
      <c r="F24" s="1037"/>
      <c r="G24" s="1037"/>
      <c r="H24" s="1037"/>
      <c r="I24" s="1037"/>
      <c r="J24" s="1037"/>
      <c r="K24" s="1037"/>
      <c r="L24" s="1037"/>
      <c r="M24" s="1037"/>
      <c r="N24" s="1037"/>
      <c r="O24" s="1037"/>
      <c r="P24" s="411"/>
      <c r="Q24" s="1038"/>
      <c r="R24" s="1038"/>
      <c r="S24" s="1038"/>
      <c r="T24" s="1038"/>
      <c r="U24" s="1038"/>
      <c r="V24" s="1038"/>
      <c r="W24" s="1038"/>
      <c r="X24" s="1038"/>
      <c r="Y24" s="1038"/>
      <c r="Z24" s="1038"/>
      <c r="AA24" s="1038"/>
      <c r="AB24" s="1038"/>
      <c r="AC24" s="9"/>
    </row>
    <row r="25" ht="18" customHeight="1">
      <c r="A25" s="58"/>
      <c r="B25" s="1042" t="s">
        <v>43</v>
      </c>
      <c r="C25" s="1042"/>
      <c r="D25" s="454">
        <v>217.98250556349820721916531785</v>
      </c>
      <c r="E25" s="455">
        <v>283.17195047946547218376667333</v>
      </c>
      <c r="F25" s="456">
        <v>220.96930413789932226460115146</v>
      </c>
      <c r="G25" s="454">
        <v>233.57445973745042733230123263</v>
      </c>
      <c r="H25" s="455">
        <v>150.07641327976248520229930295</v>
      </c>
      <c r="I25" s="456">
        <v>210.18967115304598067633267297</v>
      </c>
      <c r="J25" s="454">
        <v>0</v>
      </c>
      <c r="K25" s="455">
        <v>0</v>
      </c>
      <c r="L25" s="456">
        <v>119.38459037675583629545124467</v>
      </c>
      <c r="M25" s="454">
        <v>218.97925149242665964648907498</v>
      </c>
      <c r="N25" s="455">
        <v>282.82353284281703504507173257</v>
      </c>
      <c r="O25" s="456">
        <v>206.63216525470696448217914723</v>
      </c>
      <c r="P25" s="5"/>
      <c r="Q25" s="427">
        <v>-17.804070277491298720397632060</v>
      </c>
      <c r="R25" s="428">
        <v>-13.624734141620985359344813330</v>
      </c>
      <c r="S25" s="429">
        <v>-4.2280735794624123472764915100</v>
      </c>
      <c r="T25" s="427">
        <v>-13.899624261348367562188251680</v>
      </c>
      <c r="U25" s="428">
        <v>-46.060727371845924950677780920</v>
      </c>
      <c r="V25" s="429">
        <v>0.0266922655016245941899972200</v>
      </c>
      <c r="W25" s="427">
        <v>0</v>
      </c>
      <c r="X25" s="428">
        <v>0</v>
      </c>
      <c r="Y25" s="429">
        <v>2.5276920563045970928659761300</v>
      </c>
      <c r="Z25" s="427">
        <v>-17.477831926846862943711572610</v>
      </c>
      <c r="AA25" s="428">
        <v>-13.018559997171093915089948440</v>
      </c>
      <c r="AB25" s="429">
        <v>-4.9515809985714436424894309300</v>
      </c>
    </row>
    <row r="26" ht="18" customHeight="1">
      <c r="A26" s="58"/>
      <c r="B26" s="1043" t="s">
        <v>46</v>
      </c>
      <c r="C26" s="1043"/>
      <c r="D26" s="439">
        <v>218.2205651973702827755220116</v>
      </c>
      <c r="E26" s="95">
        <v>286.33478021083952918247580944</v>
      </c>
      <c r="F26" s="440">
        <v>217.81401328136857987359934972</v>
      </c>
      <c r="G26" s="439">
        <v>179.55247895433544555413328544</v>
      </c>
      <c r="H26" s="95">
        <v>157.42121690486161655452200832</v>
      </c>
      <c r="I26" s="440">
        <v>210.2801020593157226386597827</v>
      </c>
      <c r="J26" s="439">
        <v>0</v>
      </c>
      <c r="K26" s="95">
        <v>0</v>
      </c>
      <c r="L26" s="440">
        <v>131.7017219163841280810984272</v>
      </c>
      <c r="M26" s="439">
        <v>215.78625468328092256303749131</v>
      </c>
      <c r="N26" s="95">
        <v>285.00202720673637407072064795</v>
      </c>
      <c r="O26" s="440">
        <v>205.75464071101852571227962907</v>
      </c>
      <c r="P26" s="5"/>
      <c r="Q26" s="420">
        <v>-12.832220310549080356582078260</v>
      </c>
      <c r="R26" s="91">
        <v>-16.304905116391728170157678580</v>
      </c>
      <c r="S26" s="421">
        <v>-3.5893665555470812708051531300</v>
      </c>
      <c r="T26" s="420">
        <v>-26.467773250946211245883824700</v>
      </c>
      <c r="U26" s="91">
        <v>-39.991750831107766307094811520</v>
      </c>
      <c r="V26" s="421">
        <v>4.2742933224206903380232337400</v>
      </c>
      <c r="W26" s="420">
        <v>0</v>
      </c>
      <c r="X26" s="91">
        <v>0</v>
      </c>
      <c r="Y26" s="421">
        <v>13.172738450979901531225333170</v>
      </c>
      <c r="Z26" s="420">
        <v>-13.744296215102948212448698530</v>
      </c>
      <c r="AA26" s="91">
        <v>-16.356437346490738407857215120</v>
      </c>
      <c r="AB26" s="421">
        <v>-3.3886950085076864676330622500</v>
      </c>
    </row>
    <row r="27" ht="18" customHeight="1">
      <c r="A27" s="58"/>
      <c r="B27" s="1043" t="s">
        <v>47</v>
      </c>
      <c r="C27" s="1043"/>
      <c r="D27" s="439">
        <v>234.84491070629994890427395533</v>
      </c>
      <c r="E27" s="95">
        <v>318.37462171472858366471047076</v>
      </c>
      <c r="F27" s="440">
        <v>226.94548698937737904881351955</v>
      </c>
      <c r="G27" s="439">
        <v>178.28388714259501216668403243</v>
      </c>
      <c r="H27" s="95">
        <v>141.68103295366156608014189477</v>
      </c>
      <c r="I27" s="440">
        <v>218.02271431304541825980074528</v>
      </c>
      <c r="J27" s="439">
        <v>0</v>
      </c>
      <c r="K27" s="95">
        <v>0</v>
      </c>
      <c r="L27" s="440">
        <v>129.35875251512155840118185661</v>
      </c>
      <c r="M27" s="439">
        <v>231.01459308347568682272159034</v>
      </c>
      <c r="N27" s="95">
        <v>316.56491084287407976021302723</v>
      </c>
      <c r="O27" s="440">
        <v>214.06603684411836167644092385</v>
      </c>
      <c r="P27" s="93"/>
      <c r="Q27" s="420">
        <v>-7.6303338681118711413300042100</v>
      </c>
      <c r="R27" s="91">
        <v>-12.982496150870256304803131310</v>
      </c>
      <c r="S27" s="421">
        <v>-3.3761713242194125380685657200</v>
      </c>
      <c r="T27" s="420">
        <v>-10.019752257253191004437952120</v>
      </c>
      <c r="U27" s="91">
        <v>-59.311938380534315842442091370</v>
      </c>
      <c r="V27" s="421">
        <v>11.488082630400590279370396140</v>
      </c>
      <c r="W27" s="420">
        <v>0</v>
      </c>
      <c r="X27" s="91">
        <v>0</v>
      </c>
      <c r="Y27" s="421">
        <v>11.658884380548780450108064560</v>
      </c>
      <c r="Z27" s="420">
        <v>-7.949155130413145487352615690</v>
      </c>
      <c r="AA27" s="91">
        <v>-13.259496411111245155086115970</v>
      </c>
      <c r="AB27" s="421">
        <v>-2.3113166802077146541261202800</v>
      </c>
    </row>
    <row r="28" ht="18" customHeight="1">
      <c r="A28" s="58"/>
      <c r="B28" s="1043" t="s">
        <v>48</v>
      </c>
      <c r="C28" s="1043"/>
      <c r="D28" s="439">
        <v>247.55680216583562633798895013</v>
      </c>
      <c r="E28" s="95">
        <v>324.62323606608383457497484002</v>
      </c>
      <c r="F28" s="440">
        <v>242.84827775590740761521715498</v>
      </c>
      <c r="G28" s="439">
        <v>198.5412953363869853115315848</v>
      </c>
      <c r="H28" s="95">
        <v>0</v>
      </c>
      <c r="I28" s="440">
        <v>224.18658077471712461267567929</v>
      </c>
      <c r="J28" s="439">
        <v>0</v>
      </c>
      <c r="K28" s="95">
        <v>0</v>
      </c>
      <c r="L28" s="440">
        <v>124.91017148820948070547518417</v>
      </c>
      <c r="M28" s="439">
        <v>244.85106293533527672718663272</v>
      </c>
      <c r="N28" s="95">
        <v>324.62323606608383457497484003</v>
      </c>
      <c r="O28" s="440">
        <v>226.31615189416993620606096296</v>
      </c>
      <c r="P28" s="5"/>
      <c r="Q28" s="420">
        <v>-21.654221921767027683423427930</v>
      </c>
      <c r="R28" s="91">
        <v>-24.693471985247662118852434680</v>
      </c>
      <c r="S28" s="421">
        <v>-8.330691053960821437816190650</v>
      </c>
      <c r="T28" s="420">
        <v>-39.666837267822470165152925600</v>
      </c>
      <c r="U28" s="91">
        <v>-100</v>
      </c>
      <c r="V28" s="421">
        <v>-8.705259963280187953605657630</v>
      </c>
      <c r="W28" s="420">
        <v>0</v>
      </c>
      <c r="X28" s="91">
        <v>0</v>
      </c>
      <c r="Y28" s="421">
        <v>6.7981004186085483737806718200</v>
      </c>
      <c r="Z28" s="420">
        <v>-22.820061992499175407465797300</v>
      </c>
      <c r="AA28" s="91">
        <v>-23.941735366449127107405110280</v>
      </c>
      <c r="AB28" s="421">
        <v>-9.147531151756766644654541270</v>
      </c>
    </row>
    <row r="29" ht="18" customHeight="1">
      <c r="A29" s="58"/>
      <c r="B29" s="1043" t="s">
        <v>49</v>
      </c>
      <c r="C29" s="1043"/>
      <c r="D29" s="439">
        <v>373.30595607526984784083749359</v>
      </c>
      <c r="E29" s="95">
        <v>426.01205753160583405077508423</v>
      </c>
      <c r="F29" s="440">
        <v>292.94992646338693305451186519</v>
      </c>
      <c r="G29" s="439">
        <v>497.592833768439543903136519</v>
      </c>
      <c r="H29" s="95">
        <v>488.07186541608719788308885317</v>
      </c>
      <c r="I29" s="440">
        <v>269.68574747285372562760838886</v>
      </c>
      <c r="J29" s="439">
        <v>0</v>
      </c>
      <c r="K29" s="95">
        <v>0</v>
      </c>
      <c r="L29" s="440">
        <v>120.25641635266437939184274534</v>
      </c>
      <c r="M29" s="439">
        <v>387.49858484936752928351438069</v>
      </c>
      <c r="N29" s="95">
        <v>428.97471989553698661129407119</v>
      </c>
      <c r="O29" s="440">
        <v>270.70892970525596394937626156</v>
      </c>
      <c r="P29" s="93"/>
      <c r="Q29" s="420">
        <v>1.5684216012823572911079698300</v>
      </c>
      <c r="R29" s="91">
        <v>-12.747575072618097863256459660</v>
      </c>
      <c r="S29" s="421">
        <v>-2.2482952161964356782621443100</v>
      </c>
      <c r="T29" s="420">
        <v>17.624872045123402823537759900</v>
      </c>
      <c r="U29" s="91">
        <v>48.753466912563576030685529050</v>
      </c>
      <c r="V29" s="421">
        <v>7.7291947167003219332380614500</v>
      </c>
      <c r="W29" s="420">
        <v>0</v>
      </c>
      <c r="X29" s="91">
        <v>0</v>
      </c>
      <c r="Y29" s="421">
        <v>1.6928243990653485938693010100</v>
      </c>
      <c r="Z29" s="420">
        <v>4.4959248430129363287603234500</v>
      </c>
      <c r="AA29" s="91">
        <v>-10.866965715196703406876088730</v>
      </c>
      <c r="AB29" s="421">
        <v>-2.3717078569629367059359232500</v>
      </c>
    </row>
    <row r="30" ht="18" customHeight="1">
      <c r="A30" s="58"/>
      <c r="B30" s="1044" t="s">
        <v>75</v>
      </c>
      <c r="C30" s="1044"/>
      <c r="D30" s="457">
        <v>265.55188591755542510893074803</v>
      </c>
      <c r="E30" s="458">
        <v>335.7252199476563994061777937</v>
      </c>
      <c r="F30" s="459">
        <v>244.16647820662314006167329035</v>
      </c>
      <c r="G30" s="457">
        <v>314.16965545708896447795443579</v>
      </c>
      <c r="H30" s="458">
        <v>400.84049792001361558938761103</v>
      </c>
      <c r="I30" s="459">
        <v>233.01648831634917118568110539</v>
      </c>
      <c r="J30" s="457">
        <v>0</v>
      </c>
      <c r="K30" s="458">
        <v>0</v>
      </c>
      <c r="L30" s="459">
        <v>124.83626789668361776260963573</v>
      </c>
      <c r="M30" s="457">
        <v>269.23195257740237089800739388</v>
      </c>
      <c r="N30" s="458">
        <v>336.82707636363557886106888698</v>
      </c>
      <c r="O30" s="459">
        <v>228.39788922541461166071488585</v>
      </c>
      <c r="P30" s="5"/>
      <c r="Q30" s="430">
        <v>-9.933439327380506349076772370</v>
      </c>
      <c r="R30" s="431">
        <v>-16.079835835864192706261072710</v>
      </c>
      <c r="S30" s="432">
        <v>-4.110032804391012928978243700</v>
      </c>
      <c r="T30" s="430">
        <v>-0.0414993193293479223040349500</v>
      </c>
      <c r="U30" s="431">
        <v>26.683515050270614446984762400</v>
      </c>
      <c r="V30" s="432">
        <v>2.6280355498898577121041307800</v>
      </c>
      <c r="W30" s="430">
        <v>0</v>
      </c>
      <c r="X30" s="431">
        <v>0</v>
      </c>
      <c r="Y30" s="432">
        <v>6.8433237086479208177789490400</v>
      </c>
      <c r="Z30" s="430">
        <v>-9.021818337933264787146503950</v>
      </c>
      <c r="AA30" s="431">
        <v>-15.056596212464466141423346110</v>
      </c>
      <c r="AB30" s="432">
        <v>-4.2651234782222812500038768700</v>
      </c>
    </row>
    <row r="31" ht="6" customHeight="1">
      <c r="A31" s="58"/>
      <c r="B31" s="631"/>
      <c r="C31" s="631"/>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45" t="s">
        <v>50</v>
      </c>
      <c r="C32" s="1045"/>
      <c r="D32" s="493">
        <v>419.77869970466169795088882741</v>
      </c>
      <c r="E32" s="494">
        <v>444.03498917211384064896777715</v>
      </c>
      <c r="F32" s="495">
        <v>320.85175979756572933122992659</v>
      </c>
      <c r="G32" s="493">
        <v>541.11222594552309914113704672</v>
      </c>
      <c r="H32" s="494">
        <v>508.72726792154838854938817389</v>
      </c>
      <c r="I32" s="495">
        <v>275.40691386598275031878595928</v>
      </c>
      <c r="J32" s="493">
        <v>0</v>
      </c>
      <c r="K32" s="494">
        <v>0</v>
      </c>
      <c r="L32" s="495">
        <v>127.69524654707536707042161908</v>
      </c>
      <c r="M32" s="493">
        <v>429.69639663217558639600476882</v>
      </c>
      <c r="N32" s="494">
        <v>446.27483425893501530984528208</v>
      </c>
      <c r="O32" s="495">
        <v>293.26282375311712336964609575</v>
      </c>
      <c r="P32" s="93"/>
      <c r="Q32" s="479">
        <v>-12.981294098360961725309893890</v>
      </c>
      <c r="R32" s="480">
        <v>-21.226793633443309057892509240</v>
      </c>
      <c r="S32" s="481">
        <v>-5.8289699087129494820420493300</v>
      </c>
      <c r="T32" s="479">
        <v>21.282230953103065867281380340</v>
      </c>
      <c r="U32" s="480">
        <v>43.419658504414449883142578030</v>
      </c>
      <c r="V32" s="481">
        <v>9.846316738543456721950872800</v>
      </c>
      <c r="W32" s="479">
        <v>0</v>
      </c>
      <c r="X32" s="480">
        <v>0</v>
      </c>
      <c r="Y32" s="481">
        <v>8.642711310767777742606306710</v>
      </c>
      <c r="Z32" s="479">
        <v>-10.301640386357677913066496310</v>
      </c>
      <c r="AA32" s="480">
        <v>-19.654187243483750689618264820</v>
      </c>
      <c r="AB32" s="481">
        <v>-5.4238287561644523578371137600</v>
      </c>
    </row>
    <row r="33" ht="18" customHeight="1">
      <c r="A33" s="58"/>
      <c r="B33" s="1046" t="s">
        <v>51</v>
      </c>
      <c r="C33" s="1046"/>
      <c r="D33" s="276">
        <v>421.18005732722027463505017637</v>
      </c>
      <c r="E33" s="94">
        <v>427.73713512528306873082552979</v>
      </c>
      <c r="F33" s="277">
        <v>313.19735765244268543644304975</v>
      </c>
      <c r="G33" s="276">
        <v>335.11725113802203717881423495</v>
      </c>
      <c r="H33" s="94">
        <v>504.46678468721637872961711878</v>
      </c>
      <c r="I33" s="277">
        <v>258.79783124699894058260368301</v>
      </c>
      <c r="J33" s="276">
        <v>0</v>
      </c>
      <c r="K33" s="94">
        <v>0</v>
      </c>
      <c r="L33" s="277">
        <v>120.7417276781616209785047425</v>
      </c>
      <c r="M33" s="276">
        <v>417.76722190937275832213047524</v>
      </c>
      <c r="N33" s="94">
        <v>429.49698947303383272162350201</v>
      </c>
      <c r="O33" s="277">
        <v>285.4420594387734629037261379</v>
      </c>
      <c r="P33" s="5"/>
      <c r="Q33" s="271">
        <v>7.969715381830804982245374090</v>
      </c>
      <c r="R33" s="92">
        <v>-2.2520761692125255515462558900</v>
      </c>
      <c r="S33" s="272">
        <v>9.362954058534669131105377990</v>
      </c>
      <c r="T33" s="271">
        <v>-12.600204026255983529299638410</v>
      </c>
      <c r="U33" s="92">
        <v>52.079121840162625213236282990</v>
      </c>
      <c r="V33" s="272">
        <v>18.293225820296843216279841640</v>
      </c>
      <c r="W33" s="271">
        <v>0</v>
      </c>
      <c r="X33" s="92">
        <v>0</v>
      </c>
      <c r="Y33" s="272">
        <v>4.6204525211777662592545630300</v>
      </c>
      <c r="Z33" s="271">
        <v>7.2092435483608943302332610600</v>
      </c>
      <c r="AA33" s="92">
        <v>-0.6837933138111691129156545700</v>
      </c>
      <c r="AB33" s="272">
        <v>8.175446853851536597707325360</v>
      </c>
    </row>
    <row r="34" ht="18" customHeight="1">
      <c r="A34" s="58"/>
      <c r="B34" s="1047" t="s">
        <v>76</v>
      </c>
      <c r="C34" s="1047"/>
      <c r="D34" s="443">
        <v>420.49810633670328985234308675</v>
      </c>
      <c r="E34" s="444">
        <v>435.73258459937852365389621079</v>
      </c>
      <c r="F34" s="445">
        <v>316.98351852714469276733959454</v>
      </c>
      <c r="G34" s="443">
        <v>473.42816279448703592494526571</v>
      </c>
      <c r="H34" s="444">
        <v>507.11953839915895088155003989</v>
      </c>
      <c r="I34" s="445">
        <v>268.21956234276952460927539926</v>
      </c>
      <c r="J34" s="443">
        <v>0</v>
      </c>
      <c r="K34" s="444">
        <v>0</v>
      </c>
      <c r="L34" s="445">
        <v>124.18775991540063219962751066</v>
      </c>
      <c r="M34" s="633">
        <v>423.70598854626594112947049152</v>
      </c>
      <c r="N34" s="634">
        <v>437.79842600093627184696614406</v>
      </c>
      <c r="O34" s="635">
        <v>289.38260232923036829604827452</v>
      </c>
      <c r="P34" s="93"/>
      <c r="Q34" s="273">
        <v>-4.4472766752073466411652704300</v>
      </c>
      <c r="R34" s="274">
        <v>-14.314794619456047055168606460</v>
      </c>
      <c r="S34" s="275">
        <v>0.3195585037086117031553956700</v>
      </c>
      <c r="T34" s="273">
        <v>11.708246170146171796706044680</v>
      </c>
      <c r="U34" s="274">
        <v>47.669759558938154891447068700</v>
      </c>
      <c r="V34" s="275">
        <v>12.869769248879870351837681020</v>
      </c>
      <c r="W34" s="273">
        <v>0</v>
      </c>
      <c r="X34" s="274">
        <v>0</v>
      </c>
      <c r="Y34" s="275">
        <v>6.5460921371668760112486975100</v>
      </c>
      <c r="Z34" s="273">
        <v>-3.4363689043778992622048089600</v>
      </c>
      <c r="AA34" s="274">
        <v>-12.676764041658157556300971680</v>
      </c>
      <c r="AB34" s="275">
        <v>0.0348978439126171237819884500</v>
      </c>
    </row>
    <row r="35" ht="6" customHeight="1">
      <c r="A35" s="58"/>
      <c r="B35" s="631"/>
      <c r="C35" s="631"/>
      <c r="D35" s="95"/>
      <c r="E35" s="95"/>
      <c r="F35" s="95"/>
      <c r="G35" s="95"/>
      <c r="H35" s="95"/>
      <c r="I35" s="95"/>
      <c r="J35" s="95"/>
      <c r="K35" s="95"/>
      <c r="L35" s="95"/>
      <c r="M35" s="636"/>
      <c r="N35" s="636"/>
      <c r="O35" s="636"/>
      <c r="P35" s="93"/>
      <c r="Q35" s="91"/>
      <c r="R35" s="91"/>
      <c r="S35" s="91"/>
      <c r="T35" s="91"/>
      <c r="U35" s="91"/>
      <c r="V35" s="91"/>
      <c r="W35" s="91"/>
      <c r="X35" s="91"/>
      <c r="Y35" s="91"/>
      <c r="Z35" s="91"/>
      <c r="AA35" s="91"/>
      <c r="AB35" s="91"/>
    </row>
    <row r="36" ht="18" customHeight="1">
      <c r="A36" s="58"/>
      <c r="B36" s="982" t="s">
        <v>12</v>
      </c>
      <c r="C36" s="982"/>
      <c r="D36" s="482">
        <v>317.6725555893999390801096558</v>
      </c>
      <c r="E36" s="483">
        <v>371.79099987967753579593310071</v>
      </c>
      <c r="F36" s="484">
        <v>270.34708377958992941781987161</v>
      </c>
      <c r="G36" s="482">
        <v>346.78</v>
      </c>
      <c r="H36" s="483">
        <v>455.64835164835164835164835165</v>
      </c>
      <c r="I36" s="484">
        <v>242.09659519614852414811857595</v>
      </c>
      <c r="J36" s="482">
        <v>0</v>
      </c>
      <c r="K36" s="483">
        <v>0</v>
      </c>
      <c r="L36" s="484">
        <v>123.30046212504017062950212001</v>
      </c>
      <c r="M36" s="482">
        <v>319.73223889046136427964902349</v>
      </c>
      <c r="N36" s="483">
        <v>373.58801365830684092782291299</v>
      </c>
      <c r="O36" s="484">
        <v>249.26622795551891250578133483</v>
      </c>
      <c r="P36" s="93"/>
      <c r="Q36" s="468">
        <v>-5.4005767437935339860577036700</v>
      </c>
      <c r="R36" s="469">
        <v>-14.312647968482308130841686930</v>
      </c>
      <c r="S36" s="470">
        <v>-1.2948632213290469463887191700</v>
      </c>
      <c r="T36" s="468">
        <v>-2.2053017484489565707839819500</v>
      </c>
      <c r="U36" s="469">
        <v>39.860766334101706719433414740</v>
      </c>
      <c r="V36" s="470">
        <v>4.2107419475090188027004020600</v>
      </c>
      <c r="W36" s="468">
        <v>0</v>
      </c>
      <c r="X36" s="469">
        <v>0</v>
      </c>
      <c r="Y36" s="470">
        <v>6.6415524388825232854920462700</v>
      </c>
      <c r="Z36" s="468">
        <v>-5.1198492329308838951420960200</v>
      </c>
      <c r="AA36" s="469">
        <v>-12.976447383096689005693377690</v>
      </c>
      <c r="AB36" s="470">
        <v>-2.0064009084457138550609565300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7" t="s">
        <v>10</v>
      </c>
      <c r="C38" s="1037"/>
      <c r="D38" s="1037"/>
      <c r="E38" s="1037"/>
      <c r="F38" s="1037"/>
      <c r="G38" s="1037"/>
      <c r="H38" s="1037"/>
      <c r="I38" s="1037"/>
      <c r="J38" s="1037"/>
      <c r="K38" s="1037"/>
      <c r="L38" s="1037"/>
      <c r="M38" s="1037"/>
      <c r="N38" s="1037"/>
      <c r="O38" s="1037"/>
      <c r="P38" s="411"/>
      <c r="Q38" s="1038"/>
      <c r="R38" s="1038"/>
      <c r="S38" s="1038"/>
      <c r="T38" s="1038"/>
      <c r="U38" s="1038"/>
      <c r="V38" s="1038"/>
      <c r="W38" s="1038"/>
      <c r="X38" s="1038"/>
      <c r="Y38" s="1038"/>
      <c r="Z38" s="1038"/>
      <c r="AA38" s="1038"/>
      <c r="AB38" s="1038"/>
      <c r="AC38" s="9"/>
    </row>
    <row r="39" ht="18" customHeight="1">
      <c r="A39" s="58"/>
      <c r="B39" s="1042" t="s">
        <v>43</v>
      </c>
      <c r="C39" s="1042"/>
      <c r="D39" s="454">
        <v>169.26671833529216848457912955</v>
      </c>
      <c r="E39" s="455">
        <v>188.61628170048312045806836126</v>
      </c>
      <c r="F39" s="456">
        <v>119.86653076804669569006168146</v>
      </c>
      <c r="G39" s="454">
        <v>12.386524380016310540349307802</v>
      </c>
      <c r="H39" s="455">
        <v>0.2623713518876966524515722082</v>
      </c>
      <c r="I39" s="456">
        <v>15.666926780130329023168091691</v>
      </c>
      <c r="J39" s="454">
        <v>0</v>
      </c>
      <c r="K39" s="455">
        <v>0</v>
      </c>
      <c r="L39" s="456">
        <v>10.996504904380977491065859438</v>
      </c>
      <c r="M39" s="454">
        <v>181.6532427153084790249284372</v>
      </c>
      <c r="N39" s="455">
        <v>188.87865305237081711051993329</v>
      </c>
      <c r="O39" s="456">
        <v>146.52996245255800220429563245</v>
      </c>
      <c r="P39" s="5"/>
      <c r="Q39" s="427">
        <v>-30.227057585432902841005635090</v>
      </c>
      <c r="R39" s="428">
        <v>-0.4144635754741946452190385700</v>
      </c>
      <c r="S39" s="429">
        <v>-14.709356292874988705939311690</v>
      </c>
      <c r="T39" s="427">
        <v>85.44696313000297699871543118</v>
      </c>
      <c r="U39" s="428">
        <v>-97.14785590691923968510529600</v>
      </c>
      <c r="V39" s="429">
        <v>16.185211140427661033524157270</v>
      </c>
      <c r="W39" s="427">
        <v>0</v>
      </c>
      <c r="X39" s="428">
        <v>0</v>
      </c>
      <c r="Y39" s="429">
        <v>24.698214856800978274252205600</v>
      </c>
      <c r="Z39" s="427">
        <v>-27.127601580569437688945349510</v>
      </c>
      <c r="AA39" s="428">
        <v>-4.8951165504769756925539125700</v>
      </c>
      <c r="AB39" s="429">
        <v>-10.017002933552605546517337730</v>
      </c>
    </row>
    <row r="40" ht="18" customHeight="1">
      <c r="A40" s="58"/>
      <c r="B40" s="1043" t="s">
        <v>46</v>
      </c>
      <c r="C40" s="1043"/>
      <c r="D40" s="439">
        <v>159.94575517307253680705874729</v>
      </c>
      <c r="E40" s="95">
        <v>175.70543331119698381651924687</v>
      </c>
      <c r="F40" s="440">
        <v>110.36483719307462687604094907</v>
      </c>
      <c r="G40" s="439">
        <v>8.841599342448336334105048155</v>
      </c>
      <c r="H40" s="95">
        <v>1.0091103647747539522725769773</v>
      </c>
      <c r="I40" s="440">
        <v>17.620475588293881464178296467</v>
      </c>
      <c r="J40" s="439">
        <v>0</v>
      </c>
      <c r="K40" s="95">
        <v>0</v>
      </c>
      <c r="L40" s="440">
        <v>11.552441994965290159254269999</v>
      </c>
      <c r="M40" s="439">
        <v>168.78735451552087314116379528</v>
      </c>
      <c r="N40" s="95">
        <v>176.71454367597173776879182367</v>
      </c>
      <c r="O40" s="440">
        <v>139.5377547763337984994735154</v>
      </c>
      <c r="P40" s="5"/>
      <c r="Q40" s="420">
        <v>-29.574257328162262785822100980</v>
      </c>
      <c r="R40" s="91">
        <v>-8.151657944130665813056190130</v>
      </c>
      <c r="S40" s="421">
        <v>-15.687660063650181573359543310</v>
      </c>
      <c r="T40" s="420">
        <v>36.559849676902061935443068860</v>
      </c>
      <c r="U40" s="91">
        <v>-60.990112530661754194151033860</v>
      </c>
      <c r="V40" s="421">
        <v>27.414304649376073190887974010</v>
      </c>
      <c r="W40" s="420">
        <v>0</v>
      </c>
      <c r="X40" s="91">
        <v>0</v>
      </c>
      <c r="Y40" s="421">
        <v>42.788678368547346322018272480</v>
      </c>
      <c r="Z40" s="420">
        <v>-27.741164983453845005339384350</v>
      </c>
      <c r="AA40" s="91">
        <v>-8.856621885996240320405105030</v>
      </c>
      <c r="AB40" s="421">
        <v>-8.691337969268278046210415940</v>
      </c>
    </row>
    <row r="41" ht="18" customHeight="1">
      <c r="A41" s="58"/>
      <c r="B41" s="1043" t="s">
        <v>47</v>
      </c>
      <c r="C41" s="1043"/>
      <c r="D41" s="439">
        <v>183.6949775032232554876233781</v>
      </c>
      <c r="E41" s="95">
        <v>197.221575106501447806286265</v>
      </c>
      <c r="F41" s="440">
        <v>120.43179840885759134687303127</v>
      </c>
      <c r="G41" s="439">
        <v>10.129766314920171145834320033</v>
      </c>
      <c r="H41" s="95">
        <v>0.9082117497029587569239865058</v>
      </c>
      <c r="I41" s="440">
        <v>20.634889519544633583381306552</v>
      </c>
      <c r="J41" s="439">
        <v>0</v>
      </c>
      <c r="K41" s="95">
        <v>0</v>
      </c>
      <c r="L41" s="440">
        <v>11.018912490157630092611581086</v>
      </c>
      <c r="M41" s="439">
        <v>193.82474381814342663345769795</v>
      </c>
      <c r="N41" s="95">
        <v>198.12978685620440656321025131</v>
      </c>
      <c r="O41" s="440">
        <v>152.08560041855985502286591877</v>
      </c>
      <c r="P41" s="93"/>
      <c r="Q41" s="420">
        <v>-18.311194619970008032076149060</v>
      </c>
      <c r="R41" s="91">
        <v>1.897851084194927219263454700</v>
      </c>
      <c r="S41" s="421">
        <v>-12.640659520919383853562726640</v>
      </c>
      <c r="T41" s="420">
        <v>-6.9169850937733765024975197500</v>
      </c>
      <c r="U41" s="91">
        <v>-91.00689509850235266444508076</v>
      </c>
      <c r="V41" s="421">
        <v>48.490037308185283964494240320</v>
      </c>
      <c r="W41" s="420">
        <v>0</v>
      </c>
      <c r="X41" s="91">
        <v>0</v>
      </c>
      <c r="Y41" s="421">
        <v>30.057175510397763086370649320</v>
      </c>
      <c r="Z41" s="420">
        <v>-17.785233312034988667452834430</v>
      </c>
      <c r="AA41" s="91">
        <v>-2.7093451669802439483028469600</v>
      </c>
      <c r="AB41" s="421">
        <v>-5.0810437616767697477367654200</v>
      </c>
    </row>
    <row r="42" ht="18" customHeight="1">
      <c r="A42" s="58"/>
      <c r="B42" s="1043" t="s">
        <v>48</v>
      </c>
      <c r="C42" s="1043"/>
      <c r="D42" s="439">
        <v>208.64162303749404113713083884</v>
      </c>
      <c r="E42" s="95">
        <v>208.2809923710712714842932979</v>
      </c>
      <c r="F42" s="440">
        <v>134.57042493644662751268991671</v>
      </c>
      <c r="G42" s="439">
        <v>9.776654694594813670643600775</v>
      </c>
      <c r="H42" s="95">
        <v>0</v>
      </c>
      <c r="I42" s="440">
        <v>25.243795022368342342723446751</v>
      </c>
      <c r="J42" s="439">
        <v>0</v>
      </c>
      <c r="K42" s="95">
        <v>0</v>
      </c>
      <c r="L42" s="440">
        <v>10.997221726140862996419061808</v>
      </c>
      <c r="M42" s="439">
        <v>218.41827773208885480777443941</v>
      </c>
      <c r="N42" s="95">
        <v>208.28099237107127148429329771</v>
      </c>
      <c r="O42" s="440">
        <v>170.81144168495583285183242511</v>
      </c>
      <c r="P42" s="5"/>
      <c r="Q42" s="420">
        <v>-22.178858828546186734647420620</v>
      </c>
      <c r="R42" s="91">
        <v>-20.938661971538888469624192040</v>
      </c>
      <c r="S42" s="421">
        <v>-17.949038623432738974773351230</v>
      </c>
      <c r="T42" s="420">
        <v>-67.319536853433631037813612510</v>
      </c>
      <c r="U42" s="91">
        <v>-100</v>
      </c>
      <c r="V42" s="421">
        <v>8.660483154406040970848682150</v>
      </c>
      <c r="W42" s="420">
        <v>0</v>
      </c>
      <c r="X42" s="91">
        <v>0</v>
      </c>
      <c r="Y42" s="421">
        <v>31.561927441192305521373340750</v>
      </c>
      <c r="Z42" s="420">
        <v>-26.710179835619176647008851870</v>
      </c>
      <c r="AA42" s="91">
        <v>-23.517685156111265597498217290</v>
      </c>
      <c r="AB42" s="421">
        <v>-12.672696116917026917533945380</v>
      </c>
    </row>
    <row r="43" ht="18" customHeight="1">
      <c r="A43" s="58"/>
      <c r="B43" s="1043" t="s">
        <v>49</v>
      </c>
      <c r="C43" s="1043"/>
      <c r="D43" s="439">
        <v>307.12899113465382935996175637</v>
      </c>
      <c r="E43" s="95">
        <v>313.99769834847031404861324419</v>
      </c>
      <c r="F43" s="440">
        <v>172.010909764196035488287861</v>
      </c>
      <c r="G43" s="439">
        <v>52.774997520895103141241752063</v>
      </c>
      <c r="H43" s="95">
        <v>16.382831846134395453418367115</v>
      </c>
      <c r="I43" s="440">
        <v>35.419512723878984415485871226</v>
      </c>
      <c r="J43" s="439">
        <v>0</v>
      </c>
      <c r="K43" s="95">
        <v>0</v>
      </c>
      <c r="L43" s="440">
        <v>10.330790620507221836185665266</v>
      </c>
      <c r="M43" s="439">
        <v>359.90398865554893250120350812</v>
      </c>
      <c r="N43" s="95">
        <v>330.380530194604709502031611</v>
      </c>
      <c r="O43" s="440">
        <v>217.76121310858224173995939729</v>
      </c>
      <c r="P43" s="93"/>
      <c r="Q43" s="420">
        <v>-6.2046718886033677125803171500</v>
      </c>
      <c r="R43" s="91">
        <v>3.5020082867946194495155143100</v>
      </c>
      <c r="S43" s="421">
        <v>-7.1966262702720662608514468500</v>
      </c>
      <c r="T43" s="420">
        <v>122.53354170716082981612442959</v>
      </c>
      <c r="U43" s="91">
        <v>76.396407399040220968001070120</v>
      </c>
      <c r="V43" s="421">
        <v>43.249715623199937330929571890</v>
      </c>
      <c r="W43" s="420">
        <v>0</v>
      </c>
      <c r="X43" s="91">
        <v>0</v>
      </c>
      <c r="Y43" s="421">
        <v>24.042075564280412297531683010</v>
      </c>
      <c r="Z43" s="420">
        <v>2.4896030860228869517230677900</v>
      </c>
      <c r="AA43" s="91">
        <v>5.6673160292880834390756120600</v>
      </c>
      <c r="AB43" s="421">
        <v>-0.2943176190613405521259887400</v>
      </c>
    </row>
    <row r="44" ht="18" customHeight="1">
      <c r="A44" s="58"/>
      <c r="B44" s="1044" t="s">
        <v>75</v>
      </c>
      <c r="C44" s="1044"/>
      <c r="D44" s="457">
        <v>210.56386913664748354597034078</v>
      </c>
      <c r="E44" s="458">
        <v>221.39455341425537450017785261</v>
      </c>
      <c r="F44" s="459">
        <v>133.38042447841344491162388664</v>
      </c>
      <c r="G44" s="457">
        <v>20.40062697773304964142561273</v>
      </c>
      <c r="H44" s="458">
        <v>4.3158539569587435577944942063</v>
      </c>
      <c r="I44" s="459">
        <v>23.512471964797317511011139145</v>
      </c>
      <c r="J44" s="457">
        <v>0</v>
      </c>
      <c r="K44" s="458">
        <v>0</v>
      </c>
      <c r="L44" s="459">
        <v>10.948298931672150101825305509</v>
      </c>
      <c r="M44" s="457">
        <v>230.96449611438053318739595333</v>
      </c>
      <c r="N44" s="458">
        <v>225.71040737121411805797234662</v>
      </c>
      <c r="O44" s="459">
        <v>167.84119537488291252446033111</v>
      </c>
      <c r="P44" s="5"/>
      <c r="Q44" s="430">
        <v>-19.521433045347450706103103550</v>
      </c>
      <c r="R44" s="431">
        <v>-5.0748686346191971458797148800</v>
      </c>
      <c r="S44" s="432">
        <v>-13.286401709415350199027267390</v>
      </c>
      <c r="T44" s="430">
        <v>23.198152099113969971855895720</v>
      </c>
      <c r="U44" s="431">
        <v>-46.775826047880376424447634380</v>
      </c>
      <c r="V44" s="432">
        <v>27.839368007742975608379465850</v>
      </c>
      <c r="W44" s="430">
        <v>0</v>
      </c>
      <c r="X44" s="431">
        <v>0</v>
      </c>
      <c r="Y44" s="432">
        <v>30.222103522844865170147855820</v>
      </c>
      <c r="Z44" s="430">
        <v>-16.978640295944903876926272160</v>
      </c>
      <c r="AA44" s="431">
        <v>-6.4759887794041400919216724800</v>
      </c>
      <c r="AB44" s="432">
        <v>-7.073319764896596319504125600</v>
      </c>
    </row>
    <row r="45" ht="6" customHeight="1">
      <c r="A45" s="58"/>
      <c r="B45" s="631"/>
      <c r="C45" s="631"/>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45" t="s">
        <v>50</v>
      </c>
      <c r="C46" s="1045"/>
      <c r="D46" s="493">
        <v>335.82295976372935836071106223</v>
      </c>
      <c r="E46" s="494">
        <v>339.70229241558918997900052354</v>
      </c>
      <c r="F46" s="495">
        <v>194.44850252338380195087370001</v>
      </c>
      <c r="G46" s="493">
        <v>38.533749423393311605505213968</v>
      </c>
      <c r="H46" s="494">
        <v>15.653146705278411955365789981</v>
      </c>
      <c r="I46" s="495">
        <v>31.474147840091671784279230427</v>
      </c>
      <c r="J46" s="493">
        <v>0</v>
      </c>
      <c r="K46" s="494">
        <v>0</v>
      </c>
      <c r="L46" s="495">
        <v>11.316217508606254371590376774</v>
      </c>
      <c r="M46" s="493">
        <v>374.35670918712266996621627586</v>
      </c>
      <c r="N46" s="494">
        <v>355.35543912086760193436631319</v>
      </c>
      <c r="O46" s="495">
        <v>237.23886787208172810674330699</v>
      </c>
      <c r="P46" s="93"/>
      <c r="Q46" s="479">
        <v>-16.309878477103460028150784740</v>
      </c>
      <c r="R46" s="480">
        <v>-8.024451686039030604317617640</v>
      </c>
      <c r="S46" s="481">
        <v>-12.049204563728571054329541030</v>
      </c>
      <c r="T46" s="479">
        <v>1.7904438355211102056255734100</v>
      </c>
      <c r="U46" s="480">
        <v>63.962527361879223236289221310</v>
      </c>
      <c r="V46" s="481">
        <v>14.041740333262375491431957640</v>
      </c>
      <c r="W46" s="479">
        <v>0</v>
      </c>
      <c r="X46" s="480">
        <v>0</v>
      </c>
      <c r="Y46" s="481">
        <v>38.944073452838608252223076190</v>
      </c>
      <c r="Z46" s="479">
        <v>-14.749492929195859491679041950</v>
      </c>
      <c r="AA46" s="480">
        <v>-6.2105999253403422022799437500</v>
      </c>
      <c r="AB46" s="481">
        <v>-7.6284371403540406234022558500</v>
      </c>
    </row>
    <row r="47" ht="18" customHeight="1">
      <c r="A47" s="58"/>
      <c r="B47" s="1046" t="s">
        <v>51</v>
      </c>
      <c r="C47" s="1046"/>
      <c r="D47" s="276">
        <v>355.45044232009347419958022493</v>
      </c>
      <c r="E47" s="94">
        <v>339.79677307854654970504741419</v>
      </c>
      <c r="F47" s="277">
        <v>193.9245344587008018093319982</v>
      </c>
      <c r="G47" s="276">
        <v>11.678328448749252810776859713</v>
      </c>
      <c r="H47" s="94">
        <v>9.407306008153219183769083809</v>
      </c>
      <c r="I47" s="277">
        <v>22.562018735438331982387149742</v>
      </c>
      <c r="J47" s="276">
        <v>0</v>
      </c>
      <c r="K47" s="94">
        <v>0</v>
      </c>
      <c r="L47" s="277">
        <v>10.890821244045053393603069602</v>
      </c>
      <c r="M47" s="276">
        <v>367.1287707688427270103570843</v>
      </c>
      <c r="N47" s="94">
        <v>349.20407908669976888881649767</v>
      </c>
      <c r="O47" s="277">
        <v>227.37737443818418718532221731</v>
      </c>
      <c r="P47" s="5"/>
      <c r="Q47" s="271">
        <v>3.4651724175298190414183677600</v>
      </c>
      <c r="R47" s="92">
        <v>21.922752045898867419328366830</v>
      </c>
      <c r="S47" s="272">
        <v>-0.1417062078314384040830006700</v>
      </c>
      <c r="T47" s="271">
        <v>-48.123992067106321647774173060</v>
      </c>
      <c r="U47" s="92">
        <v>-12.692505477206396210711057140</v>
      </c>
      <c r="V47" s="272">
        <v>8.035355846949449292287962130</v>
      </c>
      <c r="W47" s="271">
        <v>0</v>
      </c>
      <c r="X47" s="92">
        <v>0</v>
      </c>
      <c r="Y47" s="272">
        <v>27.797845024936543226155702190</v>
      </c>
      <c r="Z47" s="271">
        <v>0.2925181581374205017773833800</v>
      </c>
      <c r="AA47" s="92">
        <v>20.634286632581707936780571710</v>
      </c>
      <c r="AB47" s="272">
        <v>1.6868151569512692750643804300</v>
      </c>
    </row>
    <row r="48" ht="18" customHeight="1">
      <c r="A48" s="58"/>
      <c r="B48" s="1047" t="s">
        <v>76</v>
      </c>
      <c r="C48" s="1047"/>
      <c r="D48" s="443">
        <v>345.63670104191141628014564356</v>
      </c>
      <c r="E48" s="444">
        <v>339.74953274706786984202396887</v>
      </c>
      <c r="F48" s="445">
        <v>194.18651849104230188010284909</v>
      </c>
      <c r="G48" s="443">
        <v>25.106038936071282208141036839</v>
      </c>
      <c r="H48" s="444">
        <v>12.530226356715815569567436895</v>
      </c>
      <c r="I48" s="445">
        <v>27.018083287765001883333190084</v>
      </c>
      <c r="J48" s="443">
        <v>0</v>
      </c>
      <c r="K48" s="444">
        <v>0</v>
      </c>
      <c r="L48" s="445">
        <v>11.103519376325653882596723189</v>
      </c>
      <c r="M48" s="443">
        <v>370.74273997798269848828668008</v>
      </c>
      <c r="N48" s="444">
        <v>352.27975910378368541159140543</v>
      </c>
      <c r="O48" s="445">
        <v>232.30812115513295764603276214</v>
      </c>
      <c r="P48" s="93"/>
      <c r="Q48" s="273">
        <v>-7.981031236048839988700672500</v>
      </c>
      <c r="R48" s="274">
        <v>3.2501592269481277926007287600</v>
      </c>
      <c r="S48" s="275">
        <v>-7.1489033696527167153478872900</v>
      </c>
      <c r="T48" s="273">
        <v>-19.107821738816887491949639560</v>
      </c>
      <c r="U48" s="274">
        <v>24.152385631182004321458467590</v>
      </c>
      <c r="V48" s="275">
        <v>9.765320344193870291578128560</v>
      </c>
      <c r="W48" s="273">
        <v>0</v>
      </c>
      <c r="X48" s="274">
        <v>0</v>
      </c>
      <c r="Y48" s="275">
        <v>33.580895422224613819113674230</v>
      </c>
      <c r="Z48" s="273">
        <v>-8.830250205357307247423519630</v>
      </c>
      <c r="AA48" s="274">
        <v>3.8721844120201078348534133100</v>
      </c>
      <c r="AB48" s="275">
        <v>-4.0303581279890746658072669700</v>
      </c>
    </row>
    <row r="49" ht="6" customHeight="1">
      <c r="A49" s="58"/>
      <c r="B49" s="631"/>
      <c r="C49" s="631"/>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82" t="s">
        <v>12</v>
      </c>
      <c r="C50" s="982"/>
      <c r="D50" s="482">
        <v>254.86779081133919843597262952</v>
      </c>
      <c r="E50" s="483">
        <v>259.57283266129032258064516129</v>
      </c>
      <c r="F50" s="484">
        <v>153.16088364434369263988559124</v>
      </c>
      <c r="G50" s="482">
        <v>21.186461388074291300097751711</v>
      </c>
      <c r="H50" s="483">
        <v>6.9663978494623655913978494624</v>
      </c>
      <c r="I50" s="484">
        <v>24.495858707018069602499247198</v>
      </c>
      <c r="J50" s="482">
        <v>0</v>
      </c>
      <c r="K50" s="483">
        <v>0</v>
      </c>
      <c r="L50" s="484">
        <v>10.980235533279229353550470435</v>
      </c>
      <c r="M50" s="482">
        <v>276.05425219941348973607038123</v>
      </c>
      <c r="N50" s="483">
        <v>266.53923051075268817204301075</v>
      </c>
      <c r="O50" s="484">
        <v>188.63697788464099159593530887</v>
      </c>
      <c r="P50" s="93"/>
      <c r="Q50" s="468">
        <v>-13.514367432445502469819601610</v>
      </c>
      <c r="R50" s="469">
        <v>-0.5584125928206952593174407100</v>
      </c>
      <c r="S50" s="470">
        <v>-9.892874203638073771696677160</v>
      </c>
      <c r="T50" s="468">
        <v>1.8694773455825666160817301300</v>
      </c>
      <c r="U50" s="469">
        <v>-19.971418120183114732194605850</v>
      </c>
      <c r="V50" s="470">
        <v>22.709213847977726525716780250</v>
      </c>
      <c r="W50" s="468">
        <v>0</v>
      </c>
      <c r="X50" s="469">
        <v>0</v>
      </c>
      <c r="Y50" s="470">
        <v>28.915423872794172209782174690</v>
      </c>
      <c r="Z50" s="468">
        <v>-12.500242062100870585097259470</v>
      </c>
      <c r="AA50" s="469">
        <v>-1.1849082558581411484459643500</v>
      </c>
      <c r="AB50" s="470">
        <v>-4.9478796177526001191752861600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48" t="s">
        <v>126</v>
      </c>
      <c r="C52" s="1048"/>
      <c r="D52" s="1048"/>
      <c r="E52" s="1048"/>
      <c r="F52" s="1048"/>
      <c r="G52" s="1048"/>
      <c r="H52" s="1048"/>
      <c r="I52" s="1048"/>
      <c r="J52" s="1048"/>
      <c r="K52" s="1048"/>
      <c r="L52" s="1048"/>
      <c r="M52" s="1048"/>
      <c r="N52" s="1048"/>
      <c r="O52" s="1048"/>
      <c r="P52" s="1048"/>
      <c r="Q52" s="1048"/>
      <c r="R52" s="1048"/>
      <c r="S52" s="1048"/>
      <c r="T52" s="1048"/>
      <c r="U52" s="1048"/>
      <c r="V52" s="1048"/>
      <c r="W52" s="1048"/>
      <c r="X52" s="1048"/>
      <c r="Y52" s="1048"/>
      <c r="Z52" s="1048"/>
      <c r="AA52" s="1048"/>
      <c r="AB52" s="1048"/>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5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8"/>
      <c r="B1" s="656" t="s">
        <v>153</v>
      </c>
      <c r="Y1" s="5"/>
      <c r="AB1" s="685"/>
      <c r="AD1" s="236"/>
    </row>
    <row r="2" ht="15" customHeight="1">
      <c r="A2" s="11"/>
      <c r="B2" s="11" t="s">
        <v>208</v>
      </c>
    </row>
    <row r="3" ht="17.1" customHeight="1">
      <c r="A3" s="11"/>
      <c r="B3" s="11" t="s">
        <v>209</v>
      </c>
      <c r="R3" s="1040" t="s">
        <v>301</v>
      </c>
      <c r="S3" s="1040"/>
      <c r="T3" s="1040"/>
      <c r="U3" s="1040"/>
      <c r="V3" s="1040"/>
      <c r="W3" s="1040"/>
      <c r="X3" s="1040"/>
      <c r="Y3" s="1040"/>
      <c r="Z3" s="1040"/>
      <c r="AA3" s="1040"/>
      <c r="AB3" s="1040"/>
    </row>
    <row r="4" ht="19.5" customHeight="1">
      <c r="A4" s="4"/>
      <c r="B4" s="211" t="s">
        <v>210</v>
      </c>
      <c r="C4" s="5"/>
      <c r="D4" s="5"/>
      <c r="E4" s="5"/>
      <c r="F4" s="5"/>
      <c r="G4" s="5"/>
      <c r="H4" s="212"/>
      <c r="I4" s="212"/>
      <c r="J4" s="212"/>
      <c r="K4" s="212"/>
      <c r="L4" s="212"/>
      <c r="M4" s="212"/>
      <c r="N4" s="212"/>
      <c r="O4" s="212"/>
      <c r="P4" s="212"/>
      <c r="Q4" s="212"/>
      <c r="R4" s="212"/>
      <c r="S4" s="212"/>
      <c r="T4" s="212"/>
      <c r="U4" s="4"/>
      <c r="V4" s="4"/>
    </row>
    <row r="5" ht="12.75" customHeight="1"/>
    <row r="6" ht="15.75">
      <c r="D6" s="978" t="s">
        <v>58</v>
      </c>
      <c r="E6" s="978"/>
      <c r="F6" s="978"/>
      <c r="G6" s="978"/>
      <c r="H6" s="978"/>
      <c r="I6" s="978"/>
      <c r="J6" s="978"/>
      <c r="K6" s="978"/>
      <c r="L6" s="978"/>
      <c r="M6" s="978"/>
      <c r="N6" s="978"/>
      <c r="O6" s="978"/>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1041"/>
      <c r="C8" s="1041"/>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73" t="s">
        <v>22</v>
      </c>
      <c r="C10" s="973"/>
      <c r="D10" s="973"/>
      <c r="E10" s="973"/>
      <c r="F10" s="973"/>
      <c r="G10" s="973"/>
      <c r="H10" s="973"/>
      <c r="I10" s="973"/>
      <c r="J10" s="973"/>
      <c r="K10" s="973"/>
      <c r="L10" s="973"/>
      <c r="M10" s="973"/>
      <c r="N10" s="973"/>
      <c r="O10" s="973"/>
      <c r="P10" s="411"/>
      <c r="Q10" s="971"/>
      <c r="R10" s="971"/>
      <c r="S10" s="971"/>
      <c r="T10" s="971"/>
      <c r="U10" s="971"/>
      <c r="V10" s="971"/>
      <c r="W10" s="971"/>
      <c r="X10" s="971"/>
      <c r="Y10" s="971"/>
      <c r="Z10" s="971"/>
      <c r="AA10" s="971"/>
      <c r="AB10" s="971"/>
      <c r="AC10" s="9"/>
    </row>
    <row r="11" ht="18" customHeight="1">
      <c r="A11" s="58"/>
      <c r="B11" s="1042" t="s">
        <v>43</v>
      </c>
      <c r="C11" s="1042"/>
      <c r="D11" s="427">
        <v>77.112470862470862470862470920</v>
      </c>
      <c r="E11" s="428">
        <v>67.024771215149695717190446490</v>
      </c>
      <c r="F11" s="429">
        <v>53.478335414461108079231901030</v>
      </c>
      <c r="G11" s="427">
        <v>7.648601398601398601398601400</v>
      </c>
      <c r="H11" s="428">
        <v>2.433020293256388391850326300</v>
      </c>
      <c r="I11" s="429">
        <v>9.562488171690854094505726740</v>
      </c>
      <c r="J11" s="427">
        <v>0</v>
      </c>
      <c r="K11" s="428">
        <v>0.0179558693229253755856112600</v>
      </c>
      <c r="L11" s="429">
        <v>7.8726400577874565567718783400</v>
      </c>
      <c r="M11" s="427">
        <v>84.76107226107226107226107226</v>
      </c>
      <c r="N11" s="428">
        <v>69.48110243289343747194541700</v>
      </c>
      <c r="O11" s="429">
        <v>70.913779678600534379391207030</v>
      </c>
      <c r="P11" s="5"/>
      <c r="Q11" s="427">
        <v>-8.552176917750772873743496910</v>
      </c>
      <c r="R11" s="428">
        <v>3.3289776923434697387702578300</v>
      </c>
      <c r="S11" s="429">
        <v>-3.5281728432673403804834783200</v>
      </c>
      <c r="T11" s="427">
        <v>294.73684211457063711933303404</v>
      </c>
      <c r="U11" s="428">
        <v>149.87500561623676805586152336</v>
      </c>
      <c r="V11" s="429">
        <v>87.32789328675238572163058338</v>
      </c>
      <c r="W11" s="427">
        <v>0</v>
      </c>
      <c r="X11" s="428">
        <v>0</v>
      </c>
      <c r="Y11" s="429">
        <v>53.464547889539568065736320670</v>
      </c>
      <c r="Z11" s="427">
        <v>-1.7395710184602986327807793600</v>
      </c>
      <c r="AA11" s="428">
        <v>5.5370334049644829292377511800</v>
      </c>
      <c r="AB11" s="429">
        <v>7.985504644529147429504878990</v>
      </c>
    </row>
    <row r="12" ht="18" customHeight="1">
      <c r="A12" s="58"/>
      <c r="B12" s="1043" t="s">
        <v>46</v>
      </c>
      <c r="C12" s="1043"/>
      <c r="D12" s="420">
        <v>72.333916083916083916083916140</v>
      </c>
      <c r="E12" s="91">
        <v>59.342258916285469894752501050</v>
      </c>
      <c r="F12" s="421">
        <v>48.116404671527436687335944670</v>
      </c>
      <c r="G12" s="420">
        <v>9.775641025641025641025641030</v>
      </c>
      <c r="H12" s="91">
        <v>2.7112499535125887909554092800</v>
      </c>
      <c r="I12" s="421">
        <v>11.816905369323127193274513470</v>
      </c>
      <c r="J12" s="420">
        <v>0</v>
      </c>
      <c r="K12" s="91">
        <v>0</v>
      </c>
      <c r="L12" s="421">
        <v>7.3498404599476493926932844600</v>
      </c>
      <c r="M12" s="420">
        <v>82.10955710955710955710955711</v>
      </c>
      <c r="N12" s="91">
        <v>62.062929215853494322007271420</v>
      </c>
      <c r="O12" s="421">
        <v>67.282996338343423887258206950</v>
      </c>
      <c r="P12" s="5"/>
      <c r="Q12" s="420">
        <v>-4.4824932665927976264585492700</v>
      </c>
      <c r="R12" s="91">
        <v>3.5244333700042321831033235800</v>
      </c>
      <c r="S12" s="421">
        <v>-0.6318492934741238377576914500</v>
      </c>
      <c r="T12" s="420">
        <v>255.02645502600419921054898953</v>
      </c>
      <c r="U12" s="91">
        <v>343.26677367075083416397878683</v>
      </c>
      <c r="V12" s="421">
        <v>137.53891583356613804153668507</v>
      </c>
      <c r="W12" s="420">
        <v>0</v>
      </c>
      <c r="X12" s="91">
        <v>0</v>
      </c>
      <c r="Y12" s="421">
        <v>48.683094849691988652772832330</v>
      </c>
      <c r="Z12" s="420">
        <v>4.6222387228976089506432871500</v>
      </c>
      <c r="AA12" s="91">
        <v>7.1236624628604550441129927400</v>
      </c>
      <c r="AB12" s="421">
        <v>15.327411090368640393006112240</v>
      </c>
    </row>
    <row r="13" ht="18" customHeight="1">
      <c r="A13" s="58"/>
      <c r="B13" s="1043" t="s">
        <v>47</v>
      </c>
      <c r="C13" s="1043"/>
      <c r="D13" s="420">
        <v>69.915501165501165501165501220</v>
      </c>
      <c r="E13" s="91">
        <v>57.211983737277757863466215550</v>
      </c>
      <c r="F13" s="421">
        <v>49.150037263585245343605918320</v>
      </c>
      <c r="G13" s="420">
        <v>12.703962703962703962703962710</v>
      </c>
      <c r="H13" s="91">
        <v>2.6572645828078167782184214300</v>
      </c>
      <c r="I13" s="421">
        <v>13.598028664120324884197356790</v>
      </c>
      <c r="J13" s="420">
        <v>0</v>
      </c>
      <c r="K13" s="91">
        <v>0</v>
      </c>
      <c r="L13" s="421">
        <v>7.401835071573217695433114900</v>
      </c>
      <c r="M13" s="420">
        <v>82.61946386946386946386946387</v>
      </c>
      <c r="N13" s="91">
        <v>59.865350089766606822262118490</v>
      </c>
      <c r="O13" s="421">
        <v>70.150507366461601325736078640</v>
      </c>
      <c r="P13" s="184"/>
      <c r="Q13" s="420">
        <v>-2.8345818991317853311513907200</v>
      </c>
      <c r="R13" s="91">
        <v>5.8745540557354940331491090100</v>
      </c>
      <c r="S13" s="421">
        <v>4.4491433947766948984882266900</v>
      </c>
      <c r="T13" s="420">
        <v>272.64957264857891737892002905</v>
      </c>
      <c r="U13" s="91">
        <v>187.98288428351816470697985131</v>
      </c>
      <c r="V13" s="421">
        <v>154.24077456051674649335302657</v>
      </c>
      <c r="W13" s="420">
        <v>0</v>
      </c>
      <c r="X13" s="91">
        <v>0</v>
      </c>
      <c r="Y13" s="421">
        <v>48.446226294435714287075768270</v>
      </c>
      <c r="Z13" s="420">
        <v>9.626908950346767930512827170</v>
      </c>
      <c r="AA13" s="91">
        <v>8.920290550126042076237155970</v>
      </c>
      <c r="AB13" s="421">
        <v>22.230309206349232450963381050</v>
      </c>
    </row>
    <row r="14" ht="18" customHeight="1">
      <c r="A14" s="58"/>
      <c r="B14" s="1043" t="s">
        <v>48</v>
      </c>
      <c r="C14" s="1043"/>
      <c r="D14" s="420">
        <v>71.678321678321678321678321730</v>
      </c>
      <c r="E14" s="91">
        <v>58.006469938556446325872736830</v>
      </c>
      <c r="F14" s="421">
        <v>51.211494786082922971921410350</v>
      </c>
      <c r="G14" s="420">
        <v>12.266899766899766899766899780</v>
      </c>
      <c r="H14" s="91">
        <v>3.0432861269319252966758272500</v>
      </c>
      <c r="I14" s="421">
        <v>14.656275157468158531858834970</v>
      </c>
      <c r="J14" s="420">
        <v>0</v>
      </c>
      <c r="K14" s="91">
        <v>0</v>
      </c>
      <c r="L14" s="421">
        <v>7.7575219701091860896986194500</v>
      </c>
      <c r="M14" s="420">
        <v>83.94522144522144522144522145</v>
      </c>
      <c r="N14" s="91">
        <v>61.059245960502692998204667860</v>
      </c>
      <c r="O14" s="421">
        <v>73.625463097486561092546854570</v>
      </c>
      <c r="P14" s="5"/>
      <c r="Q14" s="420">
        <v>-3.5294117647067903114186850400</v>
      </c>
      <c r="R14" s="91">
        <v>4.3137985254447273041270200800</v>
      </c>
      <c r="S14" s="421">
        <v>3.5729896284932512653807907800</v>
      </c>
      <c r="T14" s="420">
        <v>206.18181818260200727272927965</v>
      </c>
      <c r="U14" s="91">
        <v>122.75037562465591480533840695</v>
      </c>
      <c r="V14" s="421">
        <v>137.06031257395472101611646052</v>
      </c>
      <c r="W14" s="420">
        <v>0</v>
      </c>
      <c r="X14" s="91">
        <v>0</v>
      </c>
      <c r="Y14" s="421">
        <v>48.212209981352385741143273580</v>
      </c>
      <c r="Z14" s="420">
        <v>7.2000000000130833860465132300</v>
      </c>
      <c r="AA14" s="91">
        <v>7.166433569501533394967028900</v>
      </c>
      <c r="AB14" s="421">
        <v>20.971854532800875408413927110</v>
      </c>
    </row>
    <row r="15" ht="18" customHeight="1">
      <c r="A15" s="58"/>
      <c r="B15" s="1043" t="s">
        <v>49</v>
      </c>
      <c r="C15" s="1043"/>
      <c r="D15" s="420">
        <v>75.320512820512820512820512880</v>
      </c>
      <c r="E15" s="91">
        <v>66.312537628743810142535608270</v>
      </c>
      <c r="F15" s="421">
        <v>54.581893609464636925996989600</v>
      </c>
      <c r="G15" s="420">
        <v>11.655011655011655011655011660</v>
      </c>
      <c r="H15" s="91">
        <v>2.8862764296542523469606983100</v>
      </c>
      <c r="I15" s="421">
        <v>13.793709871036016193371964230</v>
      </c>
      <c r="J15" s="420">
        <v>0</v>
      </c>
      <c r="K15" s="91">
        <v>0</v>
      </c>
      <c r="L15" s="421">
        <v>7.7768528999876872891815208400</v>
      </c>
      <c r="M15" s="420">
        <v>86.97552447552447552447552448</v>
      </c>
      <c r="N15" s="91">
        <v>69.208671843440010772476322990</v>
      </c>
      <c r="O15" s="421">
        <v>76.153095275930171846269097180</v>
      </c>
      <c r="P15" s="184"/>
      <c r="Q15" s="420">
        <v>-8.479376880918305769814146590</v>
      </c>
      <c r="R15" s="91">
        <v>4.2965633519932130292695281800</v>
      </c>
      <c r="S15" s="421">
        <v>-0.8492868085720466449015415900</v>
      </c>
      <c r="T15" s="420">
        <v>376.19047618122448979609811488</v>
      </c>
      <c r="U15" s="91">
        <v>105.88072161638647778061079571</v>
      </c>
      <c r="V15" s="421">
        <v>90.50368953733927672718654350</v>
      </c>
      <c r="W15" s="420">
        <v>0</v>
      </c>
      <c r="X15" s="91">
        <v>0</v>
      </c>
      <c r="Y15" s="421">
        <v>48.953917640218374218624750760</v>
      </c>
      <c r="Z15" s="420">
        <v>2.6302217638000053727390943800</v>
      </c>
      <c r="AA15" s="91">
        <v>6.5087091513608311274500391900</v>
      </c>
      <c r="AB15" s="421">
        <v>12.796159623361654420818299900</v>
      </c>
    </row>
    <row r="16" ht="18" customHeight="1">
      <c r="A16" s="58"/>
      <c r="B16" s="1044" t="s">
        <v>75</v>
      </c>
      <c r="C16" s="1044"/>
      <c r="D16" s="430">
        <v>73.272144522144522144522144530</v>
      </c>
      <c r="E16" s="431">
        <v>61.579510568606361382205926900</v>
      </c>
      <c r="F16" s="432">
        <v>51.307632793101418929958828820</v>
      </c>
      <c r="G16" s="430">
        <v>10.810023310023310023310023310</v>
      </c>
      <c r="H16" s="431">
        <v>2.7462237083866700606208786700</v>
      </c>
      <c r="I16" s="432">
        <v>12.685482183792793330003855050</v>
      </c>
      <c r="J16" s="430">
        <v>0</v>
      </c>
      <c r="K16" s="431">
        <v>0.0035910084450953515013022300</v>
      </c>
      <c r="L16" s="432">
        <v>7.631738195323170590515837200</v>
      </c>
      <c r="M16" s="430">
        <v>84.08216783216783216783216783</v>
      </c>
      <c r="N16" s="431">
        <v>64.335344177528816115479909510</v>
      </c>
      <c r="O16" s="432">
        <v>71.625167873296182522653247090</v>
      </c>
      <c r="P16" s="5"/>
      <c r="Q16" s="430">
        <v>-5.724675714123747730639694100</v>
      </c>
      <c r="R16" s="431">
        <v>4.2261110457740872812039200600</v>
      </c>
      <c r="S16" s="432">
        <v>0.4438330530543571063610947800</v>
      </c>
      <c r="T16" s="430">
        <v>271.37137137636759883012850904</v>
      </c>
      <c r="U16" s="431">
        <v>160.24914009825256898613396914</v>
      </c>
      <c r="V16" s="432">
        <v>119.83259568402038337132578687</v>
      </c>
      <c r="W16" s="430">
        <v>0</v>
      </c>
      <c r="X16" s="431">
        <v>0</v>
      </c>
      <c r="Y16" s="432">
        <v>49.556701192655272593145353800</v>
      </c>
      <c r="Z16" s="629">
        <v>4.2785386477592262144634846400</v>
      </c>
      <c r="AA16" s="214">
        <v>6.9798135160589111341313627500</v>
      </c>
      <c r="AB16" s="630">
        <v>15.607553603384734112843370720</v>
      </c>
    </row>
    <row r="17" ht="6" customHeight="1">
      <c r="A17" s="58"/>
      <c r="B17" s="631"/>
      <c r="C17" s="631"/>
      <c r="D17" s="91"/>
      <c r="E17" s="91"/>
      <c r="F17" s="91"/>
      <c r="G17" s="91"/>
      <c r="H17" s="91"/>
      <c r="I17" s="91"/>
      <c r="J17" s="91"/>
      <c r="K17" s="91"/>
      <c r="L17" s="91"/>
      <c r="M17" s="91"/>
      <c r="N17" s="91"/>
      <c r="O17" s="91"/>
      <c r="P17" s="5"/>
      <c r="Q17" s="91"/>
      <c r="R17" s="91"/>
      <c r="S17" s="91"/>
      <c r="T17" s="91"/>
      <c r="U17" s="91"/>
      <c r="V17" s="91"/>
      <c r="W17" s="91"/>
      <c r="X17" s="91"/>
      <c r="Y17" s="91"/>
      <c r="Z17" s="632"/>
      <c r="AA17" s="632"/>
      <c r="AB17" s="632"/>
      <c r="AC17" s="4"/>
    </row>
    <row r="18" ht="18" customHeight="1">
      <c r="A18" s="58"/>
      <c r="B18" s="1045" t="s">
        <v>50</v>
      </c>
      <c r="C18" s="1045"/>
      <c r="D18" s="479">
        <v>79.210372960372960372960373020</v>
      </c>
      <c r="E18" s="480">
        <v>73.759400143201671174585061600</v>
      </c>
      <c r="F18" s="481">
        <v>60.499922197258796048018261150</v>
      </c>
      <c r="G18" s="479">
        <v>6.7307692307692307692307692400</v>
      </c>
      <c r="H18" s="480">
        <v>2.244382915749807423764151100</v>
      </c>
      <c r="I18" s="481">
        <v>13.754192285504158169499750200</v>
      </c>
      <c r="J18" s="479">
        <v>0</v>
      </c>
      <c r="K18" s="480">
        <v>0</v>
      </c>
      <c r="L18" s="481">
        <v>7.936429326998479489080208730</v>
      </c>
      <c r="M18" s="479">
        <v>85.94114219114219114219114219</v>
      </c>
      <c r="N18" s="480">
        <v>76.008797522330445711207863910</v>
      </c>
      <c r="O18" s="481">
        <v>82.19272617482877839599919185</v>
      </c>
      <c r="P18" s="184"/>
      <c r="Q18" s="479">
        <v>-7.3008080912516833826439746400</v>
      </c>
      <c r="R18" s="480">
        <v>3.9402990770561693601437136700</v>
      </c>
      <c r="S18" s="481">
        <v>-5.6240494371691164264465795100</v>
      </c>
      <c r="T18" s="479">
        <v>110.21634615541902257899528520</v>
      </c>
      <c r="U18" s="480">
        <v>69.785450228593408546926057920</v>
      </c>
      <c r="V18" s="481">
        <v>63.707464017776475398271360940</v>
      </c>
      <c r="W18" s="479">
        <v>0</v>
      </c>
      <c r="X18" s="480">
        <v>0</v>
      </c>
      <c r="Y18" s="481">
        <v>52.025670146508457681670277900</v>
      </c>
      <c r="Z18" s="479">
        <v>-3.0563961997566900895846299300</v>
      </c>
      <c r="AA18" s="480">
        <v>5.1493494843995302615741140600</v>
      </c>
      <c r="AB18" s="481">
        <v>5.7445709007815532574845339200</v>
      </c>
    </row>
    <row r="19" ht="18" customHeight="1">
      <c r="A19" s="58"/>
      <c r="B19" s="1046" t="s">
        <v>51</v>
      </c>
      <c r="C19" s="1046"/>
      <c r="D19" s="271">
        <v>82.86163522012578616352201264</v>
      </c>
      <c r="E19" s="92">
        <v>76.729163929274182716619863600</v>
      </c>
      <c r="F19" s="272">
        <v>62.610536888246698079891213640</v>
      </c>
      <c r="G19" s="271">
        <v>5.8461978273299028016009148100</v>
      </c>
      <c r="H19" s="92">
        <v>2.2681391013417635230776736200</v>
      </c>
      <c r="I19" s="272">
        <v>11.631616710700886044568050370</v>
      </c>
      <c r="J19" s="271">
        <v>0</v>
      </c>
      <c r="K19" s="92">
        <v>0</v>
      </c>
      <c r="L19" s="272">
        <v>7.9075036663341667564293769700</v>
      </c>
      <c r="M19" s="271">
        <v>88.70783304745568896512292739</v>
      </c>
      <c r="N19" s="92">
        <v>79.019685559519091029198044660</v>
      </c>
      <c r="O19" s="272">
        <v>82.15179836245222334084692759</v>
      </c>
      <c r="P19" s="5"/>
      <c r="Q19" s="271">
        <v>-6.6225145048051640286284261300</v>
      </c>
      <c r="R19" s="92">
        <v>2.3612132506454527954731089400</v>
      </c>
      <c r="S19" s="272">
        <v>-6.6467192920229626036652515600</v>
      </c>
      <c r="T19" s="271">
        <v>90.18152553039890524420916851</v>
      </c>
      <c r="U19" s="92">
        <v>77.258233518732927543821204230</v>
      </c>
      <c r="V19" s="272">
        <v>52.320345974327858658871099110</v>
      </c>
      <c r="W19" s="271">
        <v>0</v>
      </c>
      <c r="X19" s="92">
        <v>-100</v>
      </c>
      <c r="Y19" s="272">
        <v>51.504824022546770968150197150</v>
      </c>
      <c r="Z19" s="271">
        <v>-3.381376382508274666306042600</v>
      </c>
      <c r="AA19" s="92">
        <v>3.5490428604175922936597556900</v>
      </c>
      <c r="AB19" s="272">
        <v>2.7877308476648071332599885900</v>
      </c>
    </row>
    <row r="20" ht="18" customHeight="1">
      <c r="A20" s="58"/>
      <c r="B20" s="1047" t="s">
        <v>76</v>
      </c>
      <c r="C20" s="1047"/>
      <c r="D20" s="273">
        <v>81.05339105339105339105339108</v>
      </c>
      <c r="E20" s="274">
        <v>75.258410037642670273215923800</v>
      </c>
      <c r="F20" s="275">
        <v>61.565258462749452234592782010</v>
      </c>
      <c r="G20" s="273">
        <v>6.2842712842712842712842712900</v>
      </c>
      <c r="H20" s="274">
        <v>2.2563740234007003700394093100</v>
      </c>
      <c r="I20" s="275">
        <v>12.682818744071927934180614550</v>
      </c>
      <c r="J20" s="273">
        <v>0</v>
      </c>
      <c r="K20" s="274">
        <v>0</v>
      </c>
      <c r="L20" s="275">
        <v>7.9218290518082479370466412200</v>
      </c>
      <c r="M20" s="273">
        <v>87.33766233766233766233766234</v>
      </c>
      <c r="N20" s="274">
        <v>77.528564442270928733383719380</v>
      </c>
      <c r="O20" s="275">
        <v>82.17206779279912307822029849</v>
      </c>
      <c r="P20" s="184"/>
      <c r="Q20" s="273">
        <v>-6.9185516612573676997334863800</v>
      </c>
      <c r="R20" s="274">
        <v>3.1792021196914739913251566900</v>
      </c>
      <c r="S20" s="275">
        <v>-6.1114959663696993366488524800</v>
      </c>
      <c r="T20" s="273">
        <v>100.22988505926642885455434288</v>
      </c>
      <c r="U20" s="274">
        <v>73.439075367957772571779144580</v>
      </c>
      <c r="V20" s="275">
        <v>58.088180519443984717066673190</v>
      </c>
      <c r="W20" s="273">
        <v>0</v>
      </c>
      <c r="X20" s="274">
        <v>-100</v>
      </c>
      <c r="Y20" s="275">
        <v>51.762484392270953461124638550</v>
      </c>
      <c r="Z20" s="273">
        <v>-3.1909788868096594886181232700</v>
      </c>
      <c r="AA20" s="274">
        <v>4.3775204875624212771598260700</v>
      </c>
      <c r="AB20" s="275">
        <v>4.2591064899213673009372517400</v>
      </c>
    </row>
    <row r="21" ht="6" customHeight="1">
      <c r="A21" s="58"/>
      <c r="B21" s="631"/>
      <c r="C21" s="631"/>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82" t="s">
        <v>12</v>
      </c>
      <c r="C22" s="982"/>
      <c r="D22" s="468">
        <v>75.514736405147364051473640510</v>
      </c>
      <c r="E22" s="469">
        <v>65.400407269371441140959424210</v>
      </c>
      <c r="F22" s="470">
        <v>54.301719065286990429342385350</v>
      </c>
      <c r="G22" s="468">
        <v>9.514321295143212951432129510</v>
      </c>
      <c r="H22" s="469">
        <v>2.7395604806528154822424570700</v>
      </c>
      <c r="I22" s="470">
        <v>12.620436326581320554667718350</v>
      </c>
      <c r="J22" s="468">
        <v>0</v>
      </c>
      <c r="K22" s="469">
        <v>0.0025579863531428059831300800</v>
      </c>
      <c r="L22" s="470">
        <v>7.7362906069596487733542805100</v>
      </c>
      <c r="M22" s="468">
        <v>85.02905770029057700290577003</v>
      </c>
      <c r="N22" s="469">
        <v>68.142525736377399429185011360</v>
      </c>
      <c r="O22" s="470">
        <v>74.658445998827959757364384210</v>
      </c>
      <c r="P22" s="184"/>
      <c r="Q22" s="468">
        <v>-6.0550506093560076498549292800</v>
      </c>
      <c r="R22" s="469">
        <v>3.7779231628723636168233771600</v>
      </c>
      <c r="S22" s="470">
        <v>-1.4699850584465622084430409900</v>
      </c>
      <c r="T22" s="468">
        <v>218.33333333204673611111631096</v>
      </c>
      <c r="U22" s="469">
        <v>130.93688283854686346844496073</v>
      </c>
      <c r="V22" s="470">
        <v>99.11452630294373294747349648</v>
      </c>
      <c r="W22" s="468">
        <v>0</v>
      </c>
      <c r="X22" s="469">
        <v>-76.509840765781752233348629870</v>
      </c>
      <c r="Y22" s="470">
        <v>44.555934716928877603864139780</v>
      </c>
      <c r="Z22" s="468">
        <v>1.989145588536662112782954400</v>
      </c>
      <c r="AA22" s="469">
        <v>6.1133258352292565291292786200</v>
      </c>
      <c r="AB22" s="470">
        <v>11.760965444063486313410496890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37" t="s">
        <v>9</v>
      </c>
      <c r="C24" s="1037"/>
      <c r="D24" s="1037"/>
      <c r="E24" s="1037"/>
      <c r="F24" s="1037"/>
      <c r="G24" s="1037"/>
      <c r="H24" s="1037"/>
      <c r="I24" s="1037"/>
      <c r="J24" s="1037"/>
      <c r="K24" s="1037"/>
      <c r="L24" s="1037"/>
      <c r="M24" s="1037"/>
      <c r="N24" s="1037"/>
      <c r="O24" s="1037"/>
      <c r="P24" s="411"/>
      <c r="Q24" s="1038"/>
      <c r="R24" s="1038"/>
      <c r="S24" s="1038"/>
      <c r="T24" s="1038"/>
      <c r="U24" s="1038"/>
      <c r="V24" s="1038"/>
      <c r="W24" s="1038"/>
      <c r="X24" s="1038"/>
      <c r="Y24" s="1038"/>
      <c r="Z24" s="1038"/>
      <c r="AA24" s="1038"/>
      <c r="AB24" s="1038"/>
      <c r="AC24" s="9"/>
    </row>
    <row r="25" ht="18" customHeight="1">
      <c r="A25" s="58"/>
      <c r="B25" s="1042" t="s">
        <v>43</v>
      </c>
      <c r="C25" s="1042"/>
      <c r="D25" s="454">
        <v>239.2209733315551787067473424</v>
      </c>
      <c r="E25" s="455">
        <v>293.58738510605959299190787503</v>
      </c>
      <c r="F25" s="456">
        <v>225.09077772626891092428543604</v>
      </c>
      <c r="G25" s="454">
        <v>301.1223492595797359827720271</v>
      </c>
      <c r="H25" s="455">
        <v>308.12117796802759721843486304</v>
      </c>
      <c r="I25" s="456">
        <v>235.49459389886663665334125691</v>
      </c>
      <c r="J25" s="454">
        <v>0</v>
      </c>
      <c r="K25" s="455">
        <v>307.40077031762774761863955475</v>
      </c>
      <c r="L25" s="456">
        <v>116.83312482365454014048689823</v>
      </c>
      <c r="M25" s="454">
        <v>244.80677985651442459363509754</v>
      </c>
      <c r="N25" s="455">
        <v>294.0619244498040733668223229</v>
      </c>
      <c r="O25" s="456">
        <v>214.47520309446065061507723364</v>
      </c>
      <c r="P25" s="5"/>
      <c r="Q25" s="427">
        <v>16.368691605062622653731677490</v>
      </c>
      <c r="R25" s="428">
        <v>17.204629779913221632667927120</v>
      </c>
      <c r="S25" s="429">
        <v>15.888993150910358752149589280</v>
      </c>
      <c r="T25" s="427">
        <v>15.843704740349395460742993900</v>
      </c>
      <c r="U25" s="428">
        <v>20.404869536898399030913694930</v>
      </c>
      <c r="V25" s="429">
        <v>44.391677969060150504602936830</v>
      </c>
      <c r="W25" s="427">
        <v>0</v>
      </c>
      <c r="X25" s="428">
        <v>0</v>
      </c>
      <c r="Y25" s="429">
        <v>10.516875912667699540697837960</v>
      </c>
      <c r="Z25" s="427">
        <v>18.382639103900401890263109880</v>
      </c>
      <c r="AA25" s="428">
        <v>17.356568265311207657218757100</v>
      </c>
      <c r="AB25" s="429">
        <v>16.000209403798698250565132130</v>
      </c>
    </row>
    <row r="26" ht="18" customHeight="1">
      <c r="A26" s="58"/>
      <c r="B26" s="1043" t="s">
        <v>46</v>
      </c>
      <c r="C26" s="1043"/>
      <c r="D26" s="439">
        <v>211.6453028264944664445085432</v>
      </c>
      <c r="E26" s="95">
        <v>272.61364454033623269282360825</v>
      </c>
      <c r="F26" s="440">
        <v>217.09137637047883881011993261</v>
      </c>
      <c r="G26" s="439">
        <v>249.58578438570816461013545249</v>
      </c>
      <c r="H26" s="95">
        <v>314.88696458492796842171519401</v>
      </c>
      <c r="I26" s="440">
        <v>229.3421904225905542201722045</v>
      </c>
      <c r="J26" s="439">
        <v>0</v>
      </c>
      <c r="K26" s="95">
        <v>0</v>
      </c>
      <c r="L26" s="440">
        <v>137.22641233442797081972355444</v>
      </c>
      <c r="M26" s="439">
        <v>216.16234738402327969311316636</v>
      </c>
      <c r="N26" s="95">
        <v>274.4011070682390604705173992</v>
      </c>
      <c r="O26" s="440">
        <v>210.52015533204690425931955782</v>
      </c>
      <c r="P26" s="5"/>
      <c r="Q26" s="420">
        <v>19.216368513105608351086898620</v>
      </c>
      <c r="R26" s="91">
        <v>21.299461395187530268377339790</v>
      </c>
      <c r="S26" s="421">
        <v>20.699682799653402668374807740</v>
      </c>
      <c r="T26" s="420">
        <v>4.4548811662274321096041003500</v>
      </c>
      <c r="U26" s="91">
        <v>33.920100719520209165887254570</v>
      </c>
      <c r="V26" s="421">
        <v>41.309825835466894750795347220</v>
      </c>
      <c r="W26" s="420">
        <v>0</v>
      </c>
      <c r="X26" s="91">
        <v>0</v>
      </c>
      <c r="Y26" s="421">
        <v>29.199780952856413325634853150</v>
      </c>
      <c r="Z26" s="420">
        <v>20.300738127088237633932373270</v>
      </c>
      <c r="AA26" s="91">
        <v>22.045987629528462277574900200</v>
      </c>
      <c r="AB26" s="421">
        <v>22.309132929551829106461785400</v>
      </c>
    </row>
    <row r="27" ht="18" customHeight="1">
      <c r="A27" s="58"/>
      <c r="B27" s="1043" t="s">
        <v>47</v>
      </c>
      <c r="C27" s="1043"/>
      <c r="D27" s="439">
        <v>221.70509295157089817053351705</v>
      </c>
      <c r="E27" s="95">
        <v>283.14860820861428971493461868</v>
      </c>
      <c r="F27" s="440">
        <v>219.76159312402408182889429296</v>
      </c>
      <c r="G27" s="439">
        <v>240.90435878182156562181079185</v>
      </c>
      <c r="H27" s="95">
        <v>313.63862034665435728635548574</v>
      </c>
      <c r="I27" s="440">
        <v>233.92192077402363849125141694</v>
      </c>
      <c r="J27" s="439">
        <v>0</v>
      </c>
      <c r="K27" s="95">
        <v>0</v>
      </c>
      <c r="L27" s="440">
        <v>122.77161067079050798481635455</v>
      </c>
      <c r="M27" s="439">
        <v>224.65726361000478672943208584</v>
      </c>
      <c r="N27" s="95">
        <v>284.50189109853179758735035965</v>
      </c>
      <c r="O27" s="440">
        <v>212.27192467893756804593532568</v>
      </c>
      <c r="P27" s="93"/>
      <c r="Q27" s="420">
        <v>27.172103221415386046922166270</v>
      </c>
      <c r="R27" s="91">
        <v>23.927356441841549763041055930</v>
      </c>
      <c r="S27" s="421">
        <v>21.772441280986960014513263590</v>
      </c>
      <c r="T27" s="420">
        <v>10.554522438057791461456129250</v>
      </c>
      <c r="U27" s="91">
        <v>13.367971008532536086592756390</v>
      </c>
      <c r="V27" s="421">
        <v>41.979100357209877006542781250</v>
      </c>
      <c r="W27" s="420">
        <v>0</v>
      </c>
      <c r="X27" s="91">
        <v>0</v>
      </c>
      <c r="Y27" s="421">
        <v>18.100436967249828899372127950</v>
      </c>
      <c r="Z27" s="420">
        <v>27.424909444701285379463758640</v>
      </c>
      <c r="AA27" s="91">
        <v>24.091921558164386208450795210</v>
      </c>
      <c r="AB27" s="421">
        <v>23.160119714451340898217037720</v>
      </c>
    </row>
    <row r="28" ht="18" customHeight="1">
      <c r="A28" s="58"/>
      <c r="B28" s="1043" t="s">
        <v>48</v>
      </c>
      <c r="C28" s="1043"/>
      <c r="D28" s="439">
        <v>227.66750378687836089935222189</v>
      </c>
      <c r="E28" s="95">
        <v>286.87181182128474130164173926</v>
      </c>
      <c r="F28" s="440">
        <v>225.2379451527298728762535149</v>
      </c>
      <c r="G28" s="439">
        <v>258.38386525742359738690680892</v>
      </c>
      <c r="H28" s="95">
        <v>327.0373832294823424543875372</v>
      </c>
      <c r="I28" s="440">
        <v>235.34158851545549089541849203</v>
      </c>
      <c r="J28" s="439">
        <v>0</v>
      </c>
      <c r="K28" s="95">
        <v>0</v>
      </c>
      <c r="L28" s="440">
        <v>120.23140603845407512535705287</v>
      </c>
      <c r="M28" s="439">
        <v>232.15608003786744266306637709</v>
      </c>
      <c r="N28" s="95">
        <v>288.81033299000674360667384202</v>
      </c>
      <c r="O28" s="440">
        <v>216.18589708801984068518469242</v>
      </c>
      <c r="P28" s="5"/>
      <c r="Q28" s="420">
        <v>26.028251157832877921753809270</v>
      </c>
      <c r="R28" s="91">
        <v>22.120853411666800603448589340</v>
      </c>
      <c r="S28" s="421">
        <v>21.432423830692109211743712250</v>
      </c>
      <c r="T28" s="420">
        <v>16.223846633238020323060070220</v>
      </c>
      <c r="U28" s="91">
        <v>20.868834674790709352304110150</v>
      </c>
      <c r="V28" s="421">
        <v>37.075559296191488185658556970</v>
      </c>
      <c r="W28" s="420">
        <v>0</v>
      </c>
      <c r="X28" s="91">
        <v>0</v>
      </c>
      <c r="Y28" s="421">
        <v>14.89816183092316338528190200</v>
      </c>
      <c r="Z28" s="420">
        <v>27.014060100053927370693989960</v>
      </c>
      <c r="AA28" s="91">
        <v>22.511058110540428316458504280</v>
      </c>
      <c r="AB28" s="421">
        <v>22.049594514211456855615285930</v>
      </c>
    </row>
    <row r="29" ht="18" customHeight="1">
      <c r="A29" s="58"/>
      <c r="B29" s="1043" t="s">
        <v>49</v>
      </c>
      <c r="C29" s="1043"/>
      <c r="D29" s="439">
        <v>261.16378767302553724000661321</v>
      </c>
      <c r="E29" s="95">
        <v>319.42243737737223475064900943</v>
      </c>
      <c r="F29" s="440">
        <v>240.78274946367537884401360013</v>
      </c>
      <c r="G29" s="439">
        <v>296.43668467670409309792196484</v>
      </c>
      <c r="H29" s="95">
        <v>304.62150049458636130254653774</v>
      </c>
      <c r="I29" s="440">
        <v>237.14493279331962204899136868</v>
      </c>
      <c r="J29" s="439">
        <v>0</v>
      </c>
      <c r="K29" s="95">
        <v>0</v>
      </c>
      <c r="L29" s="440">
        <v>120.42960060107709035651603345</v>
      </c>
      <c r="M29" s="439">
        <v>265.8904740386776050266619367</v>
      </c>
      <c r="N29" s="95">
        <v>318.74306324625066828515955899</v>
      </c>
      <c r="O29" s="440">
        <v>227.83241943873907400913074753</v>
      </c>
      <c r="P29" s="93"/>
      <c r="Q29" s="420">
        <v>23.684467122837893289256524640</v>
      </c>
      <c r="R29" s="91">
        <v>15.715714518451401216938286180</v>
      </c>
      <c r="S29" s="421">
        <v>18.257598361869622287896001860</v>
      </c>
      <c r="T29" s="420">
        <v>7.2569224956287455716684380600</v>
      </c>
      <c r="U29" s="91">
        <v>13.128523698646280579064896910</v>
      </c>
      <c r="V29" s="421">
        <v>35.717800308228869905271702560</v>
      </c>
      <c r="W29" s="420">
        <v>0</v>
      </c>
      <c r="X29" s="91">
        <v>0</v>
      </c>
      <c r="Y29" s="421">
        <v>14.497857948525679490551706800</v>
      </c>
      <c r="Z29" s="420">
        <v>24.809488475657247619919783290</v>
      </c>
      <c r="AA29" s="91">
        <v>15.530731894142862613167685540</v>
      </c>
      <c r="AB29" s="421">
        <v>18.114153170212211379046225230</v>
      </c>
    </row>
    <row r="30" ht="18" customHeight="1">
      <c r="A30" s="58"/>
      <c r="B30" s="1044" t="s">
        <v>75</v>
      </c>
      <c r="C30" s="1044"/>
      <c r="D30" s="457">
        <v>232.6845819522423704723361065</v>
      </c>
      <c r="E30" s="458">
        <v>291.90427419140730470573258563</v>
      </c>
      <c r="F30" s="459">
        <v>225.93744066846958367504024137</v>
      </c>
      <c r="G30" s="457">
        <v>266.93758971157732844870305081</v>
      </c>
      <c r="H30" s="458">
        <v>313.98183686197936862838911226</v>
      </c>
      <c r="I30" s="459">
        <v>234.33475123215833777665701156</v>
      </c>
      <c r="J30" s="457">
        <v>0</v>
      </c>
      <c r="K30" s="458">
        <v>307.40077031762774761863955475</v>
      </c>
      <c r="L30" s="459">
        <v>123.33687433526300306582953619</v>
      </c>
      <c r="M30" s="457">
        <v>237.0883196514880541571377617</v>
      </c>
      <c r="N30" s="458">
        <v>292.80268354547095108355354766</v>
      </c>
      <c r="O30" s="459">
        <v>216.49257804988448326331885879</v>
      </c>
      <c r="P30" s="5"/>
      <c r="Q30" s="430">
        <v>21.990418940580116521704336120</v>
      </c>
      <c r="R30" s="431">
        <v>19.616271296138325838327256470</v>
      </c>
      <c r="S30" s="432">
        <v>19.354643761646268956892038390</v>
      </c>
      <c r="T30" s="430">
        <v>11.910013688126642959716389760</v>
      </c>
      <c r="U30" s="431">
        <v>18.719329626415447655455046890</v>
      </c>
      <c r="V30" s="432">
        <v>39.460250901831983902889647990</v>
      </c>
      <c r="W30" s="430">
        <v>0</v>
      </c>
      <c r="X30" s="431">
        <v>0</v>
      </c>
      <c r="Y30" s="432">
        <v>17.309706799342334122993731860</v>
      </c>
      <c r="Z30" s="430">
        <v>23.185014837771049900304362480</v>
      </c>
      <c r="AA30" s="431">
        <v>19.814430288570163529333129970</v>
      </c>
      <c r="AB30" s="432">
        <v>20.018293994199450179028573960</v>
      </c>
    </row>
    <row r="31" ht="6" customHeight="1">
      <c r="A31" s="58"/>
      <c r="B31" s="631"/>
      <c r="C31" s="631"/>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45" t="s">
        <v>50</v>
      </c>
      <c r="C32" s="1045"/>
      <c r="D32" s="493">
        <v>362.61996777091885781953792604</v>
      </c>
      <c r="E32" s="494">
        <v>389.54480615606378411805471883</v>
      </c>
      <c r="F32" s="495">
        <v>280.91357022818597993730994418</v>
      </c>
      <c r="G32" s="493">
        <v>384.89682517684750334320520158</v>
      </c>
      <c r="H32" s="494">
        <v>369.84504527902838362488328578</v>
      </c>
      <c r="I32" s="495">
        <v>233.35271002008599574825063231</v>
      </c>
      <c r="J32" s="493">
        <v>0</v>
      </c>
      <c r="K32" s="494">
        <v>0</v>
      </c>
      <c r="L32" s="495">
        <v>125.99399573993788313523791466</v>
      </c>
      <c r="M32" s="493">
        <v>364.36465468760626826739930612</v>
      </c>
      <c r="N32" s="494">
        <v>388.91713578575376712178556648</v>
      </c>
      <c r="O32" s="495">
        <v>257.98954625646233371017124825</v>
      </c>
      <c r="P32" s="93"/>
      <c r="Q32" s="479">
        <v>11.566040946069057273393104030</v>
      </c>
      <c r="R32" s="480">
        <v>3.7980282035207203754988919600</v>
      </c>
      <c r="S32" s="481">
        <v>14.229512839626850599708012500</v>
      </c>
      <c r="T32" s="479">
        <v>31.967084694427294218548128900</v>
      </c>
      <c r="U32" s="480">
        <v>20.982452587432392686576104180</v>
      </c>
      <c r="V32" s="481">
        <v>31.186456487692323408570054410</v>
      </c>
      <c r="W32" s="479">
        <v>0</v>
      </c>
      <c r="X32" s="480">
        <v>0</v>
      </c>
      <c r="Y32" s="481">
        <v>18.678014355023641917396371240</v>
      </c>
      <c r="Z32" s="479">
        <v>12.520008966144228330386044890</v>
      </c>
      <c r="AA32" s="480">
        <v>3.9905599650275978760463912200</v>
      </c>
      <c r="AB32" s="481">
        <v>12.571506463758429108521866550</v>
      </c>
    </row>
    <row r="33" ht="18" customHeight="1">
      <c r="A33" s="58"/>
      <c r="B33" s="1046" t="s">
        <v>51</v>
      </c>
      <c r="C33" s="1046"/>
      <c r="D33" s="276">
        <v>369.49894856721210534302032981</v>
      </c>
      <c r="E33" s="94">
        <v>396.86167613954317057651558912</v>
      </c>
      <c r="F33" s="277">
        <v>281.66149746029208537302957412</v>
      </c>
      <c r="G33" s="276">
        <v>385.06321997724026895989792819</v>
      </c>
      <c r="H33" s="94">
        <v>382.58515515749679090095710241</v>
      </c>
      <c r="I33" s="277">
        <v>239.86917152513186625211328342</v>
      </c>
      <c r="J33" s="276">
        <v>0</v>
      </c>
      <c r="K33" s="94">
        <v>0</v>
      </c>
      <c r="L33" s="277">
        <v>120.80148715201232269880255074</v>
      </c>
      <c r="M33" s="276">
        <v>370.52469574844019411506398717</v>
      </c>
      <c r="N33" s="94">
        <v>396.31920395748938110115630056</v>
      </c>
      <c r="O33" s="277">
        <v>260.25450397022027101289845057</v>
      </c>
      <c r="P33" s="5"/>
      <c r="Q33" s="271">
        <v>12.524577695174847304073681080</v>
      </c>
      <c r="R33" s="92">
        <v>7.5242823800505565086284301700</v>
      </c>
      <c r="S33" s="272">
        <v>15.672318655047354802917276930</v>
      </c>
      <c r="T33" s="271">
        <v>48.513720852929385309756822990</v>
      </c>
      <c r="U33" s="92">
        <v>21.635148979627220596043483310</v>
      </c>
      <c r="V33" s="272">
        <v>37.999500506936184441552760680</v>
      </c>
      <c r="W33" s="271">
        <v>0</v>
      </c>
      <c r="X33" s="92">
        <v>-100</v>
      </c>
      <c r="Y33" s="272">
        <v>13.348677670750728676872718810</v>
      </c>
      <c r="Z33" s="271">
        <v>13.637522107285963826348108350</v>
      </c>
      <c r="AA33" s="92">
        <v>7.6722344438692595092671249700</v>
      </c>
      <c r="AB33" s="272">
        <v>14.196325267651850155581174010</v>
      </c>
    </row>
    <row r="34" ht="18" customHeight="1">
      <c r="A34" s="58"/>
      <c r="B34" s="1047" t="s">
        <v>76</v>
      </c>
      <c r="C34" s="1047"/>
      <c r="D34" s="443">
        <v>366.16967861978052382395554172</v>
      </c>
      <c r="E34" s="444">
        <v>393.31022557037753938713090722</v>
      </c>
      <c r="F34" s="445">
        <v>281.29749737514280365853634249</v>
      </c>
      <c r="G34" s="443">
        <v>384.97496004867372738135368056</v>
      </c>
      <c r="H34" s="444">
        <v>376.30923896120693509993551785</v>
      </c>
      <c r="I34" s="445">
        <v>236.36928333932352976047209444</v>
      </c>
      <c r="J34" s="443">
        <v>0</v>
      </c>
      <c r="K34" s="444">
        <v>0</v>
      </c>
      <c r="L34" s="445">
        <v>123.37780795502192374358089908</v>
      </c>
      <c r="M34" s="633">
        <v>367.52278891507717647149736564</v>
      </c>
      <c r="N34" s="634">
        <v>392.72524167804530944571965146</v>
      </c>
      <c r="O34" s="635">
        <v>259.13250546220972395677061822</v>
      </c>
      <c r="P34" s="93"/>
      <c r="Q34" s="273">
        <v>12.076128786001376944437175980</v>
      </c>
      <c r="R34" s="274">
        <v>5.6889262816048520528006556100</v>
      </c>
      <c r="S34" s="275">
        <v>14.958863742101076444073801040</v>
      </c>
      <c r="T34" s="273">
        <v>39.507213950076122432995807450</v>
      </c>
      <c r="U34" s="274">
        <v>21.390712426998452407555114080</v>
      </c>
      <c r="V34" s="275">
        <v>34.327540507614424371559463540</v>
      </c>
      <c r="W34" s="273">
        <v>0</v>
      </c>
      <c r="X34" s="274">
        <v>-100</v>
      </c>
      <c r="Y34" s="275">
        <v>15.991614868698430977455493460</v>
      </c>
      <c r="Z34" s="273">
        <v>13.101615118271394050371725530</v>
      </c>
      <c r="AA34" s="274">
        <v>5.8592718083142321908180517900</v>
      </c>
      <c r="AB34" s="275">
        <v>13.387635332127610146177084730</v>
      </c>
    </row>
    <row r="35" ht="6" customHeight="1">
      <c r="A35" s="58"/>
      <c r="B35" s="631"/>
      <c r="C35" s="631"/>
      <c r="D35" s="95"/>
      <c r="E35" s="95"/>
      <c r="F35" s="95"/>
      <c r="G35" s="95"/>
      <c r="H35" s="95"/>
      <c r="I35" s="95"/>
      <c r="J35" s="95"/>
      <c r="K35" s="95"/>
      <c r="L35" s="95"/>
      <c r="M35" s="636"/>
      <c r="N35" s="636"/>
      <c r="O35" s="636"/>
      <c r="P35" s="93"/>
      <c r="Q35" s="91"/>
      <c r="R35" s="91"/>
      <c r="S35" s="91"/>
      <c r="T35" s="91"/>
      <c r="U35" s="91"/>
      <c r="V35" s="91"/>
      <c r="W35" s="91"/>
      <c r="X35" s="91"/>
      <c r="Y35" s="91"/>
      <c r="Z35" s="91"/>
      <c r="AA35" s="91"/>
      <c r="AB35" s="91"/>
    </row>
    <row r="36" ht="18" customHeight="1">
      <c r="A36" s="58"/>
      <c r="B36" s="982" t="s">
        <v>12</v>
      </c>
      <c r="C36" s="982"/>
      <c r="D36" s="482">
        <v>274.05340406233680565099084737</v>
      </c>
      <c r="E36" s="483">
        <v>325.57723777756067098468307457</v>
      </c>
      <c r="F36" s="484">
        <v>244.17593630657084595203308252</v>
      </c>
      <c r="G36" s="482">
        <v>287.87870855148342059336823735</v>
      </c>
      <c r="H36" s="483">
        <v>323.02507726079765660986000089</v>
      </c>
      <c r="I36" s="484">
        <v>234.47053642710605862295295205</v>
      </c>
      <c r="J36" s="482">
        <v>0</v>
      </c>
      <c r="K36" s="483">
        <v>307.2499585315252956249626432</v>
      </c>
      <c r="L36" s="484">
        <v>123.14805454311241383864164468</v>
      </c>
      <c r="M36" s="482">
        <v>275.60038567627602704615910367</v>
      </c>
      <c r="N36" s="483">
        <v>325.4739442916479457233911508</v>
      </c>
      <c r="O36" s="484">
        <v>229.99410822396806199078871219</v>
      </c>
      <c r="P36" s="93"/>
      <c r="Q36" s="468">
        <v>17.492848528244048465463537510</v>
      </c>
      <c r="R36" s="469">
        <v>13.543411546599432592110634230</v>
      </c>
      <c r="S36" s="470">
        <v>17.050502778582077850741477540</v>
      </c>
      <c r="T36" s="468">
        <v>16.476402499019717524184898160</v>
      </c>
      <c r="U36" s="469">
        <v>17.243499893764352706740305520</v>
      </c>
      <c r="V36" s="470">
        <v>36.808343387875545790517068020</v>
      </c>
      <c r="W36" s="468">
        <v>0</v>
      </c>
      <c r="X36" s="469">
        <v>12.545790455954064216701295800</v>
      </c>
      <c r="Y36" s="470">
        <v>18.110232838997879544490380710</v>
      </c>
      <c r="Z36" s="468">
        <v>17.904096670558583726120748430</v>
      </c>
      <c r="AA36" s="469">
        <v>13.590463695740310542987316250</v>
      </c>
      <c r="AB36" s="470">
        <v>16.916544166485128877790553990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7" t="s">
        <v>10</v>
      </c>
      <c r="C38" s="1037"/>
      <c r="D38" s="1037"/>
      <c r="E38" s="1037"/>
      <c r="F38" s="1037"/>
      <c r="G38" s="1037"/>
      <c r="H38" s="1037"/>
      <c r="I38" s="1037"/>
      <c r="J38" s="1037"/>
      <c r="K38" s="1037"/>
      <c r="L38" s="1037"/>
      <c r="M38" s="1037"/>
      <c r="N38" s="1037"/>
      <c r="O38" s="1037"/>
      <c r="P38" s="411"/>
      <c r="Q38" s="1038"/>
      <c r="R38" s="1038"/>
      <c r="S38" s="1038"/>
      <c r="T38" s="1038"/>
      <c r="U38" s="1038"/>
      <c r="V38" s="1038"/>
      <c r="W38" s="1038"/>
      <c r="X38" s="1038"/>
      <c r="Y38" s="1038"/>
      <c r="Z38" s="1038"/>
      <c r="AA38" s="1038"/>
      <c r="AB38" s="1038"/>
      <c r="AC38" s="9"/>
    </row>
    <row r="39" ht="18" customHeight="1">
      <c r="A39" s="58"/>
      <c r="B39" s="1042" t="s">
        <v>43</v>
      </c>
      <c r="C39" s="1042"/>
      <c r="D39" s="454">
        <v>184.46920335721467961754278617</v>
      </c>
      <c r="E39" s="455">
        <v>196.7762731838769150461016207</v>
      </c>
      <c r="F39" s="456">
        <v>120.37480109947320273339599936</v>
      </c>
      <c r="G39" s="454">
        <v>23.031648216969603932248734608</v>
      </c>
      <c r="H39" s="455">
        <v>7.4966507877827434253073316209</v>
      </c>
      <c r="I39" s="456">
        <v>22.519142686550533877331261473</v>
      </c>
      <c r="J39" s="454">
        <v>0</v>
      </c>
      <c r="K39" s="455">
        <v>0.0551964806158992143713151704</v>
      </c>
      <c r="L39" s="456">
        <v>9.197851385631848040304456326</v>
      </c>
      <c r="M39" s="454">
        <v>207.50085157418428354979152061</v>
      </c>
      <c r="N39" s="455">
        <v>204.31746694310608006306862089</v>
      </c>
      <c r="O39" s="456">
        <v>152.09247298763686132943257144</v>
      </c>
      <c r="P39" s="5"/>
      <c r="Q39" s="427">
        <v>6.4166352221305652287252519100</v>
      </c>
      <c r="R39" s="428">
        <v>21.106345759572206307707618650</v>
      </c>
      <c r="S39" s="429">
        <v>11.800229166238379272804332830</v>
      </c>
      <c r="T39" s="427">
        <v>357.27778187213611490529635395</v>
      </c>
      <c r="U39" s="428">
        <v>200.86167451900043681055255805</v>
      </c>
      <c r="V39" s="429">
        <v>170.48588841840191361758083748</v>
      </c>
      <c r="W39" s="427">
        <v>0</v>
      </c>
      <c r="X39" s="428">
        <v>0</v>
      </c>
      <c r="Y39" s="429">
        <v>69.604223961346920675447016740</v>
      </c>
      <c r="Z39" s="427">
        <v>16.323289023254951395885015510</v>
      </c>
      <c r="AA39" s="428">
        <v>23.854640653204649724085823110</v>
      </c>
      <c r="AB39" s="429">
        <v>25.263411513393963770139771210</v>
      </c>
    </row>
    <row r="40" ht="18" customHeight="1">
      <c r="A40" s="58"/>
      <c r="B40" s="1043" t="s">
        <v>46</v>
      </c>
      <c r="C40" s="1043"/>
      <c r="D40" s="439">
        <v>153.09133574206658302695001716</v>
      </c>
      <c r="E40" s="95">
        <v>161.77509478424845514568587972</v>
      </c>
      <c r="F40" s="440">
        <v>104.45656516140828982631956943</v>
      </c>
      <c r="G40" s="439">
        <v>24.398610332577240450670292649</v>
      </c>
      <c r="H40" s="95">
        <v>8.537372680926061473559678105</v>
      </c>
      <c r="I40" s="440">
        <v>27.101149614170373973437192209</v>
      </c>
      <c r="J40" s="439">
        <v>0</v>
      </c>
      <c r="K40" s="95">
        <v>0</v>
      </c>
      <c r="L40" s="440">
        <v>10.085922375490378648622744819</v>
      </c>
      <c r="M40" s="439">
        <v>177.48994607464382347762030967</v>
      </c>
      <c r="N40" s="95">
        <v>170.30136484727956771515077332</v>
      </c>
      <c r="O40" s="440">
        <v>141.64426840353600683414367501</v>
      </c>
      <c r="P40" s="5"/>
      <c r="Q40" s="420">
        <v>13.872502821794932996182524130</v>
      </c>
      <c r="R40" s="91">
        <v>25.574580090208158260481678390</v>
      </c>
      <c r="S40" s="421">
        <v>19.937042706643523506699360620</v>
      </c>
      <c r="T40" s="420">
        <v>270.84246170381649442408201082</v>
      </c>
      <c r="U40" s="91">
        <v>493.62330971745955812001533896</v>
      </c>
      <c r="V40" s="421">
        <v>235.66582825908005941372492148</v>
      </c>
      <c r="W40" s="420">
        <v>0</v>
      </c>
      <c r="X40" s="91">
        <v>0</v>
      </c>
      <c r="Y40" s="421">
        <v>92.09823286051632892995537781</v>
      </c>
      <c r="Z40" s="420">
        <v>25.861325428626309381093816470</v>
      </c>
      <c r="AA40" s="91">
        <v>30.740131837619367011327605380</v>
      </c>
      <c r="AB40" s="421">
        <v>41.055956534640924945975612170</v>
      </c>
    </row>
    <row r="41" ht="18" customHeight="1">
      <c r="A41" s="58"/>
      <c r="B41" s="1043" t="s">
        <v>47</v>
      </c>
      <c r="C41" s="1043"/>
      <c r="D41" s="439">
        <v>155.0062268465309936364205054</v>
      </c>
      <c r="E41" s="95">
        <v>161.99493568064072198936103019</v>
      </c>
      <c r="F41" s="440">
        <v>108.0129049115064265147876918</v>
      </c>
      <c r="G41" s="439">
        <v>30.604399891863112648924681038</v>
      </c>
      <c r="H41" s="95">
        <v>8.334207976478717256263110276</v>
      </c>
      <c r="I41" s="440">
        <v>31.808769838512571308459681448</v>
      </c>
      <c r="J41" s="439">
        <v>0</v>
      </c>
      <c r="K41" s="95">
        <v>0</v>
      </c>
      <c r="L41" s="440">
        <v>9.08735213656589877029241381</v>
      </c>
      <c r="M41" s="439">
        <v>185.61062673839410628534518631</v>
      </c>
      <c r="N41" s="95">
        <v>170.31805311814259947127823595</v>
      </c>
      <c r="O41" s="440">
        <v>148.909832158827920541088589</v>
      </c>
      <c r="P41" s="93"/>
      <c r="Q41" s="420">
        <v>23.567305802687786702761678860</v>
      </c>
      <c r="R41" s="91">
        <v>31.207535985844518401972196280</v>
      </c>
      <c r="S41" s="421">
        <v>27.190271808836463606968083690</v>
      </c>
      <c r="T41" s="420">
        <v>311.98095540969409477227503071</v>
      </c>
      <c r="U41" s="91">
        <v>226.48035276435428531730301084</v>
      </c>
      <c r="V41" s="421">
        <v>260.96876445963847058702043483</v>
      </c>
      <c r="W41" s="420">
        <v>0</v>
      </c>
      <c r="X41" s="91">
        <v>0</v>
      </c>
      <c r="Y41" s="421">
        <v>75.3156419174177319437325900</v>
      </c>
      <c r="Z41" s="420">
        <v>39.691989456958331170909380580</v>
      </c>
      <c r="AA41" s="91">
        <v>35.161281510305201514699116260</v>
      </c>
      <c r="AB41" s="421">
        <v>50.538995145944685180750056080</v>
      </c>
    </row>
    <row r="42" ht="18" customHeight="1">
      <c r="A42" s="58"/>
      <c r="B42" s="1043" t="s">
        <v>48</v>
      </c>
      <c r="C42" s="1043"/>
      <c r="D42" s="439">
        <v>163.18824572136386008520001931</v>
      </c>
      <c r="E42" s="95">
        <v>166.40421128630575140536197585</v>
      </c>
      <c r="F42" s="440">
        <v>115.34771853817057258270235685</v>
      </c>
      <c r="G42" s="439">
        <v>31.695689764969503059407857411</v>
      </c>
      <c r="H42" s="95">
        <v>9.952683313704030973436399235</v>
      </c>
      <c r="I42" s="440">
        <v>34.492310772781639943144834296</v>
      </c>
      <c r="J42" s="439">
        <v>0</v>
      </c>
      <c r="K42" s="95">
        <v>0</v>
      </c>
      <c r="L42" s="440">
        <v>9.326977738404257497052936244</v>
      </c>
      <c r="M42" s="439">
        <v>194.88393548633336314460787657</v>
      </c>
      <c r="N42" s="95">
        <v>176.34541157971506912141790605</v>
      </c>
      <c r="O42" s="440">
        <v>159.16786788251032187451253566</v>
      </c>
      <c r="P42" s="5"/>
      <c r="Q42" s="420">
        <v>21.580195234603845140270143560</v>
      </c>
      <c r="R42" s="91">
        <v>27.388900985344982586485834800</v>
      </c>
      <c r="S42" s="421">
        <v>25.771191739667584236751121500</v>
      </c>
      <c r="T42" s="420">
        <v>255.85628678085695144113466139</v>
      </c>
      <c r="U42" s="91">
        <v>169.23578324096197215058237469</v>
      </c>
      <c r="V42" s="421">
        <v>224.95174933126589978985615197</v>
      </c>
      <c r="W42" s="420">
        <v>0</v>
      </c>
      <c r="X42" s="91">
        <v>0</v>
      </c>
      <c r="Y42" s="421">
        <v>70.293104877388535763894471640</v>
      </c>
      <c r="Z42" s="420">
        <v>36.159072427249619322306111790</v>
      </c>
      <c r="AA42" s="91">
        <v>31.290731705384117993055857090</v>
      </c>
      <c r="AB42" s="421">
        <v>47.645657933533502866488390140</v>
      </c>
    </row>
    <row r="43" ht="18" customHeight="1">
      <c r="A43" s="58"/>
      <c r="B43" s="1043" t="s">
        <v>49</v>
      </c>
      <c r="C43" s="1043"/>
      <c r="D43" s="439">
        <v>196.70990417679808093397934022</v>
      </c>
      <c r="E43" s="95">
        <v>211.81712398052059601339596283</v>
      </c>
      <c r="F43" s="440">
        <v>131.42378414220707894720625154</v>
      </c>
      <c r="G43" s="439">
        <v>34.549730148800010850573655601</v>
      </c>
      <c r="H43" s="95">
        <v>8.792218568434357883656904571</v>
      </c>
      <c r="I43" s="440">
        <v>32.711084003373855312718271484</v>
      </c>
      <c r="J43" s="439">
        <v>0</v>
      </c>
      <c r="K43" s="95">
        <v>0</v>
      </c>
      <c r="L43" s="440">
        <v>9.365632886788452984164477419</v>
      </c>
      <c r="M43" s="439">
        <v>231.25963432559809178455299564</v>
      </c>
      <c r="N43" s="95">
        <v>220.59784066582607182947507698</v>
      </c>
      <c r="O43" s="440">
        <v>173.50143944463982031111897307</v>
      </c>
      <c r="P43" s="93"/>
      <c r="Q43" s="420">
        <v>13.196795012386224727035820990</v>
      </c>
      <c r="R43" s="91">
        <v>20.687513500905317302817263550</v>
      </c>
      <c r="S43" s="421">
        <v>17.253252178797504165189659220</v>
      </c>
      <c r="T43" s="420">
        <v>410.74724998288048105676196355</v>
      </c>
      <c r="U43" s="91">
        <v>132.90982094543685844670647283</v>
      </c>
      <c r="V43" s="421">
        <v>158.54741694799365015075980148</v>
      </c>
      <c r="W43" s="420">
        <v>0</v>
      </c>
      <c r="X43" s="91">
        <v>0</v>
      </c>
      <c r="Y43" s="421">
        <v>70.549045029137517857631370350</v>
      </c>
      <c r="Z43" s="420">
        <v>28.092254804832950242832674720</v>
      </c>
      <c r="AA43" s="91">
        <v>23.050291213621593097074783980</v>
      </c>
      <c r="AB43" s="421">
        <v>33.228228747773990297812552600</v>
      </c>
    </row>
    <row r="44" ht="18" customHeight="1">
      <c r="A44" s="58"/>
      <c r="B44" s="1044" t="s">
        <v>75</v>
      </c>
      <c r="C44" s="1044"/>
      <c r="D44" s="457">
        <v>170.49298316879483946001853353</v>
      </c>
      <c r="E44" s="458">
        <v>179.75322337591135254089575494</v>
      </c>
      <c r="F44" s="459">
        <v>115.92315240030976185958784702</v>
      </c>
      <c r="G44" s="457">
        <v>28.856015671035894188365044249</v>
      </c>
      <c r="H44" s="458">
        <v>8.622643643931634418274300203</v>
      </c>
      <c r="I44" s="459">
        <v>29.726493117990609182656461361</v>
      </c>
      <c r="J44" s="457">
        <v>0</v>
      </c>
      <c r="K44" s="458">
        <v>0.0110387876223941769901611037</v>
      </c>
      <c r="L44" s="459">
        <v>9.412747347562007463791979217</v>
      </c>
      <c r="M44" s="457">
        <v>199.34899883983073364838357778</v>
      </c>
      <c r="N44" s="458">
        <v>188.3756142200192704523055774</v>
      </c>
      <c r="O44" s="459">
        <v>155.063172461456523998955919</v>
      </c>
      <c r="P44" s="5"/>
      <c r="Q44" s="430">
        <v>15.006863053857986273133266320</v>
      </c>
      <c r="R44" s="431">
        <v>24.671387749847462116032204890</v>
      </c>
      <c r="S44" s="432">
        <v>19.884379121094383497287075520</v>
      </c>
      <c r="T44" s="430">
        <v>315.60175253279383736331731738</v>
      </c>
      <c r="U44" s="431">
        <v>208.96603447360056804649382530</v>
      </c>
      <c r="V44" s="432">
        <v>206.57908950357825354239738601</v>
      </c>
      <c r="W44" s="430">
        <v>0</v>
      </c>
      <c r="X44" s="431">
        <v>0</v>
      </c>
      <c r="Y44" s="432">
        <v>75.444527667957650746139237310</v>
      </c>
      <c r="Z44" s="430">
        <v>28.455533305861634474518829700</v>
      </c>
      <c r="AA44" s="431">
        <v>28.177254088070277079521876630</v>
      </c>
      <c r="AB44" s="432">
        <v>38.750213563231668543866644830</v>
      </c>
    </row>
    <row r="45" ht="6" customHeight="1">
      <c r="A45" s="58"/>
      <c r="B45" s="631"/>
      <c r="C45" s="631"/>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45" t="s">
        <v>50</v>
      </c>
      <c r="C46" s="1045"/>
      <c r="D46" s="493">
        <v>287.23262890012905448205531838</v>
      </c>
      <c r="E46" s="494">
        <v>287.32591230971038317205369877</v>
      </c>
      <c r="F46" s="495">
        <v>169.95249142959446644463209355</v>
      </c>
      <c r="G46" s="493">
        <v>25.906517079210889648100350125</v>
      </c>
      <c r="H46" s="494">
        <v>8.300739010989652726003579003</v>
      </c>
      <c r="I46" s="495">
        <v>32.095780439597556728886642206</v>
      </c>
      <c r="J46" s="493">
        <v>0</v>
      </c>
      <c r="K46" s="494">
        <v>0</v>
      </c>
      <c r="L46" s="495">
        <v>9.999424428161645056264501825</v>
      </c>
      <c r="M46" s="493">
        <v>313.13914597933994413015566824</v>
      </c>
      <c r="N46" s="494">
        <v>295.61123826904054456844188621</v>
      </c>
      <c r="O46" s="495">
        <v>212.04864131425731534916105048</v>
      </c>
      <c r="P46" s="93"/>
      <c r="Q46" s="479">
        <v>3.420818401634927843258646700</v>
      </c>
      <c r="R46" s="480">
        <v>7.8879809508846556189958422600</v>
      </c>
      <c r="S46" s="481">
        <v>7.8051885657336542490737781700</v>
      </c>
      <c r="T46" s="479">
        <v>177.41638357143986824145010384</v>
      </c>
      <c r="U46" s="480">
        <v>105.41060182976272975392516446</v>
      </c>
      <c r="V46" s="481">
        <v>114.76202105014516337668072336</v>
      </c>
      <c r="W46" s="479">
        <v>0</v>
      </c>
      <c r="X46" s="480">
        <v>0</v>
      </c>
      <c r="Y46" s="481">
        <v>80.42104663983024763536186268</v>
      </c>
      <c r="Z46" s="479">
        <v>9.080951688178644107855212440</v>
      </c>
      <c r="AA46" s="480">
        <v>9.345397328414301474486956220</v>
      </c>
      <c r="AB46" s="481">
        <v>19.038256466613696851546502280</v>
      </c>
    </row>
    <row r="47" ht="18" customHeight="1">
      <c r="A47" s="58"/>
      <c r="B47" s="1046" t="s">
        <v>51</v>
      </c>
      <c r="C47" s="1046"/>
      <c r="D47" s="276">
        <v>306.17287090396348980467250622</v>
      </c>
      <c r="E47" s="94">
        <v>304.50864605757528426824126522</v>
      </c>
      <c r="F47" s="277">
        <v>176.34977576736421277105251396</v>
      </c>
      <c r="G47" s="276">
        <v>22.511557600155984849142117317</v>
      </c>
      <c r="H47" s="94">
        <v>8.677563500056239352283263182</v>
      </c>
      <c r="I47" s="277">
        <v>27.900662638937009552956308321</v>
      </c>
      <c r="J47" s="276">
        <v>0</v>
      </c>
      <c r="K47" s="94">
        <v>0</v>
      </c>
      <c r="L47" s="277">
        <v>9.552382025531571821513891973</v>
      </c>
      <c r="M47" s="276">
        <v>328.68442850411947465381462327</v>
      </c>
      <c r="N47" s="94">
        <v>313.17018877919725041168130977</v>
      </c>
      <c r="O47" s="277">
        <v>213.80375533081557318232500004</v>
      </c>
      <c r="P47" s="5"/>
      <c r="Q47" s="271">
        <v>5.0726212157843790397049159400</v>
      </c>
      <c r="R47" s="92">
        <v>10.063159983186679724475337210</v>
      </c>
      <c r="S47" s="272">
        <v>7.983904335463239424576279290</v>
      </c>
      <c r="T47" s="271">
        <v>182.44565994081954973362558832</v>
      </c>
      <c r="U47" s="92">
        <v>115.60831641073864951129139816</v>
      </c>
      <c r="V47" s="272">
        <v>110.20131661510816516285713945</v>
      </c>
      <c r="W47" s="271">
        <v>0</v>
      </c>
      <c r="X47" s="92">
        <v>-100</v>
      </c>
      <c r="Y47" s="272">
        <v>71.728714639451060124860285340</v>
      </c>
      <c r="Z47" s="271">
        <v>9.795009773131378105798375880</v>
      </c>
      <c r="AA47" s="92">
        <v>11.493568193092260196550755130</v>
      </c>
      <c r="AB47" s="272">
        <v>17.379811454124678480584629700</v>
      </c>
    </row>
    <row r="48" ht="18" customHeight="1">
      <c r="A48" s="58"/>
      <c r="B48" s="1047" t="s">
        <v>76</v>
      </c>
      <c r="C48" s="1047"/>
      <c r="D48" s="443">
        <v>296.79294153063595993061447022</v>
      </c>
      <c r="E48" s="444">
        <v>295.99902227973203850217746648</v>
      </c>
      <c r="F48" s="445">
        <v>173.18153130825252319390267124</v>
      </c>
      <c r="G48" s="443">
        <v>24.192870865973651987673813556</v>
      </c>
      <c r="H48" s="444">
        <v>8.490943915577540843879455321</v>
      </c>
      <c r="I48" s="445">
        <v>29.978287772588209297807072028</v>
      </c>
      <c r="J48" s="443">
        <v>0</v>
      </c>
      <c r="K48" s="444">
        <v>0</v>
      </c>
      <c r="L48" s="445">
        <v>9.773779034065114356107889913</v>
      </c>
      <c r="M48" s="443">
        <v>320.98581239660961191828828363</v>
      </c>
      <c r="N48" s="444">
        <v>304.47424207542760542253955195</v>
      </c>
      <c r="O48" s="445">
        <v>212.93453806158586496529261065</v>
      </c>
      <c r="P48" s="93"/>
      <c r="Q48" s="273">
        <v>4.3220839159599853617884658800</v>
      </c>
      <c r="R48" s="274">
        <v>9.048990866230237585516761040</v>
      </c>
      <c r="S48" s="275">
        <v>7.933157421616116639917398910</v>
      </c>
      <c r="T48" s="273">
        <v>179.33513413891897672017564634</v>
      </c>
      <c r="U48" s="274">
        <v>110.53892921773209764747441577</v>
      </c>
      <c r="V48" s="275">
        <v>112.35596472635893913433257129</v>
      </c>
      <c r="W48" s="273">
        <v>0</v>
      </c>
      <c r="X48" s="274">
        <v>-100</v>
      </c>
      <c r="Y48" s="275">
        <v>76.031756411972199148643205370</v>
      </c>
      <c r="Z48" s="273">
        <v>9.492566459252921216493442980</v>
      </c>
      <c r="AA48" s="274">
        <v>10.493283119613951243671689870</v>
      </c>
      <c r="AB48" s="275">
        <v>18.216935467419765020236353720</v>
      </c>
    </row>
    <row r="49" ht="6" customHeight="1">
      <c r="A49" s="58"/>
      <c r="B49" s="631"/>
      <c r="C49" s="631"/>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82" t="s">
        <v>12</v>
      </c>
      <c r="C50" s="982"/>
      <c r="D50" s="482">
        <v>206.9507056870070568700705687</v>
      </c>
      <c r="E50" s="483">
        <v>212.92883948289453092425699224</v>
      </c>
      <c r="F50" s="484">
        <v>132.59173095822819947202394618</v>
      </c>
      <c r="G50" s="482">
        <v>27.38970527189705271897052719</v>
      </c>
      <c r="H50" s="483">
        <v>8.849467359235036849133978114</v>
      </c>
      <c r="I50" s="484">
        <v>29.591204754376580955888437289</v>
      </c>
      <c r="J50" s="482">
        <v>0</v>
      </c>
      <c r="K50" s="483">
        <v>0.0078594120092733475887771583</v>
      </c>
      <c r="L50" s="484">
        <v>9.527091376272350686651316141</v>
      </c>
      <c r="M50" s="482">
        <v>234.34041095890410958904109589</v>
      </c>
      <c r="N50" s="483">
        <v>221.78616625413884112097974751</v>
      </c>
      <c r="O50" s="484">
        <v>171.71002708887713111456369961</v>
      </c>
      <c r="P50" s="93"/>
      <c r="Q50" s="468">
        <v>10.378597087469243380630391810</v>
      </c>
      <c r="R50" s="469">
        <v>17.832994391335346343910949840</v>
      </c>
      <c r="S50" s="470">
        <v>15.329877876840678310107373560</v>
      </c>
      <c r="T50" s="468">
        <v>270.78321462036673486568389740</v>
      </c>
      <c r="U50" s="469">
        <v>170.75848399024424830218010285</v>
      </c>
      <c r="V50" s="470">
        <v>172.40528487719005256899174061</v>
      </c>
      <c r="W50" s="468">
        <v>0</v>
      </c>
      <c r="X50" s="469">
        <v>-73.562814654135119137199961500</v>
      </c>
      <c r="Y50" s="470">
        <v>70.735351076024211444498660620</v>
      </c>
      <c r="Z50" s="468">
        <v>20.249380808160366492609650750</v>
      </c>
      <c r="AA50" s="469">
        <v>20.534618859240013532904122520</v>
      </c>
      <c r="AB50" s="470">
        <v>30.667058524252218894808491960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48" t="s">
        <v>126</v>
      </c>
      <c r="C52" s="1048"/>
      <c r="D52" s="1048"/>
      <c r="E52" s="1048"/>
      <c r="F52" s="1048"/>
      <c r="G52" s="1048"/>
      <c r="H52" s="1048"/>
      <c r="I52" s="1048"/>
      <c r="J52" s="1048"/>
      <c r="K52" s="1048"/>
      <c r="L52" s="1048"/>
      <c r="M52" s="1048"/>
      <c r="N52" s="1048"/>
      <c r="O52" s="1048"/>
      <c r="P52" s="1048"/>
      <c r="Q52" s="1048"/>
      <c r="R52" s="1048"/>
      <c r="S52" s="1048"/>
      <c r="T52" s="1048"/>
      <c r="U52" s="1048"/>
      <c r="V52" s="1048"/>
      <c r="W52" s="1048"/>
      <c r="X52" s="1048"/>
      <c r="Y52" s="1048"/>
      <c r="Z52" s="1048"/>
      <c r="AA52" s="1048"/>
      <c r="AB52" s="1048"/>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6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8"/>
      <c r="B1" s="656" t="s">
        <v>155</v>
      </c>
      <c r="Y1" s="5"/>
      <c r="AB1" s="685"/>
      <c r="AD1" s="236"/>
    </row>
    <row r="2" ht="15" customHeight="1">
      <c r="A2" s="11"/>
      <c r="B2" s="11" t="s">
        <v>208</v>
      </c>
    </row>
    <row r="3" ht="17.1" customHeight="1">
      <c r="A3" s="11"/>
      <c r="B3" s="11" t="s">
        <v>209</v>
      </c>
      <c r="R3" s="1040" t="s">
        <v>301</v>
      </c>
      <c r="S3" s="1040"/>
      <c r="T3" s="1040"/>
      <c r="U3" s="1040"/>
      <c r="V3" s="1040"/>
      <c r="W3" s="1040"/>
      <c r="X3" s="1040"/>
      <c r="Y3" s="1040"/>
      <c r="Z3" s="1040"/>
      <c r="AA3" s="1040"/>
      <c r="AB3" s="1040"/>
    </row>
    <row r="4" ht="19.5" customHeight="1">
      <c r="A4" s="4"/>
      <c r="B4" s="211" t="s">
        <v>210</v>
      </c>
      <c r="C4" s="5"/>
      <c r="D4" s="5"/>
      <c r="E4" s="5"/>
      <c r="F4" s="5"/>
      <c r="G4" s="5"/>
      <c r="H4" s="212"/>
      <c r="I4" s="212"/>
      <c r="J4" s="212"/>
      <c r="K4" s="212"/>
      <c r="L4" s="212"/>
      <c r="M4" s="212"/>
      <c r="N4" s="212"/>
      <c r="O4" s="212"/>
      <c r="P4" s="212"/>
      <c r="Q4" s="212"/>
      <c r="R4" s="212"/>
      <c r="S4" s="212"/>
      <c r="T4" s="212"/>
      <c r="U4" s="4"/>
      <c r="V4" s="4"/>
    </row>
    <row r="5" ht="12.75" customHeight="1"/>
    <row r="6" ht="15.75">
      <c r="D6" s="978" t="s">
        <v>44</v>
      </c>
      <c r="E6" s="978"/>
      <c r="F6" s="978"/>
      <c r="G6" s="978"/>
      <c r="H6" s="978"/>
      <c r="I6" s="978"/>
      <c r="J6" s="978"/>
      <c r="K6" s="978"/>
      <c r="L6" s="978"/>
      <c r="M6" s="978"/>
      <c r="N6" s="978"/>
      <c r="O6" s="978"/>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1041"/>
      <c r="C8" s="1041"/>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73" t="s">
        <v>22</v>
      </c>
      <c r="C10" s="973"/>
      <c r="D10" s="973"/>
      <c r="E10" s="973"/>
      <c r="F10" s="973"/>
      <c r="G10" s="973"/>
      <c r="H10" s="973"/>
      <c r="I10" s="973"/>
      <c r="J10" s="973"/>
      <c r="K10" s="973"/>
      <c r="L10" s="973"/>
      <c r="M10" s="973"/>
      <c r="N10" s="973"/>
      <c r="O10" s="973"/>
      <c r="P10" s="411"/>
      <c r="Q10" s="971"/>
      <c r="R10" s="971"/>
      <c r="S10" s="971"/>
      <c r="T10" s="971"/>
      <c r="U10" s="971"/>
      <c r="V10" s="971"/>
      <c r="W10" s="971"/>
      <c r="X10" s="971"/>
      <c r="Y10" s="971"/>
      <c r="Z10" s="971"/>
      <c r="AA10" s="971"/>
      <c r="AB10" s="971"/>
      <c r="AC10" s="9"/>
    </row>
    <row r="11" ht="18" customHeight="1">
      <c r="A11" s="58"/>
      <c r="B11" s="1042" t="s">
        <v>43</v>
      </c>
      <c r="C11" s="1042"/>
      <c r="D11" s="427">
        <v>73.076923076923076923076923140</v>
      </c>
      <c r="E11" s="428">
        <v>68.782499551730320961090191920</v>
      </c>
      <c r="F11" s="429">
        <v>50.926723942409754415887214620</v>
      </c>
      <c r="G11" s="427">
        <v>7.925407925407925407925407930</v>
      </c>
      <c r="H11" s="428">
        <v>2.797202797202797202797202800</v>
      </c>
      <c r="I11" s="429">
        <v>9.804312917887631886924256320</v>
      </c>
      <c r="J11" s="427">
        <v>0</v>
      </c>
      <c r="K11" s="428">
        <v>0</v>
      </c>
      <c r="L11" s="429">
        <v>8.164968655592549919711141560</v>
      </c>
      <c r="M11" s="427">
        <v>81.00233100233100233100233100</v>
      </c>
      <c r="N11" s="428">
        <v>71.651425497579343733189887040</v>
      </c>
      <c r="O11" s="429">
        <v>68.895098297150425939198200080</v>
      </c>
      <c r="P11" s="5"/>
      <c r="Q11" s="427">
        <v>-10.171919770794229932430763420</v>
      </c>
      <c r="R11" s="428">
        <v>31.846850834196034452840145130</v>
      </c>
      <c r="S11" s="429">
        <v>-4.8438099658761489274888104200</v>
      </c>
      <c r="T11" s="427">
        <v>161.53846153872307692307718477</v>
      </c>
      <c r="U11" s="428">
        <v>20.559440561996419580473764780</v>
      </c>
      <c r="V11" s="429">
        <v>66.242923058854911709912020500</v>
      </c>
      <c r="W11" s="427">
        <v>0</v>
      </c>
      <c r="X11" s="428">
        <v>0</v>
      </c>
      <c r="Y11" s="429">
        <v>24.479150209170762686695696800</v>
      </c>
      <c r="Z11" s="427">
        <v>-4.0055248618962199719178258400</v>
      </c>
      <c r="AA11" s="428">
        <v>31.497850331664815720207629830</v>
      </c>
      <c r="AB11" s="429">
        <v>4.4259572156398312348692323100</v>
      </c>
    </row>
    <row r="12" ht="18" customHeight="1">
      <c r="A12" s="58"/>
      <c r="B12" s="1043" t="s">
        <v>46</v>
      </c>
      <c r="C12" s="1043"/>
      <c r="D12" s="420">
        <v>67.948717948717948717948718010</v>
      </c>
      <c r="E12" s="91">
        <v>61.341222879684418145956607550</v>
      </c>
      <c r="F12" s="421">
        <v>46.460486087800629609805220180</v>
      </c>
      <c r="G12" s="420">
        <v>7.925407925407925407925407930</v>
      </c>
      <c r="H12" s="91">
        <v>4.2675273444504213734982965800</v>
      </c>
      <c r="I12" s="421">
        <v>12.616691010369510192602538410</v>
      </c>
      <c r="J12" s="420">
        <v>0</v>
      </c>
      <c r="K12" s="91">
        <v>0</v>
      </c>
      <c r="L12" s="421">
        <v>7.4890906946573888430239415100</v>
      </c>
      <c r="M12" s="420">
        <v>75.874125874125874125874125870</v>
      </c>
      <c r="N12" s="91">
        <v>65.626681011296395911780527170</v>
      </c>
      <c r="O12" s="421">
        <v>66.564453355348508078782875340</v>
      </c>
      <c r="P12" s="5"/>
      <c r="Q12" s="420">
        <v>-5.5870445344169307479224374200</v>
      </c>
      <c r="R12" s="91">
        <v>36.224681646879650383036073520</v>
      </c>
      <c r="S12" s="421">
        <v>-6.9687063816741913460134681700</v>
      </c>
      <c r="T12" s="420">
        <v>81.33333333455189333334152216</v>
      </c>
      <c r="U12" s="91">
        <v>174.83857138740814369497545626</v>
      </c>
      <c r="V12" s="421">
        <v>98.54034746804589733605463857</v>
      </c>
      <c r="W12" s="420">
        <v>0</v>
      </c>
      <c r="X12" s="91">
        <v>0</v>
      </c>
      <c r="Y12" s="421">
        <v>20.740274363932691457302922490</v>
      </c>
      <c r="Z12" s="420">
        <v>-0.6106870228664702523162867600</v>
      </c>
      <c r="AA12" s="91">
        <v>40.829679703563447136053530170</v>
      </c>
      <c r="AB12" s="421">
        <v>6.5064034083272538041910030200</v>
      </c>
    </row>
    <row r="13" ht="18" customHeight="1">
      <c r="A13" s="58"/>
      <c r="B13" s="1043" t="s">
        <v>47</v>
      </c>
      <c r="C13" s="1043"/>
      <c r="D13" s="420">
        <v>70.920745920745920745920745980</v>
      </c>
      <c r="E13" s="91">
        <v>58.472296933835395373856912370</v>
      </c>
      <c r="F13" s="421">
        <v>48.336614441107895524689958040</v>
      </c>
      <c r="G13" s="420">
        <v>9.557109557109557109557109570</v>
      </c>
      <c r="H13" s="91">
        <v>5.5226824457593688362919132200</v>
      </c>
      <c r="I13" s="421">
        <v>14.844820234606766037359267710</v>
      </c>
      <c r="J13" s="420">
        <v>0</v>
      </c>
      <c r="K13" s="91">
        <v>0</v>
      </c>
      <c r="L13" s="421">
        <v>7.6342456929790341749299173600</v>
      </c>
      <c r="M13" s="420">
        <v>80.47785547785547785547785548</v>
      </c>
      <c r="N13" s="91">
        <v>63.959117805271651425497579340</v>
      </c>
      <c r="O13" s="421">
        <v>70.816587587433206020303555390</v>
      </c>
      <c r="P13" s="184"/>
      <c r="Q13" s="420">
        <v>4.3739279588611896825140045900</v>
      </c>
      <c r="R13" s="91">
        <v>34.325657941898124662874144560</v>
      </c>
      <c r="S13" s="421">
        <v>-3.547669646633181202278325100</v>
      </c>
      <c r="T13" s="420">
        <v>31.199999999680921600000776180</v>
      </c>
      <c r="U13" s="91">
        <v>95.84550470795863540936309637</v>
      </c>
      <c r="V13" s="421">
        <v>91.80028613902307605332161892</v>
      </c>
      <c r="W13" s="420">
        <v>0</v>
      </c>
      <c r="X13" s="91">
        <v>0</v>
      </c>
      <c r="Y13" s="421">
        <v>18.647648770253688605177232670</v>
      </c>
      <c r="Z13" s="420">
        <v>6.9713400464759317469869759200</v>
      </c>
      <c r="AA13" s="91">
        <v>37.938005028010015401452662400</v>
      </c>
      <c r="AB13" s="421">
        <v>10.151048481408676065213796090</v>
      </c>
    </row>
    <row r="14" ht="18" customHeight="1">
      <c r="A14" s="58"/>
      <c r="B14" s="1043" t="s">
        <v>48</v>
      </c>
      <c r="C14" s="1043"/>
      <c r="D14" s="420">
        <v>73.951048951048951048951049020</v>
      </c>
      <c r="E14" s="91">
        <v>59.763313609467455621301775200</v>
      </c>
      <c r="F14" s="421">
        <v>50.557485915429069102851388550</v>
      </c>
      <c r="G14" s="420">
        <v>8.333333333333333333333333340</v>
      </c>
      <c r="H14" s="91">
        <v>5.8454366146673838981531289300</v>
      </c>
      <c r="I14" s="421">
        <v>16.517731590263728487575639380</v>
      </c>
      <c r="J14" s="420">
        <v>0</v>
      </c>
      <c r="K14" s="91">
        <v>0</v>
      </c>
      <c r="L14" s="421">
        <v>7.959937220463225888393950670</v>
      </c>
      <c r="M14" s="420">
        <v>82.28438228438228438228438228</v>
      </c>
      <c r="N14" s="91">
        <v>65.644611798457952304106150260</v>
      </c>
      <c r="O14" s="421">
        <v>75.034247507416513195496566180</v>
      </c>
      <c r="P14" s="5"/>
      <c r="Q14" s="420">
        <v>1.8459069021183918233370963500</v>
      </c>
      <c r="R14" s="91">
        <v>27.224105681470461450916561960</v>
      </c>
      <c r="S14" s="421">
        <v>-3.4415688143055346834862168800</v>
      </c>
      <c r="T14" s="420">
        <v>11.718750000111718750000111810</v>
      </c>
      <c r="U14" s="91">
        <v>46.214202464263821948141170510</v>
      </c>
      <c r="V14" s="421">
        <v>79.29964349198902533679092093</v>
      </c>
      <c r="W14" s="420">
        <v>0</v>
      </c>
      <c r="X14" s="91">
        <v>0</v>
      </c>
      <c r="Y14" s="421">
        <v>20.634842658121652272662021070</v>
      </c>
      <c r="Z14" s="420">
        <v>2.7656477438522758910013302500</v>
      </c>
      <c r="AA14" s="91">
        <v>28.738802907572129998260089150</v>
      </c>
      <c r="AB14" s="421">
        <v>10.060198356662937354219057680</v>
      </c>
    </row>
    <row r="15" ht="18" customHeight="1">
      <c r="A15" s="58"/>
      <c r="B15" s="1043" t="s">
        <v>49</v>
      </c>
      <c r="C15" s="1043"/>
      <c r="D15" s="420">
        <v>78.030303030303030303030303100</v>
      </c>
      <c r="E15" s="91">
        <v>69.894208355746817285278823810</v>
      </c>
      <c r="F15" s="421">
        <v>53.720050441361916771752837380</v>
      </c>
      <c r="G15" s="420">
        <v>9.032634032634032634032634040</v>
      </c>
      <c r="H15" s="91">
        <v>4.177873408642639411870181100</v>
      </c>
      <c r="I15" s="421">
        <v>14.461066707793916191132844050</v>
      </c>
      <c r="J15" s="420">
        <v>0</v>
      </c>
      <c r="K15" s="91">
        <v>0</v>
      </c>
      <c r="L15" s="421">
        <v>7.9073185335716294555780344300</v>
      </c>
      <c r="M15" s="420">
        <v>87.06293706293706293706293706</v>
      </c>
      <c r="N15" s="91">
        <v>74.125874125874125874125874130</v>
      </c>
      <c r="O15" s="421">
        <v>76.090250120206482985112540480</v>
      </c>
      <c r="P15" s="184"/>
      <c r="Q15" s="420">
        <v>-6.1009817671435240937193109400</v>
      </c>
      <c r="R15" s="91">
        <v>27.645778819276880961980363530</v>
      </c>
      <c r="S15" s="421">
        <v>-4.2164065659448699506225841500</v>
      </c>
      <c r="T15" s="420">
        <v>103.94736842125657894736862517</v>
      </c>
      <c r="U15" s="91">
        <v>41.870452779216096861816626490</v>
      </c>
      <c r="V15" s="421">
        <v>42.361884167387728050520019120</v>
      </c>
      <c r="W15" s="420">
        <v>0</v>
      </c>
      <c r="X15" s="91">
        <v>0</v>
      </c>
      <c r="Y15" s="421">
        <v>21.151180962907525116905962190</v>
      </c>
      <c r="Z15" s="420">
        <v>-0.5326231690652083950205579200</v>
      </c>
      <c r="AA15" s="91">
        <v>28.464977645381289819083518360</v>
      </c>
      <c r="AB15" s="421">
        <v>4.5632440662574204053393780100</v>
      </c>
    </row>
    <row r="16" ht="18" customHeight="1">
      <c r="A16" s="58"/>
      <c r="B16" s="1044" t="s">
        <v>75</v>
      </c>
      <c r="C16" s="1044"/>
      <c r="D16" s="430">
        <v>72.785547785547785547785547840</v>
      </c>
      <c r="E16" s="431">
        <v>63.650708266092881477496862130</v>
      </c>
      <c r="F16" s="432">
        <v>50.000272165621853084997323760</v>
      </c>
      <c r="G16" s="430">
        <v>8.554778554778554778554778560</v>
      </c>
      <c r="H16" s="431">
        <v>4.5221445221445221445221445200</v>
      </c>
      <c r="I16" s="432">
        <v>13.648924492184310559118909180</v>
      </c>
      <c r="J16" s="430">
        <v>0</v>
      </c>
      <c r="K16" s="431">
        <v>0</v>
      </c>
      <c r="L16" s="432">
        <v>7.8311121594527656563273971100</v>
      </c>
      <c r="M16" s="430">
        <v>81.34032634032634032634032634</v>
      </c>
      <c r="N16" s="431">
        <v>68.201542047695893849740003590</v>
      </c>
      <c r="O16" s="432">
        <v>71.480127373511027243778747490</v>
      </c>
      <c r="P16" s="5"/>
      <c r="Q16" s="430">
        <v>-3.4626681094829501967849610200</v>
      </c>
      <c r="R16" s="431">
        <v>31.260551496235420339525685690</v>
      </c>
      <c r="S16" s="432">
        <v>-4.5856490403844547249135891300</v>
      </c>
      <c r="T16" s="430">
        <v>60.964912280256982917822097030</v>
      </c>
      <c r="U16" s="431">
        <v>65.821830876037197626971329630</v>
      </c>
      <c r="V16" s="432">
        <v>73.384450188009838695780936300</v>
      </c>
      <c r="W16" s="430">
        <v>0</v>
      </c>
      <c r="X16" s="431">
        <v>0</v>
      </c>
      <c r="Y16" s="432">
        <v>21.144323768864451325965316870</v>
      </c>
      <c r="Z16" s="629">
        <v>0.7797833934465035123617188900</v>
      </c>
      <c r="AA16" s="214">
        <v>33.128915862951796282117847670</v>
      </c>
      <c r="AB16" s="630">
        <v>7.1009139943189460736079592800</v>
      </c>
    </row>
    <row r="17" ht="6" customHeight="1">
      <c r="A17" s="58"/>
      <c r="B17" s="631"/>
      <c r="C17" s="631"/>
      <c r="D17" s="91"/>
      <c r="E17" s="91"/>
      <c r="F17" s="91"/>
      <c r="G17" s="91"/>
      <c r="H17" s="91"/>
      <c r="I17" s="91"/>
      <c r="J17" s="91"/>
      <c r="K17" s="91"/>
      <c r="L17" s="91"/>
      <c r="M17" s="91"/>
      <c r="N17" s="91"/>
      <c r="O17" s="91"/>
      <c r="P17" s="5"/>
      <c r="Q17" s="91"/>
      <c r="R17" s="91"/>
      <c r="S17" s="91"/>
      <c r="T17" s="91"/>
      <c r="U17" s="91"/>
      <c r="V17" s="91"/>
      <c r="W17" s="91"/>
      <c r="X17" s="91"/>
      <c r="Y17" s="91"/>
      <c r="Z17" s="632"/>
      <c r="AA17" s="632"/>
      <c r="AB17" s="632"/>
      <c r="AC17" s="4"/>
    </row>
    <row r="18" ht="18" customHeight="1">
      <c r="A18" s="58"/>
      <c r="B18" s="1045" t="s">
        <v>50</v>
      </c>
      <c r="C18" s="1045"/>
      <c r="D18" s="479">
        <v>76.107226107226107226107226170</v>
      </c>
      <c r="E18" s="480">
        <v>77.658239196700735162273623880</v>
      </c>
      <c r="F18" s="481">
        <v>58.970125286907926370127101400</v>
      </c>
      <c r="G18" s="479">
        <v>8.041958041958041958041958050</v>
      </c>
      <c r="H18" s="480">
        <v>3.2275416890801506186121570800</v>
      </c>
      <c r="I18" s="481">
        <v>14.312282834514229725929218810</v>
      </c>
      <c r="J18" s="479">
        <v>0</v>
      </c>
      <c r="K18" s="480">
        <v>0</v>
      </c>
      <c r="L18" s="481">
        <v>8.065174594246418754025783160</v>
      </c>
      <c r="M18" s="479">
        <v>84.14918414918414918414918415</v>
      </c>
      <c r="N18" s="480">
        <v>80.90371167294244217321140398</v>
      </c>
      <c r="O18" s="481">
        <v>81.35030437188710570005534034</v>
      </c>
      <c r="P18" s="184"/>
      <c r="Q18" s="479">
        <v>-9.494109494099709688898876960</v>
      </c>
      <c r="R18" s="480">
        <v>26.989109840825509776229682020</v>
      </c>
      <c r="S18" s="481">
        <v>-4.005143939553754994777976700</v>
      </c>
      <c r="T18" s="479">
        <v>37.606837605797910731251920200</v>
      </c>
      <c r="U18" s="480">
        <v>62.291554600355899228983730480</v>
      </c>
      <c r="V18" s="481">
        <v>17.602405273967492776446223310</v>
      </c>
      <c r="W18" s="479">
        <v>0</v>
      </c>
      <c r="X18" s="480">
        <v>0</v>
      </c>
      <c r="Y18" s="481">
        <v>26.318287669536946806056834010</v>
      </c>
      <c r="Z18" s="479">
        <v>-6.4333981301855135172707265200</v>
      </c>
      <c r="AA18" s="480">
        <v>28.095774398931500785431051210</v>
      </c>
      <c r="AB18" s="481">
        <v>1.7043432904613985854521263500</v>
      </c>
    </row>
    <row r="19" ht="18" customHeight="1">
      <c r="A19" s="58"/>
      <c r="B19" s="1046" t="s">
        <v>51</v>
      </c>
      <c r="C19" s="1046"/>
      <c r="D19" s="271">
        <v>78.300865800865800865800865870</v>
      </c>
      <c r="E19" s="92">
        <v>79.137529137529137529137529210</v>
      </c>
      <c r="F19" s="272">
        <v>59.73244823345071015786902100</v>
      </c>
      <c r="G19" s="271">
        <v>6.7099567099567099567099567200</v>
      </c>
      <c r="H19" s="92">
        <v>3.0802530802530802530802530800</v>
      </c>
      <c r="I19" s="272">
        <v>12.295081967213114754098360670</v>
      </c>
      <c r="J19" s="271">
        <v>0</v>
      </c>
      <c r="K19" s="92">
        <v>0</v>
      </c>
      <c r="L19" s="272">
        <v>8.099843310363418866780112220</v>
      </c>
      <c r="M19" s="271">
        <v>85.01082251082251082251082251</v>
      </c>
      <c r="N19" s="92">
        <v>82.25108225108225108225108225</v>
      </c>
      <c r="O19" s="272">
        <v>80.12905834582919144777854531</v>
      </c>
      <c r="P19" s="5"/>
      <c r="Q19" s="271">
        <v>-10.543085409891261958248791040</v>
      </c>
      <c r="R19" s="92">
        <v>26.760313252586112756652293770</v>
      </c>
      <c r="S19" s="272">
        <v>-6.636144887891992866985689100</v>
      </c>
      <c r="T19" s="271">
        <v>35.462184873401356401386301940</v>
      </c>
      <c r="U19" s="92">
        <v>76.108755186685965533919233860</v>
      </c>
      <c r="V19" s="272">
        <v>17.799254973053180268358299950</v>
      </c>
      <c r="W19" s="271">
        <v>0</v>
      </c>
      <c r="X19" s="92">
        <v>-100</v>
      </c>
      <c r="Y19" s="272">
        <v>22.724124353055962244834813600</v>
      </c>
      <c r="Z19" s="271">
        <v>-8.079035016635787737288228930</v>
      </c>
      <c r="AA19" s="92">
        <v>27.624706134911897743290495750</v>
      </c>
      <c r="AB19" s="272">
        <v>-1.095254124029564682232709900</v>
      </c>
    </row>
    <row r="20" ht="18" customHeight="1">
      <c r="A20" s="58"/>
      <c r="B20" s="1047" t="s">
        <v>76</v>
      </c>
      <c r="C20" s="1047"/>
      <c r="D20" s="273">
        <v>77.244668911335578002244668970</v>
      </c>
      <c r="E20" s="274">
        <v>78.425278425278425278425278480</v>
      </c>
      <c r="F20" s="275">
        <v>59.365403851781962408215504160</v>
      </c>
      <c r="G20" s="273">
        <v>7.3512906846240179573512906900</v>
      </c>
      <c r="H20" s="274">
        <v>3.1511698178364845031511698200</v>
      </c>
      <c r="I20" s="275">
        <v>13.266326829246984925720625700</v>
      </c>
      <c r="J20" s="273">
        <v>0</v>
      </c>
      <c r="K20" s="274">
        <v>0</v>
      </c>
      <c r="L20" s="275">
        <v>8.083150965566344738416916750</v>
      </c>
      <c r="M20" s="273">
        <v>84.59595959595959595959595960</v>
      </c>
      <c r="N20" s="274">
        <v>81.60234826901493568160234827</v>
      </c>
      <c r="O20" s="275">
        <v>80.71706569170892793961552070</v>
      </c>
      <c r="P20" s="184"/>
      <c r="Q20" s="273">
        <v>-9.914921465948541278336663870</v>
      </c>
      <c r="R20" s="274">
        <v>26.966467033282779109351580070</v>
      </c>
      <c r="S20" s="275">
        <v>-5.253920724341352544984574500</v>
      </c>
      <c r="T20" s="273">
        <v>35.751295336714413809766744660</v>
      </c>
      <c r="U20" s="274">
        <v>68.211757660342144879226325390</v>
      </c>
      <c r="V20" s="275">
        <v>17.032236434805666093915984670</v>
      </c>
      <c r="W20" s="273">
        <v>0</v>
      </c>
      <c r="X20" s="274">
        <v>-100</v>
      </c>
      <c r="Y20" s="275">
        <v>24.577409720920635514415626600</v>
      </c>
      <c r="Z20" s="273">
        <v>-7.2022160664655427751475174300</v>
      </c>
      <c r="AA20" s="274">
        <v>27.944829804142189927360197640</v>
      </c>
      <c r="AB20" s="275">
        <v>0.2911322825885609384072708500</v>
      </c>
    </row>
    <row r="21" ht="6" customHeight="1">
      <c r="A21" s="58"/>
      <c r="B21" s="631"/>
      <c r="C21" s="631"/>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82" t="s">
        <v>12</v>
      </c>
      <c r="C22" s="982"/>
      <c r="D22" s="468">
        <v>74.094202898550724637681159420</v>
      </c>
      <c r="E22" s="469">
        <v>67.991394927536231884057971010</v>
      </c>
      <c r="F22" s="470">
        <v>52.671331283097500395056418030</v>
      </c>
      <c r="G22" s="468">
        <v>8.201581027667984189723320160</v>
      </c>
      <c r="H22" s="469">
        <v>4.1213768115942028985507246400</v>
      </c>
      <c r="I22" s="470">
        <v>13.564165742912315740434326750</v>
      </c>
      <c r="J22" s="468">
        <v>0</v>
      </c>
      <c r="K22" s="469">
        <v>0</v>
      </c>
      <c r="L22" s="470">
        <v>7.954958165076089195839344400</v>
      </c>
      <c r="M22" s="468">
        <v>82.29578392621870882740447958</v>
      </c>
      <c r="N22" s="469">
        <v>72.112771739130434782608695650</v>
      </c>
      <c r="O22" s="470">
        <v>74.190455191085905331330089170</v>
      </c>
      <c r="P22" s="184"/>
      <c r="Q22" s="468">
        <v>-5.5030455786709015582525884600</v>
      </c>
      <c r="R22" s="469">
        <v>30.317184819310309526701688240</v>
      </c>
      <c r="S22" s="470">
        <v>-4.7012386600145328808299733300</v>
      </c>
      <c r="T22" s="468">
        <v>52.760736195265625352862094740</v>
      </c>
      <c r="U22" s="469">
        <v>52.864800921898125308652063130</v>
      </c>
      <c r="V22" s="470">
        <v>55.268590898656047528396915790</v>
      </c>
      <c r="W22" s="468">
        <v>0</v>
      </c>
      <c r="X22" s="469">
        <v>-100</v>
      </c>
      <c r="Y22" s="470">
        <v>17.545490299294680790841334210</v>
      </c>
      <c r="Z22" s="468">
        <v>-1.7692156477835750336517015900</v>
      </c>
      <c r="AA22" s="469">
        <v>31.334540924082479144908805880</v>
      </c>
      <c r="AB22" s="470">
        <v>4.8284813780431782273574737900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37" t="s">
        <v>9</v>
      </c>
      <c r="C24" s="1037"/>
      <c r="D24" s="1037"/>
      <c r="E24" s="1037"/>
      <c r="F24" s="1037"/>
      <c r="G24" s="1037"/>
      <c r="H24" s="1037"/>
      <c r="I24" s="1037"/>
      <c r="J24" s="1037"/>
      <c r="K24" s="1037"/>
      <c r="L24" s="1037"/>
      <c r="M24" s="1037"/>
      <c r="N24" s="1037"/>
      <c r="O24" s="1037"/>
      <c r="P24" s="411"/>
      <c r="Q24" s="1038"/>
      <c r="R24" s="1038"/>
      <c r="S24" s="1038"/>
      <c r="T24" s="1038"/>
      <c r="U24" s="1038"/>
      <c r="V24" s="1038"/>
      <c r="W24" s="1038"/>
      <c r="X24" s="1038"/>
      <c r="Y24" s="1038"/>
      <c r="Z24" s="1038"/>
      <c r="AA24" s="1038"/>
      <c r="AB24" s="1038"/>
      <c r="AC24" s="9"/>
    </row>
    <row r="25" ht="18" customHeight="1">
      <c r="A25" s="58"/>
      <c r="B25" s="1042" t="s">
        <v>43</v>
      </c>
      <c r="C25" s="1042"/>
      <c r="D25" s="454">
        <v>206.14031122692949040309794472</v>
      </c>
      <c r="E25" s="455">
        <v>259.63231437563842624550662245</v>
      </c>
      <c r="F25" s="456">
        <v>205.18130030363368772417106928</v>
      </c>
      <c r="G25" s="454">
        <v>246.61206541586771712371439197</v>
      </c>
      <c r="H25" s="455">
        <v>310.17801028219417351986579122</v>
      </c>
      <c r="I25" s="456">
        <v>215.45831035909552878152624727</v>
      </c>
      <c r="J25" s="454">
        <v>0</v>
      </c>
      <c r="K25" s="455">
        <v>0</v>
      </c>
      <c r="L25" s="456">
        <v>113.66682260808348162004314327</v>
      </c>
      <c r="M25" s="454">
        <v>210.10013753606301474410789927</v>
      </c>
      <c r="N25" s="455">
        <v>261.34567756480763116788350028</v>
      </c>
      <c r="O25" s="456">
        <v>195.80084086419686038528180322</v>
      </c>
      <c r="P25" s="5"/>
      <c r="Q25" s="427">
        <v>0.562841726092258702024056600</v>
      </c>
      <c r="R25" s="428">
        <v>0.2233959876281437159916438400</v>
      </c>
      <c r="S25" s="429">
        <v>6.1388272129333310365171882700</v>
      </c>
      <c r="T25" s="427">
        <v>-15.926912249632776832079889130</v>
      </c>
      <c r="U25" s="428">
        <v>15.048946863826367699392478630</v>
      </c>
      <c r="V25" s="429">
        <v>11.955085087931194258986350120</v>
      </c>
      <c r="W25" s="427">
        <v>0</v>
      </c>
      <c r="X25" s="428">
        <v>0</v>
      </c>
      <c r="Y25" s="429">
        <v>0.2883551897650897813317053600</v>
      </c>
      <c r="Z25" s="427">
        <v>0.9324603463528598134438877300</v>
      </c>
      <c r="AA25" s="428">
        <v>0.7101183145912264439627880500</v>
      </c>
      <c r="AB25" s="429">
        <v>5.6735262050775301994550704700</v>
      </c>
    </row>
    <row r="26" ht="18" customHeight="1">
      <c r="A26" s="58"/>
      <c r="B26" s="1043" t="s">
        <v>46</v>
      </c>
      <c r="C26" s="1043"/>
      <c r="D26" s="439">
        <v>205.22390964647577780812238185</v>
      </c>
      <c r="E26" s="95">
        <v>264.75944099649678958357681175</v>
      </c>
      <c r="F26" s="440">
        <v>208.4374591265447442717973836</v>
      </c>
      <c r="G26" s="439">
        <v>247.56451199185054532881991374</v>
      </c>
      <c r="H26" s="95">
        <v>292.71682458219829399468318946</v>
      </c>
      <c r="I26" s="440">
        <v>227.1389133931713504747618929</v>
      </c>
      <c r="J26" s="439">
        <v>0</v>
      </c>
      <c r="K26" s="95">
        <v>0</v>
      </c>
      <c r="L26" s="440">
        <v>132.62838885232307212646522447</v>
      </c>
      <c r="M26" s="439">
        <v>209.6465839313997166582106033</v>
      </c>
      <c r="N26" s="95">
        <v>266.50509614742587735960406342</v>
      </c>
      <c r="O26" s="440">
        <v>203.45864056211320905936558472</v>
      </c>
      <c r="P26" s="5"/>
      <c r="Q26" s="420">
        <v>4.0818551487382541556803202300</v>
      </c>
      <c r="R26" s="91">
        <v>-3.9919798151496528120284501300</v>
      </c>
      <c r="S26" s="421">
        <v>8.796178558291243972236110080</v>
      </c>
      <c r="T26" s="420">
        <v>-16.446010363031613517931807050</v>
      </c>
      <c r="U26" s="91">
        <v>24.509529082644592450955410620</v>
      </c>
      <c r="V26" s="421">
        <v>17.056163580263765638333129130</v>
      </c>
      <c r="W26" s="420">
        <v>0</v>
      </c>
      <c r="X26" s="91">
        <v>0</v>
      </c>
      <c r="Y26" s="421">
        <v>17.064695525074388101314847650</v>
      </c>
      <c r="Z26" s="420">
        <v>3.3504699357218871402992491600</v>
      </c>
      <c r="AA26" s="91">
        <v>-2.844297659269475172965810700</v>
      </c>
      <c r="AB26" s="421">
        <v>10.536186662919473792931287190</v>
      </c>
    </row>
    <row r="27" ht="18" customHeight="1">
      <c r="A27" s="58"/>
      <c r="B27" s="1043" t="s">
        <v>47</v>
      </c>
      <c r="C27" s="1043"/>
      <c r="D27" s="439">
        <v>234.88536265401049949067373192</v>
      </c>
      <c r="E27" s="95">
        <v>301.57020570468503009631301107</v>
      </c>
      <c r="F27" s="440">
        <v>219.22709049365665476189226924</v>
      </c>
      <c r="G27" s="439">
        <v>229.52032432911383558781272821</v>
      </c>
      <c r="H27" s="95">
        <v>307.42517650523240532464809464</v>
      </c>
      <c r="I27" s="440">
        <v>231.24699755370558081688830878</v>
      </c>
      <c r="J27" s="439">
        <v>0</v>
      </c>
      <c r="K27" s="95">
        <v>0</v>
      </c>
      <c r="L27" s="440">
        <v>122.65816009660674609695138236</v>
      </c>
      <c r="M27" s="439">
        <v>234.24824007234282904891471338</v>
      </c>
      <c r="N27" s="95">
        <v>302.24485426593480907879684393</v>
      </c>
      <c r="O27" s="440">
        <v>211.33350952082728132599968465</v>
      </c>
      <c r="P27" s="93"/>
      <c r="Q27" s="420">
        <v>12.780186633312330629139056260</v>
      </c>
      <c r="R27" s="91">
        <v>-0.4099450079896693692676029500</v>
      </c>
      <c r="S27" s="421">
        <v>8.869240322839567038107432830</v>
      </c>
      <c r="T27" s="420">
        <v>-2.5805060795649124839207256600</v>
      </c>
      <c r="U27" s="91">
        <v>9.748133510815492874521526940</v>
      </c>
      <c r="V27" s="421">
        <v>17.112306899303841451973400590</v>
      </c>
      <c r="W27" s="420">
        <v>0</v>
      </c>
      <c r="X27" s="91">
        <v>0</v>
      </c>
      <c r="Y27" s="421">
        <v>9.254498401915203190224182250</v>
      </c>
      <c r="Z27" s="420">
        <v>11.063044878581509028897226640</v>
      </c>
      <c r="AA27" s="91">
        <v>0.3086225001381524907282154300</v>
      </c>
      <c r="AB27" s="421">
        <v>10.084636447019976056108759370</v>
      </c>
    </row>
    <row r="28" ht="18" customHeight="1">
      <c r="A28" s="58"/>
      <c r="B28" s="1043" t="s">
        <v>48</v>
      </c>
      <c r="C28" s="1043"/>
      <c r="D28" s="439">
        <v>245.29278140549233943546790942</v>
      </c>
      <c r="E28" s="95">
        <v>316.64487214290933810385186622</v>
      </c>
      <c r="F28" s="440">
        <v>232.89844035788052102917021609</v>
      </c>
      <c r="G28" s="439">
        <v>255.90264394789191529573681438</v>
      </c>
      <c r="H28" s="95">
        <v>346.29504145635932195178133681</v>
      </c>
      <c r="I28" s="440">
        <v>232.84607104682966823412516449</v>
      </c>
      <c r="J28" s="439">
        <v>0</v>
      </c>
      <c r="K28" s="95">
        <v>0</v>
      </c>
      <c r="L28" s="440">
        <v>118.65997570351033945569051286</v>
      </c>
      <c r="M28" s="439">
        <v>246.36729298025376956862545432</v>
      </c>
      <c r="N28" s="95">
        <v>319.11213940647089944179704616</v>
      </c>
      <c r="O28" s="440">
        <v>220.77084836577106403052356762</v>
      </c>
      <c r="P28" s="5"/>
      <c r="Q28" s="420">
        <v>8.427748153994663182580543250</v>
      </c>
      <c r="R28" s="91">
        <v>-2.5614343075977252165810382600</v>
      </c>
      <c r="S28" s="421">
        <v>9.594738805209031275620884890</v>
      </c>
      <c r="T28" s="420">
        <v>9.103129309261839889286794050</v>
      </c>
      <c r="U28" s="91">
        <v>24.203057450055600015239625350</v>
      </c>
      <c r="V28" s="421">
        <v>12.512375733285993289743253620</v>
      </c>
      <c r="W28" s="420">
        <v>0</v>
      </c>
      <c r="X28" s="91">
        <v>0</v>
      </c>
      <c r="Y28" s="421">
        <v>4.7443440395601491179121007400</v>
      </c>
      <c r="Z28" s="420">
        <v>8.530691971070142219303946750</v>
      </c>
      <c r="AA28" s="91">
        <v>-0.6612288938120721324502194500</v>
      </c>
      <c r="AB28" s="421">
        <v>9.218116713915030438862331180</v>
      </c>
    </row>
    <row r="29" ht="18" customHeight="1">
      <c r="A29" s="58"/>
      <c r="B29" s="1043" t="s">
        <v>49</v>
      </c>
      <c r="C29" s="1043"/>
      <c r="D29" s="439">
        <v>267.46185653256398851621387704</v>
      </c>
      <c r="E29" s="95">
        <v>323.8996091004706682497421812</v>
      </c>
      <c r="F29" s="440">
        <v>245.06465711614270440485197724</v>
      </c>
      <c r="G29" s="439">
        <v>342.23089399868520879029835399</v>
      </c>
      <c r="H29" s="95">
        <v>371.45605508269106726200335159</v>
      </c>
      <c r="I29" s="440">
        <v>232.11881618660192300711717535</v>
      </c>
      <c r="J29" s="439">
        <v>0</v>
      </c>
      <c r="K29" s="95">
        <v>0</v>
      </c>
      <c r="L29" s="440">
        <v>118.26871418665002291847318457</v>
      </c>
      <c r="M29" s="439">
        <v>275.21901905414952341747431474</v>
      </c>
      <c r="N29" s="95">
        <v>326.34492915043582087797334378</v>
      </c>
      <c r="O29" s="440">
        <v>229.42176947420534088992470705</v>
      </c>
      <c r="P29" s="93"/>
      <c r="Q29" s="420">
        <v>3.9830885910421584955516423100</v>
      </c>
      <c r="R29" s="91">
        <v>-7.3073309660137950192927705600</v>
      </c>
      <c r="S29" s="421">
        <v>6.2208606643159861381070216800</v>
      </c>
      <c r="T29" s="420">
        <v>12.547890537504294914276790460</v>
      </c>
      <c r="U29" s="91">
        <v>18.981111161823681170390552430</v>
      </c>
      <c r="V29" s="421">
        <v>11.228863400644457677570040530</v>
      </c>
      <c r="W29" s="420">
        <v>0</v>
      </c>
      <c r="X29" s="91">
        <v>0</v>
      </c>
      <c r="Y29" s="421">
        <v>3.1853694048757484028862741400</v>
      </c>
      <c r="Z29" s="420">
        <v>6.0215859067478079513468092900</v>
      </c>
      <c r="AA29" s="91">
        <v>-6.0968418322474871655158547700</v>
      </c>
      <c r="AB29" s="421">
        <v>5.6148366010421735343528587200</v>
      </c>
    </row>
    <row r="30" ht="18" customHeight="1">
      <c r="A30" s="58"/>
      <c r="B30" s="1044" t="s">
        <v>75</v>
      </c>
      <c r="C30" s="1044"/>
      <c r="D30" s="457">
        <v>232.67485680976206167121290793</v>
      </c>
      <c r="E30" s="458">
        <v>293.14609733071687938052226594</v>
      </c>
      <c r="F30" s="459">
        <v>222.67741916389126804647748284</v>
      </c>
      <c r="G30" s="457">
        <v>264.97168170540749860998986692</v>
      </c>
      <c r="H30" s="458">
        <v>326.86976412945061340852717875</v>
      </c>
      <c r="I30" s="459">
        <v>228.79102141796402998741592895</v>
      </c>
      <c r="J30" s="457">
        <v>0</v>
      </c>
      <c r="K30" s="458">
        <v>0</v>
      </c>
      <c r="L30" s="459">
        <v>120.99096177792088465087686369</v>
      </c>
      <c r="M30" s="457">
        <v>236.07159982070972619522240612</v>
      </c>
      <c r="N30" s="458">
        <v>295.25885235514413269707868708</v>
      </c>
      <c r="O30" s="459">
        <v>212.70494737189897352369063932</v>
      </c>
      <c r="P30" s="5"/>
      <c r="Q30" s="430">
        <v>5.9098688467535871274731711300</v>
      </c>
      <c r="R30" s="431">
        <v>-3.3145876433384904913719129400</v>
      </c>
      <c r="S30" s="432">
        <v>7.9062378971431087837228365300</v>
      </c>
      <c r="T30" s="430">
        <v>0.6410472578599224360071371200</v>
      </c>
      <c r="U30" s="431">
        <v>16.84426906950089343468377800</v>
      </c>
      <c r="V30" s="432">
        <v>13.671555125641436963930027360</v>
      </c>
      <c r="W30" s="430">
        <v>0</v>
      </c>
      <c r="X30" s="431">
        <v>0</v>
      </c>
      <c r="Y30" s="432">
        <v>6.7271697331177916981519078300</v>
      </c>
      <c r="Z30" s="430">
        <v>6.0700955531102223761453605400</v>
      </c>
      <c r="AA30" s="431">
        <v>-2.1946737149900683568086707600</v>
      </c>
      <c r="AB30" s="432">
        <v>8.108969261170489323790748520</v>
      </c>
    </row>
    <row r="31" ht="6" customHeight="1">
      <c r="A31" s="58"/>
      <c r="B31" s="631"/>
      <c r="C31" s="631"/>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45" t="s">
        <v>50</v>
      </c>
      <c r="C32" s="1045"/>
      <c r="D32" s="493">
        <v>345.70864834646428834715783747</v>
      </c>
      <c r="E32" s="494">
        <v>363.20038022086031266786195378</v>
      </c>
      <c r="F32" s="495">
        <v>272.97023058477368573923344839</v>
      </c>
      <c r="G32" s="493">
        <v>369.14066848346576090440063684</v>
      </c>
      <c r="H32" s="494">
        <v>380.00691437381996189618020583</v>
      </c>
      <c r="I32" s="495">
        <v>231.91182481529189505268794292</v>
      </c>
      <c r="J32" s="493">
        <v>0</v>
      </c>
      <c r="K32" s="494">
        <v>0</v>
      </c>
      <c r="L32" s="495">
        <v>125.09722144718385037386137679</v>
      </c>
      <c r="M32" s="493">
        <v>347.94799653130237921481677537</v>
      </c>
      <c r="N32" s="494">
        <v>363.79035711964397325040393593</v>
      </c>
      <c r="O32" s="495">
        <v>251.07720759665867863176922054</v>
      </c>
      <c r="P32" s="93"/>
      <c r="Q32" s="479">
        <v>-1.8753795219591981656283629200</v>
      </c>
      <c r="R32" s="480">
        <v>-11.044216780478451811521649660</v>
      </c>
      <c r="S32" s="481">
        <v>3.9685340448956234536039967500</v>
      </c>
      <c r="T32" s="479">
        <v>8.173981991916989001657098870</v>
      </c>
      <c r="U32" s="480">
        <v>11.313336123086416506383772340</v>
      </c>
      <c r="V32" s="481">
        <v>15.891796799331841577780059530</v>
      </c>
      <c r="W32" s="479">
        <v>0</v>
      </c>
      <c r="X32" s="480">
        <v>0</v>
      </c>
      <c r="Y32" s="481">
        <v>9.500900386688723271106622500</v>
      </c>
      <c r="Z32" s="479">
        <v>-1.0377360146175360097254234800</v>
      </c>
      <c r="AA32" s="480">
        <v>-10.413946865799725188164614710</v>
      </c>
      <c r="AB32" s="481">
        <v>4.0921642133028747374582912300</v>
      </c>
    </row>
    <row r="33" ht="18" customHeight="1">
      <c r="A33" s="58"/>
      <c r="B33" s="1046" t="s">
        <v>51</v>
      </c>
      <c r="C33" s="1046"/>
      <c r="D33" s="276">
        <v>336.49702334504051199641412745</v>
      </c>
      <c r="E33" s="94">
        <v>357.78668493674220870260281401</v>
      </c>
      <c r="F33" s="277">
        <v>266.0976192072619215805833662</v>
      </c>
      <c r="G33" s="276">
        <v>303.10649257897229385916259637</v>
      </c>
      <c r="H33" s="94">
        <v>379.46302611729491404142592375</v>
      </c>
      <c r="I33" s="277">
        <v>228.2534922240726731920792796</v>
      </c>
      <c r="J33" s="276">
        <v>0</v>
      </c>
      <c r="K33" s="94">
        <v>0</v>
      </c>
      <c r="L33" s="277">
        <v>116.52260647247190771222444126</v>
      </c>
      <c r="M33" s="276">
        <v>333.86148813498802374115048017</v>
      </c>
      <c r="N33" s="94">
        <v>358.45359784130268766419736255</v>
      </c>
      <c r="O33" s="277">
        <v>245.16539842882810687235096672</v>
      </c>
      <c r="P33" s="5"/>
      <c r="Q33" s="271">
        <v>6.4319444570564882357096837300</v>
      </c>
      <c r="R33" s="92">
        <v>0.8898426357905757616379178500</v>
      </c>
      <c r="S33" s="272">
        <v>11.460833475446174742263248390</v>
      </c>
      <c r="T33" s="271">
        <v>5.7745581958452699430648455700</v>
      </c>
      <c r="U33" s="92">
        <v>13.051004467009826892501611820</v>
      </c>
      <c r="V33" s="272">
        <v>17.708904002885060345735204060</v>
      </c>
      <c r="W33" s="271">
        <v>0</v>
      </c>
      <c r="X33" s="92">
        <v>-100</v>
      </c>
      <c r="Y33" s="272">
        <v>3.7502265316106603417970940400</v>
      </c>
      <c r="Z33" s="271">
        <v>6.130577330164524840749786700</v>
      </c>
      <c r="AA33" s="92">
        <v>1.3218885733015320640728352600</v>
      </c>
      <c r="AB33" s="272">
        <v>10.107562422953061749814081520</v>
      </c>
    </row>
    <row r="34" ht="18" customHeight="1">
      <c r="A34" s="58"/>
      <c r="B34" s="1047" t="s">
        <v>76</v>
      </c>
      <c r="C34" s="1047"/>
      <c r="D34" s="443">
        <v>340.86694061778277567751521184</v>
      </c>
      <c r="E34" s="444">
        <v>360.36778514320582696256949548</v>
      </c>
      <c r="F34" s="445">
        <v>269.38462143782872227573824412</v>
      </c>
      <c r="G34" s="443">
        <v>337.88785240652992153947881615</v>
      </c>
      <c r="H34" s="444">
        <v>379.73124498352644449034584367</v>
      </c>
      <c r="I34" s="445">
        <v>230.15378707636843046292851975</v>
      </c>
      <c r="J34" s="443">
        <v>0</v>
      </c>
      <c r="K34" s="444">
        <v>0</v>
      </c>
      <c r="L34" s="445">
        <v>120.64194325308196825056285558</v>
      </c>
      <c r="M34" s="633">
        <v>340.60806131053625899951669254</v>
      </c>
      <c r="N34" s="634">
        <v>361.00114945618587435113812207</v>
      </c>
      <c r="O34" s="635">
        <v>248.03415575116163161241544504</v>
      </c>
      <c r="P34" s="93"/>
      <c r="Q34" s="273">
        <v>1.8892900091840454111763594300</v>
      </c>
      <c r="R34" s="274">
        <v>-5.7070145928905796946732906900</v>
      </c>
      <c r="S34" s="275">
        <v>7.392704955666692541085043500</v>
      </c>
      <c r="T34" s="273">
        <v>6.5348833031875328974901295300</v>
      </c>
      <c r="U34" s="274">
        <v>12.078020090505818605557687850</v>
      </c>
      <c r="V34" s="275">
        <v>16.614584095586421787976490790</v>
      </c>
      <c r="W34" s="273">
        <v>0</v>
      </c>
      <c r="X34" s="274">
        <v>-100</v>
      </c>
      <c r="Y34" s="275">
        <v>6.4833767699102218987264776300</v>
      </c>
      <c r="Z34" s="273">
        <v>2.1271608839350338130051066900</v>
      </c>
      <c r="AA34" s="274">
        <v>-5.1576442464674483092124118800</v>
      </c>
      <c r="AB34" s="275">
        <v>6.8119151290267410187331080100</v>
      </c>
    </row>
    <row r="35" ht="6" customHeight="1">
      <c r="A35" s="58"/>
      <c r="B35" s="631"/>
      <c r="C35" s="631"/>
      <c r="D35" s="95"/>
      <c r="E35" s="95"/>
      <c r="F35" s="95"/>
      <c r="G35" s="95"/>
      <c r="H35" s="95"/>
      <c r="I35" s="95"/>
      <c r="J35" s="95"/>
      <c r="K35" s="95"/>
      <c r="L35" s="95"/>
      <c r="M35" s="636"/>
      <c r="N35" s="636"/>
      <c r="O35" s="636"/>
      <c r="P35" s="93"/>
      <c r="Q35" s="91"/>
      <c r="R35" s="91"/>
      <c r="S35" s="91"/>
      <c r="T35" s="91"/>
      <c r="U35" s="91"/>
      <c r="V35" s="91"/>
      <c r="W35" s="91"/>
      <c r="X35" s="91"/>
      <c r="Y35" s="91"/>
      <c r="Z35" s="91"/>
      <c r="AA35" s="91"/>
      <c r="AB35" s="91"/>
    </row>
    <row r="36" ht="18" customHeight="1">
      <c r="A36" s="58"/>
      <c r="B36" s="982" t="s">
        <v>12</v>
      </c>
      <c r="C36" s="982"/>
      <c r="D36" s="482">
        <v>266.76650366748166259168704156</v>
      </c>
      <c r="E36" s="483">
        <v>315.88476269775187343880099918</v>
      </c>
      <c r="F36" s="484">
        <v>238.59711478719800350618521208</v>
      </c>
      <c r="G36" s="482">
        <v>275.21285140562248995983935743</v>
      </c>
      <c r="H36" s="483">
        <v>338.55219780219780219780219782</v>
      </c>
      <c r="I36" s="484">
        <v>228.27622725857999949542768604</v>
      </c>
      <c r="J36" s="482">
        <v>0</v>
      </c>
      <c r="K36" s="483">
        <v>0</v>
      </c>
      <c r="L36" s="484">
        <v>119.93587159739635292938710367</v>
      </c>
      <c r="M36" s="482">
        <v>267.60826495897538523113868321</v>
      </c>
      <c r="N36" s="483">
        <v>317.18024807662113361595226881</v>
      </c>
      <c r="O36" s="484">
        <v>223.98688693981366287910204307</v>
      </c>
      <c r="P36" s="93"/>
      <c r="Q36" s="468">
        <v>3.9950841868842019094646124600</v>
      </c>
      <c r="R36" s="469">
        <v>-4.576034344116034735767529900</v>
      </c>
      <c r="S36" s="470">
        <v>7.6158198899922061155123294600</v>
      </c>
      <c r="T36" s="468">
        <v>-1.5473698876574309368962688800</v>
      </c>
      <c r="U36" s="469">
        <v>18.583069292124198697522591660</v>
      </c>
      <c r="V36" s="470">
        <v>13.879616961247861606209423090</v>
      </c>
      <c r="W36" s="468">
        <v>0</v>
      </c>
      <c r="X36" s="469">
        <v>-100</v>
      </c>
      <c r="Y36" s="470">
        <v>7.1630476927270719852198004700</v>
      </c>
      <c r="Z36" s="468">
        <v>3.7267022814375971313477932500</v>
      </c>
      <c r="AA36" s="469">
        <v>-3.5213964327677011398140308800</v>
      </c>
      <c r="AB36" s="470">
        <v>7.3818239992514517119402932900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7" t="s">
        <v>10</v>
      </c>
      <c r="C38" s="1037"/>
      <c r="D38" s="1037"/>
      <c r="E38" s="1037"/>
      <c r="F38" s="1037"/>
      <c r="G38" s="1037"/>
      <c r="H38" s="1037"/>
      <c r="I38" s="1037"/>
      <c r="J38" s="1037"/>
      <c r="K38" s="1037"/>
      <c r="L38" s="1037"/>
      <c r="M38" s="1037"/>
      <c r="N38" s="1037"/>
      <c r="O38" s="1037"/>
      <c r="P38" s="411"/>
      <c r="Q38" s="1038"/>
      <c r="R38" s="1038"/>
      <c r="S38" s="1038"/>
      <c r="T38" s="1038"/>
      <c r="U38" s="1038"/>
      <c r="V38" s="1038"/>
      <c r="W38" s="1038"/>
      <c r="X38" s="1038"/>
      <c r="Y38" s="1038"/>
      <c r="Z38" s="1038"/>
      <c r="AA38" s="1038"/>
      <c r="AB38" s="1038"/>
      <c r="AC38" s="9"/>
    </row>
    <row r="39" ht="18" customHeight="1">
      <c r="A39" s="58"/>
      <c r="B39" s="1042" t="s">
        <v>43</v>
      </c>
      <c r="C39" s="1042"/>
      <c r="D39" s="454">
        <v>150.64099666583308914072542127</v>
      </c>
      <c r="E39" s="455">
        <v>178.58159547157055819934792982</v>
      </c>
      <c r="F39" s="456">
        <v>104.49211438707827538077188879</v>
      </c>
      <c r="G39" s="454">
        <v>19.545012177481357534280394719</v>
      </c>
      <c r="H39" s="455">
        <v>8.676307979921515343213029133</v>
      </c>
      <c r="I39" s="456">
        <v>21.12420695519922867847219063</v>
      </c>
      <c r="J39" s="454">
        <v>0</v>
      </c>
      <c r="K39" s="455">
        <v>0</v>
      </c>
      <c r="L39" s="456">
        <v>9.28086043775800243661161322</v>
      </c>
      <c r="M39" s="454">
        <v>170.18600884331444667500581584</v>
      </c>
      <c r="N39" s="455">
        <v>187.25790345149207354256095878</v>
      </c>
      <c r="O39" s="456">
        <v>134.89718178003550649585569251</v>
      </c>
      <c r="P39" s="5"/>
      <c r="Q39" s="427">
        <v>-9.666329853481022526778511450</v>
      </c>
      <c r="R39" s="428">
        <v>32.141391408809486217230584940</v>
      </c>
      <c r="S39" s="429">
        <v>0.9976641226748738895534160200</v>
      </c>
      <c r="T39" s="427">
        <v>119.88346026929166732635060864</v>
      </c>
      <c r="U39" s="428">
        <v>38.702366708798901807562606040</v>
      </c>
      <c r="V39" s="429">
        <v>86.11740596260514654570159683</v>
      </c>
      <c r="W39" s="427">
        <v>0</v>
      </c>
      <c r="X39" s="428">
        <v>0</v>
      </c>
      <c r="Y39" s="429">
        <v>24.838092298197864956338826440</v>
      </c>
      <c r="Z39" s="427">
        <v>-3.1104144465526595752645676800</v>
      </c>
      <c r="AA39" s="428">
        <v>32.431640650329944683834989060</v>
      </c>
      <c r="AB39" s="429">
        <v>10.350591263152733532737277860</v>
      </c>
    </row>
    <row r="40" ht="18" customHeight="1">
      <c r="A40" s="58"/>
      <c r="B40" s="1043" t="s">
        <v>46</v>
      </c>
      <c r="C40" s="1043"/>
      <c r="D40" s="439">
        <v>139.44701552901559261321136215</v>
      </c>
      <c r="E40" s="95">
        <v>162.40667879666765593785480973</v>
      </c>
      <c r="F40" s="440">
        <v>96.84105669925344465192092336</v>
      </c>
      <c r="G40" s="439">
        <v>19.620497453899577019067312528</v>
      </c>
      <c r="H40" s="95">
        <v>12.491770530852285094268352009</v>
      </c>
      <c r="I40" s="440">
        <v>28.657414867127237165599296431</v>
      </c>
      <c r="J40" s="439">
        <v>0</v>
      </c>
      <c r="K40" s="95">
        <v>0</v>
      </c>
      <c r="L40" s="440">
        <v>9.932660328013344828435595898</v>
      </c>
      <c r="M40" s="439">
        <v>159.06751298291516963227867453</v>
      </c>
      <c r="N40" s="95">
        <v>174.89844932751994103212316157</v>
      </c>
      <c r="O40" s="440">
        <v>135.43113189439402664595581556</v>
      </c>
      <c r="P40" s="5"/>
      <c r="Q40" s="420">
        <v>-1.73324445063450882697567600</v>
      </c>
      <c r="R40" s="91">
        <v>30.786619852266251428498948870</v>
      </c>
      <c r="S40" s="421">
        <v>1.2144923201334696557398076800</v>
      </c>
      <c r="T40" s="420">
        <v>51.511234541179045268437398530</v>
      </c>
      <c r="U40" s="91">
        <v>242.20021097470177724875907770</v>
      </c>
      <c r="V40" s="421">
        <v>132.40371390568425215156478848</v>
      </c>
      <c r="W40" s="420">
        <v>0</v>
      </c>
      <c r="X40" s="91">
        <v>0</v>
      </c>
      <c r="Y40" s="421">
        <v>41.34423456224190494662933400</v>
      </c>
      <c r="Z40" s="420">
        <v>2.7193220277045679040736832900</v>
      </c>
      <c r="AA40" s="91">
        <v>36.824064420340133457309186980</v>
      </c>
      <c r="AB40" s="421">
        <v>17.72811687932704714064080400</v>
      </c>
    </row>
    <row r="41" ht="18" customHeight="1">
      <c r="A41" s="58"/>
      <c r="B41" s="1043" t="s">
        <v>47</v>
      </c>
      <c r="C41" s="1043"/>
      <c r="D41" s="439">
        <v>166.58245125287341368307105594</v>
      </c>
      <c r="E41" s="95">
        <v>176.33502614362163943770427291</v>
      </c>
      <c r="F41" s="440">
        <v>105.96695348237751699414499276</v>
      </c>
      <c r="G41" s="439">
        <v>21.93550885196659034755319782</v>
      </c>
      <c r="H41" s="95">
        <v>16.978116256699225540611729109</v>
      </c>
      <c r="I41" s="440">
        <v>34.328201084773099321461560237</v>
      </c>
      <c r="J41" s="439">
        <v>0</v>
      </c>
      <c r="K41" s="95">
        <v>0</v>
      </c>
      <c r="L41" s="440">
        <v>9.364025304262528857773920034</v>
      </c>
      <c r="M41" s="439">
        <v>188.5179601048400040306242536</v>
      </c>
      <c r="N41" s="95">
        <v>193.31314240032086497831600185</v>
      </c>
      <c r="O41" s="440">
        <v>149.65917987141314517338047288</v>
      </c>
      <c r="P41" s="93"/>
      <c r="Q41" s="420">
        <v>17.713110748488315660054499820</v>
      </c>
      <c r="R41" s="91">
        <v>33.774996612665643097218392520</v>
      </c>
      <c r="S41" s="421">
        <v>5.0069193294152895479476186700</v>
      </c>
      <c r="T41" s="420">
        <v>27.814376023655537303005818800</v>
      </c>
      <c r="U41" s="91">
        <v>114.93678598068050136142884808</v>
      </c>
      <c r="V41" s="421">
        <v>124.62173973734701925488604048</v>
      </c>
      <c r="W41" s="420">
        <v>0</v>
      </c>
      <c r="X41" s="91">
        <v>0</v>
      </c>
      <c r="Y41" s="421">
        <v>29.627893530246270998343857490</v>
      </c>
      <c r="Z41" s="420">
        <v>18.805627403057300698765198110</v>
      </c>
      <c r="AA41" s="91">
        <v>38.363712747811647528069398520</v>
      </c>
      <c r="AB41" s="421">
        <v>21.259381263309529972050013390</v>
      </c>
    </row>
    <row r="42" ht="18" customHeight="1">
      <c r="A42" s="58"/>
      <c r="B42" s="1043" t="s">
        <v>48</v>
      </c>
      <c r="C42" s="1043"/>
      <c r="D42" s="439">
        <v>181.39658485056513912797714296</v>
      </c>
      <c r="E42" s="95">
        <v>189.23746796706416064194697348</v>
      </c>
      <c r="F42" s="440">
        <v>117.74759618118941526044977923</v>
      </c>
      <c r="G42" s="439">
        <v>21.325220328990992941311401217</v>
      </c>
      <c r="H42" s="95">
        <v>20.242457148067623983554010383</v>
      </c>
      <c r="I42" s="440">
        <v>38.460889033990109224951390078</v>
      </c>
      <c r="J42" s="439">
        <v>0</v>
      </c>
      <c r="K42" s="95">
        <v>0</v>
      </c>
      <c r="L42" s="440">
        <v>9.445259571816340083502486331</v>
      </c>
      <c r="M42" s="439">
        <v>202.721805179556132069288544</v>
      </c>
      <c r="N42" s="95">
        <v>209.47992511513178462550098368</v>
      </c>
      <c r="O42" s="440">
        <v>165.65374478699586456890365547</v>
      </c>
      <c r="P42" s="5"/>
      <c r="Q42" s="420">
        <v>10.429223440931288586643052940</v>
      </c>
      <c r="R42" s="91">
        <v>23.965343791114819062480997270</v>
      </c>
      <c r="S42" s="421">
        <v>5.8229604522815569454291431500</v>
      </c>
      <c r="T42" s="420">
        <v>21.888652275320878671917305490</v>
      </c>
      <c r="U42" s="91">
        <v>81.60250988628322968071763567</v>
      </c>
      <c r="V42" s="421">
        <v>101.73428857418159044420450728</v>
      </c>
      <c r="W42" s="420">
        <v>0</v>
      </c>
      <c r="X42" s="91">
        <v>0</v>
      </c>
      <c r="Y42" s="421">
        <v>26.358174625043534046080066830</v>
      </c>
      <c r="Z42" s="420">
        <v>11.532268604900548082275949230</v>
      </c>
      <c r="AA42" s="91">
        <v>27.887544745120039437164905320</v>
      </c>
      <c r="AB42" s="421">
        <v>20.205675896715489397054840390</v>
      </c>
    </row>
    <row r="43" ht="18" customHeight="1">
      <c r="A43" s="58"/>
      <c r="B43" s="1043" t="s">
        <v>49</v>
      </c>
      <c r="C43" s="1043"/>
      <c r="D43" s="439">
        <v>208.70129714283402134219719212</v>
      </c>
      <c r="E43" s="95">
        <v>226.38706764813244841984848906</v>
      </c>
      <c r="F43" s="440">
        <v>131.64885741674248685556991476</v>
      </c>
      <c r="G43" s="439">
        <v>30.91246420151294135343604016</v>
      </c>
      <c r="H43" s="95">
        <v>15.518963750092705517670213556</v>
      </c>
      <c r="I43" s="440">
        <v>33.56685685008604654697531257</v>
      </c>
      <c r="J43" s="439">
        <v>0</v>
      </c>
      <c r="K43" s="95">
        <v>0</v>
      </c>
      <c r="L43" s="440">
        <v>9.351883956297836281105466698</v>
      </c>
      <c r="M43" s="439">
        <v>239.61376134434696269563323206</v>
      </c>
      <c r="N43" s="95">
        <v>241.90603139822515393751870238</v>
      </c>
      <c r="O43" s="440">
        <v>174.56759822312636968365069384</v>
      </c>
      <c r="P43" s="93"/>
      <c r="Q43" s="420">
        <v>-2.3609006848577506652019865100</v>
      </c>
      <c r="R43" s="91">
        <v>18.318279296726611138695142920</v>
      </c>
      <c r="S43" s="421">
        <v>1.7421573208710583824785320600</v>
      </c>
      <c r="T43" s="420">
        <v>129.53846096490516311989975515</v>
      </c>
      <c r="U43" s="91">
        <v>68.799041127682773858555710100</v>
      </c>
      <c r="V43" s="421">
        <v>58.347505675549962898773360450</v>
      </c>
      <c r="W43" s="420">
        <v>0</v>
      </c>
      <c r="X43" s="91">
        <v>0</v>
      </c>
      <c r="Y43" s="421">
        <v>25.010293615564094583973534560</v>
      </c>
      <c r="Z43" s="420">
        <v>5.4568903759411411006727405400</v>
      </c>
      <c r="AA43" s="91">
        <v>20.632671148456859873258223870</v>
      </c>
      <c r="AB43" s="421">
        <v>10.434299365326069065354790050</v>
      </c>
    </row>
    <row r="44" ht="18" customHeight="1">
      <c r="A44" s="58"/>
      <c r="B44" s="1044" t="s">
        <v>75</v>
      </c>
      <c r="C44" s="1044"/>
      <c r="D44" s="457">
        <v>169.35366908822425118143643485</v>
      </c>
      <c r="E44" s="458">
        <v>186.58956720541129252734049488</v>
      </c>
      <c r="F44" s="459">
        <v>111.3393156333282278285714998</v>
      </c>
      <c r="G44" s="457">
        <v>22.667740602770291839129669284</v>
      </c>
      <c r="H44" s="458">
        <v>14.781523133126671095863466829</v>
      </c>
      <c r="I44" s="459">
        <v>31.227513758235144187491949992</v>
      </c>
      <c r="J44" s="457">
        <v>0</v>
      </c>
      <c r="K44" s="458">
        <v>0</v>
      </c>
      <c r="L44" s="459">
        <v>9.474937919629610497485816439</v>
      </c>
      <c r="M44" s="457">
        <v>192.021409690994543020566104</v>
      </c>
      <c r="N44" s="458">
        <v>201.37109033853796362320396166</v>
      </c>
      <c r="O44" s="459">
        <v>152.04176731119298251354926604</v>
      </c>
      <c r="P44" s="5"/>
      <c r="Q44" s="430">
        <v>2.2425615934583441394653456900</v>
      </c>
      <c r="R44" s="431">
        <v>26.909805475637349368915342720</v>
      </c>
      <c r="S44" s="432">
        <v>2.9580365344774501443243908600</v>
      </c>
      <c r="T44" s="430">
        <v>61.996773436438439528897840160</v>
      </c>
      <c r="U44" s="431">
        <v>93.75330624168985709679667919</v>
      </c>
      <c r="V44" s="432">
        <v>97.08880087516220544902297641</v>
      </c>
      <c r="W44" s="430">
        <v>0</v>
      </c>
      <c r="X44" s="431">
        <v>0</v>
      </c>
      <c r="Y44" s="432">
        <v>29.293908051204908760624228690</v>
      </c>
      <c r="Z44" s="430">
        <v>6.8972125436814295216768649300</v>
      </c>
      <c r="AA44" s="431">
        <v>30.207170539573678008639334820</v>
      </c>
      <c r="AB44" s="432">
        <v>15.785694188537126704335552500</v>
      </c>
    </row>
    <row r="45" ht="6" customHeight="1">
      <c r="A45" s="58"/>
      <c r="B45" s="631"/>
      <c r="C45" s="631"/>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45" t="s">
        <v>50</v>
      </c>
      <c r="C46" s="1045"/>
      <c r="D46" s="493">
        <v>263.1092626692787649075688439</v>
      </c>
      <c r="E46" s="494">
        <v>282.05502003524224747436078954</v>
      </c>
      <c r="F46" s="495">
        <v>160.97088697180250162606179427</v>
      </c>
      <c r="G46" s="493">
        <v>29.686137675243750002801449842</v>
      </c>
      <c r="H46" s="494">
        <v>12.26488158280215046464271779</v>
      </c>
      <c r="I46" s="495">
        <v>33.191876294247733643764277275</v>
      </c>
      <c r="J46" s="493">
        <v>0</v>
      </c>
      <c r="K46" s="494">
        <v>0</v>
      </c>
      <c r="L46" s="495">
        <v>10.089309322266454043234667013</v>
      </c>
      <c r="M46" s="493">
        <v>292.79540034452251491037029349</v>
      </c>
      <c r="N46" s="494">
        <v>294.31990161804439793900350706</v>
      </c>
      <c r="O46" s="495">
        <v>204.25207258831668931306073835</v>
      </c>
      <c r="P46" s="93"/>
      <c r="Q46" s="479">
        <v>-11.191438430827866432156382320</v>
      </c>
      <c r="R46" s="480">
        <v>12.964157262484764335582951390</v>
      </c>
      <c r="S46" s="481">
        <v>-0.1955553954466034008226707800</v>
      </c>
      <c r="T46" s="479">
        <v>48.854795732559056154067097520</v>
      </c>
      <c r="U46" s="480">
        <v>80.65214366966942722714577222</v>
      </c>
      <c r="V46" s="481">
        <v>36.291540551202939712244113570</v>
      </c>
      <c r="W46" s="479">
        <v>0</v>
      </c>
      <c r="X46" s="480">
        <v>0</v>
      </c>
      <c r="Y46" s="481">
        <v>38.319662351479493254276066720</v>
      </c>
      <c r="Z46" s="479">
        <v>-7.4043724554097037290850695700</v>
      </c>
      <c r="AA46" s="480">
        <v>14.755948515725649270929705530</v>
      </c>
      <c r="AB46" s="481">
        <v>5.8662520299713791514196944100</v>
      </c>
    </row>
    <row r="47" ht="18" customHeight="1">
      <c r="A47" s="58"/>
      <c r="B47" s="1046" t="s">
        <v>51</v>
      </c>
      <c r="C47" s="1046"/>
      <c r="D47" s="276">
        <v>263.48008267330823639546062924</v>
      </c>
      <c r="E47" s="94">
        <v>283.14354204201393905485700576</v>
      </c>
      <c r="F47" s="277">
        <v>158.94662264342252128445777116</v>
      </c>
      <c r="G47" s="276">
        <v>20.338314437117188548991429644</v>
      </c>
      <c r="H47" s="94">
        <v>11.688421550399526989288011315</v>
      </c>
      <c r="I47" s="277">
        <v>28.063953961976148343288436045</v>
      </c>
      <c r="J47" s="276">
        <v>0</v>
      </c>
      <c r="K47" s="94">
        <v>0</v>
      </c>
      <c r="L47" s="277">
        <v>9.438148545421607944442892557</v>
      </c>
      <c r="M47" s="276">
        <v>283.81839711042542494445205863</v>
      </c>
      <c r="N47" s="94">
        <v>294.83196359241346604414501682</v>
      </c>
      <c r="O47" s="277">
        <v>196.44872515082027757218909956</v>
      </c>
      <c r="P47" s="5"/>
      <c r="Q47" s="271">
        <v>-4.7892663504963401513697363700</v>
      </c>
      <c r="R47" s="92">
        <v>27.888280565190648721784856780</v>
      </c>
      <c r="S47" s="272">
        <v>4.0641310726868590711629939100</v>
      </c>
      <c r="T47" s="271">
        <v>43.284527572718125411865195430</v>
      </c>
      <c r="U47" s="92">
        <v>99.09271669707712977481626300</v>
      </c>
      <c r="V47" s="272">
        <v>38.660211952287928494673998690</v>
      </c>
      <c r="W47" s="271">
        <v>0</v>
      </c>
      <c r="X47" s="92">
        <v>-100</v>
      </c>
      <c r="Y47" s="272">
        <v>27.326557024318445750952098710</v>
      </c>
      <c r="Z47" s="271">
        <v>-2.4437491757275325052715614700</v>
      </c>
      <c r="AA47" s="92">
        <v>29.311762541926758438278824980</v>
      </c>
      <c r="AB47" s="272">
        <v>8.901604804600726556935522230</v>
      </c>
    </row>
    <row r="48" ht="18" customHeight="1">
      <c r="A48" s="58"/>
      <c r="B48" s="1047" t="s">
        <v>76</v>
      </c>
      <c r="C48" s="1047"/>
      <c r="D48" s="443">
        <v>263.30153970840515753092013999</v>
      </c>
      <c r="E48" s="444">
        <v>282.61943885356830977535882752</v>
      </c>
      <c r="F48" s="445">
        <v>159.92126843116103033782267119</v>
      </c>
      <c r="G48" s="443">
        <v>24.839118218437384804529587514</v>
      </c>
      <c r="H48" s="444">
        <v>11.965976380815604958903240355</v>
      </c>
      <c r="I48" s="445">
        <v>30.532953603440244969443470714</v>
      </c>
      <c r="J48" s="443">
        <v>0</v>
      </c>
      <c r="K48" s="444">
        <v>0</v>
      </c>
      <c r="L48" s="445">
        <v>9.751670400939496806824117296</v>
      </c>
      <c r="M48" s="443">
        <v>288.14065792684254233544972727</v>
      </c>
      <c r="N48" s="444">
        <v>294.58541523438391473426206767</v>
      </c>
      <c r="O48" s="445">
        <v>200.20589243554077211409025898</v>
      </c>
      <c r="P48" s="93"/>
      <c r="Q48" s="273">
        <v>-8.212953077466855686667681920</v>
      </c>
      <c r="R48" s="274">
        <v>19.720472231585444847010866820</v>
      </c>
      <c r="S48" s="275">
        <v>1.7503773735713593906899769700</v>
      </c>
      <c r="T48" s="273">
        <v>44.622484069624613288988893480</v>
      </c>
      <c r="U48" s="274">
        <v>88.52840754531592666207014630</v>
      </c>
      <c r="V48" s="275">
        <v>36.476655776279955365220451500</v>
      </c>
      <c r="W48" s="273">
        <v>0</v>
      </c>
      <c r="X48" s="274">
        <v>-100</v>
      </c>
      <c r="Y48" s="275">
        <v>32.654232563251949118279355180</v>
      </c>
      <c r="Z48" s="273">
        <v>-5.2282579054713881617576500600</v>
      </c>
      <c r="AA48" s="274">
        <v>21.345890651127148772346155160</v>
      </c>
      <c r="AB48" s="275">
        <v>7.1228790956622449847067062800</v>
      </c>
    </row>
    <row r="49" ht="6" customHeight="1">
      <c r="A49" s="58"/>
      <c r="B49" s="631"/>
      <c r="C49" s="631"/>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82" t="s">
        <v>12</v>
      </c>
      <c r="C50" s="982"/>
      <c r="D50" s="482">
        <v>197.6585144927536231884057971</v>
      </c>
      <c r="E50" s="483">
        <v>214.7744565217391304347826087</v>
      </c>
      <c r="F50" s="484">
        <v>125.6722767614774740294155017</v>
      </c>
      <c r="G50" s="482">
        <v>22.571805006587615283267457181</v>
      </c>
      <c r="H50" s="483">
        <v>13.953011775362318840579710145</v>
      </c>
      <c r="I50" s="484">
        <v>30.963765817020974000172235597</v>
      </c>
      <c r="J50" s="482">
        <v>0</v>
      </c>
      <c r="K50" s="483">
        <v>0</v>
      </c>
      <c r="L50" s="484">
        <v>9.540848410492255344989863634</v>
      </c>
      <c r="M50" s="482">
        <v>220.23031949934123847167325428</v>
      </c>
      <c r="N50" s="483">
        <v>228.72746829710144927536231884</v>
      </c>
      <c r="O50" s="484">
        <v>166.17689098899070337457760093</v>
      </c>
      <c r="P50" s="93"/>
      <c r="Q50" s="468">
        <v>-1.7278126955152437039141040100</v>
      </c>
      <c r="R50" s="469">
        <v>24.353825685616267431853473450</v>
      </c>
      <c r="S50" s="470">
        <v>2.5565433610655926064403312500</v>
      </c>
      <c r="T50" s="468">
        <v>50.396962564393653421066723480</v>
      </c>
      <c r="U50" s="469">
        <v>81.27177280441474012483786145</v>
      </c>
      <c r="V50" s="470">
        <v>76.819276575316489532453847230</v>
      </c>
      <c r="W50" s="468">
        <v>0</v>
      </c>
      <c r="X50" s="469">
        <v>-100</v>
      </c>
      <c r="Y50" s="470">
        <v>25.965329830288195725625372490</v>
      </c>
      <c r="Z50" s="468">
        <v>1.8915532337768083904659682600</v>
      </c>
      <c r="AA50" s="469">
        <v>26.709731085045564630684386750</v>
      </c>
      <c r="AB50" s="470">
        <v>12.566735374463852983587407170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48" t="s">
        <v>126</v>
      </c>
      <c r="C52" s="1048"/>
      <c r="D52" s="1048"/>
      <c r="E52" s="1048"/>
      <c r="F52" s="1048"/>
      <c r="G52" s="1048"/>
      <c r="H52" s="1048"/>
      <c r="I52" s="1048"/>
      <c r="J52" s="1048"/>
      <c r="K52" s="1048"/>
      <c r="L52" s="1048"/>
      <c r="M52" s="1048"/>
      <c r="N52" s="1048"/>
      <c r="O52" s="1048"/>
      <c r="P52" s="1048"/>
      <c r="Q52" s="1048"/>
      <c r="R52" s="1048"/>
      <c r="S52" s="1048"/>
      <c r="T52" s="1048"/>
      <c r="U52" s="1048"/>
      <c r="V52" s="1048"/>
      <c r="W52" s="1048"/>
      <c r="X52" s="1048"/>
      <c r="Y52" s="1048"/>
      <c r="Z52" s="1048"/>
      <c r="AA52" s="1048"/>
      <c r="AB52" s="1048"/>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6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8"/>
      <c r="B1" s="656" t="s">
        <v>157</v>
      </c>
      <c r="Y1" s="5"/>
      <c r="AB1" s="685"/>
      <c r="AD1" s="236"/>
    </row>
    <row r="2" ht="15" customHeight="1">
      <c r="A2" s="11"/>
      <c r="B2" s="11" t="s">
        <v>208</v>
      </c>
    </row>
    <row r="3" ht="17.1" customHeight="1">
      <c r="A3" s="11"/>
      <c r="B3" s="11" t="s">
        <v>209</v>
      </c>
      <c r="R3" s="1040" t="s">
        <v>301</v>
      </c>
      <c r="S3" s="1040"/>
      <c r="T3" s="1040"/>
      <c r="U3" s="1040"/>
      <c r="V3" s="1040"/>
      <c r="W3" s="1040"/>
      <c r="X3" s="1040"/>
      <c r="Y3" s="1040"/>
      <c r="Z3" s="1040"/>
      <c r="AA3" s="1040"/>
      <c r="AB3" s="1040"/>
    </row>
    <row r="4" ht="19.5" customHeight="1">
      <c r="A4" s="4"/>
      <c r="B4" s="211" t="s">
        <v>210</v>
      </c>
      <c r="C4" s="5"/>
      <c r="D4" s="5"/>
      <c r="E4" s="5"/>
      <c r="F4" s="5"/>
      <c r="G4" s="5"/>
      <c r="H4" s="212"/>
      <c r="I4" s="212"/>
      <c r="J4" s="212"/>
      <c r="K4" s="212"/>
      <c r="L4" s="212"/>
      <c r="M4" s="212"/>
      <c r="N4" s="212"/>
      <c r="O4" s="212"/>
      <c r="P4" s="212"/>
      <c r="Q4" s="212"/>
      <c r="R4" s="212"/>
      <c r="S4" s="212"/>
      <c r="T4" s="212"/>
      <c r="U4" s="4"/>
      <c r="V4" s="4"/>
    </row>
    <row r="5" ht="12.75" customHeight="1"/>
    <row r="6" ht="15.75">
      <c r="D6" s="978" t="s">
        <v>45</v>
      </c>
      <c r="E6" s="978"/>
      <c r="F6" s="978"/>
      <c r="G6" s="978"/>
      <c r="H6" s="978"/>
      <c r="I6" s="978"/>
      <c r="J6" s="978"/>
      <c r="K6" s="978"/>
      <c r="L6" s="978"/>
      <c r="M6" s="978"/>
      <c r="N6" s="978"/>
      <c r="O6" s="978"/>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1041"/>
      <c r="C8" s="1041"/>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73" t="s">
        <v>22</v>
      </c>
      <c r="C10" s="973"/>
      <c r="D10" s="973"/>
      <c r="E10" s="973"/>
      <c r="F10" s="973"/>
      <c r="G10" s="973"/>
      <c r="H10" s="973"/>
      <c r="I10" s="973"/>
      <c r="J10" s="973"/>
      <c r="K10" s="973"/>
      <c r="L10" s="973"/>
      <c r="M10" s="973"/>
      <c r="N10" s="973"/>
      <c r="O10" s="973"/>
      <c r="P10" s="411"/>
      <c r="Q10" s="971"/>
      <c r="R10" s="971"/>
      <c r="S10" s="971"/>
      <c r="T10" s="971"/>
      <c r="U10" s="971"/>
      <c r="V10" s="971"/>
      <c r="W10" s="971"/>
      <c r="X10" s="971"/>
      <c r="Y10" s="971"/>
      <c r="Z10" s="971"/>
      <c r="AA10" s="971"/>
      <c r="AB10" s="971"/>
      <c r="AC10" s="9"/>
    </row>
    <row r="11" ht="18" customHeight="1">
      <c r="A11" s="58"/>
      <c r="B11" s="1042" t="s">
        <v>43</v>
      </c>
      <c r="C11" s="1042"/>
      <c r="D11" s="427">
        <v>77.112470862470862470862470920</v>
      </c>
      <c r="E11" s="428">
        <v>67.024771215149695717190446490</v>
      </c>
      <c r="F11" s="429">
        <v>53.478335414461108079231901030</v>
      </c>
      <c r="G11" s="427">
        <v>7.648601398601398601398601400</v>
      </c>
      <c r="H11" s="428">
        <v>2.433020293256388391850326300</v>
      </c>
      <c r="I11" s="429">
        <v>9.562488171690854094505726740</v>
      </c>
      <c r="J11" s="427">
        <v>0</v>
      </c>
      <c r="K11" s="428">
        <v>0.0179558693229253755856112600</v>
      </c>
      <c r="L11" s="429">
        <v>7.8726400577874565567718783400</v>
      </c>
      <c r="M11" s="427">
        <v>84.76107226107226107226107226</v>
      </c>
      <c r="N11" s="428">
        <v>69.48110243289343747194541700</v>
      </c>
      <c r="O11" s="429">
        <v>70.913779678600534379391207030</v>
      </c>
      <c r="P11" s="5"/>
      <c r="Q11" s="427">
        <v>-8.552176917750772873743496910</v>
      </c>
      <c r="R11" s="428">
        <v>3.3289776923434697387702578300</v>
      </c>
      <c r="S11" s="429">
        <v>-3.5281728432673403804834783200</v>
      </c>
      <c r="T11" s="427">
        <v>294.73684211457063711933303404</v>
      </c>
      <c r="U11" s="428">
        <v>149.87500561623676805586152336</v>
      </c>
      <c r="V11" s="429">
        <v>87.32789328675238572163058338</v>
      </c>
      <c r="W11" s="427">
        <v>0</v>
      </c>
      <c r="X11" s="428">
        <v>0</v>
      </c>
      <c r="Y11" s="429">
        <v>53.464547889539568065736320670</v>
      </c>
      <c r="Z11" s="427">
        <v>-1.7395710184602986327807793600</v>
      </c>
      <c r="AA11" s="428">
        <v>5.5370334049644829292377511800</v>
      </c>
      <c r="AB11" s="429">
        <v>7.985504644529147429504878990</v>
      </c>
    </row>
    <row r="12" ht="18" customHeight="1">
      <c r="A12" s="58"/>
      <c r="B12" s="1043" t="s">
        <v>46</v>
      </c>
      <c r="C12" s="1043"/>
      <c r="D12" s="420">
        <v>72.333916083916083916083916140</v>
      </c>
      <c r="E12" s="91">
        <v>59.342258916285469894752501050</v>
      </c>
      <c r="F12" s="421">
        <v>48.116404671527436687335944670</v>
      </c>
      <c r="G12" s="420">
        <v>9.775641025641025641025641030</v>
      </c>
      <c r="H12" s="91">
        <v>2.7112499535125887909554092800</v>
      </c>
      <c r="I12" s="421">
        <v>11.816905369323127193274513470</v>
      </c>
      <c r="J12" s="420">
        <v>0</v>
      </c>
      <c r="K12" s="91">
        <v>0</v>
      </c>
      <c r="L12" s="421">
        <v>7.3498404599476493926932844600</v>
      </c>
      <c r="M12" s="420">
        <v>82.10955710955710955710955711</v>
      </c>
      <c r="N12" s="91">
        <v>62.062929215853494322007271420</v>
      </c>
      <c r="O12" s="421">
        <v>67.282996338343423887258206950</v>
      </c>
      <c r="P12" s="5"/>
      <c r="Q12" s="420">
        <v>-4.4824932665927976264585492700</v>
      </c>
      <c r="R12" s="91">
        <v>3.5244333700042321831033235800</v>
      </c>
      <c r="S12" s="421">
        <v>-0.6318492934741238377576914500</v>
      </c>
      <c r="T12" s="420">
        <v>255.02645502600419921054898953</v>
      </c>
      <c r="U12" s="91">
        <v>343.26677367075083416397878683</v>
      </c>
      <c r="V12" s="421">
        <v>137.53891583356613804153668507</v>
      </c>
      <c r="W12" s="420">
        <v>0</v>
      </c>
      <c r="X12" s="91">
        <v>0</v>
      </c>
      <c r="Y12" s="421">
        <v>48.683094849691988652772832330</v>
      </c>
      <c r="Z12" s="420">
        <v>4.6222387228976089506432871500</v>
      </c>
      <c r="AA12" s="91">
        <v>7.1236624628604550441129927400</v>
      </c>
      <c r="AB12" s="421">
        <v>15.327411090368640393006112240</v>
      </c>
    </row>
    <row r="13" ht="18" customHeight="1">
      <c r="A13" s="58"/>
      <c r="B13" s="1043" t="s">
        <v>47</v>
      </c>
      <c r="C13" s="1043"/>
      <c r="D13" s="420">
        <v>69.915501165501165501165501220</v>
      </c>
      <c r="E13" s="91">
        <v>57.211983737277757863466215550</v>
      </c>
      <c r="F13" s="421">
        <v>49.150037263585245343605918320</v>
      </c>
      <c r="G13" s="420">
        <v>12.703962703962703962703962710</v>
      </c>
      <c r="H13" s="91">
        <v>2.6572645828078167782184214300</v>
      </c>
      <c r="I13" s="421">
        <v>13.598028664120324884197356790</v>
      </c>
      <c r="J13" s="420">
        <v>0</v>
      </c>
      <c r="K13" s="91">
        <v>0</v>
      </c>
      <c r="L13" s="421">
        <v>7.401835071573217695433114900</v>
      </c>
      <c r="M13" s="420">
        <v>82.61946386946386946386946387</v>
      </c>
      <c r="N13" s="91">
        <v>59.865350089766606822262118490</v>
      </c>
      <c r="O13" s="421">
        <v>70.150507366461601325736078640</v>
      </c>
      <c r="P13" s="184"/>
      <c r="Q13" s="420">
        <v>-2.8345818991317853311513907200</v>
      </c>
      <c r="R13" s="91">
        <v>5.8745540557354940331491090100</v>
      </c>
      <c r="S13" s="421">
        <v>4.4491433947766948984882266900</v>
      </c>
      <c r="T13" s="420">
        <v>272.64957264857891737892002905</v>
      </c>
      <c r="U13" s="91">
        <v>187.98288428351816470697985131</v>
      </c>
      <c r="V13" s="421">
        <v>154.24077456051674649335302657</v>
      </c>
      <c r="W13" s="420">
        <v>0</v>
      </c>
      <c r="X13" s="91">
        <v>0</v>
      </c>
      <c r="Y13" s="421">
        <v>48.446226294435714287075768270</v>
      </c>
      <c r="Z13" s="420">
        <v>9.626908950346767930512827170</v>
      </c>
      <c r="AA13" s="91">
        <v>8.920290550126042076237155970</v>
      </c>
      <c r="AB13" s="421">
        <v>22.230309206349232450963381050</v>
      </c>
    </row>
    <row r="14" ht="18" customHeight="1">
      <c r="A14" s="58"/>
      <c r="B14" s="1043" t="s">
        <v>48</v>
      </c>
      <c r="C14" s="1043"/>
      <c r="D14" s="420">
        <v>71.678321678321678321678321730</v>
      </c>
      <c r="E14" s="91">
        <v>58.006469938556446325872736830</v>
      </c>
      <c r="F14" s="421">
        <v>51.211494786082922971921410350</v>
      </c>
      <c r="G14" s="420">
        <v>12.266899766899766899766899780</v>
      </c>
      <c r="H14" s="91">
        <v>3.0432861269319252966758272500</v>
      </c>
      <c r="I14" s="421">
        <v>14.656275157468158531858834970</v>
      </c>
      <c r="J14" s="420">
        <v>0</v>
      </c>
      <c r="K14" s="91">
        <v>0</v>
      </c>
      <c r="L14" s="421">
        <v>7.7575219701091860896986194500</v>
      </c>
      <c r="M14" s="420">
        <v>83.94522144522144522144522145</v>
      </c>
      <c r="N14" s="91">
        <v>61.059245960502692998204667860</v>
      </c>
      <c r="O14" s="421">
        <v>73.625463097486561092546854570</v>
      </c>
      <c r="P14" s="5"/>
      <c r="Q14" s="420">
        <v>-3.5294117647067903114186850400</v>
      </c>
      <c r="R14" s="91">
        <v>4.3137985254447273041270200800</v>
      </c>
      <c r="S14" s="421">
        <v>3.5729896284932512653807907800</v>
      </c>
      <c r="T14" s="420">
        <v>206.18181818260200727272927965</v>
      </c>
      <c r="U14" s="91">
        <v>122.75037562465591480533840695</v>
      </c>
      <c r="V14" s="421">
        <v>137.06031257395472101611646052</v>
      </c>
      <c r="W14" s="420">
        <v>0</v>
      </c>
      <c r="X14" s="91">
        <v>0</v>
      </c>
      <c r="Y14" s="421">
        <v>48.212209981352385741143273580</v>
      </c>
      <c r="Z14" s="420">
        <v>7.2000000000130833860465132300</v>
      </c>
      <c r="AA14" s="91">
        <v>7.166433569501533394967028900</v>
      </c>
      <c r="AB14" s="421">
        <v>20.971854532800875408413927110</v>
      </c>
    </row>
    <row r="15" ht="18" customHeight="1">
      <c r="A15" s="58"/>
      <c r="B15" s="1043" t="s">
        <v>49</v>
      </c>
      <c r="C15" s="1043"/>
      <c r="D15" s="420">
        <v>75.320512820512820512820512880</v>
      </c>
      <c r="E15" s="91">
        <v>66.312537628743810142535608270</v>
      </c>
      <c r="F15" s="421">
        <v>54.581893609464636925996989600</v>
      </c>
      <c r="G15" s="420">
        <v>11.655011655011655011655011660</v>
      </c>
      <c r="H15" s="91">
        <v>2.8862764296542523469606983100</v>
      </c>
      <c r="I15" s="421">
        <v>13.793709871036016193371964230</v>
      </c>
      <c r="J15" s="420">
        <v>0</v>
      </c>
      <c r="K15" s="91">
        <v>0</v>
      </c>
      <c r="L15" s="421">
        <v>7.7768528999876872891815208400</v>
      </c>
      <c r="M15" s="420">
        <v>86.97552447552447552447552448</v>
      </c>
      <c r="N15" s="91">
        <v>69.208671843440010772476322990</v>
      </c>
      <c r="O15" s="421">
        <v>76.153095275930171846269097180</v>
      </c>
      <c r="P15" s="184"/>
      <c r="Q15" s="420">
        <v>-8.479376880918305769814146590</v>
      </c>
      <c r="R15" s="91">
        <v>4.2965633519932130292695281800</v>
      </c>
      <c r="S15" s="421">
        <v>-0.8492868085720466449015415900</v>
      </c>
      <c r="T15" s="420">
        <v>376.19047618122448979609811488</v>
      </c>
      <c r="U15" s="91">
        <v>105.88072161638647778061079571</v>
      </c>
      <c r="V15" s="421">
        <v>90.50368953733927672718654350</v>
      </c>
      <c r="W15" s="420">
        <v>0</v>
      </c>
      <c r="X15" s="91">
        <v>0</v>
      </c>
      <c r="Y15" s="421">
        <v>48.953917640218374218624750760</v>
      </c>
      <c r="Z15" s="420">
        <v>2.6302217638000053727390943800</v>
      </c>
      <c r="AA15" s="91">
        <v>6.5087091513608311274500391900</v>
      </c>
      <c r="AB15" s="421">
        <v>12.796159623361654420818299900</v>
      </c>
    </row>
    <row r="16" ht="18" customHeight="1">
      <c r="A16" s="58"/>
      <c r="B16" s="1044" t="s">
        <v>75</v>
      </c>
      <c r="C16" s="1044"/>
      <c r="D16" s="430">
        <v>73.272144522144522144522144530</v>
      </c>
      <c r="E16" s="431">
        <v>61.579510568606361382205926900</v>
      </c>
      <c r="F16" s="432">
        <v>51.307632793101418929958828820</v>
      </c>
      <c r="G16" s="430">
        <v>10.810023310023310023310023310</v>
      </c>
      <c r="H16" s="431">
        <v>2.7462237083866700606208786700</v>
      </c>
      <c r="I16" s="432">
        <v>12.685482183792793330003855050</v>
      </c>
      <c r="J16" s="430">
        <v>0</v>
      </c>
      <c r="K16" s="431">
        <v>0.0035910084450953515013022300</v>
      </c>
      <c r="L16" s="432">
        <v>7.631738195323170590515837200</v>
      </c>
      <c r="M16" s="430">
        <v>84.08216783216783216783216783</v>
      </c>
      <c r="N16" s="431">
        <v>64.335344177528816115479909510</v>
      </c>
      <c r="O16" s="432">
        <v>71.625167873296182522653247090</v>
      </c>
      <c r="P16" s="5"/>
      <c r="Q16" s="430">
        <v>-5.724675714123747730639694100</v>
      </c>
      <c r="R16" s="431">
        <v>4.2261110457740872812039200600</v>
      </c>
      <c r="S16" s="432">
        <v>0.4438330530543571063610947800</v>
      </c>
      <c r="T16" s="430">
        <v>271.37137137636759883012850904</v>
      </c>
      <c r="U16" s="431">
        <v>160.24914009825256898613396914</v>
      </c>
      <c r="V16" s="432">
        <v>119.83259568402038337132578687</v>
      </c>
      <c r="W16" s="430">
        <v>0</v>
      </c>
      <c r="X16" s="431">
        <v>0</v>
      </c>
      <c r="Y16" s="432">
        <v>49.556701192655272593145353800</v>
      </c>
      <c r="Z16" s="629">
        <v>4.2785386477592262144634846400</v>
      </c>
      <c r="AA16" s="214">
        <v>6.9798135160589111341313627500</v>
      </c>
      <c r="AB16" s="630">
        <v>15.607553603384734112843370720</v>
      </c>
    </row>
    <row r="17" ht="6" customHeight="1">
      <c r="A17" s="58"/>
      <c r="B17" s="631"/>
      <c r="C17" s="631"/>
      <c r="D17" s="91"/>
      <c r="E17" s="91"/>
      <c r="F17" s="91"/>
      <c r="G17" s="91"/>
      <c r="H17" s="91"/>
      <c r="I17" s="91"/>
      <c r="J17" s="91"/>
      <c r="K17" s="91"/>
      <c r="L17" s="91"/>
      <c r="M17" s="91"/>
      <c r="N17" s="91"/>
      <c r="O17" s="91"/>
      <c r="P17" s="5"/>
      <c r="Q17" s="91"/>
      <c r="R17" s="91"/>
      <c r="S17" s="91"/>
      <c r="T17" s="91"/>
      <c r="U17" s="91"/>
      <c r="V17" s="91"/>
      <c r="W17" s="91"/>
      <c r="X17" s="91"/>
      <c r="Y17" s="91"/>
      <c r="Z17" s="632"/>
      <c r="AA17" s="632"/>
      <c r="AB17" s="632"/>
      <c r="AC17" s="4"/>
    </row>
    <row r="18" ht="18" customHeight="1">
      <c r="A18" s="58"/>
      <c r="B18" s="1045" t="s">
        <v>50</v>
      </c>
      <c r="C18" s="1045"/>
      <c r="D18" s="479">
        <v>79.210372960372960372960373020</v>
      </c>
      <c r="E18" s="480">
        <v>73.759400143201671174585061600</v>
      </c>
      <c r="F18" s="481">
        <v>60.499922197258796048018261150</v>
      </c>
      <c r="G18" s="479">
        <v>6.7307692307692307692307692400</v>
      </c>
      <c r="H18" s="480">
        <v>2.244382915749807423764151100</v>
      </c>
      <c r="I18" s="481">
        <v>13.754192285504158169499750200</v>
      </c>
      <c r="J18" s="479">
        <v>0</v>
      </c>
      <c r="K18" s="480">
        <v>0</v>
      </c>
      <c r="L18" s="481">
        <v>7.936429326998479489080208730</v>
      </c>
      <c r="M18" s="479">
        <v>85.94114219114219114219114219</v>
      </c>
      <c r="N18" s="480">
        <v>76.008797522330445711207863910</v>
      </c>
      <c r="O18" s="481">
        <v>82.19272617482877839599919185</v>
      </c>
      <c r="P18" s="184"/>
      <c r="Q18" s="479">
        <v>-7.3008080912516833826439746400</v>
      </c>
      <c r="R18" s="480">
        <v>3.9402990770561693601437136700</v>
      </c>
      <c r="S18" s="481">
        <v>-5.6240494371691164264465795100</v>
      </c>
      <c r="T18" s="479">
        <v>110.21634615541902257899528520</v>
      </c>
      <c r="U18" s="480">
        <v>69.785450228593408546926057920</v>
      </c>
      <c r="V18" s="481">
        <v>63.707464017776475398271360940</v>
      </c>
      <c r="W18" s="479">
        <v>0</v>
      </c>
      <c r="X18" s="480">
        <v>0</v>
      </c>
      <c r="Y18" s="481">
        <v>52.025670146508457681670277900</v>
      </c>
      <c r="Z18" s="479">
        <v>-3.0563961997566900895846299300</v>
      </c>
      <c r="AA18" s="480">
        <v>5.1493494843995302615741140600</v>
      </c>
      <c r="AB18" s="481">
        <v>5.7445709007815532574845339200</v>
      </c>
    </row>
    <row r="19" ht="18" customHeight="1">
      <c r="A19" s="58"/>
      <c r="B19" s="1046" t="s">
        <v>51</v>
      </c>
      <c r="C19" s="1046"/>
      <c r="D19" s="271">
        <v>82.86163522012578616352201264</v>
      </c>
      <c r="E19" s="92">
        <v>76.729163929274182716619863600</v>
      </c>
      <c r="F19" s="272">
        <v>62.610536888246698079891213640</v>
      </c>
      <c r="G19" s="271">
        <v>5.8461978273299028016009148100</v>
      </c>
      <c r="H19" s="92">
        <v>2.2681391013417635230776736200</v>
      </c>
      <c r="I19" s="272">
        <v>11.631616710700886044568050370</v>
      </c>
      <c r="J19" s="271">
        <v>0</v>
      </c>
      <c r="K19" s="92">
        <v>0</v>
      </c>
      <c r="L19" s="272">
        <v>7.9075036663341667564293769700</v>
      </c>
      <c r="M19" s="271">
        <v>88.70783304745568896512292739</v>
      </c>
      <c r="N19" s="92">
        <v>79.019685559519091029198044660</v>
      </c>
      <c r="O19" s="272">
        <v>82.15179836245222334084692759</v>
      </c>
      <c r="P19" s="5"/>
      <c r="Q19" s="271">
        <v>-6.6225145048051640286284261300</v>
      </c>
      <c r="R19" s="92">
        <v>2.3612132506454527954731089400</v>
      </c>
      <c r="S19" s="272">
        <v>-6.6467192920229626036652515600</v>
      </c>
      <c r="T19" s="271">
        <v>90.18152553039890524420916851</v>
      </c>
      <c r="U19" s="92">
        <v>77.258233518732927543821204230</v>
      </c>
      <c r="V19" s="272">
        <v>52.320345974327858658871099110</v>
      </c>
      <c r="W19" s="271">
        <v>0</v>
      </c>
      <c r="X19" s="92">
        <v>-100</v>
      </c>
      <c r="Y19" s="272">
        <v>51.504824022546770968150197150</v>
      </c>
      <c r="Z19" s="271">
        <v>-3.381376382508274666306042600</v>
      </c>
      <c r="AA19" s="92">
        <v>3.5490428604175922936597556900</v>
      </c>
      <c r="AB19" s="272">
        <v>2.7877308476648071332599885900</v>
      </c>
    </row>
    <row r="20" ht="18" customHeight="1">
      <c r="A20" s="58"/>
      <c r="B20" s="1047" t="s">
        <v>76</v>
      </c>
      <c r="C20" s="1047"/>
      <c r="D20" s="273">
        <v>81.05339105339105339105339108</v>
      </c>
      <c r="E20" s="274">
        <v>75.258410037642670273215923800</v>
      </c>
      <c r="F20" s="275">
        <v>61.565258462749452234592782010</v>
      </c>
      <c r="G20" s="273">
        <v>6.2842712842712842712842712900</v>
      </c>
      <c r="H20" s="274">
        <v>2.2563740234007003700394093100</v>
      </c>
      <c r="I20" s="275">
        <v>12.682818744071927934180614550</v>
      </c>
      <c r="J20" s="273">
        <v>0</v>
      </c>
      <c r="K20" s="274">
        <v>0</v>
      </c>
      <c r="L20" s="275">
        <v>7.9218290518082479370466412200</v>
      </c>
      <c r="M20" s="273">
        <v>87.33766233766233766233766234</v>
      </c>
      <c r="N20" s="274">
        <v>77.528564442270928733383719380</v>
      </c>
      <c r="O20" s="275">
        <v>82.17206779279912307822029849</v>
      </c>
      <c r="P20" s="184"/>
      <c r="Q20" s="273">
        <v>-6.9185516612573676997334863800</v>
      </c>
      <c r="R20" s="274">
        <v>3.1792021196914739913251566900</v>
      </c>
      <c r="S20" s="275">
        <v>-6.1114959663696993366488524800</v>
      </c>
      <c r="T20" s="273">
        <v>100.22988505926642885455434288</v>
      </c>
      <c r="U20" s="274">
        <v>73.439075367957772571779144580</v>
      </c>
      <c r="V20" s="275">
        <v>58.088180519443984717066673190</v>
      </c>
      <c r="W20" s="273">
        <v>0</v>
      </c>
      <c r="X20" s="274">
        <v>-100</v>
      </c>
      <c r="Y20" s="275">
        <v>51.762484392270953461124638550</v>
      </c>
      <c r="Z20" s="273">
        <v>-3.1909788868096594886181232700</v>
      </c>
      <c r="AA20" s="274">
        <v>4.3775204875624212771598260700</v>
      </c>
      <c r="AB20" s="275">
        <v>4.2591064899213673009372517400</v>
      </c>
    </row>
    <row r="21" ht="6" customHeight="1">
      <c r="A21" s="58"/>
      <c r="B21" s="631"/>
      <c r="C21" s="631"/>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82" t="s">
        <v>12</v>
      </c>
      <c r="C22" s="982"/>
      <c r="D22" s="468">
        <v>75.514736405147364051473640510</v>
      </c>
      <c r="E22" s="469">
        <v>65.400407269371441140959424210</v>
      </c>
      <c r="F22" s="470">
        <v>54.301719065286990429342385350</v>
      </c>
      <c r="G22" s="468">
        <v>9.514321295143212951432129510</v>
      </c>
      <c r="H22" s="469">
        <v>2.7395604806528154822424570700</v>
      </c>
      <c r="I22" s="470">
        <v>12.620436326581320554667718350</v>
      </c>
      <c r="J22" s="468">
        <v>0</v>
      </c>
      <c r="K22" s="469">
        <v>0.0025579863531428059831300800</v>
      </c>
      <c r="L22" s="470">
        <v>7.7362906069596487733542805100</v>
      </c>
      <c r="M22" s="468">
        <v>85.02905770029057700290577003</v>
      </c>
      <c r="N22" s="469">
        <v>68.142525736377399429185011360</v>
      </c>
      <c r="O22" s="470">
        <v>74.658445998827959757364384210</v>
      </c>
      <c r="P22" s="184"/>
      <c r="Q22" s="468">
        <v>-6.0550506093560076498549292800</v>
      </c>
      <c r="R22" s="469">
        <v>3.7779231628723636168233771600</v>
      </c>
      <c r="S22" s="470">
        <v>-1.4699850584465622084430409900</v>
      </c>
      <c r="T22" s="468">
        <v>218.33333333204673611111631096</v>
      </c>
      <c r="U22" s="469">
        <v>130.93688283854686346844496073</v>
      </c>
      <c r="V22" s="470">
        <v>99.11452630294373294747349648</v>
      </c>
      <c r="W22" s="468">
        <v>0</v>
      </c>
      <c r="X22" s="469">
        <v>-76.509840765781752233348629870</v>
      </c>
      <c r="Y22" s="470">
        <v>44.555934716928877603864139780</v>
      </c>
      <c r="Z22" s="468">
        <v>1.989145588536662112782954400</v>
      </c>
      <c r="AA22" s="469">
        <v>6.1133258352292565291292786200</v>
      </c>
      <c r="AB22" s="470">
        <v>11.760965444063486313410496890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37" t="s">
        <v>9</v>
      </c>
      <c r="C24" s="1037"/>
      <c r="D24" s="1037"/>
      <c r="E24" s="1037"/>
      <c r="F24" s="1037"/>
      <c r="G24" s="1037"/>
      <c r="H24" s="1037"/>
      <c r="I24" s="1037"/>
      <c r="J24" s="1037"/>
      <c r="K24" s="1037"/>
      <c r="L24" s="1037"/>
      <c r="M24" s="1037"/>
      <c r="N24" s="1037"/>
      <c r="O24" s="1037"/>
      <c r="P24" s="411"/>
      <c r="Q24" s="1038"/>
      <c r="R24" s="1038"/>
      <c r="S24" s="1038"/>
      <c r="T24" s="1038"/>
      <c r="U24" s="1038"/>
      <c r="V24" s="1038"/>
      <c r="W24" s="1038"/>
      <c r="X24" s="1038"/>
      <c r="Y24" s="1038"/>
      <c r="Z24" s="1038"/>
      <c r="AA24" s="1038"/>
      <c r="AB24" s="1038"/>
      <c r="AC24" s="9"/>
    </row>
    <row r="25" ht="18" customHeight="1">
      <c r="A25" s="58"/>
      <c r="B25" s="1042" t="s">
        <v>43</v>
      </c>
      <c r="C25" s="1042"/>
      <c r="D25" s="454">
        <v>239.2209733315551787067473424</v>
      </c>
      <c r="E25" s="455">
        <v>293.58738510605959299190787503</v>
      </c>
      <c r="F25" s="456">
        <v>225.09077772626891092428543604</v>
      </c>
      <c r="G25" s="454">
        <v>301.1223492595797359827720271</v>
      </c>
      <c r="H25" s="455">
        <v>308.12117796802759721843486304</v>
      </c>
      <c r="I25" s="456">
        <v>235.49459389886663665334125691</v>
      </c>
      <c r="J25" s="454">
        <v>0</v>
      </c>
      <c r="K25" s="455">
        <v>307.40077031762774761863955475</v>
      </c>
      <c r="L25" s="456">
        <v>116.83312482365454014048689823</v>
      </c>
      <c r="M25" s="454">
        <v>244.80677985651442459363509754</v>
      </c>
      <c r="N25" s="455">
        <v>294.0619244498040733668223229</v>
      </c>
      <c r="O25" s="456">
        <v>214.47520309446065061507723364</v>
      </c>
      <c r="P25" s="5"/>
      <c r="Q25" s="427">
        <v>16.368691605062622653731677490</v>
      </c>
      <c r="R25" s="428">
        <v>17.204629779913221632667927120</v>
      </c>
      <c r="S25" s="429">
        <v>15.888993150910358752149589280</v>
      </c>
      <c r="T25" s="427">
        <v>15.843704740349395460742993900</v>
      </c>
      <c r="U25" s="428">
        <v>20.404869536898399030913694930</v>
      </c>
      <c r="V25" s="429">
        <v>44.391677969060150504602936830</v>
      </c>
      <c r="W25" s="427">
        <v>0</v>
      </c>
      <c r="X25" s="428">
        <v>0</v>
      </c>
      <c r="Y25" s="429">
        <v>10.516875912667699540697837960</v>
      </c>
      <c r="Z25" s="427">
        <v>18.382639103900401890263109880</v>
      </c>
      <c r="AA25" s="428">
        <v>17.356568265311207657218757100</v>
      </c>
      <c r="AB25" s="429">
        <v>16.000209403798698250565132130</v>
      </c>
    </row>
    <row r="26" ht="18" customHeight="1">
      <c r="A26" s="58"/>
      <c r="B26" s="1043" t="s">
        <v>46</v>
      </c>
      <c r="C26" s="1043"/>
      <c r="D26" s="439">
        <v>211.6453028264944664445085432</v>
      </c>
      <c r="E26" s="95">
        <v>272.61364454033623269282360825</v>
      </c>
      <c r="F26" s="440">
        <v>217.09137637047883881011993261</v>
      </c>
      <c r="G26" s="439">
        <v>249.58578438570816461013545249</v>
      </c>
      <c r="H26" s="95">
        <v>314.88696458492796842171519401</v>
      </c>
      <c r="I26" s="440">
        <v>229.3421904225905542201722045</v>
      </c>
      <c r="J26" s="439">
        <v>0</v>
      </c>
      <c r="K26" s="95">
        <v>0</v>
      </c>
      <c r="L26" s="440">
        <v>137.22641233442797081972355444</v>
      </c>
      <c r="M26" s="439">
        <v>216.16234738402327969311316636</v>
      </c>
      <c r="N26" s="95">
        <v>274.4011070682390604705173992</v>
      </c>
      <c r="O26" s="440">
        <v>210.52015533204690425931955782</v>
      </c>
      <c r="P26" s="5"/>
      <c r="Q26" s="420">
        <v>19.216368513105608351086898620</v>
      </c>
      <c r="R26" s="91">
        <v>21.299461395187530268377339790</v>
      </c>
      <c r="S26" s="421">
        <v>20.699682799653402668374807740</v>
      </c>
      <c r="T26" s="420">
        <v>4.4548811662274321096041003500</v>
      </c>
      <c r="U26" s="91">
        <v>33.920100719520209165887254570</v>
      </c>
      <c r="V26" s="421">
        <v>41.309825835466894750795347220</v>
      </c>
      <c r="W26" s="420">
        <v>0</v>
      </c>
      <c r="X26" s="91">
        <v>0</v>
      </c>
      <c r="Y26" s="421">
        <v>29.199780952856413325634853150</v>
      </c>
      <c r="Z26" s="420">
        <v>20.300738127088237633932373270</v>
      </c>
      <c r="AA26" s="91">
        <v>22.045987629528462277574900200</v>
      </c>
      <c r="AB26" s="421">
        <v>22.309132929551829106461785400</v>
      </c>
    </row>
    <row r="27" ht="18" customHeight="1">
      <c r="A27" s="58"/>
      <c r="B27" s="1043" t="s">
        <v>47</v>
      </c>
      <c r="C27" s="1043"/>
      <c r="D27" s="439">
        <v>221.70509295157089817053351705</v>
      </c>
      <c r="E27" s="95">
        <v>283.14860820861428971493461868</v>
      </c>
      <c r="F27" s="440">
        <v>219.76159312402408182889429296</v>
      </c>
      <c r="G27" s="439">
        <v>240.90435878182156562181079185</v>
      </c>
      <c r="H27" s="95">
        <v>313.63862034665435728635548574</v>
      </c>
      <c r="I27" s="440">
        <v>233.92192077402363849125141694</v>
      </c>
      <c r="J27" s="439">
        <v>0</v>
      </c>
      <c r="K27" s="95">
        <v>0</v>
      </c>
      <c r="L27" s="440">
        <v>122.77161067079050798481635455</v>
      </c>
      <c r="M27" s="439">
        <v>224.65726361000478672943208584</v>
      </c>
      <c r="N27" s="95">
        <v>284.50189109853179758735035965</v>
      </c>
      <c r="O27" s="440">
        <v>212.27192467893756804593532568</v>
      </c>
      <c r="P27" s="93"/>
      <c r="Q27" s="420">
        <v>27.172103221415386046922166270</v>
      </c>
      <c r="R27" s="91">
        <v>23.927356441841549763041055930</v>
      </c>
      <c r="S27" s="421">
        <v>21.772441280986960014513263590</v>
      </c>
      <c r="T27" s="420">
        <v>10.554522438057791461456129250</v>
      </c>
      <c r="U27" s="91">
        <v>13.367971008532536086592756390</v>
      </c>
      <c r="V27" s="421">
        <v>41.979100357209877006542781250</v>
      </c>
      <c r="W27" s="420">
        <v>0</v>
      </c>
      <c r="X27" s="91">
        <v>0</v>
      </c>
      <c r="Y27" s="421">
        <v>18.100436967249828899372127950</v>
      </c>
      <c r="Z27" s="420">
        <v>27.424909444701285379463758640</v>
      </c>
      <c r="AA27" s="91">
        <v>24.091921558164386208450795210</v>
      </c>
      <c r="AB27" s="421">
        <v>23.160119714451340898217037720</v>
      </c>
    </row>
    <row r="28" ht="18" customHeight="1">
      <c r="A28" s="58"/>
      <c r="B28" s="1043" t="s">
        <v>48</v>
      </c>
      <c r="C28" s="1043"/>
      <c r="D28" s="439">
        <v>227.66750378687836089935222189</v>
      </c>
      <c r="E28" s="95">
        <v>286.87181182128474130164173926</v>
      </c>
      <c r="F28" s="440">
        <v>225.2379451527298728762535149</v>
      </c>
      <c r="G28" s="439">
        <v>258.38386525742359738690680892</v>
      </c>
      <c r="H28" s="95">
        <v>327.0373832294823424543875372</v>
      </c>
      <c r="I28" s="440">
        <v>235.34158851545549089541849203</v>
      </c>
      <c r="J28" s="439">
        <v>0</v>
      </c>
      <c r="K28" s="95">
        <v>0</v>
      </c>
      <c r="L28" s="440">
        <v>120.23140603845407512535705287</v>
      </c>
      <c r="M28" s="439">
        <v>232.15608003786744266306637709</v>
      </c>
      <c r="N28" s="95">
        <v>288.81033299000674360667384202</v>
      </c>
      <c r="O28" s="440">
        <v>216.18589708801984068518469242</v>
      </c>
      <c r="P28" s="5"/>
      <c r="Q28" s="420">
        <v>26.028251157832877921753809270</v>
      </c>
      <c r="R28" s="91">
        <v>22.120853411666800603448589340</v>
      </c>
      <c r="S28" s="421">
        <v>21.432423830692109211743712250</v>
      </c>
      <c r="T28" s="420">
        <v>16.223846633238020323060070220</v>
      </c>
      <c r="U28" s="91">
        <v>20.868834674790709352304110150</v>
      </c>
      <c r="V28" s="421">
        <v>37.075559296191488185658556970</v>
      </c>
      <c r="W28" s="420">
        <v>0</v>
      </c>
      <c r="X28" s="91">
        <v>0</v>
      </c>
      <c r="Y28" s="421">
        <v>14.89816183092316338528190200</v>
      </c>
      <c r="Z28" s="420">
        <v>27.014060100053927370693989960</v>
      </c>
      <c r="AA28" s="91">
        <v>22.511058110540428316458504280</v>
      </c>
      <c r="AB28" s="421">
        <v>22.049594514211456855615285930</v>
      </c>
    </row>
    <row r="29" ht="18" customHeight="1">
      <c r="A29" s="58"/>
      <c r="B29" s="1043" t="s">
        <v>49</v>
      </c>
      <c r="C29" s="1043"/>
      <c r="D29" s="439">
        <v>261.16378767302553724000661321</v>
      </c>
      <c r="E29" s="95">
        <v>319.42243737737223475064900943</v>
      </c>
      <c r="F29" s="440">
        <v>240.78274946367537884401360013</v>
      </c>
      <c r="G29" s="439">
        <v>296.43668467670409309792196484</v>
      </c>
      <c r="H29" s="95">
        <v>304.62150049458636130254653774</v>
      </c>
      <c r="I29" s="440">
        <v>237.14493279331962204899136868</v>
      </c>
      <c r="J29" s="439">
        <v>0</v>
      </c>
      <c r="K29" s="95">
        <v>0</v>
      </c>
      <c r="L29" s="440">
        <v>120.42960060107709035651603345</v>
      </c>
      <c r="M29" s="439">
        <v>265.8904740386776050266619367</v>
      </c>
      <c r="N29" s="95">
        <v>318.74306324625066828515955899</v>
      </c>
      <c r="O29" s="440">
        <v>227.83241943873907400913074753</v>
      </c>
      <c r="P29" s="93"/>
      <c r="Q29" s="420">
        <v>23.684467122837893289256524640</v>
      </c>
      <c r="R29" s="91">
        <v>15.715714518451401216938286180</v>
      </c>
      <c r="S29" s="421">
        <v>18.257598361869622287896001860</v>
      </c>
      <c r="T29" s="420">
        <v>7.2569224956287455716684380600</v>
      </c>
      <c r="U29" s="91">
        <v>13.128523698646280579064896910</v>
      </c>
      <c r="V29" s="421">
        <v>35.717800308228869905271702560</v>
      </c>
      <c r="W29" s="420">
        <v>0</v>
      </c>
      <c r="X29" s="91">
        <v>0</v>
      </c>
      <c r="Y29" s="421">
        <v>14.497857948525679490551706800</v>
      </c>
      <c r="Z29" s="420">
        <v>24.809488475657247619919783290</v>
      </c>
      <c r="AA29" s="91">
        <v>15.530731894142862613167685540</v>
      </c>
      <c r="AB29" s="421">
        <v>18.114153170212211379046225230</v>
      </c>
    </row>
    <row r="30" ht="18" customHeight="1">
      <c r="A30" s="58"/>
      <c r="B30" s="1044" t="s">
        <v>75</v>
      </c>
      <c r="C30" s="1044"/>
      <c r="D30" s="457">
        <v>232.6845819522423704723361065</v>
      </c>
      <c r="E30" s="458">
        <v>291.90427419140730470573258563</v>
      </c>
      <c r="F30" s="459">
        <v>225.93744066846958367504024137</v>
      </c>
      <c r="G30" s="457">
        <v>266.93758971157732844870305081</v>
      </c>
      <c r="H30" s="458">
        <v>313.98183686197936862838911226</v>
      </c>
      <c r="I30" s="459">
        <v>234.33475123215833777665701156</v>
      </c>
      <c r="J30" s="457">
        <v>0</v>
      </c>
      <c r="K30" s="458">
        <v>307.40077031762774761863955475</v>
      </c>
      <c r="L30" s="459">
        <v>123.33687433526300306582953619</v>
      </c>
      <c r="M30" s="457">
        <v>237.0883196514880541571377617</v>
      </c>
      <c r="N30" s="458">
        <v>292.80268354547095108355354766</v>
      </c>
      <c r="O30" s="459">
        <v>216.49257804988448326331885879</v>
      </c>
      <c r="P30" s="5"/>
      <c r="Q30" s="430">
        <v>21.990418940580116521704336120</v>
      </c>
      <c r="R30" s="431">
        <v>19.616271296138325838327256470</v>
      </c>
      <c r="S30" s="432">
        <v>19.354643761646268956892038390</v>
      </c>
      <c r="T30" s="430">
        <v>11.910013688126642959716389760</v>
      </c>
      <c r="U30" s="431">
        <v>18.719329626415447655455046890</v>
      </c>
      <c r="V30" s="432">
        <v>39.460250901831983902889647990</v>
      </c>
      <c r="W30" s="430">
        <v>0</v>
      </c>
      <c r="X30" s="431">
        <v>0</v>
      </c>
      <c r="Y30" s="432">
        <v>17.309706799342334122993731860</v>
      </c>
      <c r="Z30" s="430">
        <v>23.185014837771049900304362480</v>
      </c>
      <c r="AA30" s="431">
        <v>19.814430288570163529333129970</v>
      </c>
      <c r="AB30" s="432">
        <v>20.018293994199450179028573960</v>
      </c>
    </row>
    <row r="31" ht="6" customHeight="1">
      <c r="A31" s="58"/>
      <c r="B31" s="631"/>
      <c r="C31" s="631"/>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45" t="s">
        <v>50</v>
      </c>
      <c r="C32" s="1045"/>
      <c r="D32" s="493">
        <v>362.61996777091885781953792604</v>
      </c>
      <c r="E32" s="494">
        <v>389.54480615606378411805471883</v>
      </c>
      <c r="F32" s="495">
        <v>280.91357022818597993730994418</v>
      </c>
      <c r="G32" s="493">
        <v>384.89682517684750334320520158</v>
      </c>
      <c r="H32" s="494">
        <v>369.84504527902838362488328578</v>
      </c>
      <c r="I32" s="495">
        <v>233.35271002008599574825063231</v>
      </c>
      <c r="J32" s="493">
        <v>0</v>
      </c>
      <c r="K32" s="494">
        <v>0</v>
      </c>
      <c r="L32" s="495">
        <v>125.99399573993788313523791466</v>
      </c>
      <c r="M32" s="493">
        <v>364.36465468760626826739930612</v>
      </c>
      <c r="N32" s="494">
        <v>388.91713578575376712178556648</v>
      </c>
      <c r="O32" s="495">
        <v>257.98954625646233371017124825</v>
      </c>
      <c r="P32" s="93"/>
      <c r="Q32" s="479">
        <v>11.566040946069057273393104030</v>
      </c>
      <c r="R32" s="480">
        <v>3.7980282035207203754988919600</v>
      </c>
      <c r="S32" s="481">
        <v>14.229512839626850599708012500</v>
      </c>
      <c r="T32" s="479">
        <v>31.967084694427294218548128900</v>
      </c>
      <c r="U32" s="480">
        <v>20.982452587432392686576104180</v>
      </c>
      <c r="V32" s="481">
        <v>31.186456487692323408570054410</v>
      </c>
      <c r="W32" s="479">
        <v>0</v>
      </c>
      <c r="X32" s="480">
        <v>0</v>
      </c>
      <c r="Y32" s="481">
        <v>18.678014355023641917396371240</v>
      </c>
      <c r="Z32" s="479">
        <v>12.520008966144228330386044890</v>
      </c>
      <c r="AA32" s="480">
        <v>3.9905599650275978760463912200</v>
      </c>
      <c r="AB32" s="481">
        <v>12.571506463758429108521866550</v>
      </c>
    </row>
    <row r="33" ht="18" customHeight="1">
      <c r="A33" s="58"/>
      <c r="B33" s="1046" t="s">
        <v>51</v>
      </c>
      <c r="C33" s="1046"/>
      <c r="D33" s="276">
        <v>369.49894856721210534302032981</v>
      </c>
      <c r="E33" s="94">
        <v>396.86167613954317057651558912</v>
      </c>
      <c r="F33" s="277">
        <v>281.66149746029208537302957412</v>
      </c>
      <c r="G33" s="276">
        <v>385.06321997724026895989792819</v>
      </c>
      <c r="H33" s="94">
        <v>382.58515515749679090095710241</v>
      </c>
      <c r="I33" s="277">
        <v>239.86917152513186625211328342</v>
      </c>
      <c r="J33" s="276">
        <v>0</v>
      </c>
      <c r="K33" s="94">
        <v>0</v>
      </c>
      <c r="L33" s="277">
        <v>120.80148715201232269880255074</v>
      </c>
      <c r="M33" s="276">
        <v>370.52469574844019411506398717</v>
      </c>
      <c r="N33" s="94">
        <v>396.31920395748938110115630056</v>
      </c>
      <c r="O33" s="277">
        <v>260.25450397022027101289845057</v>
      </c>
      <c r="P33" s="5"/>
      <c r="Q33" s="271">
        <v>12.524577695174847304073681080</v>
      </c>
      <c r="R33" s="92">
        <v>7.5242823800505565086284301700</v>
      </c>
      <c r="S33" s="272">
        <v>15.672318655047354802917276930</v>
      </c>
      <c r="T33" s="271">
        <v>48.513720852929385309756822990</v>
      </c>
      <c r="U33" s="92">
        <v>21.635148979627220596043483310</v>
      </c>
      <c r="V33" s="272">
        <v>37.999500506936184441552760680</v>
      </c>
      <c r="W33" s="271">
        <v>0</v>
      </c>
      <c r="X33" s="92">
        <v>-100</v>
      </c>
      <c r="Y33" s="272">
        <v>13.348677670750728676872718810</v>
      </c>
      <c r="Z33" s="271">
        <v>13.637522107285963826348108350</v>
      </c>
      <c r="AA33" s="92">
        <v>7.6722344438692595092671249700</v>
      </c>
      <c r="AB33" s="272">
        <v>14.196325267651850155581174010</v>
      </c>
    </row>
    <row r="34" ht="18" customHeight="1">
      <c r="A34" s="58"/>
      <c r="B34" s="1047" t="s">
        <v>76</v>
      </c>
      <c r="C34" s="1047"/>
      <c r="D34" s="443">
        <v>366.16967861978052382395554172</v>
      </c>
      <c r="E34" s="444">
        <v>393.31022557037753938713090722</v>
      </c>
      <c r="F34" s="445">
        <v>281.29749737514280365853634249</v>
      </c>
      <c r="G34" s="443">
        <v>384.97496004867372738135368056</v>
      </c>
      <c r="H34" s="444">
        <v>376.30923896120693509993551785</v>
      </c>
      <c r="I34" s="445">
        <v>236.36928333932352976047209444</v>
      </c>
      <c r="J34" s="443">
        <v>0</v>
      </c>
      <c r="K34" s="444">
        <v>0</v>
      </c>
      <c r="L34" s="445">
        <v>123.37780795502192374358089908</v>
      </c>
      <c r="M34" s="633">
        <v>367.52278891507717647149736564</v>
      </c>
      <c r="N34" s="634">
        <v>392.72524167804530944571965146</v>
      </c>
      <c r="O34" s="635">
        <v>259.13250546220972395677061822</v>
      </c>
      <c r="P34" s="93"/>
      <c r="Q34" s="273">
        <v>12.076128786001376944437175980</v>
      </c>
      <c r="R34" s="274">
        <v>5.6889262816048520528006556100</v>
      </c>
      <c r="S34" s="275">
        <v>14.958863742101076444073801040</v>
      </c>
      <c r="T34" s="273">
        <v>39.507213950076122432995807450</v>
      </c>
      <c r="U34" s="274">
        <v>21.390712426998452407555114080</v>
      </c>
      <c r="V34" s="275">
        <v>34.327540507614424371559463540</v>
      </c>
      <c r="W34" s="273">
        <v>0</v>
      </c>
      <c r="X34" s="274">
        <v>-100</v>
      </c>
      <c r="Y34" s="275">
        <v>15.991614868698430977455493460</v>
      </c>
      <c r="Z34" s="273">
        <v>13.101615118271394050371725530</v>
      </c>
      <c r="AA34" s="274">
        <v>5.8592718083142321908180517900</v>
      </c>
      <c r="AB34" s="275">
        <v>13.387635332127610146177084730</v>
      </c>
    </row>
    <row r="35" ht="6" customHeight="1">
      <c r="A35" s="58"/>
      <c r="B35" s="631"/>
      <c r="C35" s="631"/>
      <c r="D35" s="95"/>
      <c r="E35" s="95"/>
      <c r="F35" s="95"/>
      <c r="G35" s="95"/>
      <c r="H35" s="95"/>
      <c r="I35" s="95"/>
      <c r="J35" s="95"/>
      <c r="K35" s="95"/>
      <c r="L35" s="95"/>
      <c r="M35" s="636"/>
      <c r="N35" s="636"/>
      <c r="O35" s="636"/>
      <c r="P35" s="93"/>
      <c r="Q35" s="91"/>
      <c r="R35" s="91"/>
      <c r="S35" s="91"/>
      <c r="T35" s="91"/>
      <c r="U35" s="91"/>
      <c r="V35" s="91"/>
      <c r="W35" s="91"/>
      <c r="X35" s="91"/>
      <c r="Y35" s="91"/>
      <c r="Z35" s="91"/>
      <c r="AA35" s="91"/>
      <c r="AB35" s="91"/>
    </row>
    <row r="36" ht="18" customHeight="1">
      <c r="A36" s="58"/>
      <c r="B36" s="982" t="s">
        <v>12</v>
      </c>
      <c r="C36" s="982"/>
      <c r="D36" s="482">
        <v>274.05340406233680565099084737</v>
      </c>
      <c r="E36" s="483">
        <v>325.57723777756067098468307457</v>
      </c>
      <c r="F36" s="484">
        <v>244.17593630657084595203308252</v>
      </c>
      <c r="G36" s="482">
        <v>287.87870855148342059336823735</v>
      </c>
      <c r="H36" s="483">
        <v>323.02507726079765660986000089</v>
      </c>
      <c r="I36" s="484">
        <v>234.47053642710605862295295205</v>
      </c>
      <c r="J36" s="482">
        <v>0</v>
      </c>
      <c r="K36" s="483">
        <v>307.2499585315252956249626432</v>
      </c>
      <c r="L36" s="484">
        <v>123.14805454311241383864164468</v>
      </c>
      <c r="M36" s="482">
        <v>275.60038567627602704615910367</v>
      </c>
      <c r="N36" s="483">
        <v>325.4739442916479457233911508</v>
      </c>
      <c r="O36" s="484">
        <v>229.99410822396806199078871219</v>
      </c>
      <c r="P36" s="93"/>
      <c r="Q36" s="468">
        <v>17.492848528244048465463537510</v>
      </c>
      <c r="R36" s="469">
        <v>13.543411546599432592110634230</v>
      </c>
      <c r="S36" s="470">
        <v>17.050502778582077850741477540</v>
      </c>
      <c r="T36" s="468">
        <v>16.476402499019717524184898160</v>
      </c>
      <c r="U36" s="469">
        <v>17.243499893764352706740305520</v>
      </c>
      <c r="V36" s="470">
        <v>36.808343387875545790517068020</v>
      </c>
      <c r="W36" s="468">
        <v>0</v>
      </c>
      <c r="X36" s="469">
        <v>12.545790455954064216701295800</v>
      </c>
      <c r="Y36" s="470">
        <v>18.110232838997879544490380710</v>
      </c>
      <c r="Z36" s="468">
        <v>17.904096670558583726120748430</v>
      </c>
      <c r="AA36" s="469">
        <v>13.590463695740310542987316250</v>
      </c>
      <c r="AB36" s="470">
        <v>16.916544166485128877790553990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7" t="s">
        <v>10</v>
      </c>
      <c r="C38" s="1037"/>
      <c r="D38" s="1037"/>
      <c r="E38" s="1037"/>
      <c r="F38" s="1037"/>
      <c r="G38" s="1037"/>
      <c r="H38" s="1037"/>
      <c r="I38" s="1037"/>
      <c r="J38" s="1037"/>
      <c r="K38" s="1037"/>
      <c r="L38" s="1037"/>
      <c r="M38" s="1037"/>
      <c r="N38" s="1037"/>
      <c r="O38" s="1037"/>
      <c r="P38" s="411"/>
      <c r="Q38" s="1038"/>
      <c r="R38" s="1038"/>
      <c r="S38" s="1038"/>
      <c r="T38" s="1038"/>
      <c r="U38" s="1038"/>
      <c r="V38" s="1038"/>
      <c r="W38" s="1038"/>
      <c r="X38" s="1038"/>
      <c r="Y38" s="1038"/>
      <c r="Z38" s="1038"/>
      <c r="AA38" s="1038"/>
      <c r="AB38" s="1038"/>
      <c r="AC38" s="9"/>
    </row>
    <row r="39" ht="18" customHeight="1">
      <c r="A39" s="58"/>
      <c r="B39" s="1042" t="s">
        <v>43</v>
      </c>
      <c r="C39" s="1042"/>
      <c r="D39" s="454">
        <v>184.46920335721467961754278617</v>
      </c>
      <c r="E39" s="455">
        <v>196.7762731838769150461016207</v>
      </c>
      <c r="F39" s="456">
        <v>120.37480109947320273339599936</v>
      </c>
      <c r="G39" s="454">
        <v>23.031648216969603932248734608</v>
      </c>
      <c r="H39" s="455">
        <v>7.4966507877827434253073316209</v>
      </c>
      <c r="I39" s="456">
        <v>22.519142686550533877331261473</v>
      </c>
      <c r="J39" s="454">
        <v>0</v>
      </c>
      <c r="K39" s="455">
        <v>0.0551964806158992143713151704</v>
      </c>
      <c r="L39" s="456">
        <v>9.197851385631848040304456326</v>
      </c>
      <c r="M39" s="454">
        <v>207.50085157418428354979152061</v>
      </c>
      <c r="N39" s="455">
        <v>204.31746694310608006306862089</v>
      </c>
      <c r="O39" s="456">
        <v>152.09247298763686132943257144</v>
      </c>
      <c r="P39" s="5"/>
      <c r="Q39" s="427">
        <v>6.4166352221305652287252519100</v>
      </c>
      <c r="R39" s="428">
        <v>21.106345759572206307707618650</v>
      </c>
      <c r="S39" s="429">
        <v>11.800229166238379272804332830</v>
      </c>
      <c r="T39" s="427">
        <v>357.27778187213611490529635395</v>
      </c>
      <c r="U39" s="428">
        <v>200.86167451900043681055255805</v>
      </c>
      <c r="V39" s="429">
        <v>170.48588841840191361758083748</v>
      </c>
      <c r="W39" s="427">
        <v>0</v>
      </c>
      <c r="X39" s="428">
        <v>0</v>
      </c>
      <c r="Y39" s="429">
        <v>69.604223961346920675447016740</v>
      </c>
      <c r="Z39" s="427">
        <v>16.323289023254951395885015510</v>
      </c>
      <c r="AA39" s="428">
        <v>23.854640653204649724085823110</v>
      </c>
      <c r="AB39" s="429">
        <v>25.263411513393963770139771210</v>
      </c>
    </row>
    <row r="40" ht="18" customHeight="1">
      <c r="A40" s="58"/>
      <c r="B40" s="1043" t="s">
        <v>46</v>
      </c>
      <c r="C40" s="1043"/>
      <c r="D40" s="439">
        <v>153.09133574206658302695001716</v>
      </c>
      <c r="E40" s="95">
        <v>161.77509478424845514568587972</v>
      </c>
      <c r="F40" s="440">
        <v>104.45656516140828982631956943</v>
      </c>
      <c r="G40" s="439">
        <v>24.398610332577240450670292649</v>
      </c>
      <c r="H40" s="95">
        <v>8.537372680926061473559678105</v>
      </c>
      <c r="I40" s="440">
        <v>27.101149614170373973437192209</v>
      </c>
      <c r="J40" s="439">
        <v>0</v>
      </c>
      <c r="K40" s="95">
        <v>0</v>
      </c>
      <c r="L40" s="440">
        <v>10.085922375490378648622744819</v>
      </c>
      <c r="M40" s="439">
        <v>177.48994607464382347762030967</v>
      </c>
      <c r="N40" s="95">
        <v>170.30136484727956771515077332</v>
      </c>
      <c r="O40" s="440">
        <v>141.64426840353600683414367501</v>
      </c>
      <c r="P40" s="5"/>
      <c r="Q40" s="420">
        <v>13.872502821794932996182524130</v>
      </c>
      <c r="R40" s="91">
        <v>25.574580090208158260481678390</v>
      </c>
      <c r="S40" s="421">
        <v>19.937042706643523506699360620</v>
      </c>
      <c r="T40" s="420">
        <v>270.84246170381649442408201082</v>
      </c>
      <c r="U40" s="91">
        <v>493.62330971745955812001533896</v>
      </c>
      <c r="V40" s="421">
        <v>235.66582825908005941372492148</v>
      </c>
      <c r="W40" s="420">
        <v>0</v>
      </c>
      <c r="X40" s="91">
        <v>0</v>
      </c>
      <c r="Y40" s="421">
        <v>92.09823286051632892995537781</v>
      </c>
      <c r="Z40" s="420">
        <v>25.861325428626309381093816470</v>
      </c>
      <c r="AA40" s="91">
        <v>30.740131837619367011327605380</v>
      </c>
      <c r="AB40" s="421">
        <v>41.055956534640924945975612170</v>
      </c>
    </row>
    <row r="41" ht="18" customHeight="1">
      <c r="A41" s="58"/>
      <c r="B41" s="1043" t="s">
        <v>47</v>
      </c>
      <c r="C41" s="1043"/>
      <c r="D41" s="439">
        <v>155.0062268465309936364205054</v>
      </c>
      <c r="E41" s="95">
        <v>161.99493568064072198936103019</v>
      </c>
      <c r="F41" s="440">
        <v>108.0129049115064265147876918</v>
      </c>
      <c r="G41" s="439">
        <v>30.604399891863112648924681038</v>
      </c>
      <c r="H41" s="95">
        <v>8.334207976478717256263110276</v>
      </c>
      <c r="I41" s="440">
        <v>31.808769838512571308459681448</v>
      </c>
      <c r="J41" s="439">
        <v>0</v>
      </c>
      <c r="K41" s="95">
        <v>0</v>
      </c>
      <c r="L41" s="440">
        <v>9.08735213656589877029241381</v>
      </c>
      <c r="M41" s="439">
        <v>185.61062673839410628534518631</v>
      </c>
      <c r="N41" s="95">
        <v>170.31805311814259947127823595</v>
      </c>
      <c r="O41" s="440">
        <v>148.909832158827920541088589</v>
      </c>
      <c r="P41" s="93"/>
      <c r="Q41" s="420">
        <v>23.567305802687786702761678860</v>
      </c>
      <c r="R41" s="91">
        <v>31.207535985844518401972196280</v>
      </c>
      <c r="S41" s="421">
        <v>27.190271808836463606968083690</v>
      </c>
      <c r="T41" s="420">
        <v>311.98095540969409477227503071</v>
      </c>
      <c r="U41" s="91">
        <v>226.48035276435428531730301084</v>
      </c>
      <c r="V41" s="421">
        <v>260.96876445963847058702043483</v>
      </c>
      <c r="W41" s="420">
        <v>0</v>
      </c>
      <c r="X41" s="91">
        <v>0</v>
      </c>
      <c r="Y41" s="421">
        <v>75.3156419174177319437325900</v>
      </c>
      <c r="Z41" s="420">
        <v>39.691989456958331170909380580</v>
      </c>
      <c r="AA41" s="91">
        <v>35.161281510305201514699116260</v>
      </c>
      <c r="AB41" s="421">
        <v>50.538995145944685180750056080</v>
      </c>
    </row>
    <row r="42" ht="18" customHeight="1">
      <c r="A42" s="58"/>
      <c r="B42" s="1043" t="s">
        <v>48</v>
      </c>
      <c r="C42" s="1043"/>
      <c r="D42" s="439">
        <v>163.18824572136386008520001931</v>
      </c>
      <c r="E42" s="95">
        <v>166.40421128630575140536197585</v>
      </c>
      <c r="F42" s="440">
        <v>115.34771853817057258270235685</v>
      </c>
      <c r="G42" s="439">
        <v>31.695689764969503059407857411</v>
      </c>
      <c r="H42" s="95">
        <v>9.952683313704030973436399235</v>
      </c>
      <c r="I42" s="440">
        <v>34.492310772781639943144834296</v>
      </c>
      <c r="J42" s="439">
        <v>0</v>
      </c>
      <c r="K42" s="95">
        <v>0</v>
      </c>
      <c r="L42" s="440">
        <v>9.326977738404257497052936244</v>
      </c>
      <c r="M42" s="439">
        <v>194.88393548633336314460787657</v>
      </c>
      <c r="N42" s="95">
        <v>176.34541157971506912141790605</v>
      </c>
      <c r="O42" s="440">
        <v>159.16786788251032187451253566</v>
      </c>
      <c r="P42" s="5"/>
      <c r="Q42" s="420">
        <v>21.580195234603845140270143560</v>
      </c>
      <c r="R42" s="91">
        <v>27.388900985344982586485834800</v>
      </c>
      <c r="S42" s="421">
        <v>25.771191739667584236751121500</v>
      </c>
      <c r="T42" s="420">
        <v>255.85628678085695144113466139</v>
      </c>
      <c r="U42" s="91">
        <v>169.23578324096197215058237469</v>
      </c>
      <c r="V42" s="421">
        <v>224.95174933126589978985615197</v>
      </c>
      <c r="W42" s="420">
        <v>0</v>
      </c>
      <c r="X42" s="91">
        <v>0</v>
      </c>
      <c r="Y42" s="421">
        <v>70.293104877388535763894471640</v>
      </c>
      <c r="Z42" s="420">
        <v>36.159072427249619322306111790</v>
      </c>
      <c r="AA42" s="91">
        <v>31.290731705384117993055857090</v>
      </c>
      <c r="AB42" s="421">
        <v>47.645657933533502866488390140</v>
      </c>
    </row>
    <row r="43" ht="18" customHeight="1">
      <c r="A43" s="58"/>
      <c r="B43" s="1043" t="s">
        <v>49</v>
      </c>
      <c r="C43" s="1043"/>
      <c r="D43" s="439">
        <v>196.70990417679808093397934022</v>
      </c>
      <c r="E43" s="95">
        <v>211.81712398052059601339596283</v>
      </c>
      <c r="F43" s="440">
        <v>131.42378414220707894720625154</v>
      </c>
      <c r="G43" s="439">
        <v>34.549730148800010850573655601</v>
      </c>
      <c r="H43" s="95">
        <v>8.792218568434357883656904571</v>
      </c>
      <c r="I43" s="440">
        <v>32.711084003373855312718271484</v>
      </c>
      <c r="J43" s="439">
        <v>0</v>
      </c>
      <c r="K43" s="95">
        <v>0</v>
      </c>
      <c r="L43" s="440">
        <v>9.365632886788452984164477419</v>
      </c>
      <c r="M43" s="439">
        <v>231.25963432559809178455299564</v>
      </c>
      <c r="N43" s="95">
        <v>220.59784066582607182947507698</v>
      </c>
      <c r="O43" s="440">
        <v>173.50143944463982031111897307</v>
      </c>
      <c r="P43" s="93"/>
      <c r="Q43" s="420">
        <v>13.196795012386224727035820990</v>
      </c>
      <c r="R43" s="91">
        <v>20.687513500905317302817263550</v>
      </c>
      <c r="S43" s="421">
        <v>17.253252178797504165189659220</v>
      </c>
      <c r="T43" s="420">
        <v>410.74724998288048105676196355</v>
      </c>
      <c r="U43" s="91">
        <v>132.90982094543685844670647283</v>
      </c>
      <c r="V43" s="421">
        <v>158.54741694799365015075980148</v>
      </c>
      <c r="W43" s="420">
        <v>0</v>
      </c>
      <c r="X43" s="91">
        <v>0</v>
      </c>
      <c r="Y43" s="421">
        <v>70.549045029137517857631370350</v>
      </c>
      <c r="Z43" s="420">
        <v>28.092254804832950242832674720</v>
      </c>
      <c r="AA43" s="91">
        <v>23.050291213621593097074783980</v>
      </c>
      <c r="AB43" s="421">
        <v>33.228228747773990297812552600</v>
      </c>
    </row>
    <row r="44" ht="18" customHeight="1">
      <c r="A44" s="58"/>
      <c r="B44" s="1044" t="s">
        <v>75</v>
      </c>
      <c r="C44" s="1044"/>
      <c r="D44" s="457">
        <v>170.49298316879483946001853353</v>
      </c>
      <c r="E44" s="458">
        <v>179.75322337591135254089575494</v>
      </c>
      <c r="F44" s="459">
        <v>115.92315240030976185958784702</v>
      </c>
      <c r="G44" s="457">
        <v>28.856015671035894188365044249</v>
      </c>
      <c r="H44" s="458">
        <v>8.622643643931634418274300203</v>
      </c>
      <c r="I44" s="459">
        <v>29.726493117990609182656461361</v>
      </c>
      <c r="J44" s="457">
        <v>0</v>
      </c>
      <c r="K44" s="458">
        <v>0.0110387876223941769901611037</v>
      </c>
      <c r="L44" s="459">
        <v>9.412747347562007463791979217</v>
      </c>
      <c r="M44" s="457">
        <v>199.34899883983073364838357778</v>
      </c>
      <c r="N44" s="458">
        <v>188.3756142200192704523055774</v>
      </c>
      <c r="O44" s="459">
        <v>155.063172461456523998955919</v>
      </c>
      <c r="P44" s="5"/>
      <c r="Q44" s="430">
        <v>15.006863053857986273133266320</v>
      </c>
      <c r="R44" s="431">
        <v>24.671387749847462116032204890</v>
      </c>
      <c r="S44" s="432">
        <v>19.884379121094383497287075520</v>
      </c>
      <c r="T44" s="430">
        <v>315.60175253279383736331731738</v>
      </c>
      <c r="U44" s="431">
        <v>208.96603447360056804649382530</v>
      </c>
      <c r="V44" s="432">
        <v>206.57908950357825354239738601</v>
      </c>
      <c r="W44" s="430">
        <v>0</v>
      </c>
      <c r="X44" s="431">
        <v>0</v>
      </c>
      <c r="Y44" s="432">
        <v>75.444527667957650746139237310</v>
      </c>
      <c r="Z44" s="430">
        <v>28.455533305861634474518829700</v>
      </c>
      <c r="AA44" s="431">
        <v>28.177254088070277079521876630</v>
      </c>
      <c r="AB44" s="432">
        <v>38.750213563231668543866644830</v>
      </c>
    </row>
    <row r="45" ht="6" customHeight="1">
      <c r="A45" s="58"/>
      <c r="B45" s="631"/>
      <c r="C45" s="631"/>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45" t="s">
        <v>50</v>
      </c>
      <c r="C46" s="1045"/>
      <c r="D46" s="493">
        <v>287.23262890012905448205531838</v>
      </c>
      <c r="E46" s="494">
        <v>287.32591230971038317205369877</v>
      </c>
      <c r="F46" s="495">
        <v>169.95249142959446644463209355</v>
      </c>
      <c r="G46" s="493">
        <v>25.906517079210889648100350125</v>
      </c>
      <c r="H46" s="494">
        <v>8.300739010989652726003579003</v>
      </c>
      <c r="I46" s="495">
        <v>32.095780439597556728886642206</v>
      </c>
      <c r="J46" s="493">
        <v>0</v>
      </c>
      <c r="K46" s="494">
        <v>0</v>
      </c>
      <c r="L46" s="495">
        <v>9.999424428161645056264501825</v>
      </c>
      <c r="M46" s="493">
        <v>313.13914597933994413015566824</v>
      </c>
      <c r="N46" s="494">
        <v>295.61123826904054456844188621</v>
      </c>
      <c r="O46" s="495">
        <v>212.04864131425731534916105048</v>
      </c>
      <c r="P46" s="93"/>
      <c r="Q46" s="479">
        <v>3.420818401634927843258646700</v>
      </c>
      <c r="R46" s="480">
        <v>7.8879809508846556189958422600</v>
      </c>
      <c r="S46" s="481">
        <v>7.8051885657336542490737781700</v>
      </c>
      <c r="T46" s="479">
        <v>177.41638357143986824145010384</v>
      </c>
      <c r="U46" s="480">
        <v>105.41060182976272975392516446</v>
      </c>
      <c r="V46" s="481">
        <v>114.76202105014516337668072336</v>
      </c>
      <c r="W46" s="479">
        <v>0</v>
      </c>
      <c r="X46" s="480">
        <v>0</v>
      </c>
      <c r="Y46" s="481">
        <v>80.42104663983024763536186268</v>
      </c>
      <c r="Z46" s="479">
        <v>9.080951688178644107855212440</v>
      </c>
      <c r="AA46" s="480">
        <v>9.345397328414301474486956220</v>
      </c>
      <c r="AB46" s="481">
        <v>19.038256466613696851546502280</v>
      </c>
    </row>
    <row r="47" ht="18" customHeight="1">
      <c r="A47" s="58"/>
      <c r="B47" s="1046" t="s">
        <v>51</v>
      </c>
      <c r="C47" s="1046"/>
      <c r="D47" s="276">
        <v>306.17287090396348980467250622</v>
      </c>
      <c r="E47" s="94">
        <v>304.50864605757528426824126522</v>
      </c>
      <c r="F47" s="277">
        <v>176.34977576736421277105251396</v>
      </c>
      <c r="G47" s="276">
        <v>22.511557600155984849142117317</v>
      </c>
      <c r="H47" s="94">
        <v>8.677563500056239352283263182</v>
      </c>
      <c r="I47" s="277">
        <v>27.900662638937009552956308321</v>
      </c>
      <c r="J47" s="276">
        <v>0</v>
      </c>
      <c r="K47" s="94">
        <v>0</v>
      </c>
      <c r="L47" s="277">
        <v>9.552382025531571821513891973</v>
      </c>
      <c r="M47" s="276">
        <v>328.68442850411947465381462327</v>
      </c>
      <c r="N47" s="94">
        <v>313.17018877919725041168130977</v>
      </c>
      <c r="O47" s="277">
        <v>213.80375533081557318232500004</v>
      </c>
      <c r="P47" s="5"/>
      <c r="Q47" s="271">
        <v>5.0726212157843790397049159400</v>
      </c>
      <c r="R47" s="92">
        <v>10.063159983186679724475337210</v>
      </c>
      <c r="S47" s="272">
        <v>7.983904335463239424576279290</v>
      </c>
      <c r="T47" s="271">
        <v>182.44565994081954973362558832</v>
      </c>
      <c r="U47" s="92">
        <v>115.60831641073864951129139816</v>
      </c>
      <c r="V47" s="272">
        <v>110.20131661510816516285713945</v>
      </c>
      <c r="W47" s="271">
        <v>0</v>
      </c>
      <c r="X47" s="92">
        <v>-100</v>
      </c>
      <c r="Y47" s="272">
        <v>71.728714639451060124860285340</v>
      </c>
      <c r="Z47" s="271">
        <v>9.795009773131378105798375880</v>
      </c>
      <c r="AA47" s="92">
        <v>11.493568193092260196550755130</v>
      </c>
      <c r="AB47" s="272">
        <v>17.379811454124678480584629700</v>
      </c>
    </row>
    <row r="48" ht="18" customHeight="1">
      <c r="A48" s="58"/>
      <c r="B48" s="1047" t="s">
        <v>76</v>
      </c>
      <c r="C48" s="1047"/>
      <c r="D48" s="443">
        <v>296.79294153063595993061447022</v>
      </c>
      <c r="E48" s="444">
        <v>295.99902227973203850217746648</v>
      </c>
      <c r="F48" s="445">
        <v>173.18153130825252319390267124</v>
      </c>
      <c r="G48" s="443">
        <v>24.192870865973651987673813556</v>
      </c>
      <c r="H48" s="444">
        <v>8.490943915577540843879455321</v>
      </c>
      <c r="I48" s="445">
        <v>29.978287772588209297807072028</v>
      </c>
      <c r="J48" s="443">
        <v>0</v>
      </c>
      <c r="K48" s="444">
        <v>0</v>
      </c>
      <c r="L48" s="445">
        <v>9.773779034065114356107889913</v>
      </c>
      <c r="M48" s="443">
        <v>320.98581239660961191828828363</v>
      </c>
      <c r="N48" s="444">
        <v>304.47424207542760542253955195</v>
      </c>
      <c r="O48" s="445">
        <v>212.93453806158586496529261065</v>
      </c>
      <c r="P48" s="93"/>
      <c r="Q48" s="273">
        <v>4.3220839159599853617884658800</v>
      </c>
      <c r="R48" s="274">
        <v>9.048990866230237585516761040</v>
      </c>
      <c r="S48" s="275">
        <v>7.933157421616116639917398910</v>
      </c>
      <c r="T48" s="273">
        <v>179.33513413891897672017564634</v>
      </c>
      <c r="U48" s="274">
        <v>110.53892921773209764747441577</v>
      </c>
      <c r="V48" s="275">
        <v>112.35596472635893913433257129</v>
      </c>
      <c r="W48" s="273">
        <v>0</v>
      </c>
      <c r="X48" s="274">
        <v>-100</v>
      </c>
      <c r="Y48" s="275">
        <v>76.031756411972199148643205370</v>
      </c>
      <c r="Z48" s="273">
        <v>9.492566459252921216493442980</v>
      </c>
      <c r="AA48" s="274">
        <v>10.493283119613951243671689870</v>
      </c>
      <c r="AB48" s="275">
        <v>18.216935467419765020236353720</v>
      </c>
    </row>
    <row r="49" ht="6" customHeight="1">
      <c r="A49" s="58"/>
      <c r="B49" s="631"/>
      <c r="C49" s="631"/>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82" t="s">
        <v>12</v>
      </c>
      <c r="C50" s="982"/>
      <c r="D50" s="482">
        <v>206.9507056870070568700705687</v>
      </c>
      <c r="E50" s="483">
        <v>212.92883948289453092425699224</v>
      </c>
      <c r="F50" s="484">
        <v>132.59173095822819947202394618</v>
      </c>
      <c r="G50" s="482">
        <v>27.38970527189705271897052719</v>
      </c>
      <c r="H50" s="483">
        <v>8.849467359235036849133978114</v>
      </c>
      <c r="I50" s="484">
        <v>29.591204754376580955888437289</v>
      </c>
      <c r="J50" s="482">
        <v>0</v>
      </c>
      <c r="K50" s="483">
        <v>0.0078594120092733475887771583</v>
      </c>
      <c r="L50" s="484">
        <v>9.527091376272350686651316141</v>
      </c>
      <c r="M50" s="482">
        <v>234.34041095890410958904109589</v>
      </c>
      <c r="N50" s="483">
        <v>221.78616625413884112097974751</v>
      </c>
      <c r="O50" s="484">
        <v>171.71002708887713111456369961</v>
      </c>
      <c r="P50" s="93"/>
      <c r="Q50" s="468">
        <v>10.378597087469243380630391810</v>
      </c>
      <c r="R50" s="469">
        <v>17.832994391335346343910949840</v>
      </c>
      <c r="S50" s="470">
        <v>15.329877876840678310107373560</v>
      </c>
      <c r="T50" s="468">
        <v>270.78321462036673486568389740</v>
      </c>
      <c r="U50" s="469">
        <v>170.75848399024424830218010285</v>
      </c>
      <c r="V50" s="470">
        <v>172.40528487719005256899174061</v>
      </c>
      <c r="W50" s="468">
        <v>0</v>
      </c>
      <c r="X50" s="469">
        <v>-73.562814654135119137199961500</v>
      </c>
      <c r="Y50" s="470">
        <v>70.735351076024211444498660620</v>
      </c>
      <c r="Z50" s="468">
        <v>20.249380808160366492609650750</v>
      </c>
      <c r="AA50" s="469">
        <v>20.534618859240013532904122520</v>
      </c>
      <c r="AB50" s="470">
        <v>30.667058524252218894808491960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48" t="s">
        <v>126</v>
      </c>
      <c r="C52" s="1048"/>
      <c r="D52" s="1048"/>
      <c r="E52" s="1048"/>
      <c r="F52" s="1048"/>
      <c r="G52" s="1048"/>
      <c r="H52" s="1048"/>
      <c r="I52" s="1048"/>
      <c r="J52" s="1048"/>
      <c r="K52" s="1048"/>
      <c r="L52" s="1048"/>
      <c r="M52" s="1048"/>
      <c r="N52" s="1048"/>
      <c r="O52" s="1048"/>
      <c r="P52" s="1048"/>
      <c r="Q52" s="1048"/>
      <c r="R52" s="1048"/>
      <c r="S52" s="1048"/>
      <c r="T52" s="1048"/>
      <c r="U52" s="1048"/>
      <c r="V52" s="1048"/>
      <c r="W52" s="1048"/>
      <c r="X52" s="1048"/>
      <c r="Y52" s="1048"/>
      <c r="Z52" s="1048"/>
      <c r="AA52" s="1048"/>
      <c r="AB52" s="1048"/>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6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7">
    <pageSetUpPr fitToPage="1"/>
  </sheetPr>
  <dimension ref="A1:BW153"/>
  <sheetViews>
    <sheetView showGridLines="0" zoomScale="85" workbookViewId="0"/>
  </sheetViews>
  <sheetFormatPr defaultRowHeight="12.75"/>
  <cols>
    <col min="1" max="1" width="1" customWidth="1"/>
    <col min="2" max="2" width="1.28515625" style="33"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236" customWidth="1"/>
    <col min="70" max="75" width="9.140625" style="236" customWidth="1"/>
  </cols>
  <sheetData>
    <row r="1" ht="23.25" customHeight="1">
      <c r="B1" s="6" t="s">
        <v>163</v>
      </c>
      <c r="D1" s="6"/>
      <c r="E1" s="6"/>
      <c r="AS1" s="236"/>
    </row>
    <row r="2" ht="15" customHeight="1">
      <c r="B2" s="0"/>
      <c r="C2" s="1049" t="s">
        <v>208</v>
      </c>
      <c r="D2" s="1049"/>
      <c r="E2" s="1049"/>
      <c r="F2" s="1049"/>
      <c r="G2" s="1049"/>
      <c r="H2" s="1049"/>
      <c r="I2" s="1049"/>
      <c r="J2" s="1049"/>
      <c r="K2" s="1049"/>
      <c r="L2" s="1049"/>
      <c r="M2" s="1049"/>
      <c r="N2" s="1049"/>
      <c r="O2" s="1049"/>
      <c r="P2" s="1049"/>
      <c r="Q2" s="1049"/>
      <c r="R2" s="1049"/>
      <c r="S2" s="1049"/>
      <c r="T2" s="1049"/>
      <c r="U2" s="1049"/>
      <c r="V2" s="1049"/>
      <c r="W2" s="1049"/>
      <c r="X2" s="1049"/>
      <c r="Y2" s="1049"/>
      <c r="Z2" s="1049"/>
      <c r="AA2" s="1049"/>
      <c r="AB2" s="1049"/>
      <c r="AC2" s="1049"/>
      <c r="AD2" s="1049"/>
      <c r="AE2" s="1049"/>
      <c r="AF2" s="1049"/>
      <c r="AG2" s="1049"/>
      <c r="AH2" s="1049"/>
      <c r="AI2" s="1049"/>
      <c r="AJ2" s="1049"/>
      <c r="AK2" s="1049"/>
      <c r="AL2" s="1049"/>
      <c r="AM2" s="1049"/>
      <c r="AN2" s="1049"/>
      <c r="AO2" s="1049"/>
      <c r="AP2" s="1049"/>
      <c r="AQ2" s="0"/>
    </row>
    <row r="3" ht="15" customHeight="1">
      <c r="B3" s="0"/>
      <c r="C3" s="1049" t="s">
        <v>209</v>
      </c>
      <c r="D3" s="1049"/>
      <c r="E3" s="1049"/>
      <c r="F3" s="1049"/>
      <c r="G3" s="1049"/>
      <c r="H3" s="1049"/>
      <c r="I3" s="1049"/>
      <c r="J3" s="1049"/>
      <c r="K3" s="1049"/>
      <c r="L3" s="1049"/>
      <c r="M3" s="1049"/>
      <c r="N3" s="1049"/>
      <c r="O3" s="1049"/>
      <c r="P3" s="1049"/>
      <c r="Q3" s="1049"/>
      <c r="R3" s="1049"/>
      <c r="S3" s="1049"/>
      <c r="T3" s="1049"/>
      <c r="U3" s="1049"/>
      <c r="V3" s="1049"/>
      <c r="W3" s="1049"/>
      <c r="X3" s="1049"/>
      <c r="Y3" s="1049"/>
      <c r="Z3" s="1049"/>
      <c r="AA3" s="1049"/>
      <c r="AB3" s="1049"/>
      <c r="AC3" s="1049"/>
      <c r="AD3" s="1049"/>
      <c r="AE3" s="1049"/>
      <c r="AF3" s="1049"/>
      <c r="AG3" s="1049"/>
      <c r="AH3" s="1049"/>
      <c r="AI3" s="1049"/>
      <c r="AJ3" s="1049"/>
      <c r="AK3" s="1049"/>
      <c r="AL3" s="1049"/>
      <c r="AM3" s="1049"/>
      <c r="AN3" s="1049"/>
      <c r="AO3" s="1049"/>
      <c r="AP3" s="1049"/>
      <c r="AQ3" s="0"/>
    </row>
    <row r="4" ht="15" customHeight="1">
      <c r="B4" s="0"/>
      <c r="C4" s="1049" t="s">
        <v>241</v>
      </c>
      <c r="D4" s="1049"/>
      <c r="E4" s="1049"/>
      <c r="F4" s="1049"/>
      <c r="G4" s="1049"/>
      <c r="H4" s="1049"/>
      <c r="I4" s="1049"/>
      <c r="J4" s="1049"/>
      <c r="K4" s="1049"/>
      <c r="L4" s="1049"/>
      <c r="M4" s="1049"/>
      <c r="N4" s="1049"/>
      <c r="O4" s="1049"/>
      <c r="P4" s="1049"/>
      <c r="Q4" s="1049"/>
      <c r="R4" s="1049"/>
      <c r="S4" s="1049"/>
      <c r="T4" s="1049"/>
      <c r="U4" s="1049"/>
      <c r="V4" s="1049"/>
      <c r="W4" s="1049"/>
      <c r="X4" s="1049"/>
      <c r="Y4" s="1049"/>
      <c r="Z4" s="1049"/>
      <c r="AA4" s="1049"/>
      <c r="AB4" s="1049"/>
      <c r="AC4" s="1049"/>
      <c r="AD4" s="1049"/>
      <c r="AE4" s="1049"/>
      <c r="AF4" s="1049"/>
      <c r="AG4" s="1049"/>
      <c r="AH4" s="1049"/>
      <c r="AI4" s="1049"/>
      <c r="AJ4" s="1049"/>
      <c r="AK4" s="1049"/>
      <c r="AL4" s="1049"/>
      <c r="AM4" s="1049"/>
      <c r="AN4" s="1049"/>
      <c r="AO4" s="1049"/>
      <c r="AP4" s="1049"/>
      <c r="AQ4" s="0"/>
    </row>
    <row r="5" ht="12.75" customHeight="1">
      <c r="C5" s="67"/>
      <c r="D5" s="67"/>
      <c r="E5" s="67"/>
    </row>
    <row r="6" ht="18" customHeight="1">
      <c r="B6" s="68"/>
      <c r="C6" s="68" t="s">
        <v>7</v>
      </c>
      <c r="D6" s="69"/>
      <c r="E6" s="69"/>
      <c r="F6" s="69"/>
      <c r="H6" s="1050" t="s">
        <v>243</v>
      </c>
      <c r="I6" s="1050"/>
      <c r="J6" s="1050"/>
      <c r="K6" s="1050"/>
      <c r="L6" s="1050"/>
      <c r="M6" s="1050"/>
      <c r="N6" s="1050"/>
      <c r="O6" s="1050"/>
      <c r="P6" s="1050"/>
      <c r="Q6" s="1050"/>
      <c r="R6" s="1050"/>
      <c r="S6" s="1050"/>
      <c r="T6" s="1050"/>
      <c r="U6" s="1050"/>
      <c r="Z6" s="1050" t="s">
        <v>244</v>
      </c>
      <c r="AA6" s="1050"/>
      <c r="AB6" s="1050"/>
      <c r="AC6" s="1050"/>
      <c r="AD6" s="1050"/>
      <c r="AE6" s="1050"/>
      <c r="AF6" s="1050"/>
      <c r="AG6" s="1050"/>
      <c r="AH6" s="1050"/>
      <c r="AI6" s="1050"/>
      <c r="AJ6" s="1050"/>
      <c r="AK6" s="1050"/>
      <c r="AL6" s="1050"/>
      <c r="AM6" s="1050"/>
    </row>
    <row r="7" ht="15" customHeight="1">
      <c r="D7" s="93" t="s">
        <v>246</v>
      </c>
      <c r="E7" s="71"/>
      <c r="F7" s="71"/>
      <c r="H7" s="1051" t="s">
        <v>0</v>
      </c>
      <c r="I7" s="1051"/>
      <c r="J7" s="1051" t="s">
        <v>1</v>
      </c>
      <c r="K7" s="1051"/>
      <c r="L7" s="1051" t="s">
        <v>2</v>
      </c>
      <c r="M7" s="1051"/>
      <c r="N7" s="1051" t="s">
        <v>3</v>
      </c>
      <c r="O7" s="1051"/>
      <c r="P7" s="1051" t="s">
        <v>4</v>
      </c>
      <c r="Q7" s="1051"/>
      <c r="R7" s="1051" t="s">
        <v>5</v>
      </c>
      <c r="S7" s="1051"/>
      <c r="T7" s="1051" t="s">
        <v>6</v>
      </c>
      <c r="U7" s="1051"/>
      <c r="Z7" s="1051" t="s">
        <v>0</v>
      </c>
      <c r="AA7" s="1051"/>
      <c r="AB7" s="1051" t="s">
        <v>1</v>
      </c>
      <c r="AC7" s="1051"/>
      <c r="AD7" s="1051" t="s">
        <v>2</v>
      </c>
      <c r="AE7" s="1051"/>
      <c r="AF7" s="1051" t="s">
        <v>3</v>
      </c>
      <c r="AG7" s="1051"/>
      <c r="AH7" s="1051" t="s">
        <v>4</v>
      </c>
      <c r="AI7" s="1051"/>
      <c r="AJ7" s="1051" t="s">
        <v>5</v>
      </c>
      <c r="AK7" s="1051"/>
      <c r="AL7" s="1051" t="s">
        <v>6</v>
      </c>
      <c r="AM7" s="1051"/>
    </row>
    <row r="8" ht="15" customHeight="1">
      <c r="D8" s="175" t="s">
        <v>248</v>
      </c>
      <c r="E8" s="71"/>
      <c r="F8" s="71"/>
      <c r="G8" s="71"/>
      <c r="H8" s="1052"/>
      <c r="I8" s="1052"/>
      <c r="J8" s="1053"/>
      <c r="K8" s="1053"/>
      <c r="L8" s="1053"/>
      <c r="M8" s="1053"/>
      <c r="N8" s="1053"/>
      <c r="O8" s="1053"/>
      <c r="P8" s="1053">
        <v>1</v>
      </c>
      <c r="Q8" s="1053"/>
      <c r="R8" s="1053">
        <v>2</v>
      </c>
      <c r="S8" s="1053"/>
      <c r="T8" s="1054">
        <v>3</v>
      </c>
      <c r="U8" s="1054"/>
      <c r="Z8" s="1052"/>
      <c r="AA8" s="1052"/>
      <c r="AB8" s="1053"/>
      <c r="AC8" s="1053"/>
      <c r="AD8" s="1053"/>
      <c r="AE8" s="1053"/>
      <c r="AF8" s="1053">
        <v>1</v>
      </c>
      <c r="AG8" s="1053"/>
      <c r="AH8" s="1053">
        <v>2</v>
      </c>
      <c r="AI8" s="1053"/>
      <c r="AJ8" s="1053">
        <v>3</v>
      </c>
      <c r="AK8" s="1053"/>
      <c r="AL8" s="1054">
        <v>4</v>
      </c>
      <c r="AM8" s="1054"/>
    </row>
    <row r="9" ht="15" customHeight="1">
      <c r="D9" s="175" t="s">
        <v>250</v>
      </c>
      <c r="H9" s="1055">
        <v>4</v>
      </c>
      <c r="I9" s="1055"/>
      <c r="J9" s="1056">
        <v>5</v>
      </c>
      <c r="K9" s="1056"/>
      <c r="L9" s="1056">
        <v>6</v>
      </c>
      <c r="M9" s="1056"/>
      <c r="N9" s="1056">
        <v>7</v>
      </c>
      <c r="O9" s="1056"/>
      <c r="P9" s="1056">
        <v>8</v>
      </c>
      <c r="Q9" s="1056"/>
      <c r="R9" s="1056">
        <v>9</v>
      </c>
      <c r="S9" s="1056"/>
      <c r="T9" s="1057">
        <v>10</v>
      </c>
      <c r="U9" s="1057"/>
      <c r="Z9" s="1055">
        <v>5</v>
      </c>
      <c r="AA9" s="1055"/>
      <c r="AB9" s="1056">
        <v>6</v>
      </c>
      <c r="AC9" s="1056"/>
      <c r="AD9" s="1056">
        <v>7</v>
      </c>
      <c r="AE9" s="1056"/>
      <c r="AF9" s="1056">
        <v>8</v>
      </c>
      <c r="AG9" s="1056"/>
      <c r="AH9" s="1056">
        <v>9</v>
      </c>
      <c r="AI9" s="1056"/>
      <c r="AJ9" s="1056">
        <v>10</v>
      </c>
      <c r="AK9" s="1056"/>
      <c r="AL9" s="1057">
        <v>11</v>
      </c>
      <c r="AM9" s="1057"/>
    </row>
    <row r="10" ht="15" customHeight="1">
      <c r="D10" t="s">
        <v>252</v>
      </c>
      <c r="H10" s="1058">
        <v>11</v>
      </c>
      <c r="I10" s="1058"/>
      <c r="J10" s="1059">
        <v>12</v>
      </c>
      <c r="K10" s="1059"/>
      <c r="L10" s="1059">
        <v>13</v>
      </c>
      <c r="M10" s="1059"/>
      <c r="N10" s="1059">
        <v>14</v>
      </c>
      <c r="O10" s="1059"/>
      <c r="P10" s="1059">
        <v>15</v>
      </c>
      <c r="Q10" s="1059"/>
      <c r="R10" s="1059">
        <v>16</v>
      </c>
      <c r="S10" s="1059"/>
      <c r="T10" s="1060">
        <v>17</v>
      </c>
      <c r="U10" s="1060"/>
      <c r="Z10" s="1058">
        <v>12</v>
      </c>
      <c r="AA10" s="1058"/>
      <c r="AB10" s="1059">
        <v>13</v>
      </c>
      <c r="AC10" s="1059"/>
      <c r="AD10" s="1059">
        <v>14</v>
      </c>
      <c r="AE10" s="1059"/>
      <c r="AF10" s="1059">
        <v>15</v>
      </c>
      <c r="AG10" s="1059"/>
      <c r="AH10" s="1059">
        <v>16</v>
      </c>
      <c r="AI10" s="1059"/>
      <c r="AJ10" s="1059">
        <v>17</v>
      </c>
      <c r="AK10" s="1059"/>
      <c r="AL10" s="1060">
        <v>18</v>
      </c>
      <c r="AM10" s="1060"/>
    </row>
    <row r="11" ht="15" customHeight="1">
      <c r="D11" t="s">
        <v>254</v>
      </c>
      <c r="H11" s="1055">
        <v>18</v>
      </c>
      <c r="I11" s="1055"/>
      <c r="J11" s="1056">
        <v>19</v>
      </c>
      <c r="K11" s="1056"/>
      <c r="L11" s="1056">
        <v>20</v>
      </c>
      <c r="M11" s="1056"/>
      <c r="N11" s="1056">
        <v>21</v>
      </c>
      <c r="O11" s="1056"/>
      <c r="P11" s="1056">
        <v>22</v>
      </c>
      <c r="Q11" s="1056"/>
      <c r="R11" s="1056">
        <v>23</v>
      </c>
      <c r="S11" s="1056"/>
      <c r="T11" s="1057">
        <v>24</v>
      </c>
      <c r="U11" s="1057"/>
      <c r="Z11" s="1055">
        <v>19</v>
      </c>
      <c r="AA11" s="1055"/>
      <c r="AB11" s="1056">
        <v>20</v>
      </c>
      <c r="AC11" s="1056"/>
      <c r="AD11" s="1056">
        <v>21</v>
      </c>
      <c r="AE11" s="1056"/>
      <c r="AF11" s="1056">
        <v>22</v>
      </c>
      <c r="AG11" s="1056"/>
      <c r="AH11" s="1056">
        <v>23</v>
      </c>
      <c r="AI11" s="1056"/>
      <c r="AJ11" s="1056">
        <v>24</v>
      </c>
      <c r="AK11" s="1056"/>
      <c r="AL11" s="1057">
        <v>25</v>
      </c>
      <c r="AM11" s="1057"/>
      <c r="AN11" t="s">
        <v>27</v>
      </c>
    </row>
    <row r="12" ht="15" customHeight="1">
      <c r="A12" s="68"/>
      <c r="H12" s="1058">
        <v>25</v>
      </c>
      <c r="I12" s="1058"/>
      <c r="J12" s="1059">
        <v>26</v>
      </c>
      <c r="K12" s="1059"/>
      <c r="L12" s="1059">
        <v>27</v>
      </c>
      <c r="M12" s="1059"/>
      <c r="N12" s="1059">
        <v>28</v>
      </c>
      <c r="O12" s="1059"/>
      <c r="P12" s="1059">
        <v>29</v>
      </c>
      <c r="Q12" s="1059"/>
      <c r="R12" s="1059">
        <v>30</v>
      </c>
      <c r="S12" s="1059"/>
      <c r="T12" s="1060">
        <v>31</v>
      </c>
      <c r="U12" s="1060"/>
      <c r="Z12" s="1058">
        <v>26</v>
      </c>
      <c r="AA12" s="1058"/>
      <c r="AB12" s="1059">
        <v>27</v>
      </c>
      <c r="AC12" s="1059"/>
      <c r="AD12" s="1059">
        <v>28</v>
      </c>
      <c r="AE12" s="1059"/>
      <c r="AF12" s="1059">
        <v>29</v>
      </c>
      <c r="AG12" s="1059"/>
      <c r="AH12" s="1059">
        <v>30</v>
      </c>
      <c r="AI12" s="1059"/>
      <c r="AJ12" s="1059">
        <v>31</v>
      </c>
      <c r="AK12" s="1059"/>
      <c r="AL12" s="1060"/>
      <c r="AM12" s="1060"/>
    </row>
    <row r="13" ht="15" customHeight="1">
      <c r="C13" s="72"/>
      <c r="D13" s="73"/>
      <c r="E13" s="73"/>
      <c r="F13" s="73"/>
      <c r="G13" s="73"/>
      <c r="H13" s="1061" t="s">
        <v>27</v>
      </c>
      <c r="I13" s="1061"/>
      <c r="J13" s="1062" t="s">
        <v>27</v>
      </c>
      <c r="K13" s="1062"/>
      <c r="L13" s="1062" t="s">
        <v>27</v>
      </c>
      <c r="M13" s="1062"/>
      <c r="N13" s="1062" t="s">
        <v>27</v>
      </c>
      <c r="O13" s="1062"/>
      <c r="P13" s="1062" t="s">
        <v>27</v>
      </c>
      <c r="Q13" s="1062"/>
      <c r="R13" s="1062" t="s">
        <v>27</v>
      </c>
      <c r="S13" s="1062"/>
      <c r="T13" s="1063" t="s">
        <v>27</v>
      </c>
      <c r="U13" s="1063"/>
      <c r="Z13" s="1061" t="s">
        <v>27</v>
      </c>
      <c r="AA13" s="1061"/>
      <c r="AB13" s="1062" t="s">
        <v>27</v>
      </c>
      <c r="AC13" s="1062"/>
      <c r="AD13" s="1062" t="s">
        <v>27</v>
      </c>
      <c r="AE13" s="1062"/>
      <c r="AF13" s="1062" t="s">
        <v>27</v>
      </c>
      <c r="AG13" s="1062"/>
      <c r="AH13" s="1062" t="s">
        <v>27</v>
      </c>
      <c r="AI13" s="1062"/>
      <c r="AJ13" s="1062" t="s">
        <v>27</v>
      </c>
      <c r="AK13" s="1062"/>
      <c r="AL13" s="1063" t="s">
        <v>27</v>
      </c>
      <c r="AM13" s="1063"/>
    </row>
    <row r="14" ht="15" customHeight="1">
      <c r="A14" s="68"/>
      <c r="C14" s="68" t="s">
        <v>8</v>
      </c>
      <c r="F14" s="64"/>
    </row>
    <row r="15" ht="15" customHeight="1">
      <c r="D15" s="70" t="s">
        <v>248</v>
      </c>
      <c r="F15" s="64"/>
      <c r="P15" s="1064"/>
      <c r="Q15" s="1064"/>
      <c r="R15" s="1064"/>
      <c r="S15" s="1064"/>
      <c r="T15" s="1064"/>
      <c r="U15" s="1064"/>
      <c r="V15" s="1064"/>
      <c r="W15" s="0"/>
      <c r="X15" s="1064"/>
      <c r="Y15" s="1064"/>
      <c r="Z15" s="1064"/>
      <c r="AA15" s="1064"/>
      <c r="AB15" s="1064"/>
      <c r="AC15" s="1064"/>
      <c r="AD15" s="1064"/>
      <c r="AE15" s="0"/>
      <c r="AF15" s="1064"/>
      <c r="AG15" s="1064"/>
      <c r="AH15" s="1064"/>
      <c r="AI15" s="1064"/>
      <c r="AJ15" s="1064"/>
      <c r="AK15" s="1064"/>
      <c r="AL15" s="1064"/>
      <c r="AM15" s="0"/>
      <c r="AN15" s="0"/>
    </row>
    <row r="16" ht="15" customHeight="1">
      <c r="C16" s="70"/>
      <c r="D16" s="73" t="s">
        <v>250</v>
      </c>
      <c r="F16" s="64"/>
      <c r="P16" s="21"/>
      <c r="Q16" s="21"/>
      <c r="R16" s="21"/>
      <c r="S16" s="21"/>
      <c r="T16" s="21"/>
      <c r="U16" s="21"/>
      <c r="V16" s="21"/>
      <c r="W16" s="0"/>
      <c r="X16" s="21"/>
      <c r="Y16" s="21"/>
      <c r="Z16" s="21"/>
      <c r="AA16" s="21"/>
      <c r="AB16" s="21"/>
      <c r="AC16" s="21"/>
      <c r="AD16" s="21"/>
      <c r="AE16" s="0"/>
      <c r="AF16" s="21"/>
      <c r="AG16" s="21"/>
      <c r="AH16" s="21"/>
      <c r="AI16" s="21"/>
      <c r="AJ16" s="21"/>
      <c r="AK16" s="21"/>
      <c r="AL16" s="21"/>
      <c r="AM16" s="0"/>
      <c r="AN16" s="0"/>
    </row>
    <row r="17" ht="15" customHeight="1">
      <c r="C17" s="70"/>
      <c r="D17" s="73" t="s">
        <v>252</v>
      </c>
      <c r="F17" s="64"/>
      <c r="P17" s="21"/>
      <c r="Q17" s="21"/>
      <c r="R17" s="21"/>
      <c r="S17" s="21"/>
      <c r="T17" s="21"/>
      <c r="U17" s="21"/>
      <c r="V17" s="21"/>
      <c r="W17" s="0"/>
      <c r="X17" s="21"/>
      <c r="Y17" s="21"/>
      <c r="Z17" s="21"/>
      <c r="AA17" s="21"/>
      <c r="AB17" s="21"/>
      <c r="AC17" s="21"/>
      <c r="AD17" s="21"/>
      <c r="AE17" s="0"/>
      <c r="AF17" s="21"/>
      <c r="AG17" s="21"/>
      <c r="AH17" s="21"/>
      <c r="AI17" s="21"/>
      <c r="AJ17" s="21"/>
      <c r="AK17" s="21"/>
      <c r="AL17" s="21"/>
      <c r="AM17" s="0"/>
      <c r="AN17" s="0"/>
    </row>
    <row r="18" ht="15" customHeight="1">
      <c r="C18" s="70"/>
      <c r="D18" s="71" t="s">
        <v>254</v>
      </c>
      <c r="F18" s="64"/>
      <c r="P18" s="21"/>
      <c r="Q18" s="21"/>
      <c r="R18" s="21"/>
      <c r="S18" s="21"/>
      <c r="T18" s="21"/>
      <c r="U18" s="21"/>
      <c r="V18" s="21"/>
      <c r="W18" s="0"/>
      <c r="X18" s="21"/>
      <c r="Y18" s="21"/>
      <c r="Z18" s="21"/>
      <c r="AA18" s="21"/>
      <c r="AB18" s="21"/>
      <c r="AC18" s="21"/>
      <c r="AD18" s="21"/>
      <c r="AE18" s="0"/>
      <c r="AF18" s="21"/>
      <c r="AG18" s="21"/>
      <c r="AH18" s="21"/>
      <c r="AI18" s="21"/>
      <c r="AJ18" s="21"/>
      <c r="AK18" s="21"/>
      <c r="AL18" s="21"/>
      <c r="AM18" s="0"/>
      <c r="AN18" s="0"/>
    </row>
    <row r="19" ht="15" customHeight="1">
      <c r="C19" s="74"/>
      <c r="D19" s="71"/>
      <c r="F19" s="64"/>
      <c r="P19" s="21"/>
      <c r="Q19" s="21"/>
      <c r="R19" s="21"/>
      <c r="S19" s="21"/>
      <c r="T19" s="21"/>
      <c r="U19" s="21"/>
      <c r="V19" s="21"/>
      <c r="W19" s="0"/>
      <c r="X19" s="21"/>
      <c r="Y19" s="21"/>
      <c r="Z19" s="21"/>
      <c r="AA19" s="21"/>
      <c r="AB19" s="21"/>
      <c r="AC19" s="21"/>
      <c r="AD19" s="21"/>
      <c r="AE19" s="0"/>
      <c r="AF19" s="21"/>
      <c r="AG19" s="21"/>
      <c r="AH19" s="21"/>
      <c r="AI19" s="21"/>
      <c r="AJ19" s="21"/>
      <c r="AK19" s="21"/>
      <c r="AL19" s="21"/>
      <c r="AM19" s="0"/>
      <c r="AN19" s="0"/>
    </row>
    <row r="20" ht="15" customHeight="1">
      <c r="C20" s="74"/>
      <c r="D20" s="71"/>
      <c r="F20" s="64"/>
      <c r="P20" s="21"/>
      <c r="Q20" s="21"/>
      <c r="R20" s="21"/>
      <c r="S20" s="21"/>
      <c r="T20" s="21"/>
      <c r="U20" s="21"/>
      <c r="V20" s="21"/>
      <c r="W20" s="0"/>
      <c r="X20" s="21"/>
      <c r="Y20" s="21"/>
      <c r="Z20" s="21"/>
      <c r="AA20" s="21"/>
      <c r="AB20" s="21"/>
      <c r="AC20" s="21"/>
      <c r="AD20" s="21"/>
      <c r="AE20" s="0"/>
      <c r="AF20" s="21"/>
      <c r="AG20" s="21"/>
      <c r="AH20" s="21"/>
      <c r="AI20" s="21"/>
      <c r="AJ20" s="21"/>
      <c r="AK20" s="21"/>
      <c r="AL20" s="21"/>
      <c r="AM20" s="0"/>
      <c r="AN20" s="0"/>
    </row>
    <row r="21" ht="30" customHeight="1">
      <c r="R21" s="993">
        <v>2021</v>
      </c>
      <c r="S21" s="993"/>
      <c r="T21" s="993"/>
      <c r="U21" s="993"/>
      <c r="V21" s="993"/>
      <c r="W21" s="993"/>
      <c r="X21" s="993"/>
      <c r="Y21" s="993"/>
      <c r="Z21" s="993"/>
      <c r="AA21" s="993"/>
      <c r="AB21" s="993"/>
      <c r="AC21" s="993"/>
      <c r="AD21" s="995">
        <v>2022</v>
      </c>
      <c r="AE21" s="995"/>
      <c r="AF21" s="995"/>
      <c r="AG21" s="995"/>
      <c r="AH21" s="995"/>
      <c r="AI21" s="995"/>
      <c r="AJ21" s="995"/>
      <c r="AK21" s="995"/>
      <c r="AL21" s="995"/>
      <c r="AM21" s="995"/>
      <c r="AN21" s="995"/>
      <c r="AO21" s="995"/>
    </row>
    <row r="22" s="5" customFormat="1" ht="30" customHeight="1">
      <c r="B22" s="76"/>
      <c r="C22" s="77" t="s">
        <v>71</v>
      </c>
      <c r="D22" s="77" t="s">
        <v>21</v>
      </c>
      <c r="E22" s="177" t="s">
        <v>95</v>
      </c>
      <c r="F22" s="10" t="s">
        <v>60</v>
      </c>
      <c r="G22" s="10" t="s">
        <v>61</v>
      </c>
      <c r="H22" s="1065" t="s">
        <v>34</v>
      </c>
      <c r="I22" s="1065"/>
      <c r="J22" s="1065"/>
      <c r="K22" s="1065"/>
      <c r="L22" s="1065" t="s">
        <v>62</v>
      </c>
      <c r="M22" s="1065"/>
      <c r="N22" s="1065"/>
      <c r="O22" s="1065"/>
      <c r="R22" s="617" t="s">
        <v>230</v>
      </c>
      <c r="S22" s="618" t="s">
        <v>231</v>
      </c>
      <c r="T22" s="618" t="s">
        <v>232</v>
      </c>
      <c r="U22" s="618" t="s">
        <v>233</v>
      </c>
      <c r="V22" s="618" t="s">
        <v>234</v>
      </c>
      <c r="W22" s="618" t="s">
        <v>235</v>
      </c>
      <c r="X22" s="618" t="s">
        <v>218</v>
      </c>
      <c r="Y22" s="618" t="s">
        <v>221</v>
      </c>
      <c r="Z22" s="618" t="s">
        <v>222</v>
      </c>
      <c r="AA22" s="618" t="s">
        <v>224</v>
      </c>
      <c r="AB22" s="618" t="s">
        <v>227</v>
      </c>
      <c r="AC22" s="1015" t="s">
        <v>229</v>
      </c>
      <c r="AD22" s="618" t="s">
        <v>230</v>
      </c>
      <c r="AE22" s="618" t="s">
        <v>231</v>
      </c>
      <c r="AF22" s="618" t="s">
        <v>232</v>
      </c>
      <c r="AG22" s="618" t="s">
        <v>233</v>
      </c>
      <c r="AH22" s="618" t="s">
        <v>234</v>
      </c>
      <c r="AI22" s="618" t="s">
        <v>235</v>
      </c>
      <c r="AJ22" s="618" t="s">
        <v>218</v>
      </c>
      <c r="AK22" s="618" t="s">
        <v>221</v>
      </c>
      <c r="AL22" s="618" t="s">
        <v>222</v>
      </c>
      <c r="AM22" s="618" t="s">
        <v>224</v>
      </c>
      <c r="AN22" s="618" t="s">
        <v>227</v>
      </c>
      <c r="AO22" s="1015" t="s">
        <v>229</v>
      </c>
      <c r="AP22" s="78"/>
      <c r="AQ22" s="78"/>
      <c r="AR22" s="78"/>
      <c r="AS22" s="236"/>
      <c r="AT22" s="236"/>
      <c r="AU22" s="236"/>
      <c r="AV22" s="236"/>
      <c r="AW22" s="236"/>
      <c r="AX22" s="236"/>
      <c r="AY22" s="236"/>
      <c r="AZ22" s="236"/>
      <c r="BA22" s="236"/>
      <c r="BB22" s="236"/>
      <c r="BC22" s="236"/>
      <c r="BD22" s="236"/>
      <c r="BE22" s="236"/>
      <c r="BF22" s="236"/>
      <c r="BG22" s="236"/>
      <c r="BH22" s="236"/>
      <c r="BI22" s="236"/>
      <c r="BJ22" s="236"/>
      <c r="BK22" s="236"/>
      <c r="BL22" s="236"/>
      <c r="BM22" s="236"/>
      <c r="BN22" s="236"/>
      <c r="BO22" s="236"/>
      <c r="BP22" s="236"/>
      <c r="BQ22" s="236"/>
      <c r="BR22" s="236"/>
      <c r="BS22" s="236"/>
      <c r="BT22" s="236"/>
      <c r="BU22" s="236"/>
      <c r="BV22" s="236"/>
      <c r="BW22" s="236"/>
    </row>
    <row r="23" s="0" customFormat="1" ht="18" customHeight="1">
      <c r="B23" s="21"/>
      <c r="C23" s="1016">
        <v>56387</v>
      </c>
      <c r="D23" s="1016" t="s">
        <v>213</v>
      </c>
      <c r="E23" s="1016" t="s">
        <v>259</v>
      </c>
      <c r="F23" s="1016" t="s">
        <v>260</v>
      </c>
      <c r="G23" s="1016" t="s">
        <v>261</v>
      </c>
      <c r="H23" s="1017" t="s">
        <v>262</v>
      </c>
      <c r="I23" s="1017"/>
      <c r="J23" s="1017"/>
      <c r="K23" s="1017"/>
      <c r="L23" s="1017" t="s">
        <v>263</v>
      </c>
      <c r="M23" s="1017"/>
      <c r="N23" s="1017"/>
      <c r="O23" s="1017"/>
      <c r="P23" s="80"/>
      <c r="Q23" s="4"/>
      <c r="R23" s="1066" t="s">
        <v>305</v>
      </c>
      <c r="S23" s="1067" t="s">
        <v>305</v>
      </c>
      <c r="T23" s="1067" t="s">
        <v>305</v>
      </c>
      <c r="U23" s="1067" t="s">
        <v>305</v>
      </c>
      <c r="V23" s="1067" t="s">
        <v>305</v>
      </c>
      <c r="W23" s="1067" t="s">
        <v>305</v>
      </c>
      <c r="X23" s="1067" t="s">
        <v>305</v>
      </c>
      <c r="Y23" s="1067" t="s">
        <v>305</v>
      </c>
      <c r="Z23" s="1067" t="s">
        <v>305</v>
      </c>
      <c r="AA23" s="1067" t="s">
        <v>305</v>
      </c>
      <c r="AB23" s="1067" t="s">
        <v>305</v>
      </c>
      <c r="AC23" s="1067" t="s">
        <v>305</v>
      </c>
      <c r="AD23" s="1067" t="s">
        <v>305</v>
      </c>
      <c r="AE23" s="1067" t="s">
        <v>305</v>
      </c>
      <c r="AF23" s="1067" t="s">
        <v>305</v>
      </c>
      <c r="AG23" s="1067" t="s">
        <v>305</v>
      </c>
      <c r="AH23" s="1067" t="s">
        <v>305</v>
      </c>
      <c r="AI23" s="1067" t="s">
        <v>305</v>
      </c>
      <c r="AJ23" s="1067" t="s">
        <v>305</v>
      </c>
      <c r="AK23" s="1067" t="s">
        <v>305</v>
      </c>
      <c r="AL23" s="1067" t="s">
        <v>305</v>
      </c>
      <c r="AM23" s="1067" t="s">
        <v>305</v>
      </c>
      <c r="AN23" s="1067" t="s">
        <v>305</v>
      </c>
      <c r="AO23" s="1068" t="s">
        <v>305</v>
      </c>
      <c r="AP23" s="79"/>
      <c r="AQ23" s="79"/>
      <c r="AR23" s="79"/>
      <c r="AS23" s="236"/>
      <c r="AT23" s="236"/>
      <c r="AU23" s="236"/>
      <c r="AV23" s="236"/>
      <c r="AW23" s="236"/>
      <c r="AX23" s="236"/>
      <c r="AY23" s="236"/>
      <c r="AZ23" s="236"/>
      <c r="BA23" s="236"/>
      <c r="BB23" s="236"/>
      <c r="BC23" s="236"/>
      <c r="BD23" s="236"/>
      <c r="BE23" s="236"/>
      <c r="BF23" s="236"/>
      <c r="BG23" s="236"/>
      <c r="BH23" s="236"/>
      <c r="BI23" s="236"/>
      <c r="BJ23" s="236"/>
      <c r="BK23" s="236"/>
      <c r="BL23" s="236"/>
      <c r="BM23" s="236"/>
      <c r="BN23" s="236"/>
      <c r="BO23" s="236"/>
      <c r="BP23" s="236"/>
      <c r="BQ23" s="236"/>
      <c r="BR23" s="236"/>
      <c r="BS23" s="236"/>
      <c r="BT23" s="236"/>
      <c r="BU23" s="236"/>
      <c r="BV23" s="236"/>
      <c r="BW23" s="236"/>
    </row>
    <row r="24" s="0" customFormat="1" ht="18" customHeight="1">
      <c r="B24" s="21"/>
      <c r="C24" s="1021">
        <v>33931</v>
      </c>
      <c r="D24" s="1021" t="s">
        <v>265</v>
      </c>
      <c r="E24" s="1021" t="s">
        <v>259</v>
      </c>
      <c r="F24" s="1022" t="s">
        <v>266</v>
      </c>
      <c r="G24" s="1021" t="s">
        <v>267</v>
      </c>
      <c r="H24" s="1023" t="s">
        <v>268</v>
      </c>
      <c r="I24" s="1023"/>
      <c r="J24" s="1023"/>
      <c r="K24" s="1023"/>
      <c r="L24" s="1023" t="s">
        <v>269</v>
      </c>
      <c r="M24" s="1023"/>
      <c r="N24" s="1023"/>
      <c r="O24" s="1023"/>
      <c r="P24" s="80"/>
      <c r="Q24" s="4"/>
      <c r="R24" s="1069" t="s">
        <v>306</v>
      </c>
      <c r="S24" s="1070" t="s">
        <v>306</v>
      </c>
      <c r="T24" s="1070" t="s">
        <v>306</v>
      </c>
      <c r="U24" s="1070" t="s">
        <v>305</v>
      </c>
      <c r="V24" s="1070" t="s">
        <v>305</v>
      </c>
      <c r="W24" s="1070" t="s">
        <v>305</v>
      </c>
      <c r="X24" s="1070" t="s">
        <v>305</v>
      </c>
      <c r="Y24" s="1070" t="s">
        <v>306</v>
      </c>
      <c r="Z24" s="1070" t="s">
        <v>306</v>
      </c>
      <c r="AA24" s="1070" t="s">
        <v>306</v>
      </c>
      <c r="AB24" s="1070" t="s">
        <v>278</v>
      </c>
      <c r="AC24" s="1070" t="s">
        <v>305</v>
      </c>
      <c r="AD24" s="1070" t="s">
        <v>306</v>
      </c>
      <c r="AE24" s="1070" t="s">
        <v>305</v>
      </c>
      <c r="AF24" s="1070" t="s">
        <v>305</v>
      </c>
      <c r="AG24" s="1070" t="s">
        <v>306</v>
      </c>
      <c r="AH24" s="1070" t="s">
        <v>305</v>
      </c>
      <c r="AI24" s="1070" t="s">
        <v>306</v>
      </c>
      <c r="AJ24" s="1070" t="s">
        <v>306</v>
      </c>
      <c r="AK24" s="1070" t="s">
        <v>306</v>
      </c>
      <c r="AL24" s="1070" t="s">
        <v>306</v>
      </c>
      <c r="AM24" s="1070" t="s">
        <v>306</v>
      </c>
      <c r="AN24" s="1070" t="s">
        <v>306</v>
      </c>
      <c r="AO24" s="1071" t="s">
        <v>306</v>
      </c>
      <c r="AP24" s="79"/>
      <c r="AQ24" s="79"/>
      <c r="AR24" s="79"/>
      <c r="AS24" s="236"/>
      <c r="AT24" s="236"/>
      <c r="AU24" s="236"/>
      <c r="AV24" s="236"/>
      <c r="AW24" s="236"/>
      <c r="AX24" s="236"/>
      <c r="AY24" s="236"/>
      <c r="AZ24" s="236"/>
      <c r="BA24" s="236"/>
      <c r="BB24" s="236"/>
      <c r="BC24" s="236"/>
      <c r="BD24" s="236"/>
      <c r="BE24" s="236"/>
      <c r="BF24" s="236"/>
      <c r="BG24" s="236"/>
      <c r="BH24" s="236"/>
      <c r="BI24" s="236"/>
      <c r="BJ24" s="236"/>
      <c r="BK24" s="236"/>
      <c r="BL24" s="236"/>
      <c r="BM24" s="236"/>
      <c r="BN24" s="236"/>
      <c r="BO24" s="236"/>
      <c r="BP24" s="236"/>
      <c r="BQ24" s="236"/>
      <c r="BR24" s="236"/>
      <c r="BS24" s="236"/>
      <c r="BT24" s="236"/>
      <c r="BU24" s="236"/>
      <c r="BV24" s="236"/>
      <c r="BW24" s="236"/>
    </row>
    <row r="25" s="0" customFormat="1" ht="18" customHeight="1">
      <c r="B25" s="21"/>
      <c r="C25" s="1016">
        <v>34401</v>
      </c>
      <c r="D25" s="1016" t="s">
        <v>270</v>
      </c>
      <c r="E25" s="1016" t="s">
        <v>259</v>
      </c>
      <c r="F25" s="1027" t="s">
        <v>266</v>
      </c>
      <c r="G25" s="1016" t="s">
        <v>271</v>
      </c>
      <c r="H25" s="1017" t="s">
        <v>272</v>
      </c>
      <c r="I25" s="1017"/>
      <c r="J25" s="1017"/>
      <c r="K25" s="1017"/>
      <c r="L25" s="1017" t="s">
        <v>273</v>
      </c>
      <c r="M25" s="1017"/>
      <c r="N25" s="1017"/>
      <c r="O25" s="1017"/>
      <c r="P25" s="80"/>
      <c r="Q25" s="4"/>
      <c r="R25" s="1066" t="s">
        <v>305</v>
      </c>
      <c r="S25" s="1067" t="s">
        <v>305</v>
      </c>
      <c r="T25" s="1067" t="s">
        <v>305</v>
      </c>
      <c r="U25" s="1067" t="s">
        <v>305</v>
      </c>
      <c r="V25" s="1067" t="s">
        <v>305</v>
      </c>
      <c r="W25" s="1067" t="s">
        <v>305</v>
      </c>
      <c r="X25" s="1067" t="s">
        <v>305</v>
      </c>
      <c r="Y25" s="1067" t="s">
        <v>305</v>
      </c>
      <c r="Z25" s="1067" t="s">
        <v>305</v>
      </c>
      <c r="AA25" s="1067" t="s">
        <v>305</v>
      </c>
      <c r="AB25" s="1067" t="s">
        <v>305</v>
      </c>
      <c r="AC25" s="1067" t="s">
        <v>305</v>
      </c>
      <c r="AD25" s="1067" t="s">
        <v>305</v>
      </c>
      <c r="AE25" s="1067" t="s">
        <v>305</v>
      </c>
      <c r="AF25" s="1067" t="s">
        <v>305</v>
      </c>
      <c r="AG25" s="1067" t="s">
        <v>305</v>
      </c>
      <c r="AH25" s="1067" t="s">
        <v>305</v>
      </c>
      <c r="AI25" s="1067" t="s">
        <v>305</v>
      </c>
      <c r="AJ25" s="1067" t="s">
        <v>305</v>
      </c>
      <c r="AK25" s="1067" t="s">
        <v>305</v>
      </c>
      <c r="AL25" s="1067" t="s">
        <v>305</v>
      </c>
      <c r="AM25" s="1067" t="s">
        <v>305</v>
      </c>
      <c r="AN25" s="1067" t="s">
        <v>305</v>
      </c>
      <c r="AO25" s="1068" t="s">
        <v>305</v>
      </c>
      <c r="AP25" s="79"/>
      <c r="AQ25" s="79"/>
      <c r="AR25" s="79"/>
      <c r="AS25" s="236"/>
      <c r="AT25" s="236"/>
      <c r="AU25" s="236"/>
      <c r="AV25" s="236"/>
      <c r="AW25" s="236"/>
      <c r="AX25" s="236"/>
      <c r="AY25" s="236"/>
      <c r="AZ25" s="236"/>
      <c r="BA25" s="236"/>
      <c r="BB25" s="236"/>
      <c r="BC25" s="236"/>
      <c r="BD25" s="236"/>
      <c r="BE25" s="236"/>
      <c r="BF25" s="236"/>
      <c r="BG25" s="236"/>
      <c r="BH25" s="236"/>
      <c r="BI25" s="236"/>
      <c r="BJ25" s="236"/>
      <c r="BK25" s="236"/>
      <c r="BL25" s="236"/>
      <c r="BM25" s="236"/>
      <c r="BN25" s="236"/>
      <c r="BO25" s="236"/>
      <c r="BP25" s="236"/>
      <c r="BQ25" s="236"/>
      <c r="BR25" s="236"/>
      <c r="BS25" s="236"/>
      <c r="BT25" s="236"/>
      <c r="BU25" s="236"/>
      <c r="BV25" s="236"/>
      <c r="BW25" s="236"/>
    </row>
    <row r="26" s="0" customFormat="1" ht="18" customHeight="1">
      <c r="B26" s="21"/>
      <c r="C26" s="1021">
        <v>39070</v>
      </c>
      <c r="D26" s="1021" t="s">
        <v>274</v>
      </c>
      <c r="E26" s="1021" t="s">
        <v>259</v>
      </c>
      <c r="F26" s="1022" t="s">
        <v>266</v>
      </c>
      <c r="G26" s="1021" t="s">
        <v>275</v>
      </c>
      <c r="H26" s="1023" t="s">
        <v>276</v>
      </c>
      <c r="I26" s="1023"/>
      <c r="J26" s="1023"/>
      <c r="K26" s="1023"/>
      <c r="L26" s="1023" t="s">
        <v>277</v>
      </c>
      <c r="M26" s="1023"/>
      <c r="N26" s="1023"/>
      <c r="O26" s="1023"/>
      <c r="P26" s="80"/>
      <c r="Q26" s="4"/>
      <c r="R26" s="1069" t="s">
        <v>278</v>
      </c>
      <c r="S26" s="1070" t="s">
        <v>278</v>
      </c>
      <c r="T26" s="1070" t="s">
        <v>278</v>
      </c>
      <c r="U26" s="1070" t="s">
        <v>278</v>
      </c>
      <c r="V26" s="1070" t="s">
        <v>278</v>
      </c>
      <c r="W26" s="1070" t="s">
        <v>278</v>
      </c>
      <c r="X26" s="1070" t="s">
        <v>278</v>
      </c>
      <c r="Y26" s="1070" t="s">
        <v>278</v>
      </c>
      <c r="Z26" s="1070" t="s">
        <v>278</v>
      </c>
      <c r="AA26" s="1070" t="s">
        <v>305</v>
      </c>
      <c r="AB26" s="1070" t="s">
        <v>305</v>
      </c>
      <c r="AC26" s="1070" t="s">
        <v>305</v>
      </c>
      <c r="AD26" s="1070" t="s">
        <v>305</v>
      </c>
      <c r="AE26" s="1070" t="s">
        <v>305</v>
      </c>
      <c r="AF26" s="1070" t="s">
        <v>305</v>
      </c>
      <c r="AG26" s="1070" t="s">
        <v>305</v>
      </c>
      <c r="AH26" s="1070" t="s">
        <v>305</v>
      </c>
      <c r="AI26" s="1070" t="s">
        <v>305</v>
      </c>
      <c r="AJ26" s="1070" t="s">
        <v>305</v>
      </c>
      <c r="AK26" s="1070" t="s">
        <v>305</v>
      </c>
      <c r="AL26" s="1070" t="s">
        <v>305</v>
      </c>
      <c r="AM26" s="1070" t="s">
        <v>305</v>
      </c>
      <c r="AN26" s="1070" t="s">
        <v>305</v>
      </c>
      <c r="AO26" s="1071" t="s">
        <v>305</v>
      </c>
      <c r="AP26" s="79"/>
      <c r="AQ26" s="79"/>
      <c r="AR26" s="79"/>
      <c r="AS26" s="236"/>
      <c r="AT26" s="236"/>
      <c r="AU26" s="236"/>
      <c r="AV26" s="236"/>
      <c r="AW26" s="236"/>
      <c r="AX26" s="236"/>
      <c r="AY26" s="236"/>
      <c r="AZ26" s="236"/>
      <c r="BA26" s="236"/>
      <c r="BB26" s="236"/>
      <c r="BC26" s="236"/>
      <c r="BD26" s="236"/>
      <c r="BE26" s="236"/>
      <c r="BF26" s="236"/>
      <c r="BG26" s="236"/>
      <c r="BH26" s="236"/>
      <c r="BI26" s="236"/>
      <c r="BJ26" s="236"/>
      <c r="BK26" s="236"/>
      <c r="BL26" s="236"/>
      <c r="BM26" s="236"/>
      <c r="BN26" s="236"/>
      <c r="BO26" s="236"/>
      <c r="BP26" s="236"/>
      <c r="BQ26" s="236"/>
      <c r="BR26" s="236"/>
      <c r="BS26" s="236"/>
      <c r="BT26" s="236"/>
      <c r="BU26" s="236"/>
      <c r="BV26" s="236"/>
      <c r="BW26" s="236"/>
    </row>
    <row r="27" s="0" customFormat="1" ht="18" customHeight="1">
      <c r="B27" s="21"/>
      <c r="C27" s="1016">
        <v>44117</v>
      </c>
      <c r="D27" s="1016" t="s">
        <v>279</v>
      </c>
      <c r="E27" s="1016" t="s">
        <v>259</v>
      </c>
      <c r="F27" s="1027" t="s">
        <v>266</v>
      </c>
      <c r="G27" s="1016" t="s">
        <v>280</v>
      </c>
      <c r="H27" s="1017" t="s">
        <v>281</v>
      </c>
      <c r="I27" s="1017"/>
      <c r="J27" s="1017"/>
      <c r="K27" s="1017"/>
      <c r="L27" s="1017" t="s">
        <v>282</v>
      </c>
      <c r="M27" s="1017"/>
      <c r="N27" s="1017"/>
      <c r="O27" s="1017"/>
      <c r="P27" s="80"/>
      <c r="Q27" s="4"/>
      <c r="R27" s="1066" t="s">
        <v>305</v>
      </c>
      <c r="S27" s="1067" t="s">
        <v>305</v>
      </c>
      <c r="T27" s="1067" t="s">
        <v>305</v>
      </c>
      <c r="U27" s="1067" t="s">
        <v>305</v>
      </c>
      <c r="V27" s="1067" t="s">
        <v>305</v>
      </c>
      <c r="W27" s="1067" t="s">
        <v>305</v>
      </c>
      <c r="X27" s="1067" t="s">
        <v>305</v>
      </c>
      <c r="Y27" s="1067" t="s">
        <v>305</v>
      </c>
      <c r="Z27" s="1067" t="s">
        <v>305</v>
      </c>
      <c r="AA27" s="1067" t="s">
        <v>305</v>
      </c>
      <c r="AB27" s="1067" t="s">
        <v>305</v>
      </c>
      <c r="AC27" s="1067" t="s">
        <v>305</v>
      </c>
      <c r="AD27" s="1067" t="s">
        <v>305</v>
      </c>
      <c r="AE27" s="1067" t="s">
        <v>305</v>
      </c>
      <c r="AF27" s="1067" t="s">
        <v>305</v>
      </c>
      <c r="AG27" s="1067" t="s">
        <v>305</v>
      </c>
      <c r="AH27" s="1067" t="s">
        <v>305</v>
      </c>
      <c r="AI27" s="1067" t="s">
        <v>305</v>
      </c>
      <c r="AJ27" s="1067" t="s">
        <v>305</v>
      </c>
      <c r="AK27" s="1067" t="s">
        <v>305</v>
      </c>
      <c r="AL27" s="1067" t="s">
        <v>305</v>
      </c>
      <c r="AM27" s="1067" t="s">
        <v>305</v>
      </c>
      <c r="AN27" s="1067" t="s">
        <v>305</v>
      </c>
      <c r="AO27" s="1068" t="s">
        <v>305</v>
      </c>
      <c r="AP27" s="79"/>
      <c r="AQ27" s="79"/>
      <c r="AR27" s="79"/>
      <c r="AS27" s="236"/>
      <c r="AT27" s="236"/>
      <c r="AU27" s="236"/>
      <c r="AV27" s="236"/>
      <c r="AW27" s="236"/>
      <c r="AX27" s="236"/>
      <c r="AY27" s="236"/>
      <c r="AZ27" s="236"/>
      <c r="BA27" s="236"/>
      <c r="BB27" s="236"/>
      <c r="BC27" s="236"/>
      <c r="BD27" s="236"/>
      <c r="BE27" s="236"/>
      <c r="BF27" s="236"/>
      <c r="BG27" s="236"/>
      <c r="BH27" s="236"/>
      <c r="BI27" s="236"/>
      <c r="BJ27" s="236"/>
      <c r="BK27" s="236"/>
      <c r="BL27" s="236"/>
      <c r="BM27" s="236"/>
      <c r="BN27" s="236"/>
      <c r="BO27" s="236"/>
      <c r="BP27" s="236"/>
      <c r="BQ27" s="236"/>
      <c r="BR27" s="236"/>
      <c r="BS27" s="236"/>
      <c r="BT27" s="236"/>
      <c r="BU27" s="236"/>
      <c r="BV27" s="236"/>
      <c r="BW27" s="236"/>
    </row>
    <row r="28" s="0" customFormat="1" ht="18" customHeight="1">
      <c r="B28" s="21"/>
      <c r="C28" s="1021">
        <v>53909</v>
      </c>
      <c r="D28" s="1021" t="s">
        <v>283</v>
      </c>
      <c r="E28" s="1021" t="s">
        <v>259</v>
      </c>
      <c r="F28" s="1021" t="s">
        <v>284</v>
      </c>
      <c r="G28" s="1021" t="s">
        <v>285</v>
      </c>
      <c r="H28" s="1023" t="s">
        <v>286</v>
      </c>
      <c r="I28" s="1023"/>
      <c r="J28" s="1023"/>
      <c r="K28" s="1023"/>
      <c r="L28" s="1023" t="s">
        <v>287</v>
      </c>
      <c r="M28" s="1023"/>
      <c r="N28" s="1023"/>
      <c r="O28" s="1023"/>
      <c r="P28" s="80"/>
      <c r="Q28" s="4"/>
      <c r="R28" s="1069" t="s">
        <v>306</v>
      </c>
      <c r="S28" s="1070" t="s">
        <v>306</v>
      </c>
      <c r="T28" s="1070" t="s">
        <v>306</v>
      </c>
      <c r="U28" s="1070" t="s">
        <v>306</v>
      </c>
      <c r="V28" s="1070" t="s">
        <v>306</v>
      </c>
      <c r="W28" s="1070" t="s">
        <v>306</v>
      </c>
      <c r="X28" s="1070" t="s">
        <v>306</v>
      </c>
      <c r="Y28" s="1070" t="s">
        <v>306</v>
      </c>
      <c r="Z28" s="1070" t="s">
        <v>306</v>
      </c>
      <c r="AA28" s="1070" t="s">
        <v>305</v>
      </c>
      <c r="AB28" s="1070" t="s">
        <v>305</v>
      </c>
      <c r="AC28" s="1070" t="s">
        <v>305</v>
      </c>
      <c r="AD28" s="1070" t="s">
        <v>305</v>
      </c>
      <c r="AE28" s="1070" t="s">
        <v>305</v>
      </c>
      <c r="AF28" s="1070" t="s">
        <v>305</v>
      </c>
      <c r="AG28" s="1070" t="s">
        <v>305</v>
      </c>
      <c r="AH28" s="1070" t="s">
        <v>305</v>
      </c>
      <c r="AI28" s="1070" t="s">
        <v>278</v>
      </c>
      <c r="AJ28" s="1070" t="s">
        <v>278</v>
      </c>
      <c r="AK28" s="1070" t="s">
        <v>278</v>
      </c>
      <c r="AL28" s="1070" t="s">
        <v>278</v>
      </c>
      <c r="AM28" s="1070" t="s">
        <v>278</v>
      </c>
      <c r="AN28" s="1070" t="s">
        <v>278</v>
      </c>
      <c r="AO28" s="1071" t="s">
        <v>278</v>
      </c>
      <c r="AP28" s="79"/>
      <c r="AQ28" s="79"/>
      <c r="AR28" s="79"/>
      <c r="AS28" s="236"/>
      <c r="AT28" s="236"/>
      <c r="AU28" s="236"/>
      <c r="AV28" s="236"/>
      <c r="AW28" s="236"/>
      <c r="AX28" s="236"/>
      <c r="AY28" s="236"/>
      <c r="AZ28" s="236"/>
      <c r="BA28" s="236"/>
      <c r="BB28" s="236"/>
      <c r="BC28" s="236"/>
      <c r="BD28" s="236"/>
      <c r="BE28" s="236"/>
      <c r="BF28" s="236"/>
      <c r="BG28" s="236"/>
      <c r="BH28" s="236"/>
      <c r="BI28" s="236"/>
      <c r="BJ28" s="236"/>
      <c r="BK28" s="236"/>
      <c r="BL28" s="236"/>
      <c r="BM28" s="236"/>
      <c r="BN28" s="236"/>
      <c r="BO28" s="236"/>
      <c r="BP28" s="236"/>
      <c r="BQ28" s="236"/>
      <c r="BR28" s="236"/>
      <c r="BS28" s="236"/>
      <c r="BT28" s="236"/>
      <c r="BU28" s="236"/>
      <c r="BV28" s="236"/>
      <c r="BW28" s="236"/>
    </row>
    <row r="29" s="0" customFormat="1" ht="18" customHeight="1">
      <c r="B29" s="21"/>
      <c r="C29" s="181"/>
      <c r="D29" s="181"/>
      <c r="E29" s="181"/>
      <c r="F29" s="201"/>
      <c r="G29" s="181"/>
      <c r="H29" s="997">
        <v>561</v>
      </c>
      <c r="I29" s="997"/>
      <c r="J29" s="997"/>
      <c r="K29" s="997"/>
      <c r="L29" s="1072"/>
      <c r="M29" s="1072"/>
      <c r="N29" s="1072"/>
      <c r="O29" s="1072"/>
      <c r="P29" s="80"/>
      <c r="Q29" s="4"/>
      <c r="R29" s="182"/>
      <c r="S29" s="182"/>
      <c r="T29" s="182"/>
      <c r="U29" s="182"/>
      <c r="V29" s="182"/>
      <c r="W29" s="182"/>
      <c r="X29" s="182"/>
      <c r="Y29" s="182"/>
      <c r="Z29" s="182"/>
      <c r="AA29" s="182"/>
      <c r="AB29" s="182"/>
      <c r="AC29" s="182"/>
      <c r="AD29" s="182"/>
      <c r="AE29" s="182"/>
      <c r="AF29" s="182"/>
      <c r="AG29" s="182"/>
      <c r="AH29" s="182"/>
      <c r="AI29" s="182"/>
      <c r="AJ29" s="182"/>
      <c r="AK29" s="182"/>
      <c r="AL29" s="182"/>
      <c r="AM29" s="182"/>
      <c r="AN29" s="182"/>
      <c r="AO29" s="182"/>
      <c r="AP29" s="79"/>
      <c r="AQ29" s="79"/>
      <c r="AR29" s="79"/>
      <c r="AS29" s="236"/>
      <c r="AT29" s="236"/>
      <c r="AU29" s="236"/>
      <c r="AV29" s="236"/>
      <c r="AW29" s="236"/>
      <c r="AX29" s="236"/>
      <c r="AY29" s="236"/>
      <c r="AZ29" s="236"/>
      <c r="BA29" s="236"/>
      <c r="BB29" s="236"/>
      <c r="BC29" s="236"/>
      <c r="BD29" s="236"/>
      <c r="BE29" s="236"/>
      <c r="BF29" s="236"/>
      <c r="BG29" s="236"/>
      <c r="BH29" s="236"/>
      <c r="BI29" s="236"/>
      <c r="BJ29" s="236"/>
      <c r="BK29" s="236"/>
      <c r="BL29" s="236"/>
      <c r="BM29" s="236"/>
      <c r="BN29" s="236"/>
      <c r="BO29" s="236"/>
      <c r="BP29" s="236"/>
      <c r="BQ29" s="236"/>
      <c r="BR29" s="236"/>
      <c r="BS29" s="236"/>
      <c r="BT29" s="236"/>
      <c r="BU29" s="236"/>
      <c r="BV29" s="236"/>
      <c r="BW29" s="236"/>
    </row>
    <row r="30" s="0" customFormat="1" ht="18" customHeight="1">
      <c r="B30" s="21"/>
      <c r="C30" s="181"/>
      <c r="D30" s="181"/>
      <c r="E30" s="181"/>
      <c r="F30" s="201"/>
      <c r="G30" s="181"/>
      <c r="H30" s="996"/>
      <c r="I30" s="996"/>
      <c r="J30" s="996"/>
      <c r="K30" s="996"/>
      <c r="L30" s="1072"/>
      <c r="M30" s="1072"/>
      <c r="N30" s="1072"/>
      <c r="O30" s="1072"/>
      <c r="P30" s="80"/>
      <c r="Q30" s="4"/>
      <c r="R30" s="182"/>
      <c r="S30" s="182"/>
      <c r="T30" s="182"/>
      <c r="U30" s="182"/>
      <c r="V30" s="182"/>
      <c r="W30" s="182"/>
      <c r="X30" s="1028" t="s">
        <v>288</v>
      </c>
      <c r="Y30" s="182"/>
      <c r="Z30" s="182"/>
      <c r="AA30" s="182"/>
      <c r="AB30" s="182"/>
      <c r="AC30" s="182"/>
      <c r="AD30" s="182"/>
      <c r="AE30" s="182"/>
      <c r="AF30" s="182"/>
      <c r="AG30" s="182"/>
      <c r="AH30" s="182"/>
      <c r="AI30" s="182"/>
      <c r="AJ30" s="182"/>
      <c r="AK30" s="182"/>
      <c r="AL30" s="182"/>
      <c r="AM30" s="182"/>
      <c r="AN30" s="182"/>
      <c r="AO30" s="182"/>
      <c r="AP30" s="79"/>
      <c r="AQ30" s="79"/>
      <c r="AR30" s="79"/>
      <c r="AS30" s="236"/>
      <c r="AT30" s="236"/>
      <c r="AU30" s="236"/>
      <c r="AV30" s="236"/>
      <c r="AW30" s="236"/>
      <c r="AX30" s="236"/>
      <c r="AY30" s="236"/>
      <c r="AZ30" s="236"/>
      <c r="BA30" s="236"/>
      <c r="BB30" s="236"/>
      <c r="BC30" s="236"/>
      <c r="BD30" s="236"/>
      <c r="BE30" s="236"/>
      <c r="BF30" s="236"/>
      <c r="BG30" s="236"/>
      <c r="BH30" s="236"/>
      <c r="BI30" s="236"/>
      <c r="BJ30" s="236"/>
      <c r="BK30" s="236"/>
      <c r="BL30" s="236"/>
      <c r="BM30" s="236"/>
      <c r="BN30" s="236"/>
      <c r="BO30" s="236"/>
      <c r="BP30" s="236"/>
      <c r="BQ30" s="236"/>
      <c r="BR30" s="236"/>
      <c r="BS30" s="236"/>
      <c r="BT30" s="236"/>
      <c r="BU30" s="236"/>
      <c r="BV30" s="236"/>
      <c r="BW30" s="236"/>
    </row>
    <row r="31" s="0" customFormat="1" ht="18" customHeight="1">
      <c r="B31" s="21"/>
      <c r="C31" s="181"/>
      <c r="D31" s="181"/>
      <c r="E31" s="181"/>
      <c r="F31" s="201"/>
      <c r="G31" s="181"/>
      <c r="H31" s="996"/>
      <c r="I31" s="996"/>
      <c r="J31" s="996"/>
      <c r="K31" s="996"/>
      <c r="L31" s="1072"/>
      <c r="M31" s="1072"/>
      <c r="N31" s="1072"/>
      <c r="O31" s="1072"/>
      <c r="P31" s="80"/>
      <c r="Q31" s="4"/>
      <c r="R31" s="182"/>
      <c r="S31" s="182"/>
      <c r="T31" s="182"/>
      <c r="U31" s="182"/>
      <c r="V31" s="182"/>
      <c r="W31" s="182"/>
      <c r="X31" s="182"/>
      <c r="Y31" s="182"/>
      <c r="Z31" s="182"/>
      <c r="AA31" s="1073" t="s">
        <v>306</v>
      </c>
      <c r="AB31" s="1028" t="s">
        <v>307</v>
      </c>
      <c r="AC31" s="182"/>
      <c r="AD31" s="182"/>
      <c r="AE31" s="182"/>
      <c r="AF31" s="182"/>
      <c r="AG31" s="182"/>
      <c r="AH31" s="182"/>
      <c r="AI31" s="182"/>
      <c r="AJ31" s="182"/>
      <c r="AK31" s="182"/>
      <c r="AL31" s="182"/>
      <c r="AM31" s="182"/>
      <c r="AN31" s="182"/>
      <c r="AO31" s="182"/>
      <c r="AP31" s="48"/>
      <c r="AQ31" s="48"/>
      <c r="AR31" s="48"/>
      <c r="AS31" s="236"/>
      <c r="AT31" s="236"/>
      <c r="AU31" s="236"/>
      <c r="AV31" s="236"/>
      <c r="AW31" s="236"/>
      <c r="AX31" s="236"/>
      <c r="AY31" s="236"/>
      <c r="AZ31" s="236"/>
      <c r="BA31" s="236"/>
      <c r="BB31" s="236"/>
      <c r="BC31" s="236"/>
      <c r="BD31" s="236"/>
      <c r="BE31" s="236"/>
      <c r="BF31" s="236"/>
      <c r="BG31" s="236"/>
      <c r="BH31" s="236"/>
      <c r="BI31" s="236"/>
      <c r="BJ31" s="236"/>
      <c r="BK31" s="236"/>
      <c r="BL31" s="236"/>
      <c r="BM31" s="236"/>
      <c r="BN31" s="236"/>
      <c r="BO31" s="236"/>
      <c r="BP31" s="236"/>
      <c r="BQ31" s="236"/>
      <c r="BR31" s="236"/>
      <c r="BS31" s="236"/>
      <c r="BT31" s="236"/>
      <c r="BU31" s="236"/>
      <c r="BV31" s="236"/>
      <c r="BW31" s="236"/>
    </row>
    <row r="32" s="0" customFormat="1" ht="18" customHeight="1">
      <c r="B32" s="21"/>
      <c r="C32" s="181"/>
      <c r="D32" s="181"/>
      <c r="E32" s="181"/>
      <c r="F32" s="201"/>
      <c r="G32" s="181"/>
      <c r="H32" s="996"/>
      <c r="I32" s="996"/>
      <c r="J32" s="996"/>
      <c r="K32" s="996"/>
      <c r="L32" s="1072"/>
      <c r="M32" s="1072"/>
      <c r="N32" s="1072"/>
      <c r="O32" s="1072"/>
      <c r="P32" s="80"/>
      <c r="Q32" s="4"/>
      <c r="R32" s="182"/>
      <c r="S32" s="182"/>
      <c r="T32" s="182"/>
      <c r="U32" s="182"/>
      <c r="V32" s="182"/>
      <c r="W32" s="182"/>
      <c r="X32" s="182"/>
      <c r="Y32" s="182"/>
      <c r="Z32" s="182"/>
      <c r="AA32" s="1073" t="s">
        <v>308</v>
      </c>
      <c r="AB32" s="1028" t="s">
        <v>309</v>
      </c>
      <c r="AC32" s="182"/>
      <c r="AD32" s="182"/>
      <c r="AE32" s="182"/>
      <c r="AF32" s="182"/>
      <c r="AG32" s="182"/>
      <c r="AH32" s="182"/>
      <c r="AI32" s="182"/>
      <c r="AJ32" s="182"/>
      <c r="AK32" s="182"/>
      <c r="AL32" s="182"/>
      <c r="AM32" s="182"/>
      <c r="AN32" s="182"/>
      <c r="AO32" s="182"/>
      <c r="AP32" s="79"/>
      <c r="AQ32" s="79"/>
      <c r="AR32" s="79"/>
      <c r="AS32" s="236"/>
      <c r="AT32" s="236"/>
      <c r="AU32" s="236"/>
      <c r="AV32" s="236"/>
      <c r="AW32" s="236"/>
      <c r="AX32" s="236"/>
      <c r="AY32" s="236"/>
      <c r="AZ32" s="236"/>
      <c r="BA32" s="236"/>
      <c r="BB32" s="236"/>
      <c r="BC32" s="236"/>
      <c r="BD32" s="236"/>
      <c r="BE32" s="236"/>
      <c r="BF32" s="236"/>
      <c r="BG32" s="236"/>
      <c r="BH32" s="236"/>
      <c r="BI32" s="236"/>
      <c r="BJ32" s="236"/>
      <c r="BK32" s="236"/>
      <c r="BL32" s="236"/>
      <c r="BM32" s="236"/>
      <c r="BN32" s="236"/>
      <c r="BO32" s="236"/>
      <c r="BP32" s="236"/>
      <c r="BQ32" s="236"/>
      <c r="BR32" s="236"/>
      <c r="BS32" s="236"/>
      <c r="BT32" s="236"/>
      <c r="BU32" s="236"/>
      <c r="BV32" s="236"/>
      <c r="BW32" s="236"/>
    </row>
    <row r="33" s="0" customFormat="1" ht="18" customHeight="1">
      <c r="B33" s="21"/>
      <c r="C33" s="181"/>
      <c r="D33" s="181"/>
      <c r="E33" s="181"/>
      <c r="F33" s="201"/>
      <c r="G33" s="181"/>
      <c r="H33" s="996"/>
      <c r="I33" s="996"/>
      <c r="J33" s="996"/>
      <c r="K33" s="996"/>
      <c r="L33" s="1072"/>
      <c r="M33" s="1072"/>
      <c r="N33" s="1072"/>
      <c r="O33" s="1072"/>
      <c r="P33" s="80"/>
      <c r="Q33" s="4"/>
      <c r="R33" s="182"/>
      <c r="S33" s="182"/>
      <c r="T33" s="182"/>
      <c r="U33" s="182"/>
      <c r="V33" s="182"/>
      <c r="W33" s="182"/>
      <c r="X33" s="182"/>
      <c r="Y33" s="182"/>
      <c r="Z33" s="182"/>
      <c r="AA33" s="1074" t="s">
        <v>305</v>
      </c>
      <c r="AB33" s="1028" t="s">
        <v>310</v>
      </c>
      <c r="AC33" s="182"/>
      <c r="AD33" s="182"/>
      <c r="AE33" s="182"/>
      <c r="AF33" s="182"/>
      <c r="AG33" s="182"/>
      <c r="AH33" s="182"/>
      <c r="AI33" s="182"/>
      <c r="AJ33" s="182"/>
      <c r="AK33" s="182"/>
      <c r="AL33" s="182"/>
      <c r="AM33" s="182"/>
      <c r="AN33" s="182"/>
      <c r="AO33" s="182"/>
      <c r="AP33" s="79"/>
      <c r="AQ33" s="79"/>
      <c r="AR33" s="79"/>
      <c r="AS33" s="236"/>
      <c r="AT33" s="236"/>
      <c r="AU33" s="236"/>
      <c r="AV33" s="236"/>
      <c r="AW33" s="236"/>
      <c r="AX33" s="236"/>
      <c r="AY33" s="236"/>
      <c r="AZ33" s="236"/>
      <c r="BA33" s="236"/>
      <c r="BB33" s="236"/>
      <c r="BC33" s="236"/>
      <c r="BD33" s="236"/>
      <c r="BE33" s="236"/>
      <c r="BF33" s="236"/>
      <c r="BG33" s="236"/>
      <c r="BH33" s="236"/>
      <c r="BI33" s="236"/>
      <c r="BJ33" s="236"/>
      <c r="BK33" s="236"/>
      <c r="BL33" s="236"/>
      <c r="BM33" s="236"/>
      <c r="BN33" s="236"/>
      <c r="BO33" s="236"/>
      <c r="BP33" s="236"/>
      <c r="BQ33" s="236"/>
      <c r="BR33" s="236"/>
      <c r="BS33" s="236"/>
      <c r="BT33" s="236"/>
      <c r="BU33" s="236"/>
      <c r="BV33" s="236"/>
      <c r="BW33" s="236"/>
    </row>
    <row r="34" s="0" customFormat="1" ht="18" customHeight="1">
      <c r="B34" s="21"/>
      <c r="C34" s="181"/>
      <c r="D34" s="181"/>
      <c r="E34" s="181"/>
      <c r="F34" s="201"/>
      <c r="G34" s="181"/>
      <c r="H34" s="996"/>
      <c r="I34" s="996"/>
      <c r="J34" s="996"/>
      <c r="K34" s="996"/>
      <c r="L34" s="1072"/>
      <c r="M34" s="1072"/>
      <c r="N34" s="1072"/>
      <c r="O34" s="1072"/>
      <c r="P34" s="80"/>
      <c r="Q34" s="4"/>
      <c r="R34" s="182"/>
      <c r="S34" s="182"/>
      <c r="T34" s="182"/>
      <c r="U34" s="182"/>
      <c r="V34" s="182"/>
      <c r="W34" s="182"/>
      <c r="X34" s="182"/>
      <c r="Y34" s="182"/>
      <c r="Z34" s="182"/>
      <c r="AA34" s="182"/>
      <c r="AB34" s="182"/>
      <c r="AC34" s="182"/>
      <c r="AD34" s="182"/>
      <c r="AE34" s="182"/>
      <c r="AF34" s="182"/>
      <c r="AG34" s="182"/>
      <c r="AH34" s="182"/>
      <c r="AI34" s="182"/>
      <c r="AJ34" s="182"/>
      <c r="AK34" s="182"/>
      <c r="AL34" s="182"/>
      <c r="AM34" s="182"/>
      <c r="AN34" s="182"/>
      <c r="AO34" s="182"/>
      <c r="AP34" s="48"/>
      <c r="AQ34" s="48"/>
      <c r="AR34" s="48"/>
      <c r="AS34" s="236"/>
      <c r="AT34" s="236"/>
      <c r="AU34" s="236"/>
      <c r="AV34" s="236"/>
      <c r="AW34" s="236"/>
      <c r="AX34" s="236"/>
      <c r="AY34" s="236"/>
      <c r="AZ34" s="236"/>
      <c r="BA34" s="236"/>
      <c r="BB34" s="236"/>
      <c r="BC34" s="236"/>
      <c r="BD34" s="236"/>
      <c r="BE34" s="236"/>
      <c r="BF34" s="236"/>
      <c r="BG34" s="236"/>
      <c r="BH34" s="236"/>
      <c r="BI34" s="236"/>
      <c r="BJ34" s="236"/>
      <c r="BK34" s="236"/>
      <c r="BL34" s="236"/>
      <c r="BM34" s="236"/>
      <c r="BN34" s="236"/>
      <c r="BO34" s="236"/>
      <c r="BP34" s="236"/>
      <c r="BQ34" s="236"/>
      <c r="BR34" s="236"/>
      <c r="BS34" s="236"/>
      <c r="BT34" s="236"/>
      <c r="BU34" s="236"/>
      <c r="BV34" s="236"/>
      <c r="BW34" s="236"/>
    </row>
    <row r="35" s="0" customFormat="1" ht="18" customHeight="1">
      <c r="B35" s="21"/>
      <c r="C35" s="181"/>
      <c r="D35" s="181"/>
      <c r="E35" s="181"/>
      <c r="F35" s="201"/>
      <c r="G35" s="181"/>
      <c r="H35" s="996"/>
      <c r="I35" s="996"/>
      <c r="J35" s="996"/>
      <c r="K35" s="996"/>
      <c r="L35" s="1072"/>
      <c r="M35" s="1072"/>
      <c r="N35" s="1072"/>
      <c r="O35" s="1072"/>
      <c r="P35" s="80"/>
      <c r="Q35" s="4"/>
      <c r="R35" s="182"/>
      <c r="S35" s="182"/>
      <c r="T35" s="182"/>
      <c r="U35" s="182"/>
      <c r="V35" s="182"/>
      <c r="W35" s="182"/>
      <c r="X35" s="182"/>
      <c r="Y35" s="182"/>
      <c r="Z35" s="182"/>
      <c r="AA35" s="182"/>
      <c r="AB35" s="182"/>
      <c r="AC35" s="182"/>
      <c r="AD35" s="182"/>
      <c r="AE35" s="182"/>
      <c r="AF35" s="182"/>
      <c r="AG35" s="182"/>
      <c r="AH35" s="182"/>
      <c r="AI35" s="182"/>
      <c r="AJ35" s="182"/>
      <c r="AK35" s="182"/>
      <c r="AL35" s="182"/>
      <c r="AM35" s="182"/>
      <c r="AN35" s="182"/>
      <c r="AO35" s="182"/>
      <c r="AP35" s="79"/>
      <c r="AQ35" s="79"/>
      <c r="AR35" s="79"/>
      <c r="AS35" s="236"/>
      <c r="AT35" s="236"/>
      <c r="AU35" s="236"/>
      <c r="AV35" s="236"/>
      <c r="AW35" s="236"/>
      <c r="AX35" s="236"/>
      <c r="AY35" s="236"/>
      <c r="AZ35" s="236"/>
      <c r="BA35" s="236"/>
      <c r="BB35" s="236"/>
      <c r="BC35" s="236"/>
      <c r="BD35" s="236"/>
      <c r="BE35" s="236"/>
      <c r="BF35" s="236"/>
      <c r="BG35" s="236"/>
      <c r="BH35" s="236"/>
      <c r="BI35" s="236"/>
      <c r="BJ35" s="236"/>
      <c r="BK35" s="236"/>
      <c r="BL35" s="236"/>
      <c r="BM35" s="236"/>
      <c r="BN35" s="236"/>
      <c r="BO35" s="236"/>
      <c r="BP35" s="236"/>
      <c r="BQ35" s="236"/>
      <c r="BR35" s="236"/>
      <c r="BS35" s="236"/>
      <c r="BT35" s="236"/>
      <c r="BU35" s="236"/>
      <c r="BV35" s="236"/>
      <c r="BW35" s="236"/>
    </row>
    <row r="36" s="0" customFormat="1" ht="18" customHeight="1">
      <c r="B36" s="21"/>
      <c r="C36" s="181"/>
      <c r="D36" s="181"/>
      <c r="E36" s="181"/>
      <c r="F36" s="201"/>
      <c r="G36" s="181"/>
      <c r="H36" s="996"/>
      <c r="I36" s="996"/>
      <c r="J36" s="996"/>
      <c r="K36" s="996"/>
      <c r="L36" s="1072"/>
      <c r="M36" s="1072"/>
      <c r="N36" s="1072"/>
      <c r="O36" s="1072"/>
      <c r="P36" s="80"/>
      <c r="Q36" s="4"/>
      <c r="R36" s="182"/>
      <c r="S36" s="182"/>
      <c r="T36" s="182"/>
      <c r="U36" s="182"/>
      <c r="V36" s="182"/>
      <c r="W36" s="182"/>
      <c r="X36" s="182"/>
      <c r="Y36" s="182"/>
      <c r="Z36" s="182"/>
      <c r="AA36" s="182"/>
      <c r="AB36" s="182"/>
      <c r="AC36" s="182"/>
      <c r="AD36" s="182"/>
      <c r="AE36" s="182"/>
      <c r="AF36" s="182"/>
      <c r="AG36" s="182"/>
      <c r="AH36" s="182"/>
      <c r="AI36" s="182"/>
      <c r="AJ36" s="182"/>
      <c r="AK36" s="182"/>
      <c r="AL36" s="182"/>
      <c r="AM36" s="182"/>
      <c r="AN36" s="182"/>
      <c r="AO36" s="182"/>
      <c r="AP36" s="79"/>
      <c r="AQ36" s="79"/>
      <c r="AR36" s="79"/>
      <c r="AS36" s="236"/>
      <c r="AT36" s="236"/>
      <c r="AU36" s="236"/>
      <c r="AV36" s="236"/>
      <c r="AW36" s="236"/>
      <c r="AX36" s="236"/>
      <c r="AY36" s="236"/>
      <c r="AZ36" s="236"/>
      <c r="BA36" s="236"/>
      <c r="BB36" s="236"/>
      <c r="BC36" s="236"/>
      <c r="BD36" s="236"/>
      <c r="BE36" s="236"/>
      <c r="BF36" s="236"/>
      <c r="BG36" s="236"/>
      <c r="BH36" s="236"/>
      <c r="BI36" s="236"/>
      <c r="BJ36" s="236"/>
      <c r="BK36" s="236"/>
      <c r="BL36" s="236"/>
      <c r="BM36" s="236"/>
      <c r="BN36" s="236"/>
      <c r="BO36" s="236"/>
      <c r="BP36" s="236"/>
      <c r="BQ36" s="236"/>
      <c r="BR36" s="236"/>
      <c r="BS36" s="236"/>
      <c r="BT36" s="236"/>
      <c r="BU36" s="236"/>
      <c r="BV36" s="236"/>
      <c r="BW36" s="236"/>
    </row>
    <row r="37" s="0" customFormat="1" ht="18" customHeight="1">
      <c r="B37" s="21"/>
      <c r="C37" s="181"/>
      <c r="D37" s="181"/>
      <c r="E37" s="181"/>
      <c r="F37" s="201"/>
      <c r="G37" s="181"/>
      <c r="H37" s="996"/>
      <c r="I37" s="996"/>
      <c r="J37" s="996"/>
      <c r="K37" s="996"/>
      <c r="L37" s="1072"/>
      <c r="M37" s="1072"/>
      <c r="N37" s="1072"/>
      <c r="O37" s="1072"/>
      <c r="P37" s="80"/>
      <c r="Q37" s="4"/>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79"/>
      <c r="AQ37" s="79"/>
      <c r="AR37" s="79"/>
      <c r="AS37" s="236"/>
      <c r="AT37" s="236"/>
      <c r="AU37" s="236"/>
      <c r="AV37" s="236"/>
      <c r="AW37" s="236"/>
      <c r="AX37" s="236"/>
      <c r="AY37" s="236"/>
      <c r="AZ37" s="236"/>
      <c r="BA37" s="236"/>
      <c r="BB37" s="236"/>
      <c r="BC37" s="236"/>
      <c r="BD37" s="236"/>
      <c r="BE37" s="236"/>
      <c r="BF37" s="236"/>
      <c r="BG37" s="236"/>
      <c r="BH37" s="236"/>
      <c r="BI37" s="236"/>
      <c r="BJ37" s="236"/>
      <c r="BK37" s="236"/>
      <c r="BL37" s="236"/>
      <c r="BM37" s="236"/>
      <c r="BN37" s="236"/>
      <c r="BO37" s="236"/>
      <c r="BP37" s="236"/>
      <c r="BQ37" s="236"/>
      <c r="BR37" s="236"/>
      <c r="BS37" s="236"/>
      <c r="BT37" s="236"/>
      <c r="BU37" s="236"/>
      <c r="BV37" s="236"/>
      <c r="BW37" s="236"/>
    </row>
    <row r="38" s="0" customFormat="1" ht="18" customHeight="1">
      <c r="B38" s="21"/>
      <c r="C38" s="181"/>
      <c r="D38" s="181"/>
      <c r="E38" s="181"/>
      <c r="F38" s="201"/>
      <c r="G38" s="181"/>
      <c r="H38" s="996"/>
      <c r="I38" s="996"/>
      <c r="J38" s="996"/>
      <c r="K38" s="996"/>
      <c r="L38" s="1072"/>
      <c r="M38" s="1072"/>
      <c r="N38" s="1072"/>
      <c r="O38" s="1072"/>
      <c r="P38" s="80"/>
      <c r="Q38" s="4"/>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79"/>
      <c r="AQ38" s="79"/>
      <c r="AR38" s="79"/>
      <c r="AS38" s="236"/>
      <c r="AT38" s="236"/>
      <c r="AU38" s="236"/>
      <c r="AV38" s="236"/>
      <c r="AW38" s="236"/>
      <c r="AX38" s="236"/>
      <c r="AY38" s="236"/>
      <c r="AZ38" s="236"/>
      <c r="BA38" s="236"/>
      <c r="BB38" s="236"/>
      <c r="BC38" s="236"/>
      <c r="BD38" s="236"/>
      <c r="BE38" s="236"/>
      <c r="BF38" s="236"/>
      <c r="BG38" s="236"/>
      <c r="BH38" s="236"/>
      <c r="BI38" s="236"/>
      <c r="BJ38" s="236"/>
      <c r="BK38" s="236"/>
      <c r="BL38" s="236"/>
      <c r="BM38" s="236"/>
      <c r="BN38" s="236"/>
      <c r="BO38" s="236"/>
      <c r="BP38" s="236"/>
      <c r="BQ38" s="236"/>
      <c r="BR38" s="236"/>
      <c r="BS38" s="236"/>
      <c r="BT38" s="236"/>
      <c r="BU38" s="236"/>
      <c r="BV38" s="236"/>
      <c r="BW38" s="236"/>
    </row>
    <row r="39" ht="18" customHeight="1">
      <c r="C39" s="181"/>
      <c r="D39" s="181"/>
      <c r="E39" s="181"/>
      <c r="F39" s="201"/>
      <c r="G39" s="181"/>
      <c r="H39" s="996"/>
      <c r="I39" s="996"/>
      <c r="J39" s="996"/>
      <c r="K39" s="996"/>
      <c r="L39" s="1072"/>
      <c r="M39" s="1072"/>
      <c r="N39" s="1072"/>
      <c r="O39" s="1072"/>
      <c r="P39" s="80"/>
      <c r="Q39" s="4"/>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4"/>
      <c r="AQ39" s="79"/>
      <c r="AR39" s="79"/>
    </row>
    <row r="40" ht="18" customHeight="1">
      <c r="C40" s="181"/>
      <c r="D40" s="181"/>
      <c r="E40" s="181"/>
      <c r="F40" s="201"/>
      <c r="G40" s="181"/>
      <c r="H40" s="996"/>
      <c r="I40" s="996"/>
      <c r="J40" s="996"/>
      <c r="K40" s="996"/>
      <c r="L40" s="1072"/>
      <c r="M40" s="1072"/>
      <c r="N40" s="1072"/>
      <c r="O40" s="1072"/>
      <c r="P40" s="80"/>
      <c r="Q40" s="4"/>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4"/>
      <c r="AQ40" s="79"/>
      <c r="AR40" s="79"/>
    </row>
    <row r="41" ht="18" customHeight="1">
      <c r="C41" s="181"/>
      <c r="D41" s="181"/>
      <c r="E41" s="181"/>
      <c r="F41" s="201"/>
      <c r="G41" s="181"/>
      <c r="H41" s="996"/>
      <c r="I41" s="996"/>
      <c r="J41" s="996"/>
      <c r="K41" s="996"/>
      <c r="L41" s="1072"/>
      <c r="M41" s="1072"/>
      <c r="N41" s="1072"/>
      <c r="O41" s="1072"/>
      <c r="P41" s="80"/>
      <c r="Q41" s="4"/>
      <c r="R41" s="182"/>
      <c r="S41" s="182"/>
      <c r="T41" s="182"/>
      <c r="U41" s="182"/>
      <c r="V41" s="182"/>
      <c r="W41" s="182"/>
      <c r="X41" s="182"/>
      <c r="Y41" s="182"/>
      <c r="Z41" s="182"/>
      <c r="AA41" s="182"/>
      <c r="AB41" s="182"/>
      <c r="AC41" s="182"/>
      <c r="AD41" s="182"/>
      <c r="AE41" s="182"/>
      <c r="AF41" s="182"/>
      <c r="AG41" s="182"/>
      <c r="AH41" s="182"/>
      <c r="AI41" s="182"/>
      <c r="AJ41" s="182"/>
      <c r="AK41" s="182"/>
      <c r="AL41" s="182"/>
      <c r="AM41" s="182"/>
      <c r="AN41" s="182"/>
      <c r="AO41" s="182"/>
      <c r="AP41" s="4"/>
      <c r="AQ41" s="79"/>
      <c r="AR41" s="79"/>
    </row>
    <row r="42" ht="18" customHeight="1">
      <c r="C42" s="181"/>
      <c r="D42" s="181"/>
      <c r="E42" s="181"/>
      <c r="F42" s="201"/>
      <c r="G42" s="181"/>
      <c r="H42" s="996"/>
      <c r="I42" s="996"/>
      <c r="J42" s="996"/>
      <c r="K42" s="996"/>
      <c r="L42" s="1072"/>
      <c r="M42" s="1072"/>
      <c r="N42" s="1072"/>
      <c r="O42" s="1072"/>
      <c r="P42" s="80"/>
      <c r="Q42" s="4"/>
      <c r="R42" s="182"/>
      <c r="S42" s="182"/>
      <c r="T42" s="182"/>
      <c r="U42" s="182"/>
      <c r="V42" s="182"/>
      <c r="W42" s="182"/>
      <c r="X42" s="182"/>
      <c r="Y42" s="182"/>
      <c r="Z42" s="182"/>
      <c r="AA42" s="182"/>
      <c r="AB42" s="182"/>
      <c r="AC42" s="182"/>
      <c r="AD42" s="182"/>
      <c r="AE42" s="182"/>
      <c r="AF42" s="182"/>
      <c r="AG42" s="182"/>
      <c r="AH42" s="182"/>
      <c r="AI42" s="182"/>
      <c r="AJ42" s="182"/>
      <c r="AK42" s="182"/>
      <c r="AL42" s="182"/>
      <c r="AM42" s="182"/>
      <c r="AN42" s="182"/>
      <c r="AO42" s="182"/>
      <c r="AP42" s="4"/>
      <c r="AQ42" s="79"/>
      <c r="AR42" s="79"/>
    </row>
    <row r="43" ht="18" customHeight="1">
      <c r="C43" s="181"/>
      <c r="D43" s="181"/>
      <c r="E43" s="181"/>
      <c r="F43" s="201"/>
      <c r="G43" s="181"/>
      <c r="H43" s="996"/>
      <c r="I43" s="996"/>
      <c r="J43" s="996"/>
      <c r="K43" s="996"/>
      <c r="L43" s="1072"/>
      <c r="M43" s="1072"/>
      <c r="N43" s="1072"/>
      <c r="O43" s="1072"/>
      <c r="P43" s="80"/>
      <c r="Q43" s="4"/>
      <c r="R43" s="182"/>
      <c r="S43" s="182"/>
      <c r="T43" s="182"/>
      <c r="U43" s="182"/>
      <c r="V43" s="182"/>
      <c r="W43" s="182"/>
      <c r="X43" s="182"/>
      <c r="Y43" s="182"/>
      <c r="Z43" s="182"/>
      <c r="AA43" s="182"/>
      <c r="AB43" s="182"/>
      <c r="AC43" s="182"/>
      <c r="AD43" s="182"/>
      <c r="AE43" s="182"/>
      <c r="AF43" s="182"/>
      <c r="AG43" s="182"/>
      <c r="AH43" s="182"/>
      <c r="AI43" s="182"/>
      <c r="AJ43" s="182"/>
      <c r="AK43" s="182"/>
      <c r="AL43" s="182"/>
      <c r="AM43" s="182"/>
      <c r="AN43" s="182"/>
      <c r="AO43" s="182"/>
      <c r="AP43" s="4"/>
      <c r="AQ43" s="79"/>
      <c r="AR43" s="79"/>
    </row>
    <row r="44" ht="18" customHeight="1">
      <c r="C44" s="181"/>
      <c r="D44" s="181"/>
      <c r="E44" s="181"/>
      <c r="F44" s="201"/>
      <c r="G44" s="181"/>
      <c r="H44" s="996"/>
      <c r="I44" s="996"/>
      <c r="J44" s="996"/>
      <c r="K44" s="996"/>
      <c r="L44" s="1072"/>
      <c r="M44" s="1072"/>
      <c r="N44" s="1072"/>
      <c r="O44" s="1072"/>
      <c r="P44" s="80"/>
      <c r="Q44" s="4"/>
      <c r="R44" s="182"/>
      <c r="S44" s="182"/>
      <c r="T44" s="182"/>
      <c r="U44" s="182"/>
      <c r="V44" s="182"/>
      <c r="W44" s="182"/>
      <c r="X44" s="182"/>
      <c r="Y44" s="182"/>
      <c r="Z44" s="182"/>
      <c r="AA44" s="182"/>
      <c r="AB44" s="182"/>
      <c r="AC44" s="182"/>
      <c r="AD44" s="182"/>
      <c r="AE44" s="182"/>
      <c r="AF44" s="182"/>
      <c r="AG44" s="182"/>
      <c r="AH44" s="182"/>
      <c r="AI44" s="182"/>
      <c r="AJ44" s="182"/>
      <c r="AK44" s="182"/>
      <c r="AL44" s="182"/>
      <c r="AM44" s="182"/>
      <c r="AN44" s="182"/>
      <c r="AO44" s="182"/>
      <c r="AP44" s="4"/>
      <c r="AQ44" s="79"/>
      <c r="AR44" s="79"/>
    </row>
    <row r="45" ht="18" customHeight="1">
      <c r="C45" s="181"/>
      <c r="D45" s="181"/>
      <c r="E45" s="181"/>
      <c r="F45" s="201"/>
      <c r="G45" s="181"/>
      <c r="H45" s="996"/>
      <c r="I45" s="996"/>
      <c r="J45" s="996"/>
      <c r="K45" s="996"/>
      <c r="L45" s="1072"/>
      <c r="M45" s="1072"/>
      <c r="N45" s="1072"/>
      <c r="O45" s="1072"/>
      <c r="P45" s="80"/>
      <c r="Q45" s="4"/>
      <c r="R45" s="182"/>
      <c r="S45" s="182"/>
      <c r="T45" s="182"/>
      <c r="U45" s="182"/>
      <c r="V45" s="182"/>
      <c r="W45" s="182"/>
      <c r="X45" s="182"/>
      <c r="Y45" s="182"/>
      <c r="Z45" s="182"/>
      <c r="AA45" s="182"/>
      <c r="AB45" s="182"/>
      <c r="AC45" s="182"/>
      <c r="AD45" s="182"/>
      <c r="AE45" s="182"/>
      <c r="AF45" s="182"/>
      <c r="AG45" s="182"/>
      <c r="AH45" s="182"/>
      <c r="AI45" s="182"/>
      <c r="AJ45" s="182"/>
      <c r="AK45" s="182"/>
      <c r="AL45" s="182"/>
      <c r="AM45" s="182"/>
      <c r="AN45" s="182"/>
      <c r="AO45" s="182"/>
      <c r="AP45" s="4"/>
      <c r="AQ45" s="79"/>
      <c r="AR45" s="79"/>
    </row>
    <row r="46" ht="18" customHeight="1">
      <c r="C46" s="181"/>
      <c r="D46" s="181"/>
      <c r="E46" s="181"/>
      <c r="F46" s="201"/>
      <c r="G46" s="181"/>
      <c r="H46" s="996"/>
      <c r="I46" s="996"/>
      <c r="J46" s="996"/>
      <c r="K46" s="996"/>
      <c r="L46" s="1072"/>
      <c r="M46" s="1072"/>
      <c r="N46" s="1072"/>
      <c r="O46" s="1072"/>
      <c r="P46" s="80"/>
      <c r="Q46" s="4"/>
      <c r="R46" s="182"/>
      <c r="S46" s="182"/>
      <c r="T46" s="182"/>
      <c r="U46" s="182"/>
      <c r="V46" s="182"/>
      <c r="W46" s="182"/>
      <c r="X46" s="182"/>
      <c r="Y46" s="182"/>
      <c r="Z46" s="182"/>
      <c r="AA46" s="182"/>
      <c r="AB46" s="182"/>
      <c r="AC46" s="182"/>
      <c r="AD46" s="182"/>
      <c r="AE46" s="182"/>
      <c r="AF46" s="182"/>
      <c r="AG46" s="182"/>
      <c r="AH46" s="182"/>
      <c r="AI46" s="182"/>
      <c r="AJ46" s="182"/>
      <c r="AK46" s="182"/>
      <c r="AL46" s="182"/>
      <c r="AM46" s="182"/>
      <c r="AN46" s="182"/>
      <c r="AO46" s="182"/>
      <c r="AP46" s="4"/>
      <c r="AQ46" s="79"/>
      <c r="AR46" s="79"/>
    </row>
    <row r="47" ht="0" hidden="1" customHeight="1">
      <c r="C47" s="181"/>
      <c r="D47" s="181"/>
      <c r="E47" s="181"/>
      <c r="F47" s="201"/>
      <c r="G47" s="181"/>
      <c r="H47" s="996"/>
      <c r="I47" s="996"/>
      <c r="J47" s="996"/>
      <c r="K47" s="996"/>
      <c r="L47" s="1072"/>
      <c r="M47" s="1072"/>
      <c r="N47" s="1072"/>
      <c r="O47" s="1072"/>
      <c r="P47" s="80"/>
      <c r="Q47" s="4"/>
      <c r="R47" s="182"/>
      <c r="S47" s="182"/>
      <c r="T47" s="182"/>
      <c r="U47" s="182"/>
      <c r="V47" s="182"/>
      <c r="W47" s="182"/>
      <c r="X47" s="182"/>
      <c r="Y47" s="182"/>
      <c r="Z47" s="182"/>
      <c r="AA47" s="182"/>
      <c r="AB47" s="182"/>
      <c r="AC47" s="182"/>
      <c r="AD47" s="182"/>
      <c r="AE47" s="182"/>
      <c r="AF47" s="182"/>
      <c r="AG47" s="182"/>
      <c r="AH47" s="182"/>
      <c r="AI47" s="182"/>
      <c r="AJ47" s="182"/>
      <c r="AK47" s="182"/>
      <c r="AL47" s="182"/>
      <c r="AM47" s="182"/>
      <c r="AN47" s="182"/>
      <c r="AO47" s="182"/>
      <c r="AP47" s="4"/>
      <c r="AQ47" s="79"/>
      <c r="AR47" s="79"/>
    </row>
    <row r="48" ht="0" hidden="1" customHeight="1">
      <c r="C48" s="181"/>
      <c r="D48" s="181"/>
      <c r="E48" s="181"/>
      <c r="F48" s="201"/>
      <c r="G48" s="181"/>
      <c r="H48" s="996"/>
      <c r="I48" s="996"/>
      <c r="J48" s="996"/>
      <c r="K48" s="996"/>
      <c r="L48" s="1072"/>
      <c r="M48" s="1072"/>
      <c r="N48" s="1072"/>
      <c r="O48" s="1072"/>
      <c r="P48" s="80"/>
      <c r="Q48" s="4"/>
      <c r="R48" s="182"/>
      <c r="S48" s="182"/>
      <c r="T48" s="182"/>
      <c r="U48" s="182"/>
      <c r="V48" s="182"/>
      <c r="W48" s="182"/>
      <c r="X48" s="182"/>
      <c r="Y48" s="182"/>
      <c r="Z48" s="182"/>
      <c r="AA48" s="182"/>
      <c r="AB48" s="182"/>
      <c r="AC48" s="182"/>
      <c r="AD48" s="182"/>
      <c r="AE48" s="182"/>
      <c r="AF48" s="182"/>
      <c r="AG48" s="182"/>
      <c r="AH48" s="182"/>
      <c r="AI48" s="182"/>
      <c r="AJ48" s="182"/>
      <c r="AK48" s="182"/>
      <c r="AL48" s="182"/>
      <c r="AM48" s="182"/>
      <c r="AN48" s="182"/>
      <c r="AO48" s="182"/>
      <c r="AP48" s="4"/>
      <c r="AQ48" s="79"/>
      <c r="AR48" s="79"/>
    </row>
    <row r="49" ht="0" hidden="1" customHeight="1">
      <c r="C49" s="181"/>
      <c r="D49" s="181"/>
      <c r="E49" s="181"/>
      <c r="F49" s="201"/>
      <c r="G49" s="181"/>
      <c r="H49" s="996"/>
      <c r="I49" s="996"/>
      <c r="J49" s="996"/>
      <c r="K49" s="996"/>
      <c r="L49" s="1072"/>
      <c r="M49" s="1072"/>
      <c r="N49" s="1072"/>
      <c r="O49" s="1072"/>
      <c r="P49" s="80"/>
      <c r="Q49" s="4"/>
      <c r="R49" s="182"/>
      <c r="S49" s="182"/>
      <c r="T49" s="182"/>
      <c r="U49" s="182"/>
      <c r="V49" s="182"/>
      <c r="W49" s="182"/>
      <c r="X49" s="182"/>
      <c r="Y49" s="182"/>
      <c r="Z49" s="182"/>
      <c r="AA49" s="182"/>
      <c r="AB49" s="182"/>
      <c r="AC49" s="182"/>
      <c r="AD49" s="182"/>
      <c r="AE49" s="182"/>
      <c r="AF49" s="182"/>
      <c r="AG49" s="182"/>
      <c r="AH49" s="182"/>
      <c r="AI49" s="182"/>
      <c r="AJ49" s="182"/>
      <c r="AK49" s="182"/>
      <c r="AL49" s="182"/>
      <c r="AM49" s="182"/>
      <c r="AN49" s="182"/>
      <c r="AO49" s="182"/>
      <c r="AP49" s="4"/>
      <c r="AQ49" s="79"/>
      <c r="AR49" s="79"/>
    </row>
    <row r="50" ht="0" hidden="1" customHeight="1">
      <c r="C50" s="181"/>
      <c r="D50" s="181"/>
      <c r="E50" s="181"/>
      <c r="F50" s="201"/>
      <c r="G50" s="181"/>
      <c r="H50" s="996"/>
      <c r="I50" s="996"/>
      <c r="J50" s="996"/>
      <c r="K50" s="996"/>
      <c r="L50" s="1072"/>
      <c r="M50" s="1072"/>
      <c r="N50" s="1072"/>
      <c r="O50" s="1072"/>
      <c r="P50" s="80"/>
      <c r="Q50" s="4"/>
      <c r="R50" s="182"/>
      <c r="S50" s="182"/>
      <c r="T50" s="182"/>
      <c r="U50" s="182"/>
      <c r="V50" s="182"/>
      <c r="W50" s="182"/>
      <c r="X50" s="182"/>
      <c r="Y50" s="182"/>
      <c r="Z50" s="182"/>
      <c r="AA50" s="182"/>
      <c r="AB50" s="182"/>
      <c r="AC50" s="182"/>
      <c r="AD50" s="182"/>
      <c r="AE50" s="182"/>
      <c r="AF50" s="182"/>
      <c r="AG50" s="182"/>
      <c r="AH50" s="182"/>
      <c r="AI50" s="182"/>
      <c r="AJ50" s="182"/>
      <c r="AK50" s="182"/>
      <c r="AL50" s="182"/>
      <c r="AM50" s="182"/>
      <c r="AN50" s="182"/>
      <c r="AO50" s="182"/>
      <c r="AP50" s="4"/>
      <c r="AQ50" s="79"/>
      <c r="AR50" s="79"/>
    </row>
    <row r="51" ht="0" hidden="1" customHeight="1">
      <c r="C51" s="181"/>
      <c r="D51" s="181"/>
      <c r="E51" s="181"/>
      <c r="F51" s="201"/>
      <c r="G51" s="181"/>
      <c r="H51" s="996"/>
      <c r="I51" s="996"/>
      <c r="J51" s="996"/>
      <c r="K51" s="996"/>
      <c r="L51" s="1072"/>
      <c r="M51" s="1072"/>
      <c r="N51" s="1072"/>
      <c r="O51" s="1072"/>
      <c r="P51" s="80"/>
      <c r="Q51" s="4"/>
      <c r="R51" s="182"/>
      <c r="S51" s="182"/>
      <c r="T51" s="182"/>
      <c r="U51" s="182"/>
      <c r="V51" s="182"/>
      <c r="W51" s="182"/>
      <c r="X51" s="182"/>
      <c r="Y51" s="182"/>
      <c r="Z51" s="182"/>
      <c r="AA51" s="182"/>
      <c r="AB51" s="182"/>
      <c r="AC51" s="182"/>
      <c r="AD51" s="182"/>
      <c r="AE51" s="182"/>
      <c r="AF51" s="182"/>
      <c r="AG51" s="182"/>
      <c r="AH51" s="182"/>
      <c r="AI51" s="182"/>
      <c r="AJ51" s="182"/>
      <c r="AK51" s="182"/>
      <c r="AL51" s="182"/>
      <c r="AM51" s="182"/>
      <c r="AN51" s="182"/>
      <c r="AO51" s="182"/>
      <c r="AP51" s="4"/>
      <c r="AQ51" s="79"/>
      <c r="AR51" s="79"/>
    </row>
    <row r="52" s="0" customFormat="1" ht="0" hidden="1" customHeight="1">
      <c r="B52" s="21"/>
      <c r="C52" s="181"/>
      <c r="D52" s="181"/>
      <c r="E52" s="181"/>
      <c r="F52" s="201"/>
      <c r="G52" s="181"/>
      <c r="H52" s="996"/>
      <c r="I52" s="996"/>
      <c r="J52" s="996"/>
      <c r="K52" s="996"/>
      <c r="L52" s="1072"/>
      <c r="M52" s="1072"/>
      <c r="N52" s="1072"/>
      <c r="O52" s="1072"/>
      <c r="P52" s="80"/>
      <c r="Q52" s="4"/>
      <c r="R52" s="182"/>
      <c r="S52" s="182"/>
      <c r="T52" s="182"/>
      <c r="U52" s="182"/>
      <c r="V52" s="182"/>
      <c r="W52" s="182"/>
      <c r="X52" s="182"/>
      <c r="Y52" s="182"/>
      <c r="Z52" s="182"/>
      <c r="AA52" s="182"/>
      <c r="AB52" s="182"/>
      <c r="AC52" s="182"/>
      <c r="AD52" s="182"/>
      <c r="AE52" s="182"/>
      <c r="AF52" s="182"/>
      <c r="AG52" s="182"/>
      <c r="AH52" s="182"/>
      <c r="AI52" s="182"/>
      <c r="AJ52" s="182"/>
      <c r="AK52" s="182"/>
      <c r="AL52" s="182"/>
      <c r="AM52" s="182"/>
      <c r="AN52" s="182"/>
      <c r="AO52" s="182"/>
      <c r="AP52" s="79"/>
      <c r="AQ52" s="79"/>
      <c r="AR52" s="79"/>
      <c r="AS52" s="236"/>
      <c r="AT52" s="236"/>
      <c r="AU52" s="236"/>
      <c r="AV52" s="236"/>
      <c r="AW52" s="236"/>
      <c r="AX52" s="236"/>
      <c r="AY52" s="236"/>
      <c r="AZ52" s="236"/>
      <c r="BA52" s="236"/>
      <c r="BB52" s="236"/>
      <c r="BC52" s="236"/>
      <c r="BD52" s="236"/>
      <c r="BE52" s="236"/>
      <c r="BF52" s="236"/>
      <c r="BG52" s="236"/>
      <c r="BH52" s="236"/>
      <c r="BI52" s="236"/>
      <c r="BJ52" s="236"/>
      <c r="BK52" s="236"/>
      <c r="BL52" s="236"/>
      <c r="BM52" s="236"/>
      <c r="BN52" s="236"/>
      <c r="BO52" s="236"/>
      <c r="BP52" s="236"/>
      <c r="BQ52" s="236"/>
      <c r="BR52" s="236"/>
      <c r="BS52" s="236"/>
      <c r="BT52" s="236"/>
      <c r="BU52" s="236"/>
      <c r="BV52" s="236"/>
      <c r="BW52" s="236"/>
    </row>
    <row r="53" s="0" customFormat="1" ht="0" hidden="1" customHeight="1">
      <c r="B53" s="21"/>
      <c r="C53" s="181"/>
      <c r="D53" s="181"/>
      <c r="E53" s="181"/>
      <c r="F53" s="201"/>
      <c r="G53" s="181"/>
      <c r="H53" s="996"/>
      <c r="I53" s="996"/>
      <c r="J53" s="996"/>
      <c r="K53" s="996"/>
      <c r="L53" s="1072"/>
      <c r="M53" s="1072"/>
      <c r="N53" s="1072"/>
      <c r="O53" s="1072"/>
      <c r="P53" s="80"/>
      <c r="Q53" s="4"/>
      <c r="R53" s="182"/>
      <c r="S53" s="182"/>
      <c r="T53" s="182"/>
      <c r="U53" s="182"/>
      <c r="V53" s="182"/>
      <c r="W53" s="182"/>
      <c r="X53" s="182"/>
      <c r="Y53" s="182"/>
      <c r="Z53" s="182"/>
      <c r="AA53" s="182"/>
      <c r="AB53" s="182"/>
      <c r="AC53" s="182"/>
      <c r="AD53" s="182"/>
      <c r="AE53" s="182"/>
      <c r="AF53" s="182"/>
      <c r="AG53" s="182"/>
      <c r="AH53" s="182"/>
      <c r="AI53" s="182"/>
      <c r="AJ53" s="182"/>
      <c r="AK53" s="182"/>
      <c r="AL53" s="182"/>
      <c r="AM53" s="182"/>
      <c r="AN53" s="182"/>
      <c r="AO53" s="182"/>
      <c r="AP53" s="79"/>
      <c r="AQ53" s="79"/>
      <c r="AR53" s="79"/>
      <c r="AS53" s="236"/>
      <c r="AT53" s="236"/>
      <c r="AU53" s="236"/>
      <c r="AV53" s="236"/>
      <c r="AW53" s="236"/>
      <c r="AX53" s="236"/>
      <c r="AY53" s="236"/>
      <c r="AZ53" s="236"/>
      <c r="BA53" s="236"/>
      <c r="BB53" s="236"/>
      <c r="BC53" s="236"/>
      <c r="BD53" s="236"/>
      <c r="BE53" s="236"/>
      <c r="BF53" s="236"/>
      <c r="BG53" s="236"/>
      <c r="BH53" s="236"/>
      <c r="BI53" s="236"/>
      <c r="BJ53" s="236"/>
      <c r="BK53" s="236"/>
      <c r="BL53" s="236"/>
      <c r="BM53" s="236"/>
      <c r="BN53" s="236"/>
      <c r="BO53" s="236"/>
      <c r="BP53" s="236"/>
      <c r="BQ53" s="236"/>
      <c r="BR53" s="236"/>
      <c r="BS53" s="236"/>
      <c r="BT53" s="236"/>
      <c r="BU53" s="236"/>
      <c r="BV53" s="236"/>
      <c r="BW53" s="236"/>
    </row>
    <row r="54" s="0" customFormat="1" ht="0" hidden="1" customHeight="1">
      <c r="B54" s="21"/>
      <c r="C54" s="181"/>
      <c r="D54" s="181"/>
      <c r="E54" s="181"/>
      <c r="F54" s="201"/>
      <c r="G54" s="181"/>
      <c r="H54" s="996"/>
      <c r="I54" s="996"/>
      <c r="J54" s="996"/>
      <c r="K54" s="996"/>
      <c r="L54" s="1072"/>
      <c r="M54" s="1072"/>
      <c r="N54" s="1072"/>
      <c r="O54" s="1072"/>
      <c r="P54" s="80"/>
      <c r="Q54" s="4"/>
      <c r="R54" s="182"/>
      <c r="S54" s="182"/>
      <c r="T54" s="182"/>
      <c r="U54" s="182"/>
      <c r="V54" s="182"/>
      <c r="W54" s="182"/>
      <c r="X54" s="182"/>
      <c r="Y54" s="182"/>
      <c r="Z54" s="182"/>
      <c r="AA54" s="182"/>
      <c r="AB54" s="182"/>
      <c r="AC54" s="182"/>
      <c r="AD54" s="182"/>
      <c r="AE54" s="182"/>
      <c r="AF54" s="182"/>
      <c r="AG54" s="182"/>
      <c r="AH54" s="182"/>
      <c r="AI54" s="182"/>
      <c r="AJ54" s="182"/>
      <c r="AK54" s="182"/>
      <c r="AL54" s="182"/>
      <c r="AM54" s="182"/>
      <c r="AN54" s="182"/>
      <c r="AO54" s="182"/>
      <c r="AP54" s="48"/>
      <c r="AQ54" s="48"/>
      <c r="AR54" s="48"/>
      <c r="AS54" s="236"/>
      <c r="AT54" s="236"/>
      <c r="AU54" s="236"/>
      <c r="AV54" s="236"/>
      <c r="AW54" s="236"/>
      <c r="AX54" s="236"/>
      <c r="AY54" s="236"/>
      <c r="AZ54" s="236"/>
      <c r="BA54" s="236"/>
      <c r="BB54" s="236"/>
      <c r="BC54" s="236"/>
      <c r="BD54" s="236"/>
      <c r="BE54" s="236"/>
      <c r="BF54" s="236"/>
      <c r="BG54" s="236"/>
      <c r="BH54" s="236"/>
      <c r="BI54" s="236"/>
      <c r="BJ54" s="236"/>
      <c r="BK54" s="236"/>
      <c r="BL54" s="236"/>
      <c r="BM54" s="236"/>
      <c r="BN54" s="236"/>
      <c r="BO54" s="236"/>
      <c r="BP54" s="236"/>
      <c r="BQ54" s="236"/>
      <c r="BR54" s="236"/>
      <c r="BS54" s="236"/>
      <c r="BT54" s="236"/>
      <c r="BU54" s="236"/>
      <c r="BV54" s="236"/>
      <c r="BW54" s="236"/>
    </row>
    <row r="55" s="0" customFormat="1" ht="0" hidden="1" customHeight="1">
      <c r="B55" s="21"/>
      <c r="C55" s="181"/>
      <c r="D55" s="181"/>
      <c r="E55" s="181"/>
      <c r="F55" s="201"/>
      <c r="G55" s="181"/>
      <c r="H55" s="996"/>
      <c r="I55" s="996"/>
      <c r="J55" s="996"/>
      <c r="K55" s="996"/>
      <c r="L55" s="1072"/>
      <c r="M55" s="1072"/>
      <c r="N55" s="1072"/>
      <c r="O55" s="1072"/>
      <c r="P55" s="80"/>
      <c r="Q55" s="4"/>
      <c r="R55" s="182"/>
      <c r="S55" s="182"/>
      <c r="T55" s="182"/>
      <c r="U55" s="182"/>
      <c r="V55" s="182"/>
      <c r="W55" s="182"/>
      <c r="X55" s="182"/>
      <c r="Y55" s="182"/>
      <c r="Z55" s="182"/>
      <c r="AA55" s="182"/>
      <c r="AB55" s="182"/>
      <c r="AC55" s="182"/>
      <c r="AD55" s="182"/>
      <c r="AE55" s="182"/>
      <c r="AF55" s="182"/>
      <c r="AG55" s="182"/>
      <c r="AH55" s="182"/>
      <c r="AI55" s="182"/>
      <c r="AJ55" s="182"/>
      <c r="AK55" s="182"/>
      <c r="AL55" s="182"/>
      <c r="AM55" s="182"/>
      <c r="AN55" s="182"/>
      <c r="AO55" s="182"/>
      <c r="AP55" s="79"/>
      <c r="AQ55" s="79"/>
      <c r="AR55" s="79"/>
      <c r="AS55" s="236"/>
      <c r="AT55" s="236"/>
      <c r="AU55" s="236"/>
      <c r="AV55" s="236"/>
      <c r="AW55" s="236"/>
      <c r="AX55" s="236"/>
      <c r="AY55" s="236"/>
      <c r="AZ55" s="236"/>
      <c r="BA55" s="236"/>
      <c r="BB55" s="236"/>
      <c r="BC55" s="236"/>
      <c r="BD55" s="236"/>
      <c r="BE55" s="236"/>
      <c r="BF55" s="236"/>
      <c r="BG55" s="236"/>
      <c r="BH55" s="236"/>
      <c r="BI55" s="236"/>
      <c r="BJ55" s="236"/>
      <c r="BK55" s="236"/>
      <c r="BL55" s="236"/>
      <c r="BM55" s="236"/>
      <c r="BN55" s="236"/>
      <c r="BO55" s="236"/>
      <c r="BP55" s="236"/>
      <c r="BQ55" s="236"/>
      <c r="BR55" s="236"/>
      <c r="BS55" s="236"/>
      <c r="BT55" s="236"/>
      <c r="BU55" s="236"/>
      <c r="BV55" s="236"/>
      <c r="BW55" s="236"/>
    </row>
    <row r="56" s="0" customFormat="1" ht="0" hidden="1" customHeight="1">
      <c r="B56" s="21"/>
      <c r="C56" s="181"/>
      <c r="D56" s="181"/>
      <c r="E56" s="181"/>
      <c r="F56" s="201"/>
      <c r="G56" s="181"/>
      <c r="H56" s="996"/>
      <c r="I56" s="996"/>
      <c r="J56" s="996"/>
      <c r="K56" s="996"/>
      <c r="L56" s="1072"/>
      <c r="M56" s="1072"/>
      <c r="N56" s="1072"/>
      <c r="O56" s="1072"/>
      <c r="P56" s="80"/>
      <c r="Q56" s="4"/>
      <c r="R56" s="182"/>
      <c r="S56" s="182"/>
      <c r="T56" s="182"/>
      <c r="U56" s="182"/>
      <c r="V56" s="182"/>
      <c r="W56" s="182"/>
      <c r="X56" s="182"/>
      <c r="Y56" s="182"/>
      <c r="Z56" s="182"/>
      <c r="AA56" s="182"/>
      <c r="AB56" s="182"/>
      <c r="AC56" s="182"/>
      <c r="AD56" s="182"/>
      <c r="AE56" s="182"/>
      <c r="AF56" s="182"/>
      <c r="AG56" s="182"/>
      <c r="AH56" s="182"/>
      <c r="AI56" s="182"/>
      <c r="AJ56" s="182"/>
      <c r="AK56" s="182"/>
      <c r="AL56" s="182"/>
      <c r="AM56" s="182"/>
      <c r="AN56" s="182"/>
      <c r="AO56" s="182"/>
      <c r="AP56" s="79"/>
      <c r="AQ56" s="79"/>
      <c r="AR56" s="79"/>
      <c r="AS56" s="236"/>
      <c r="AT56" s="236"/>
      <c r="AU56" s="236"/>
      <c r="AV56" s="236"/>
      <c r="AW56" s="236"/>
      <c r="AX56" s="236"/>
      <c r="AY56" s="236"/>
      <c r="AZ56" s="236"/>
      <c r="BA56" s="236"/>
      <c r="BB56" s="236"/>
      <c r="BC56" s="236"/>
      <c r="BD56" s="236"/>
      <c r="BE56" s="236"/>
      <c r="BF56" s="236"/>
      <c r="BG56" s="236"/>
      <c r="BH56" s="236"/>
      <c r="BI56" s="236"/>
      <c r="BJ56" s="236"/>
      <c r="BK56" s="236"/>
      <c r="BL56" s="236"/>
      <c r="BM56" s="236"/>
      <c r="BN56" s="236"/>
      <c r="BO56" s="236"/>
      <c r="BP56" s="236"/>
      <c r="BQ56" s="236"/>
      <c r="BR56" s="236"/>
      <c r="BS56" s="236"/>
      <c r="BT56" s="236"/>
      <c r="BU56" s="236"/>
      <c r="BV56" s="236"/>
      <c r="BW56" s="236"/>
    </row>
    <row r="57" s="0" customFormat="1" ht="0" hidden="1" customHeight="1">
      <c r="B57" s="21"/>
      <c r="C57" s="181"/>
      <c r="D57" s="181"/>
      <c r="E57" s="181"/>
      <c r="F57" s="201"/>
      <c r="G57" s="181"/>
      <c r="H57" s="996"/>
      <c r="I57" s="996"/>
      <c r="J57" s="996"/>
      <c r="K57" s="996"/>
      <c r="L57" s="1072"/>
      <c r="M57" s="1072"/>
      <c r="N57" s="1072"/>
      <c r="O57" s="1072"/>
      <c r="P57" s="80"/>
      <c r="Q57" s="4"/>
      <c r="R57" s="182"/>
      <c r="S57" s="182"/>
      <c r="T57" s="182"/>
      <c r="U57" s="182"/>
      <c r="V57" s="182"/>
      <c r="W57" s="182"/>
      <c r="X57" s="182"/>
      <c r="Y57" s="182"/>
      <c r="Z57" s="182"/>
      <c r="AA57" s="182"/>
      <c r="AB57" s="182"/>
      <c r="AC57" s="182"/>
      <c r="AD57" s="182"/>
      <c r="AE57" s="182"/>
      <c r="AF57" s="182"/>
      <c r="AG57" s="182"/>
      <c r="AH57" s="182"/>
      <c r="AI57" s="182"/>
      <c r="AJ57" s="182"/>
      <c r="AK57" s="182"/>
      <c r="AL57" s="182"/>
      <c r="AM57" s="182"/>
      <c r="AN57" s="182"/>
      <c r="AO57" s="182"/>
      <c r="AP57" s="79"/>
      <c r="AQ57" s="79"/>
      <c r="AR57" s="79"/>
      <c r="AS57" s="236"/>
      <c r="AT57" s="236"/>
      <c r="AU57" s="236"/>
      <c r="AV57" s="236"/>
      <c r="AW57" s="236"/>
      <c r="AX57" s="236"/>
      <c r="AY57" s="236"/>
      <c r="AZ57" s="236"/>
      <c r="BA57" s="236"/>
      <c r="BB57" s="236"/>
      <c r="BC57" s="236"/>
      <c r="BD57" s="236"/>
      <c r="BE57" s="236"/>
      <c r="BF57" s="236"/>
      <c r="BG57" s="236"/>
      <c r="BH57" s="236"/>
      <c r="BI57" s="236"/>
      <c r="BJ57" s="236"/>
      <c r="BK57" s="236"/>
      <c r="BL57" s="236"/>
      <c r="BM57" s="236"/>
      <c r="BN57" s="236"/>
      <c r="BO57" s="236"/>
      <c r="BP57" s="236"/>
      <c r="BQ57" s="236"/>
      <c r="BR57" s="236"/>
      <c r="BS57" s="236"/>
      <c r="BT57" s="236"/>
      <c r="BU57" s="236"/>
      <c r="BV57" s="236"/>
      <c r="BW57" s="236"/>
    </row>
    <row r="58" s="0" customFormat="1" ht="0" hidden="1" customHeight="1">
      <c r="B58" s="21"/>
      <c r="C58" s="181"/>
      <c r="D58" s="181"/>
      <c r="E58" s="181"/>
      <c r="F58" s="201"/>
      <c r="G58" s="181"/>
      <c r="H58" s="996"/>
      <c r="I58" s="996"/>
      <c r="J58" s="996"/>
      <c r="K58" s="996"/>
      <c r="L58" s="1072"/>
      <c r="M58" s="1072"/>
      <c r="N58" s="1072"/>
      <c r="O58" s="1072"/>
      <c r="P58" s="80"/>
      <c r="Q58" s="4"/>
      <c r="R58" s="182"/>
      <c r="S58" s="182"/>
      <c r="T58" s="182"/>
      <c r="U58" s="182"/>
      <c r="V58" s="182"/>
      <c r="W58" s="182"/>
      <c r="X58" s="182"/>
      <c r="Y58" s="182"/>
      <c r="Z58" s="182"/>
      <c r="AA58" s="182"/>
      <c r="AB58" s="182"/>
      <c r="AC58" s="182"/>
      <c r="AD58" s="182"/>
      <c r="AE58" s="182"/>
      <c r="AF58" s="182"/>
      <c r="AG58" s="182"/>
      <c r="AH58" s="182"/>
      <c r="AI58" s="182"/>
      <c r="AJ58" s="182"/>
      <c r="AK58" s="182"/>
      <c r="AL58" s="182"/>
      <c r="AM58" s="182"/>
      <c r="AN58" s="182"/>
      <c r="AO58" s="182"/>
      <c r="AP58" s="79"/>
      <c r="AQ58" s="79"/>
      <c r="AR58" s="79"/>
      <c r="AS58" s="236"/>
      <c r="AT58" s="236"/>
      <c r="AU58" s="236"/>
      <c r="AV58" s="236"/>
      <c r="AW58" s="236"/>
      <c r="AX58" s="236"/>
      <c r="AY58" s="236"/>
      <c r="AZ58" s="236"/>
      <c r="BA58" s="236"/>
      <c r="BB58" s="236"/>
      <c r="BC58" s="236"/>
      <c r="BD58" s="236"/>
      <c r="BE58" s="236"/>
      <c r="BF58" s="236"/>
      <c r="BG58" s="236"/>
      <c r="BH58" s="236"/>
      <c r="BI58" s="236"/>
      <c r="BJ58" s="236"/>
      <c r="BK58" s="236"/>
      <c r="BL58" s="236"/>
      <c r="BM58" s="236"/>
      <c r="BN58" s="236"/>
      <c r="BO58" s="236"/>
      <c r="BP58" s="236"/>
      <c r="BQ58" s="236"/>
      <c r="BR58" s="236"/>
      <c r="BS58" s="236"/>
      <c r="BT58" s="236"/>
      <c r="BU58" s="236"/>
      <c r="BV58" s="236"/>
      <c r="BW58" s="236"/>
    </row>
    <row r="59" ht="0" hidden="1" customHeight="1">
      <c r="C59" s="181"/>
      <c r="D59" s="181"/>
      <c r="E59" s="181"/>
      <c r="F59" s="201"/>
      <c r="G59" s="181"/>
      <c r="H59" s="996"/>
      <c r="I59" s="996"/>
      <c r="J59" s="996"/>
      <c r="K59" s="996"/>
      <c r="L59" s="1072"/>
      <c r="M59" s="1072"/>
      <c r="N59" s="1072"/>
      <c r="O59" s="1072"/>
      <c r="P59" s="80"/>
      <c r="Q59" s="4"/>
      <c r="R59" s="182"/>
      <c r="S59" s="182"/>
      <c r="T59" s="182"/>
      <c r="U59" s="182"/>
      <c r="V59" s="182"/>
      <c r="W59" s="182"/>
      <c r="X59" s="182"/>
      <c r="Y59" s="182"/>
      <c r="Z59" s="182"/>
      <c r="AA59" s="182"/>
      <c r="AB59" s="182"/>
      <c r="AC59" s="182"/>
      <c r="AD59" s="182"/>
      <c r="AE59" s="182"/>
      <c r="AF59" s="182"/>
      <c r="AG59" s="182"/>
      <c r="AH59" s="182"/>
      <c r="AI59" s="182"/>
      <c r="AJ59" s="182"/>
      <c r="AK59" s="182"/>
      <c r="AL59" s="182"/>
      <c r="AM59" s="182"/>
      <c r="AN59" s="182"/>
      <c r="AO59" s="182"/>
      <c r="AP59" s="4"/>
      <c r="AQ59" s="79"/>
      <c r="AR59" s="79"/>
    </row>
    <row r="60" ht="0" hidden="1" customHeight="1">
      <c r="C60" s="181"/>
      <c r="D60" s="181"/>
      <c r="E60" s="181"/>
      <c r="F60" s="201"/>
      <c r="G60" s="181"/>
      <c r="H60" s="996"/>
      <c r="I60" s="996"/>
      <c r="J60" s="996"/>
      <c r="K60" s="996"/>
      <c r="L60" s="1072"/>
      <c r="M60" s="1072"/>
      <c r="N60" s="1072"/>
      <c r="O60" s="1072"/>
      <c r="P60" s="80"/>
      <c r="Q60" s="4"/>
      <c r="R60" s="182"/>
      <c r="S60" s="182"/>
      <c r="T60" s="182"/>
      <c r="U60" s="182"/>
      <c r="V60" s="182"/>
      <c r="W60" s="182"/>
      <c r="X60" s="182"/>
      <c r="Y60" s="182"/>
      <c r="Z60" s="182"/>
      <c r="AA60" s="182"/>
      <c r="AB60" s="182"/>
      <c r="AC60" s="182"/>
      <c r="AD60" s="182"/>
      <c r="AE60" s="182"/>
      <c r="AF60" s="182"/>
      <c r="AG60" s="182"/>
      <c r="AH60" s="182"/>
      <c r="AI60" s="182"/>
      <c r="AJ60" s="182"/>
      <c r="AK60" s="182"/>
      <c r="AL60" s="182"/>
      <c r="AM60" s="182"/>
      <c r="AN60" s="182"/>
      <c r="AO60" s="182"/>
      <c r="AP60" s="4"/>
      <c r="AQ60" s="79"/>
      <c r="AR60" s="79"/>
    </row>
    <row r="61" ht="0" hidden="1" customHeight="1">
      <c r="C61" s="181"/>
      <c r="D61" s="181"/>
      <c r="E61" s="181"/>
      <c r="F61" s="201"/>
      <c r="G61" s="181"/>
      <c r="H61" s="996"/>
      <c r="I61" s="996"/>
      <c r="J61" s="996"/>
      <c r="K61" s="996"/>
      <c r="L61" s="1072"/>
      <c r="M61" s="1072"/>
      <c r="N61" s="1072"/>
      <c r="O61" s="1072"/>
      <c r="P61" s="80"/>
      <c r="Q61" s="4"/>
      <c r="R61" s="182"/>
      <c r="S61" s="182"/>
      <c r="T61" s="182"/>
      <c r="U61" s="182"/>
      <c r="V61" s="182"/>
      <c r="W61" s="182"/>
      <c r="X61" s="182"/>
      <c r="Y61" s="182"/>
      <c r="Z61" s="182"/>
      <c r="AA61" s="182"/>
      <c r="AB61" s="182"/>
      <c r="AC61" s="182"/>
      <c r="AD61" s="182"/>
      <c r="AE61" s="182"/>
      <c r="AF61" s="182"/>
      <c r="AG61" s="182"/>
      <c r="AH61" s="182"/>
      <c r="AI61" s="182"/>
      <c r="AJ61" s="182"/>
      <c r="AK61" s="182"/>
      <c r="AL61" s="182"/>
      <c r="AM61" s="182"/>
      <c r="AN61" s="182"/>
      <c r="AO61" s="182"/>
      <c r="AP61" s="4"/>
      <c r="AQ61" s="79"/>
      <c r="AR61" s="79"/>
    </row>
    <row r="62" ht="0" hidden="1" customHeight="1">
      <c r="C62" s="181"/>
      <c r="D62" s="181"/>
      <c r="E62" s="181"/>
      <c r="F62" s="201"/>
      <c r="G62" s="181"/>
      <c r="H62" s="996"/>
      <c r="I62" s="996"/>
      <c r="J62" s="996"/>
      <c r="K62" s="996"/>
      <c r="L62" s="1072"/>
      <c r="M62" s="1072"/>
      <c r="N62" s="1072"/>
      <c r="O62" s="1072"/>
      <c r="P62" s="80"/>
      <c r="Q62" s="4"/>
      <c r="R62" s="182"/>
      <c r="S62" s="182"/>
      <c r="T62" s="182"/>
      <c r="U62" s="182"/>
      <c r="V62" s="182"/>
      <c r="W62" s="182"/>
      <c r="X62" s="182"/>
      <c r="Y62" s="182"/>
      <c r="Z62" s="182"/>
      <c r="AA62" s="182"/>
      <c r="AB62" s="182"/>
      <c r="AC62" s="182"/>
      <c r="AD62" s="182"/>
      <c r="AE62" s="182"/>
      <c r="AF62" s="182"/>
      <c r="AG62" s="182"/>
      <c r="AH62" s="182"/>
      <c r="AI62" s="182"/>
      <c r="AJ62" s="182"/>
      <c r="AK62" s="182"/>
      <c r="AL62" s="182"/>
      <c r="AM62" s="182"/>
      <c r="AN62" s="182"/>
      <c r="AO62" s="182"/>
      <c r="AP62" s="4"/>
      <c r="AQ62" s="79"/>
      <c r="AR62" s="79"/>
    </row>
    <row r="63" ht="0" hidden="1" customHeight="1">
      <c r="C63" s="181"/>
      <c r="D63" s="181"/>
      <c r="E63" s="181"/>
      <c r="F63" s="201"/>
      <c r="G63" s="181"/>
      <c r="H63" s="996"/>
      <c r="I63" s="996"/>
      <c r="J63" s="996"/>
      <c r="K63" s="996"/>
      <c r="L63" s="1072"/>
      <c r="M63" s="1072"/>
      <c r="N63" s="1072"/>
      <c r="O63" s="1072"/>
      <c r="P63" s="80"/>
      <c r="Q63" s="4"/>
      <c r="R63" s="182"/>
      <c r="S63" s="182"/>
      <c r="T63" s="182"/>
      <c r="U63" s="182"/>
      <c r="V63" s="182"/>
      <c r="W63" s="182"/>
      <c r="X63" s="182"/>
      <c r="Y63" s="182"/>
      <c r="Z63" s="182"/>
      <c r="AA63" s="182"/>
      <c r="AB63" s="182"/>
      <c r="AC63" s="182"/>
      <c r="AD63" s="182"/>
      <c r="AE63" s="182"/>
      <c r="AF63" s="182"/>
      <c r="AG63" s="182"/>
      <c r="AH63" s="182"/>
      <c r="AI63" s="182"/>
      <c r="AJ63" s="182"/>
      <c r="AK63" s="182"/>
      <c r="AL63" s="182"/>
      <c r="AM63" s="182"/>
      <c r="AN63" s="182"/>
      <c r="AO63" s="182"/>
      <c r="AP63" s="4"/>
      <c r="AQ63" s="79"/>
      <c r="AR63" s="79"/>
    </row>
    <row r="64" ht="0" hidden="1" customHeight="1">
      <c r="C64" s="181"/>
      <c r="D64" s="181"/>
      <c r="E64" s="181"/>
      <c r="F64" s="201"/>
      <c r="G64" s="181"/>
      <c r="H64" s="996"/>
      <c r="I64" s="996"/>
      <c r="J64" s="996"/>
      <c r="K64" s="996"/>
      <c r="L64" s="1072"/>
      <c r="M64" s="1072"/>
      <c r="N64" s="1072"/>
      <c r="O64" s="1072"/>
      <c r="P64" s="80"/>
      <c r="Q64" s="4"/>
      <c r="R64" s="182"/>
      <c r="S64" s="182"/>
      <c r="T64" s="182"/>
      <c r="U64" s="182"/>
      <c r="V64" s="182"/>
      <c r="W64" s="182"/>
      <c r="X64" s="182"/>
      <c r="Y64" s="182"/>
      <c r="Z64" s="182"/>
      <c r="AA64" s="182"/>
      <c r="AB64" s="182"/>
      <c r="AC64" s="182"/>
      <c r="AD64" s="182"/>
      <c r="AE64" s="182"/>
      <c r="AF64" s="182"/>
      <c r="AG64" s="182"/>
      <c r="AH64" s="182"/>
      <c r="AI64" s="182"/>
      <c r="AJ64" s="182"/>
      <c r="AK64" s="182"/>
      <c r="AL64" s="182"/>
      <c r="AM64" s="182"/>
      <c r="AN64" s="182"/>
      <c r="AO64" s="182"/>
      <c r="AP64" s="4"/>
      <c r="AQ64" s="79"/>
      <c r="AR64" s="79"/>
    </row>
    <row r="65" ht="0" hidden="1" customHeight="1">
      <c r="C65" s="181"/>
      <c r="D65" s="181"/>
      <c r="E65" s="181"/>
      <c r="F65" s="201"/>
      <c r="G65" s="181"/>
      <c r="H65" s="996"/>
      <c r="I65" s="996"/>
      <c r="J65" s="996"/>
      <c r="K65" s="996"/>
      <c r="L65" s="1072"/>
      <c r="M65" s="1072"/>
      <c r="N65" s="1072"/>
      <c r="O65" s="1072"/>
      <c r="P65" s="80"/>
      <c r="Q65" s="4"/>
      <c r="R65" s="182"/>
      <c r="S65" s="182"/>
      <c r="T65" s="182"/>
      <c r="U65" s="182"/>
      <c r="V65" s="182"/>
      <c r="W65" s="182"/>
      <c r="X65" s="182"/>
      <c r="Y65" s="182"/>
      <c r="Z65" s="182"/>
      <c r="AA65" s="182"/>
      <c r="AB65" s="182"/>
      <c r="AC65" s="182"/>
      <c r="AD65" s="182"/>
      <c r="AE65" s="182"/>
      <c r="AF65" s="182"/>
      <c r="AG65" s="182"/>
      <c r="AH65" s="182"/>
      <c r="AI65" s="182"/>
      <c r="AJ65" s="182"/>
      <c r="AK65" s="182"/>
      <c r="AL65" s="182"/>
      <c r="AM65" s="182"/>
      <c r="AN65" s="182"/>
      <c r="AO65" s="182"/>
      <c r="AP65" s="4"/>
      <c r="AQ65" s="79"/>
      <c r="AR65" s="79"/>
    </row>
    <row r="66" ht="0" hidden="1" customHeight="1">
      <c r="C66" s="181"/>
      <c r="D66" s="181"/>
      <c r="E66" s="181"/>
      <c r="F66" s="201"/>
      <c r="G66" s="181"/>
      <c r="H66" s="996"/>
      <c r="I66" s="996"/>
      <c r="J66" s="996"/>
      <c r="K66" s="996"/>
      <c r="L66" s="1072"/>
      <c r="M66" s="1072"/>
      <c r="N66" s="1072"/>
      <c r="O66" s="1072"/>
      <c r="P66" s="80"/>
      <c r="Q66" s="4"/>
      <c r="R66" s="182"/>
      <c r="S66" s="182"/>
      <c r="T66" s="182"/>
      <c r="U66" s="182"/>
      <c r="V66" s="182"/>
      <c r="W66" s="182"/>
      <c r="X66" s="182"/>
      <c r="Y66" s="182"/>
      <c r="Z66" s="182"/>
      <c r="AA66" s="182"/>
      <c r="AB66" s="182"/>
      <c r="AC66" s="182"/>
      <c r="AD66" s="182"/>
      <c r="AE66" s="182"/>
      <c r="AF66" s="182"/>
      <c r="AG66" s="182"/>
      <c r="AH66" s="182"/>
      <c r="AI66" s="182"/>
      <c r="AJ66" s="182"/>
      <c r="AK66" s="182"/>
      <c r="AL66" s="182"/>
      <c r="AM66" s="182"/>
      <c r="AN66" s="182"/>
      <c r="AO66" s="182"/>
      <c r="AP66" s="4"/>
      <c r="AQ66" s="79"/>
      <c r="AR66" s="79"/>
    </row>
    <row r="67" ht="0" hidden="1" customHeight="1">
      <c r="C67" s="181"/>
      <c r="D67" s="181"/>
      <c r="E67" s="181"/>
      <c r="F67" s="201"/>
      <c r="G67" s="181"/>
      <c r="H67" s="996"/>
      <c r="I67" s="996"/>
      <c r="J67" s="996"/>
      <c r="K67" s="996"/>
      <c r="L67" s="1072"/>
      <c r="M67" s="1072"/>
      <c r="N67" s="1072"/>
      <c r="O67" s="1072"/>
      <c r="P67" s="80"/>
      <c r="Q67" s="4"/>
      <c r="R67" s="182"/>
      <c r="S67" s="182"/>
      <c r="T67" s="182"/>
      <c r="U67" s="182"/>
      <c r="V67" s="182"/>
      <c r="W67" s="182"/>
      <c r="X67" s="182"/>
      <c r="Y67" s="182"/>
      <c r="Z67" s="182"/>
      <c r="AA67" s="182"/>
      <c r="AB67" s="182"/>
      <c r="AC67" s="182"/>
      <c r="AD67" s="182"/>
      <c r="AE67" s="182"/>
      <c r="AF67" s="182"/>
      <c r="AG67" s="182"/>
      <c r="AH67" s="182"/>
      <c r="AI67" s="182"/>
      <c r="AJ67" s="182"/>
      <c r="AK67" s="182"/>
      <c r="AL67" s="182"/>
      <c r="AM67" s="182"/>
      <c r="AN67" s="182"/>
      <c r="AO67" s="182"/>
      <c r="AP67" s="4"/>
      <c r="AQ67" s="79"/>
      <c r="AR67" s="79"/>
    </row>
    <row r="68" ht="0" hidden="1" customHeight="1">
      <c r="C68" s="181"/>
      <c r="D68" s="181"/>
      <c r="E68" s="181"/>
      <c r="F68" s="201"/>
      <c r="G68" s="181"/>
      <c r="H68" s="996"/>
      <c r="I68" s="996"/>
      <c r="J68" s="996"/>
      <c r="K68" s="996"/>
      <c r="L68" s="1072"/>
      <c r="M68" s="1072"/>
      <c r="N68" s="1072"/>
      <c r="O68" s="1072"/>
      <c r="P68" s="80"/>
      <c r="Q68" s="4"/>
      <c r="R68" s="182"/>
      <c r="S68" s="182"/>
      <c r="T68" s="182"/>
      <c r="U68" s="182"/>
      <c r="V68" s="182"/>
      <c r="W68" s="182"/>
      <c r="X68" s="182"/>
      <c r="Y68" s="182"/>
      <c r="Z68" s="182"/>
      <c r="AA68" s="182"/>
      <c r="AB68" s="182"/>
      <c r="AC68" s="182"/>
      <c r="AD68" s="182"/>
      <c r="AE68" s="182"/>
      <c r="AF68" s="182"/>
      <c r="AG68" s="182"/>
      <c r="AH68" s="182"/>
      <c r="AI68" s="182"/>
      <c r="AJ68" s="182"/>
      <c r="AK68" s="182"/>
      <c r="AL68" s="182"/>
      <c r="AM68" s="182"/>
      <c r="AN68" s="182"/>
      <c r="AO68" s="182"/>
      <c r="AP68" s="4"/>
      <c r="AQ68" s="79"/>
      <c r="AR68" s="79"/>
    </row>
    <row r="69" ht="0" hidden="1" customHeight="1">
      <c r="C69" s="181"/>
      <c r="D69" s="181"/>
      <c r="E69" s="181"/>
      <c r="F69" s="201"/>
      <c r="G69" s="181"/>
      <c r="H69" s="996"/>
      <c r="I69" s="996"/>
      <c r="J69" s="996"/>
      <c r="K69" s="996"/>
      <c r="L69" s="1072"/>
      <c r="M69" s="1072"/>
      <c r="N69" s="1072"/>
      <c r="O69" s="1072"/>
      <c r="P69" s="80"/>
      <c r="Q69" s="4"/>
      <c r="R69" s="182"/>
      <c r="S69" s="182"/>
      <c r="T69" s="182"/>
      <c r="U69" s="182"/>
      <c r="V69" s="182"/>
      <c r="W69" s="182"/>
      <c r="X69" s="182"/>
      <c r="Y69" s="182"/>
      <c r="Z69" s="182"/>
      <c r="AA69" s="182"/>
      <c r="AB69" s="182"/>
      <c r="AC69" s="182"/>
      <c r="AD69" s="182"/>
      <c r="AE69" s="182"/>
      <c r="AF69" s="182"/>
      <c r="AG69" s="182"/>
      <c r="AH69" s="182"/>
      <c r="AI69" s="182"/>
      <c r="AJ69" s="182"/>
      <c r="AK69" s="182"/>
      <c r="AL69" s="182"/>
      <c r="AM69" s="182"/>
      <c r="AN69" s="182"/>
      <c r="AO69" s="182"/>
      <c r="AP69" s="4"/>
      <c r="AQ69" s="79"/>
      <c r="AR69" s="79"/>
    </row>
    <row r="70" ht="0" hidden="1" customHeight="1">
      <c r="C70" s="181"/>
      <c r="D70" s="181"/>
      <c r="E70" s="181"/>
      <c r="F70" s="201"/>
      <c r="G70" s="181"/>
      <c r="H70" s="996"/>
      <c r="I70" s="996"/>
      <c r="J70" s="996"/>
      <c r="K70" s="996"/>
      <c r="L70" s="1072"/>
      <c r="M70" s="1072"/>
      <c r="N70" s="1072"/>
      <c r="O70" s="1072"/>
      <c r="P70" s="80"/>
      <c r="Q70" s="4"/>
      <c r="R70" s="182"/>
      <c r="S70" s="182"/>
      <c r="T70" s="182"/>
      <c r="U70" s="182"/>
      <c r="V70" s="182"/>
      <c r="W70" s="182"/>
      <c r="X70" s="182"/>
      <c r="Y70" s="182"/>
      <c r="Z70" s="182"/>
      <c r="AA70" s="182"/>
      <c r="AB70" s="182"/>
      <c r="AC70" s="182"/>
      <c r="AD70" s="182"/>
      <c r="AE70" s="182"/>
      <c r="AF70" s="182"/>
      <c r="AG70" s="182"/>
      <c r="AH70" s="182"/>
      <c r="AI70" s="182"/>
      <c r="AJ70" s="182"/>
      <c r="AK70" s="182"/>
      <c r="AL70" s="182"/>
      <c r="AM70" s="182"/>
      <c r="AN70" s="182"/>
      <c r="AO70" s="182"/>
      <c r="AP70" s="4"/>
      <c r="AQ70" s="79"/>
      <c r="AR70" s="79"/>
    </row>
    <row r="71" ht="0" hidden="1" customHeight="1">
      <c r="C71" s="181"/>
      <c r="D71" s="181"/>
      <c r="E71" s="181"/>
      <c r="F71" s="201"/>
      <c r="G71" s="181"/>
      <c r="H71" s="996"/>
      <c r="I71" s="996"/>
      <c r="J71" s="996"/>
      <c r="K71" s="996"/>
      <c r="L71" s="1072"/>
      <c r="M71" s="1072"/>
      <c r="N71" s="1072"/>
      <c r="O71" s="1072"/>
      <c r="P71" s="80"/>
      <c r="Q71" s="4"/>
      <c r="R71" s="182"/>
      <c r="S71" s="182"/>
      <c r="T71" s="182"/>
      <c r="U71" s="182"/>
      <c r="V71" s="182"/>
      <c r="W71" s="182"/>
      <c r="X71" s="182"/>
      <c r="Y71" s="182"/>
      <c r="Z71" s="182"/>
      <c r="AA71" s="182"/>
      <c r="AB71" s="182"/>
      <c r="AC71" s="182"/>
      <c r="AD71" s="182"/>
      <c r="AE71" s="182"/>
      <c r="AF71" s="182"/>
      <c r="AG71" s="182"/>
      <c r="AH71" s="182"/>
      <c r="AI71" s="182"/>
      <c r="AJ71" s="182"/>
      <c r="AK71" s="182"/>
      <c r="AL71" s="182"/>
      <c r="AM71" s="182"/>
      <c r="AN71" s="182"/>
      <c r="AO71" s="182"/>
      <c r="AP71" s="4"/>
      <c r="AQ71" s="79"/>
      <c r="AR71" s="79"/>
    </row>
    <row r="72" ht="0" hidden="1" customHeight="1">
      <c r="C72" s="181"/>
      <c r="D72" s="181"/>
      <c r="E72" s="181"/>
      <c r="F72" s="201"/>
      <c r="G72" s="181"/>
      <c r="H72" s="996"/>
      <c r="I72" s="996"/>
      <c r="J72" s="996"/>
      <c r="K72" s="996"/>
      <c r="L72" s="1072"/>
      <c r="M72" s="1072"/>
      <c r="N72" s="1072"/>
      <c r="O72" s="1072"/>
      <c r="P72" s="80"/>
      <c r="Q72" s="4"/>
      <c r="R72" s="182"/>
      <c r="S72" s="182"/>
      <c r="T72" s="182"/>
      <c r="U72" s="182"/>
      <c r="V72" s="182"/>
      <c r="W72" s="182"/>
      <c r="X72" s="182"/>
      <c r="Y72" s="182"/>
      <c r="Z72" s="182"/>
      <c r="AA72" s="182"/>
      <c r="AB72" s="182"/>
      <c r="AC72" s="182"/>
      <c r="AD72" s="182"/>
      <c r="AE72" s="182"/>
      <c r="AF72" s="182"/>
      <c r="AG72" s="182"/>
      <c r="AH72" s="182"/>
      <c r="AI72" s="182"/>
      <c r="AJ72" s="182"/>
      <c r="AK72" s="182"/>
      <c r="AL72" s="182"/>
      <c r="AM72" s="182"/>
      <c r="AN72" s="182"/>
      <c r="AO72" s="182"/>
      <c r="AP72" s="4"/>
      <c r="AQ72" s="79"/>
      <c r="AR72" s="79"/>
    </row>
    <row r="73" ht="0" hidden="1" customHeight="1">
      <c r="C73" s="181"/>
      <c r="D73" s="181"/>
      <c r="E73" s="181"/>
      <c r="F73" s="201"/>
      <c r="G73" s="181"/>
      <c r="H73" s="996"/>
      <c r="I73" s="996"/>
      <c r="J73" s="996"/>
      <c r="K73" s="996"/>
      <c r="L73" s="1072"/>
      <c r="M73" s="1072"/>
      <c r="N73" s="1072"/>
      <c r="O73" s="1072"/>
      <c r="P73" s="80"/>
      <c r="Q73" s="4"/>
      <c r="R73" s="182"/>
      <c r="S73" s="182"/>
      <c r="T73" s="182"/>
      <c r="U73" s="182"/>
      <c r="V73" s="182"/>
      <c r="W73" s="182"/>
      <c r="X73" s="182"/>
      <c r="Y73" s="182"/>
      <c r="Z73" s="182"/>
      <c r="AA73" s="182"/>
      <c r="AB73" s="182"/>
      <c r="AC73" s="182"/>
      <c r="AD73" s="182"/>
      <c r="AE73" s="182"/>
      <c r="AF73" s="182"/>
      <c r="AG73" s="182"/>
      <c r="AH73" s="182"/>
      <c r="AI73" s="182"/>
      <c r="AJ73" s="182"/>
      <c r="AK73" s="182"/>
      <c r="AL73" s="182"/>
      <c r="AM73" s="182"/>
      <c r="AN73" s="182"/>
      <c r="AO73" s="182"/>
      <c r="AP73" s="4"/>
      <c r="AQ73" s="79"/>
      <c r="AR73" s="79"/>
    </row>
    <row r="74" ht="0" hidden="1" customHeight="1">
      <c r="C74" s="181"/>
      <c r="D74" s="181"/>
      <c r="E74" s="181"/>
      <c r="F74" s="201"/>
      <c r="G74" s="181"/>
      <c r="H74" s="996"/>
      <c r="I74" s="996"/>
      <c r="J74" s="996"/>
      <c r="K74" s="996"/>
      <c r="L74" s="1072"/>
      <c r="M74" s="1072"/>
      <c r="N74" s="1072"/>
      <c r="O74" s="1072"/>
      <c r="P74" s="80"/>
      <c r="Q74" s="4"/>
      <c r="R74" s="182"/>
      <c r="S74" s="182"/>
      <c r="T74" s="182"/>
      <c r="U74" s="182"/>
      <c r="V74" s="182"/>
      <c r="W74" s="182"/>
      <c r="X74" s="182"/>
      <c r="Y74" s="182"/>
      <c r="Z74" s="182"/>
      <c r="AA74" s="182"/>
      <c r="AB74" s="182"/>
      <c r="AC74" s="182"/>
      <c r="AD74" s="182"/>
      <c r="AE74" s="182"/>
      <c r="AF74" s="182"/>
      <c r="AG74" s="182"/>
      <c r="AH74" s="182"/>
      <c r="AI74" s="182"/>
      <c r="AJ74" s="182"/>
      <c r="AK74" s="182"/>
      <c r="AL74" s="182"/>
      <c r="AM74" s="182"/>
      <c r="AN74" s="182"/>
      <c r="AO74" s="182"/>
      <c r="AP74" s="4"/>
      <c r="AQ74" s="79"/>
      <c r="AR74" s="79"/>
    </row>
    <row r="75" ht="0" hidden="1" customHeight="1">
      <c r="C75" s="181"/>
      <c r="D75" s="181"/>
      <c r="E75" s="181"/>
      <c r="F75" s="201"/>
      <c r="G75" s="181"/>
      <c r="H75" s="996"/>
      <c r="I75" s="996"/>
      <c r="J75" s="996"/>
      <c r="K75" s="996"/>
      <c r="L75" s="1072"/>
      <c r="M75" s="1072"/>
      <c r="N75" s="1072"/>
      <c r="O75" s="1072"/>
      <c r="P75" s="80"/>
      <c r="Q75" s="4"/>
      <c r="R75" s="182"/>
      <c r="S75" s="182"/>
      <c r="T75" s="182"/>
      <c r="U75" s="182"/>
      <c r="V75" s="182"/>
      <c r="W75" s="182"/>
      <c r="X75" s="182"/>
      <c r="Y75" s="182"/>
      <c r="Z75" s="182"/>
      <c r="AA75" s="182"/>
      <c r="AB75" s="182"/>
      <c r="AC75" s="182"/>
      <c r="AD75" s="182"/>
      <c r="AE75" s="182"/>
      <c r="AF75" s="182"/>
      <c r="AG75" s="182"/>
      <c r="AH75" s="182"/>
      <c r="AI75" s="182"/>
      <c r="AJ75" s="182"/>
      <c r="AK75" s="182"/>
      <c r="AL75" s="182"/>
      <c r="AM75" s="182"/>
      <c r="AN75" s="182"/>
      <c r="AO75" s="182"/>
      <c r="AP75" s="4"/>
      <c r="AQ75" s="79"/>
      <c r="AR75" s="79"/>
    </row>
    <row r="76" ht="0" hidden="1" customHeight="1">
      <c r="C76" s="181"/>
      <c r="D76" s="181"/>
      <c r="E76" s="181"/>
      <c r="F76" s="201"/>
      <c r="G76" s="181"/>
      <c r="H76" s="996"/>
      <c r="I76" s="996"/>
      <c r="J76" s="996"/>
      <c r="K76" s="996"/>
      <c r="L76" s="1072"/>
      <c r="M76" s="1072"/>
      <c r="N76" s="1072"/>
      <c r="O76" s="1072"/>
      <c r="P76" s="80"/>
      <c r="Q76" s="4"/>
      <c r="R76" s="182"/>
      <c r="S76" s="182"/>
      <c r="T76" s="182"/>
      <c r="U76" s="182"/>
      <c r="V76" s="182"/>
      <c r="W76" s="182"/>
      <c r="X76" s="182"/>
      <c r="Y76" s="182"/>
      <c r="Z76" s="182"/>
      <c r="AA76" s="182"/>
      <c r="AB76" s="182"/>
      <c r="AC76" s="182"/>
      <c r="AD76" s="182"/>
      <c r="AE76" s="182"/>
      <c r="AF76" s="182"/>
      <c r="AG76" s="182"/>
      <c r="AH76" s="182"/>
      <c r="AI76" s="182"/>
      <c r="AJ76" s="182"/>
      <c r="AK76" s="182"/>
      <c r="AL76" s="182"/>
      <c r="AM76" s="182"/>
      <c r="AN76" s="182"/>
      <c r="AO76" s="182"/>
      <c r="AP76" s="4"/>
      <c r="AQ76" s="79"/>
      <c r="AR76" s="79"/>
    </row>
    <row r="77" ht="0" hidden="1" customHeight="1">
      <c r="C77" s="181"/>
      <c r="D77" s="181"/>
      <c r="E77" s="181"/>
      <c r="F77" s="201"/>
      <c r="G77" s="181"/>
      <c r="H77" s="996"/>
      <c r="I77" s="996"/>
      <c r="J77" s="996"/>
      <c r="K77" s="996"/>
      <c r="L77" s="1072"/>
      <c r="M77" s="1072"/>
      <c r="N77" s="1072"/>
      <c r="O77" s="1072"/>
      <c r="P77" s="80"/>
      <c r="Q77" s="4"/>
      <c r="R77" s="182"/>
      <c r="S77" s="182"/>
      <c r="T77" s="182"/>
      <c r="U77" s="182"/>
      <c r="V77" s="182"/>
      <c r="W77" s="182"/>
      <c r="X77" s="182"/>
      <c r="Y77" s="182"/>
      <c r="Z77" s="182"/>
      <c r="AA77" s="182"/>
      <c r="AB77" s="182"/>
      <c r="AC77" s="182"/>
      <c r="AD77" s="182"/>
      <c r="AE77" s="182"/>
      <c r="AF77" s="182"/>
      <c r="AG77" s="182"/>
      <c r="AH77" s="182"/>
      <c r="AI77" s="182"/>
      <c r="AJ77" s="182"/>
      <c r="AK77" s="182"/>
      <c r="AL77" s="182"/>
      <c r="AM77" s="182"/>
      <c r="AN77" s="182"/>
      <c r="AO77" s="182"/>
      <c r="AP77" s="4"/>
      <c r="AQ77" s="79"/>
      <c r="AR77" s="79"/>
    </row>
    <row r="78" ht="0" hidden="1" customHeight="1">
      <c r="C78" s="181"/>
      <c r="D78" s="181"/>
      <c r="E78" s="181"/>
      <c r="F78" s="201"/>
      <c r="G78" s="181"/>
      <c r="H78" s="996"/>
      <c r="I78" s="996"/>
      <c r="J78" s="996"/>
      <c r="K78" s="996"/>
      <c r="L78" s="1072"/>
      <c r="M78" s="1072"/>
      <c r="N78" s="1072"/>
      <c r="O78" s="1072"/>
      <c r="P78" s="80"/>
      <c r="Q78" s="4"/>
      <c r="R78" s="182"/>
      <c r="S78" s="182"/>
      <c r="T78" s="182"/>
      <c r="U78" s="182"/>
      <c r="V78" s="182"/>
      <c r="W78" s="182"/>
      <c r="X78" s="182"/>
      <c r="Y78" s="182"/>
      <c r="Z78" s="182"/>
      <c r="AA78" s="182"/>
      <c r="AB78" s="182"/>
      <c r="AC78" s="182"/>
      <c r="AD78" s="182"/>
      <c r="AE78" s="182"/>
      <c r="AF78" s="182"/>
      <c r="AG78" s="182"/>
      <c r="AH78" s="182"/>
      <c r="AI78" s="182"/>
      <c r="AJ78" s="182"/>
      <c r="AK78" s="182"/>
      <c r="AL78" s="182"/>
      <c r="AM78" s="182"/>
      <c r="AN78" s="182"/>
      <c r="AO78" s="182"/>
      <c r="AP78" s="4"/>
      <c r="AQ78" s="79"/>
      <c r="AR78" s="79"/>
    </row>
    <row r="79" ht="0" hidden="1" customHeight="1">
      <c r="C79" s="181"/>
      <c r="D79" s="181"/>
      <c r="E79" s="181"/>
      <c r="F79" s="201"/>
      <c r="G79" s="181"/>
      <c r="H79" s="996"/>
      <c r="I79" s="996"/>
      <c r="J79" s="996"/>
      <c r="K79" s="996"/>
      <c r="L79" s="1072"/>
      <c r="M79" s="1072"/>
      <c r="N79" s="1072"/>
      <c r="O79" s="1072"/>
      <c r="P79" s="80"/>
      <c r="Q79" s="4"/>
      <c r="R79" s="182"/>
      <c r="S79" s="182"/>
      <c r="T79" s="182"/>
      <c r="U79" s="182"/>
      <c r="V79" s="182"/>
      <c r="W79" s="182"/>
      <c r="X79" s="182"/>
      <c r="Y79" s="182"/>
      <c r="Z79" s="182"/>
      <c r="AA79" s="182"/>
      <c r="AB79" s="182"/>
      <c r="AC79" s="182"/>
      <c r="AD79" s="182"/>
      <c r="AE79" s="182"/>
      <c r="AF79" s="182"/>
      <c r="AG79" s="182"/>
      <c r="AH79" s="182"/>
      <c r="AI79" s="182"/>
      <c r="AJ79" s="182"/>
      <c r="AK79" s="182"/>
      <c r="AL79" s="182"/>
      <c r="AM79" s="182"/>
      <c r="AN79" s="182"/>
      <c r="AO79" s="182"/>
      <c r="AP79" s="4"/>
      <c r="AQ79" s="79"/>
      <c r="AR79" s="79"/>
    </row>
    <row r="80" ht="0" hidden="1" customHeight="1">
      <c r="C80" s="181"/>
      <c r="D80" s="181"/>
      <c r="E80" s="181"/>
      <c r="F80" s="201"/>
      <c r="G80" s="181"/>
      <c r="H80" s="996"/>
      <c r="I80" s="996"/>
      <c r="J80" s="996"/>
      <c r="K80" s="996"/>
      <c r="L80" s="1072"/>
      <c r="M80" s="1072"/>
      <c r="N80" s="1072"/>
      <c r="O80" s="1072"/>
      <c r="P80" s="80"/>
      <c r="Q80" s="4"/>
      <c r="R80" s="182"/>
      <c r="S80" s="182"/>
      <c r="T80" s="182"/>
      <c r="U80" s="182"/>
      <c r="V80" s="182"/>
      <c r="W80" s="182"/>
      <c r="X80" s="182"/>
      <c r="Y80" s="182"/>
      <c r="Z80" s="182"/>
      <c r="AA80" s="182"/>
      <c r="AB80" s="182"/>
      <c r="AC80" s="182"/>
      <c r="AD80" s="182"/>
      <c r="AE80" s="182"/>
      <c r="AF80" s="182"/>
      <c r="AG80" s="182"/>
      <c r="AH80" s="182"/>
      <c r="AI80" s="182"/>
      <c r="AJ80" s="182"/>
      <c r="AK80" s="182"/>
      <c r="AL80" s="182"/>
      <c r="AM80" s="182"/>
      <c r="AN80" s="182"/>
      <c r="AO80" s="182"/>
      <c r="AP80" s="4"/>
      <c r="AQ80" s="79"/>
      <c r="AR80" s="79"/>
    </row>
    <row r="81" ht="0" hidden="1" customHeight="1">
      <c r="C81" s="181"/>
      <c r="D81" s="181"/>
      <c r="E81" s="181"/>
      <c r="F81" s="201"/>
      <c r="G81" s="181"/>
      <c r="H81" s="996"/>
      <c r="I81" s="996"/>
      <c r="J81" s="996"/>
      <c r="K81" s="996"/>
      <c r="L81" s="1072"/>
      <c r="M81" s="1072"/>
      <c r="N81" s="1072"/>
      <c r="O81" s="1072"/>
      <c r="P81" s="80"/>
      <c r="Q81" s="4"/>
      <c r="R81" s="182"/>
      <c r="S81" s="182"/>
      <c r="T81" s="182"/>
      <c r="U81" s="182"/>
      <c r="V81" s="182"/>
      <c r="W81" s="182"/>
      <c r="X81" s="182"/>
      <c r="Y81" s="182"/>
      <c r="Z81" s="182"/>
      <c r="AA81" s="182"/>
      <c r="AB81" s="182"/>
      <c r="AC81" s="182"/>
      <c r="AD81" s="182"/>
      <c r="AE81" s="182"/>
      <c r="AF81" s="182"/>
      <c r="AG81" s="182"/>
      <c r="AH81" s="182"/>
      <c r="AI81" s="182"/>
      <c r="AJ81" s="182"/>
      <c r="AK81" s="182"/>
      <c r="AL81" s="182"/>
      <c r="AM81" s="182"/>
      <c r="AN81" s="182"/>
      <c r="AO81" s="182"/>
      <c r="AP81" s="4"/>
      <c r="AQ81" s="79"/>
      <c r="AR81" s="79"/>
    </row>
    <row r="82" ht="0" hidden="1" customHeight="1">
      <c r="C82" s="181"/>
      <c r="D82" s="181"/>
      <c r="E82" s="181"/>
      <c r="F82" s="201"/>
      <c r="G82" s="181"/>
      <c r="H82" s="996"/>
      <c r="I82" s="996"/>
      <c r="J82" s="996"/>
      <c r="K82" s="996"/>
      <c r="L82" s="1072"/>
      <c r="M82" s="1072"/>
      <c r="N82" s="1072"/>
      <c r="O82" s="1072"/>
      <c r="P82" s="80"/>
      <c r="Q82" s="4"/>
      <c r="R82" s="182"/>
      <c r="S82" s="182"/>
      <c r="T82" s="182"/>
      <c r="U82" s="182"/>
      <c r="V82" s="182"/>
      <c r="W82" s="182"/>
      <c r="X82" s="182"/>
      <c r="Y82" s="182"/>
      <c r="Z82" s="182"/>
      <c r="AA82" s="182"/>
      <c r="AB82" s="182"/>
      <c r="AC82" s="182"/>
      <c r="AD82" s="182"/>
      <c r="AE82" s="182"/>
      <c r="AF82" s="182"/>
      <c r="AG82" s="182"/>
      <c r="AH82" s="182"/>
      <c r="AI82" s="182"/>
      <c r="AJ82" s="182"/>
      <c r="AK82" s="182"/>
      <c r="AL82" s="182"/>
      <c r="AM82" s="182"/>
      <c r="AN82" s="182"/>
      <c r="AO82" s="182"/>
      <c r="AP82" s="4"/>
      <c r="AQ82" s="79"/>
      <c r="AR82" s="79"/>
    </row>
    <row r="83" ht="0" hidden="1" customHeight="1">
      <c r="C83" s="181"/>
      <c r="D83" s="181"/>
      <c r="E83" s="181"/>
      <c r="F83" s="201"/>
      <c r="G83" s="181"/>
      <c r="H83" s="996"/>
      <c r="I83" s="996"/>
      <c r="J83" s="996"/>
      <c r="K83" s="996"/>
      <c r="L83" s="1072"/>
      <c r="M83" s="1072"/>
      <c r="N83" s="1072"/>
      <c r="O83" s="1072"/>
      <c r="P83" s="80"/>
      <c r="Q83" s="4"/>
      <c r="R83" s="182"/>
      <c r="S83" s="182"/>
      <c r="T83" s="182"/>
      <c r="U83" s="182"/>
      <c r="V83" s="182"/>
      <c r="W83" s="182"/>
      <c r="X83" s="182"/>
      <c r="Y83" s="182"/>
      <c r="Z83" s="182"/>
      <c r="AA83" s="182"/>
      <c r="AB83" s="182"/>
      <c r="AC83" s="182"/>
      <c r="AD83" s="182"/>
      <c r="AE83" s="182"/>
      <c r="AF83" s="182"/>
      <c r="AG83" s="182"/>
      <c r="AH83" s="182"/>
      <c r="AI83" s="182"/>
      <c r="AJ83" s="182"/>
      <c r="AK83" s="182"/>
      <c r="AL83" s="182"/>
      <c r="AM83" s="182"/>
      <c r="AN83" s="182"/>
      <c r="AO83" s="182"/>
      <c r="AP83" s="4"/>
      <c r="AQ83" s="79"/>
      <c r="AR83" s="79"/>
    </row>
    <row r="84" ht="0" hidden="1" customHeight="1">
      <c r="C84" s="181"/>
      <c r="D84" s="181"/>
      <c r="E84" s="181"/>
      <c r="F84" s="201"/>
      <c r="G84" s="181"/>
      <c r="H84" s="996"/>
      <c r="I84" s="996"/>
      <c r="J84" s="996"/>
      <c r="K84" s="996"/>
      <c r="L84" s="1072"/>
      <c r="M84" s="1072"/>
      <c r="N84" s="1072"/>
      <c r="O84" s="1072"/>
      <c r="P84" s="80"/>
      <c r="Q84" s="4"/>
      <c r="R84" s="182"/>
      <c r="S84" s="182"/>
      <c r="T84" s="182"/>
      <c r="U84" s="182"/>
      <c r="V84" s="182"/>
      <c r="W84" s="182"/>
      <c r="X84" s="182"/>
      <c r="Y84" s="182"/>
      <c r="Z84" s="182"/>
      <c r="AA84" s="182"/>
      <c r="AB84" s="182"/>
      <c r="AC84" s="182"/>
      <c r="AD84" s="182"/>
      <c r="AE84" s="182"/>
      <c r="AF84" s="182"/>
      <c r="AG84" s="182"/>
      <c r="AH84" s="182"/>
      <c r="AI84" s="182"/>
      <c r="AJ84" s="182"/>
      <c r="AK84" s="182"/>
      <c r="AL84" s="182"/>
      <c r="AM84" s="182"/>
      <c r="AN84" s="182"/>
      <c r="AO84" s="182"/>
      <c r="AP84" s="4"/>
      <c r="AQ84" s="79"/>
      <c r="AR84" s="79"/>
    </row>
    <row r="85" ht="0" hidden="1" customHeight="1">
      <c r="C85" s="181"/>
      <c r="D85" s="181"/>
      <c r="E85" s="181"/>
      <c r="F85" s="201"/>
      <c r="G85" s="181"/>
      <c r="H85" s="996"/>
      <c r="I85" s="996"/>
      <c r="J85" s="996"/>
      <c r="K85" s="996"/>
      <c r="L85" s="1072"/>
      <c r="M85" s="1072"/>
      <c r="N85" s="1072"/>
      <c r="O85" s="1072"/>
      <c r="P85" s="80"/>
      <c r="Q85" s="4"/>
      <c r="R85" s="182"/>
      <c r="S85" s="182"/>
      <c r="T85" s="182"/>
      <c r="U85" s="182"/>
      <c r="V85" s="182"/>
      <c r="W85" s="182"/>
      <c r="X85" s="182"/>
      <c r="Y85" s="182"/>
      <c r="Z85" s="182"/>
      <c r="AA85" s="182"/>
      <c r="AB85" s="182"/>
      <c r="AC85" s="182"/>
      <c r="AD85" s="182"/>
      <c r="AE85" s="182"/>
      <c r="AF85" s="182"/>
      <c r="AG85" s="182"/>
      <c r="AH85" s="182"/>
      <c r="AI85" s="182"/>
      <c r="AJ85" s="182"/>
      <c r="AK85" s="182"/>
      <c r="AL85" s="182"/>
      <c r="AM85" s="182"/>
      <c r="AN85" s="182"/>
      <c r="AO85" s="182"/>
      <c r="AP85" s="4"/>
      <c r="AQ85" s="79"/>
      <c r="AR85" s="79"/>
    </row>
    <row r="86" ht="0" hidden="1" customHeight="1">
      <c r="C86" s="181"/>
      <c r="D86" s="181"/>
      <c r="E86" s="181"/>
      <c r="F86" s="201"/>
      <c r="G86" s="181"/>
      <c r="H86" s="996"/>
      <c r="I86" s="996"/>
      <c r="J86" s="996"/>
      <c r="K86" s="996"/>
      <c r="L86" s="1072"/>
      <c r="M86" s="1072"/>
      <c r="N86" s="1072"/>
      <c r="O86" s="1072"/>
      <c r="P86" s="80"/>
      <c r="Q86" s="4"/>
      <c r="R86" s="182"/>
      <c r="S86" s="182"/>
      <c r="T86" s="182"/>
      <c r="U86" s="182"/>
      <c r="V86" s="182"/>
      <c r="W86" s="182"/>
      <c r="X86" s="182"/>
      <c r="Y86" s="182"/>
      <c r="Z86" s="182"/>
      <c r="AA86" s="182"/>
      <c r="AB86" s="182"/>
      <c r="AC86" s="182"/>
      <c r="AD86" s="182"/>
      <c r="AE86" s="182"/>
      <c r="AF86" s="182"/>
      <c r="AG86" s="182"/>
      <c r="AH86" s="182"/>
      <c r="AI86" s="182"/>
      <c r="AJ86" s="182"/>
      <c r="AK86" s="182"/>
      <c r="AL86" s="182"/>
      <c r="AM86" s="182"/>
      <c r="AN86" s="182"/>
      <c r="AO86" s="182"/>
      <c r="AP86" s="4"/>
      <c r="AQ86" s="79"/>
      <c r="AR86" s="79"/>
    </row>
    <row r="87" ht="0" hidden="1" customHeight="1">
      <c r="C87" s="181"/>
      <c r="D87" s="181"/>
      <c r="E87" s="181"/>
      <c r="F87" s="201"/>
      <c r="G87" s="181"/>
      <c r="H87" s="996"/>
      <c r="I87" s="996"/>
      <c r="J87" s="996"/>
      <c r="K87" s="996"/>
      <c r="L87" s="1072"/>
      <c r="M87" s="1072"/>
      <c r="N87" s="1072"/>
      <c r="O87" s="1072"/>
      <c r="P87" s="80"/>
      <c r="Q87" s="4"/>
      <c r="R87" s="182"/>
      <c r="S87" s="182"/>
      <c r="T87" s="182"/>
      <c r="U87" s="182"/>
      <c r="V87" s="182"/>
      <c r="W87" s="182"/>
      <c r="X87" s="182"/>
      <c r="Y87" s="182"/>
      <c r="Z87" s="182"/>
      <c r="AA87" s="182"/>
      <c r="AB87" s="182"/>
      <c r="AC87" s="182"/>
      <c r="AD87" s="182"/>
      <c r="AE87" s="182"/>
      <c r="AF87" s="182"/>
      <c r="AG87" s="182"/>
      <c r="AH87" s="182"/>
      <c r="AI87" s="182"/>
      <c r="AJ87" s="182"/>
      <c r="AK87" s="182"/>
      <c r="AL87" s="182"/>
      <c r="AM87" s="182"/>
      <c r="AN87" s="182"/>
      <c r="AO87" s="182"/>
      <c r="AP87" s="4"/>
      <c r="AQ87" s="79"/>
      <c r="AR87" s="79"/>
    </row>
    <row r="88" ht="0" hidden="1" customHeight="1">
      <c r="C88" s="181"/>
      <c r="D88" s="181"/>
      <c r="E88" s="181"/>
      <c r="F88" s="201"/>
      <c r="G88" s="181"/>
      <c r="H88" s="996"/>
      <c r="I88" s="996"/>
      <c r="J88" s="996"/>
      <c r="K88" s="996"/>
      <c r="L88" s="1072"/>
      <c r="M88" s="1072"/>
      <c r="N88" s="1072"/>
      <c r="O88" s="1072"/>
      <c r="P88" s="80"/>
      <c r="Q88" s="4"/>
      <c r="R88" s="182"/>
      <c r="S88" s="182"/>
      <c r="T88" s="182"/>
      <c r="U88" s="182"/>
      <c r="V88" s="182"/>
      <c r="W88" s="182"/>
      <c r="X88" s="182"/>
      <c r="Y88" s="182"/>
      <c r="Z88" s="182"/>
      <c r="AA88" s="182"/>
      <c r="AB88" s="182"/>
      <c r="AC88" s="182"/>
      <c r="AD88" s="182"/>
      <c r="AE88" s="182"/>
      <c r="AF88" s="182"/>
      <c r="AG88" s="182"/>
      <c r="AH88" s="182"/>
      <c r="AI88" s="182"/>
      <c r="AJ88" s="182"/>
      <c r="AK88" s="182"/>
      <c r="AL88" s="182"/>
      <c r="AM88" s="182"/>
      <c r="AN88" s="182"/>
      <c r="AO88" s="182"/>
      <c r="AP88" s="4"/>
      <c r="AQ88" s="79"/>
      <c r="AR88" s="79"/>
    </row>
    <row r="89" ht="0" hidden="1" customHeight="1">
      <c r="C89" s="181"/>
      <c r="D89" s="181"/>
      <c r="E89" s="181"/>
      <c r="F89" s="201"/>
      <c r="G89" s="181"/>
      <c r="H89" s="996"/>
      <c r="I89" s="996"/>
      <c r="J89" s="996"/>
      <c r="K89" s="996"/>
      <c r="L89" s="1072"/>
      <c r="M89" s="1072"/>
      <c r="N89" s="1072"/>
      <c r="O89" s="1072"/>
      <c r="P89" s="80"/>
      <c r="Q89" s="4"/>
      <c r="R89" s="182"/>
      <c r="S89" s="182"/>
      <c r="T89" s="182"/>
      <c r="U89" s="182"/>
      <c r="V89" s="182"/>
      <c r="W89" s="182"/>
      <c r="X89" s="182"/>
      <c r="Y89" s="182"/>
      <c r="Z89" s="182"/>
      <c r="AA89" s="182"/>
      <c r="AB89" s="182"/>
      <c r="AC89" s="182"/>
      <c r="AD89" s="182"/>
      <c r="AE89" s="182"/>
      <c r="AF89" s="182"/>
      <c r="AG89" s="182"/>
      <c r="AH89" s="182"/>
      <c r="AI89" s="182"/>
      <c r="AJ89" s="182"/>
      <c r="AK89" s="182"/>
      <c r="AL89" s="182"/>
      <c r="AM89" s="182"/>
      <c r="AN89" s="182"/>
      <c r="AO89" s="182"/>
      <c r="AP89" s="4"/>
      <c r="AQ89" s="79"/>
      <c r="AR89" s="79"/>
    </row>
    <row r="90" ht="0" hidden="1" customHeight="1">
      <c r="C90" s="181"/>
      <c r="D90" s="181"/>
      <c r="E90" s="181"/>
      <c r="F90" s="201"/>
      <c r="G90" s="181"/>
      <c r="H90" s="996"/>
      <c r="I90" s="996"/>
      <c r="J90" s="996"/>
      <c r="K90" s="996"/>
      <c r="L90" s="1072"/>
      <c r="M90" s="1072"/>
      <c r="N90" s="1072"/>
      <c r="O90" s="1072"/>
      <c r="P90" s="80"/>
      <c r="Q90" s="4"/>
      <c r="R90" s="182"/>
      <c r="S90" s="182"/>
      <c r="T90" s="182"/>
      <c r="U90" s="182"/>
      <c r="V90" s="182"/>
      <c r="W90" s="182"/>
      <c r="X90" s="182"/>
      <c r="Y90" s="182"/>
      <c r="Z90" s="182"/>
      <c r="AA90" s="182"/>
      <c r="AB90" s="182"/>
      <c r="AC90" s="182"/>
      <c r="AD90" s="182"/>
      <c r="AE90" s="182"/>
      <c r="AF90" s="182"/>
      <c r="AG90" s="182"/>
      <c r="AH90" s="182"/>
      <c r="AI90" s="182"/>
      <c r="AJ90" s="182"/>
      <c r="AK90" s="182"/>
      <c r="AL90" s="182"/>
      <c r="AM90" s="182"/>
      <c r="AN90" s="182"/>
      <c r="AO90" s="182"/>
      <c r="AP90" s="4"/>
      <c r="AQ90" s="79"/>
      <c r="AR90" s="79"/>
    </row>
    <row r="91" ht="0" hidden="1" customHeight="1">
      <c r="C91" s="181"/>
      <c r="D91" s="181"/>
      <c r="E91" s="181"/>
      <c r="F91" s="201"/>
      <c r="G91" s="181"/>
      <c r="H91" s="996"/>
      <c r="I91" s="996"/>
      <c r="J91" s="996"/>
      <c r="K91" s="996"/>
      <c r="L91" s="1072"/>
      <c r="M91" s="1072"/>
      <c r="N91" s="1072"/>
      <c r="O91" s="1072"/>
      <c r="P91" s="80"/>
      <c r="Q91" s="4"/>
      <c r="R91" s="182"/>
      <c r="S91" s="182"/>
      <c r="T91" s="182"/>
      <c r="U91" s="182"/>
      <c r="V91" s="182"/>
      <c r="W91" s="182"/>
      <c r="X91" s="182"/>
      <c r="Y91" s="182"/>
      <c r="Z91" s="182"/>
      <c r="AA91" s="182"/>
      <c r="AB91" s="182"/>
      <c r="AC91" s="182"/>
      <c r="AD91" s="182"/>
      <c r="AE91" s="182"/>
      <c r="AF91" s="182"/>
      <c r="AG91" s="182"/>
      <c r="AH91" s="182"/>
      <c r="AI91" s="182"/>
      <c r="AJ91" s="182"/>
      <c r="AK91" s="182"/>
      <c r="AL91" s="182"/>
      <c r="AM91" s="182"/>
      <c r="AN91" s="182"/>
      <c r="AO91" s="182"/>
      <c r="AP91" s="4"/>
      <c r="AQ91" s="79"/>
      <c r="AR91" s="79"/>
    </row>
    <row r="92" ht="0" hidden="1" customHeight="1">
      <c r="C92" s="181"/>
      <c r="D92" s="181"/>
      <c r="E92" s="181"/>
      <c r="F92" s="201"/>
      <c r="G92" s="181"/>
      <c r="H92" s="996"/>
      <c r="I92" s="996"/>
      <c r="J92" s="996"/>
      <c r="K92" s="996"/>
      <c r="L92" s="1072"/>
      <c r="M92" s="1072"/>
      <c r="N92" s="1072"/>
      <c r="O92" s="1072"/>
      <c r="P92" s="80"/>
      <c r="Q92" s="4"/>
      <c r="R92" s="182"/>
      <c r="S92" s="182"/>
      <c r="T92" s="182"/>
      <c r="U92" s="182"/>
      <c r="V92" s="182"/>
      <c r="W92" s="182"/>
      <c r="X92" s="182"/>
      <c r="Y92" s="182"/>
      <c r="Z92" s="182"/>
      <c r="AA92" s="182"/>
      <c r="AB92" s="182"/>
      <c r="AC92" s="182"/>
      <c r="AD92" s="182"/>
      <c r="AE92" s="182"/>
      <c r="AF92" s="182"/>
      <c r="AG92" s="182"/>
      <c r="AH92" s="182"/>
      <c r="AI92" s="182"/>
      <c r="AJ92" s="182"/>
      <c r="AK92" s="182"/>
      <c r="AL92" s="182"/>
      <c r="AM92" s="182"/>
      <c r="AN92" s="182"/>
      <c r="AO92" s="182"/>
      <c r="AP92" s="4"/>
      <c r="AQ92" s="79"/>
      <c r="AR92" s="79"/>
    </row>
    <row r="93" ht="0" hidden="1" customHeight="1">
      <c r="C93" s="181"/>
      <c r="D93" s="181"/>
      <c r="E93" s="181"/>
      <c r="F93" s="201"/>
      <c r="G93" s="181"/>
      <c r="H93" s="996"/>
      <c r="I93" s="996"/>
      <c r="J93" s="996"/>
      <c r="K93" s="996"/>
      <c r="L93" s="1072"/>
      <c r="M93" s="1072"/>
      <c r="N93" s="1072"/>
      <c r="O93" s="1072"/>
      <c r="P93" s="80"/>
      <c r="Q93" s="4"/>
      <c r="R93" s="182"/>
      <c r="S93" s="182"/>
      <c r="T93" s="182"/>
      <c r="U93" s="182"/>
      <c r="V93" s="182"/>
      <c r="W93" s="182"/>
      <c r="X93" s="182"/>
      <c r="Y93" s="182"/>
      <c r="Z93" s="182"/>
      <c r="AA93" s="182"/>
      <c r="AB93" s="182"/>
      <c r="AC93" s="182"/>
      <c r="AD93" s="182"/>
      <c r="AE93" s="182"/>
      <c r="AF93" s="182"/>
      <c r="AG93" s="182"/>
      <c r="AH93" s="182"/>
      <c r="AI93" s="182"/>
      <c r="AJ93" s="182"/>
      <c r="AK93" s="182"/>
      <c r="AL93" s="182"/>
      <c r="AM93" s="182"/>
      <c r="AN93" s="182"/>
      <c r="AO93" s="182"/>
      <c r="AP93" s="4"/>
      <c r="AQ93" s="79"/>
      <c r="AR93" s="79"/>
    </row>
    <row r="94" ht="0" hidden="1" customHeight="1">
      <c r="C94" s="181"/>
      <c r="D94" s="181"/>
      <c r="E94" s="181"/>
      <c r="F94" s="201"/>
      <c r="G94" s="181"/>
      <c r="H94" s="996"/>
      <c r="I94" s="996"/>
      <c r="J94" s="996"/>
      <c r="K94" s="996"/>
      <c r="L94" s="1072"/>
      <c r="M94" s="1072"/>
      <c r="N94" s="1072"/>
      <c r="O94" s="1072"/>
      <c r="P94" s="80"/>
      <c r="Q94" s="4"/>
      <c r="R94" s="182"/>
      <c r="S94" s="182"/>
      <c r="T94" s="182"/>
      <c r="U94" s="182"/>
      <c r="V94" s="182"/>
      <c r="W94" s="182"/>
      <c r="X94" s="182"/>
      <c r="Y94" s="182"/>
      <c r="Z94" s="182"/>
      <c r="AA94" s="182"/>
      <c r="AB94" s="182"/>
      <c r="AC94" s="182"/>
      <c r="AD94" s="182"/>
      <c r="AE94" s="182"/>
      <c r="AF94" s="182"/>
      <c r="AG94" s="182"/>
      <c r="AH94" s="182"/>
      <c r="AI94" s="182"/>
      <c r="AJ94" s="182"/>
      <c r="AK94" s="182"/>
      <c r="AL94" s="182"/>
      <c r="AM94" s="182"/>
      <c r="AN94" s="182"/>
      <c r="AO94" s="182"/>
      <c r="AP94" s="4"/>
      <c r="AQ94" s="79"/>
      <c r="AR94" s="79"/>
    </row>
    <row r="95" ht="0" hidden="1" customHeight="1">
      <c r="C95" s="181"/>
      <c r="D95" s="181"/>
      <c r="E95" s="181"/>
      <c r="F95" s="201"/>
      <c r="G95" s="181"/>
      <c r="H95" s="996"/>
      <c r="I95" s="996"/>
      <c r="J95" s="996"/>
      <c r="K95" s="996"/>
      <c r="L95" s="1072"/>
      <c r="M95" s="1072"/>
      <c r="N95" s="1072"/>
      <c r="O95" s="1072"/>
      <c r="P95" s="80"/>
      <c r="Q95" s="4"/>
      <c r="R95" s="182"/>
      <c r="S95" s="182"/>
      <c r="T95" s="182"/>
      <c r="U95" s="182"/>
      <c r="V95" s="182"/>
      <c r="W95" s="182"/>
      <c r="X95" s="182"/>
      <c r="Y95" s="182"/>
      <c r="Z95" s="182"/>
      <c r="AA95" s="182"/>
      <c r="AB95" s="182"/>
      <c r="AC95" s="182"/>
      <c r="AD95" s="182"/>
      <c r="AE95" s="182"/>
      <c r="AF95" s="182"/>
      <c r="AG95" s="182"/>
      <c r="AH95" s="182"/>
      <c r="AI95" s="182"/>
      <c r="AJ95" s="182"/>
      <c r="AK95" s="182"/>
      <c r="AL95" s="182"/>
      <c r="AM95" s="182"/>
      <c r="AN95" s="182"/>
      <c r="AO95" s="182"/>
      <c r="AP95" s="4"/>
      <c r="AQ95" s="79"/>
      <c r="AR95" s="79"/>
    </row>
    <row r="96" ht="0" hidden="1" customHeight="1">
      <c r="C96" s="181"/>
      <c r="D96" s="181"/>
      <c r="E96" s="181"/>
      <c r="F96" s="201"/>
      <c r="G96" s="181"/>
      <c r="H96" s="996"/>
      <c r="I96" s="996"/>
      <c r="J96" s="996"/>
      <c r="K96" s="996"/>
      <c r="L96" s="1072"/>
      <c r="M96" s="1072"/>
      <c r="N96" s="1072"/>
      <c r="O96" s="1072"/>
      <c r="P96" s="80"/>
      <c r="Q96" s="4"/>
      <c r="R96" s="182"/>
      <c r="S96" s="182"/>
      <c r="T96" s="182"/>
      <c r="U96" s="182"/>
      <c r="V96" s="182"/>
      <c r="W96" s="182"/>
      <c r="X96" s="182"/>
      <c r="Y96" s="182"/>
      <c r="Z96" s="182"/>
      <c r="AA96" s="182"/>
      <c r="AB96" s="182"/>
      <c r="AC96" s="182"/>
      <c r="AD96" s="182"/>
      <c r="AE96" s="182"/>
      <c r="AF96" s="182"/>
      <c r="AG96" s="182"/>
      <c r="AH96" s="182"/>
      <c r="AI96" s="182"/>
      <c r="AJ96" s="182"/>
      <c r="AK96" s="182"/>
      <c r="AL96" s="182"/>
      <c r="AM96" s="182"/>
      <c r="AN96" s="182"/>
      <c r="AO96" s="182"/>
      <c r="AP96" s="4"/>
      <c r="AQ96" s="79"/>
      <c r="AR96" s="79"/>
    </row>
    <row r="97" ht="0" hidden="1" customHeight="1">
      <c r="C97" s="181"/>
      <c r="D97" s="181"/>
      <c r="E97" s="181"/>
      <c r="F97" s="201"/>
      <c r="G97" s="181"/>
      <c r="H97" s="996"/>
      <c r="I97" s="996"/>
      <c r="J97" s="996"/>
      <c r="K97" s="996"/>
      <c r="L97" s="1072"/>
      <c r="M97" s="1072"/>
      <c r="N97" s="1072"/>
      <c r="O97" s="1072"/>
      <c r="P97" s="80"/>
      <c r="Q97" s="4"/>
      <c r="R97" s="182"/>
      <c r="S97" s="182"/>
      <c r="T97" s="182"/>
      <c r="U97" s="182"/>
      <c r="V97" s="182"/>
      <c r="W97" s="182"/>
      <c r="X97" s="182"/>
      <c r="Y97" s="182"/>
      <c r="Z97" s="182"/>
      <c r="AA97" s="182"/>
      <c r="AB97" s="182"/>
      <c r="AC97" s="182"/>
      <c r="AD97" s="182"/>
      <c r="AE97" s="182"/>
      <c r="AF97" s="182"/>
      <c r="AG97" s="182"/>
      <c r="AH97" s="182"/>
      <c r="AI97" s="182"/>
      <c r="AJ97" s="182"/>
      <c r="AK97" s="182"/>
      <c r="AL97" s="182"/>
      <c r="AM97" s="182"/>
      <c r="AN97" s="182"/>
      <c r="AO97" s="182"/>
      <c r="AP97" s="4"/>
      <c r="AQ97" s="79"/>
      <c r="AR97" s="79"/>
    </row>
    <row r="98" ht="0" hidden="1" customHeight="1">
      <c r="C98" s="181"/>
      <c r="D98" s="181"/>
      <c r="E98" s="181"/>
      <c r="F98" s="201"/>
      <c r="G98" s="181"/>
      <c r="H98" s="996"/>
      <c r="I98" s="996"/>
      <c r="J98" s="996"/>
      <c r="K98" s="996"/>
      <c r="L98" s="1072"/>
      <c r="M98" s="1072"/>
      <c r="N98" s="1072"/>
      <c r="O98" s="1072"/>
      <c r="P98" s="80"/>
      <c r="Q98" s="4"/>
      <c r="R98" s="182"/>
      <c r="S98" s="182"/>
      <c r="T98" s="182"/>
      <c r="U98" s="182"/>
      <c r="V98" s="182"/>
      <c r="W98" s="182"/>
      <c r="X98" s="182"/>
      <c r="Y98" s="182"/>
      <c r="Z98" s="182"/>
      <c r="AA98" s="182"/>
      <c r="AB98" s="182"/>
      <c r="AC98" s="182"/>
      <c r="AD98" s="182"/>
      <c r="AE98" s="182"/>
      <c r="AF98" s="182"/>
      <c r="AG98" s="182"/>
      <c r="AH98" s="182"/>
      <c r="AI98" s="182"/>
      <c r="AJ98" s="182"/>
      <c r="AK98" s="182"/>
      <c r="AL98" s="182"/>
      <c r="AM98" s="182"/>
      <c r="AN98" s="182"/>
      <c r="AO98" s="182"/>
      <c r="AP98" s="4"/>
      <c r="AQ98" s="79"/>
      <c r="AR98" s="79"/>
    </row>
    <row r="99" ht="0" hidden="1" customHeight="1">
      <c r="C99" s="181"/>
      <c r="D99" s="181"/>
      <c r="E99" s="181"/>
      <c r="F99" s="201"/>
      <c r="G99" s="181"/>
      <c r="H99" s="996"/>
      <c r="I99" s="996"/>
      <c r="J99" s="996"/>
      <c r="K99" s="996"/>
      <c r="L99" s="1072"/>
      <c r="M99" s="1072"/>
      <c r="N99" s="1072"/>
      <c r="O99" s="1072"/>
      <c r="P99" s="80"/>
      <c r="Q99" s="4"/>
      <c r="R99" s="182"/>
      <c r="S99" s="182"/>
      <c r="T99" s="182"/>
      <c r="U99" s="182"/>
      <c r="V99" s="182"/>
      <c r="W99" s="182"/>
      <c r="X99" s="182"/>
      <c r="Y99" s="182"/>
      <c r="Z99" s="182"/>
      <c r="AA99" s="182"/>
      <c r="AB99" s="182"/>
      <c r="AC99" s="182"/>
      <c r="AD99" s="182"/>
      <c r="AE99" s="182"/>
      <c r="AF99" s="182"/>
      <c r="AG99" s="182"/>
      <c r="AH99" s="182"/>
      <c r="AI99" s="182"/>
      <c r="AJ99" s="182"/>
      <c r="AK99" s="182"/>
      <c r="AL99" s="182"/>
      <c r="AM99" s="182"/>
      <c r="AN99" s="182"/>
      <c r="AO99" s="182"/>
      <c r="AP99" s="4"/>
      <c r="AQ99" s="79"/>
      <c r="AR99" s="79"/>
    </row>
    <row r="100" ht="0" hidden="1" customHeight="1">
      <c r="C100" s="181"/>
      <c r="D100" s="181"/>
      <c r="E100" s="181"/>
      <c r="F100" s="201"/>
      <c r="G100" s="181"/>
      <c r="H100" s="996"/>
      <c r="I100" s="996"/>
      <c r="J100" s="996"/>
      <c r="K100" s="996"/>
      <c r="L100" s="1072"/>
      <c r="M100" s="1072"/>
      <c r="N100" s="1072"/>
      <c r="O100" s="1072"/>
      <c r="P100" s="80"/>
      <c r="Q100" s="4"/>
      <c r="R100" s="182"/>
      <c r="S100" s="182"/>
      <c r="T100" s="182"/>
      <c r="U100" s="182"/>
      <c r="V100" s="182"/>
      <c r="W100" s="182"/>
      <c r="X100" s="182"/>
      <c r="Y100" s="182"/>
      <c r="Z100" s="182"/>
      <c r="AA100" s="182"/>
      <c r="AB100" s="182"/>
      <c r="AC100" s="182"/>
      <c r="AD100" s="182"/>
      <c r="AE100" s="182"/>
      <c r="AF100" s="182"/>
      <c r="AG100" s="182"/>
      <c r="AH100" s="182"/>
      <c r="AI100" s="182"/>
      <c r="AJ100" s="182"/>
      <c r="AK100" s="182"/>
      <c r="AL100" s="182"/>
      <c r="AM100" s="182"/>
      <c r="AN100" s="182"/>
      <c r="AO100" s="182"/>
      <c r="AP100" s="4"/>
      <c r="AQ100" s="48"/>
      <c r="AR100" s="48"/>
    </row>
    <row r="101" ht="0" hidden="1" customHeight="1">
      <c r="C101" s="181"/>
      <c r="D101" s="181"/>
      <c r="E101" s="181"/>
      <c r="F101" s="201"/>
      <c r="G101" s="181"/>
      <c r="H101" s="996"/>
      <c r="I101" s="996"/>
      <c r="J101" s="996"/>
      <c r="K101" s="996"/>
      <c r="L101" s="1072"/>
      <c r="M101" s="1072"/>
      <c r="N101" s="1072"/>
      <c r="O101" s="1072"/>
      <c r="P101" s="80"/>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79"/>
      <c r="AR101" s="79"/>
    </row>
    <row r="102" ht="18" customHeight="1">
      <c r="C102" s="181"/>
      <c r="D102" s="181"/>
      <c r="E102" s="181"/>
      <c r="F102" s="201"/>
      <c r="G102" s="181"/>
      <c r="H102" s="996"/>
      <c r="I102" s="996"/>
      <c r="J102" s="996"/>
      <c r="K102" s="996"/>
      <c r="L102" s="1072"/>
      <c r="M102" s="1072"/>
      <c r="N102" s="1072"/>
      <c r="O102" s="1072"/>
      <c r="P102" s="80"/>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79"/>
      <c r="AR102" s="79"/>
    </row>
    <row r="103" ht="18" customHeight="1">
      <c r="C103" s="181"/>
      <c r="D103" s="181"/>
      <c r="E103" s="181"/>
      <c r="F103" s="201"/>
      <c r="G103" s="181"/>
      <c r="H103" s="996"/>
      <c r="I103" s="996"/>
      <c r="J103" s="996"/>
      <c r="K103" s="996"/>
      <c r="L103" s="1072"/>
      <c r="M103" s="1072"/>
      <c r="N103" s="1072"/>
      <c r="O103" s="1072"/>
      <c r="P103" s="80"/>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row>
    <row r="104" ht="9" customHeight="1">
      <c r="E104" s="81"/>
      <c r="F104" s="202"/>
      <c r="R104" s="0"/>
      <c r="S104" s="0"/>
      <c r="T104" s="0"/>
      <c r="U104" s="0"/>
      <c r="V104" s="0"/>
      <c r="W104" s="0"/>
      <c r="X104" s="0"/>
      <c r="Y104" s="0"/>
      <c r="Z104" s="87"/>
      <c r="AA104" s="0"/>
      <c r="AB104" s="0"/>
      <c r="AC104" s="5"/>
      <c r="AD104" s="5"/>
      <c r="AE104" s="5"/>
      <c r="AF104" s="67"/>
      <c r="AG104" s="0"/>
      <c r="AH104" s="0"/>
      <c r="AI104" s="0"/>
      <c r="AJ104" s="5"/>
      <c r="AK104" s="0"/>
      <c r="AL104" s="0"/>
      <c r="AM104" s="0"/>
      <c r="AN104" s="0"/>
      <c r="AO104" s="0"/>
      <c r="AP104" s="0"/>
    </row>
    <row r="105" ht="39.95" customHeight="1">
      <c r="B105" s="0"/>
      <c r="C105" s="1075" t="s">
        <v>126</v>
      </c>
      <c r="D105" s="1075"/>
      <c r="E105" s="1075"/>
      <c r="F105" s="1075"/>
      <c r="G105" s="1075"/>
      <c r="H105" s="1075"/>
      <c r="I105" s="1075"/>
      <c r="J105" s="1075"/>
      <c r="K105" s="1075"/>
      <c r="L105" s="1075"/>
      <c r="M105" s="1075"/>
      <c r="N105" s="1075"/>
      <c r="O105" s="1075"/>
      <c r="P105" s="1075"/>
      <c r="Q105" s="1075"/>
      <c r="R105" s="1075"/>
      <c r="S105" s="1075"/>
      <c r="T105" s="1075"/>
      <c r="U105" s="1075"/>
      <c r="V105" s="1075"/>
      <c r="W105" s="1075"/>
      <c r="X105" s="1075"/>
      <c r="Y105" s="1075"/>
      <c r="Z105" s="1075"/>
      <c r="AA105" s="1075"/>
      <c r="AB105" s="1075"/>
      <c r="AC105" s="1075"/>
      <c r="AD105" s="1075"/>
      <c r="AE105" s="1075"/>
      <c r="AF105" s="1075"/>
      <c r="AG105" s="1075"/>
      <c r="AH105" s="1075"/>
      <c r="AI105" s="1075"/>
      <c r="AJ105" s="1075"/>
      <c r="AK105" s="1075"/>
      <c r="AL105" s="1075"/>
      <c r="AM105" s="1075"/>
      <c r="AN105" s="1075"/>
      <c r="AO105" s="1075"/>
      <c r="AP105" s="233"/>
    </row>
    <row r="106" s="84" customFormat="1" ht="12" customHeight="1">
      <c r="B106" s="84"/>
      <c r="E106" s="46"/>
      <c r="F106" s="202"/>
      <c r="G106"/>
      <c r="H106"/>
      <c r="I106"/>
      <c r="J106"/>
      <c r="K106"/>
      <c r="L106"/>
      <c r="M106"/>
      <c r="N106"/>
      <c r="O106"/>
      <c r="P106"/>
      <c r="Q106"/>
      <c r="R106"/>
      <c r="S106"/>
      <c r="T106"/>
      <c r="U106"/>
      <c r="V106"/>
      <c r="W106"/>
      <c r="X106"/>
      <c r="Y106"/>
      <c r="Z106"/>
      <c r="AA106"/>
      <c r="AS106" s="236"/>
      <c r="AT106" s="236"/>
      <c r="AU106" s="236"/>
      <c r="AV106" s="236"/>
      <c r="AW106" s="236"/>
      <c r="AX106" s="236"/>
      <c r="AY106" s="236"/>
      <c r="AZ106" s="236"/>
      <c r="BA106" s="236"/>
      <c r="BB106" s="236"/>
      <c r="BC106" s="236"/>
      <c r="BD106" s="236"/>
      <c r="BE106" s="236"/>
      <c r="BF106" s="236"/>
      <c r="BG106" s="236"/>
      <c r="BH106" s="236"/>
      <c r="BI106" s="236"/>
      <c r="BJ106" s="236"/>
      <c r="BK106" s="236"/>
      <c r="BL106" s="236"/>
      <c r="BM106" s="236"/>
      <c r="BN106" s="236"/>
      <c r="BO106" s="236"/>
      <c r="BP106" s="236"/>
      <c r="BQ106" s="236"/>
      <c r="BR106" s="236"/>
      <c r="BS106" s="236"/>
      <c r="BT106" s="236"/>
      <c r="BU106" s="236"/>
      <c r="BV106" s="236"/>
      <c r="BW106" s="236"/>
    </row>
    <row r="107" s="236" customFormat="1" ht="12.75" customHeight="1">
      <c r="A107"/>
    </row>
    <row r="108" s="236" customFormat="1" ht="12.75" customHeight="1"/>
    <row r="109" s="236" customFormat="1" ht="12.75" customHeight="1"/>
    <row r="110" s="236" customFormat="1" ht="12.75" customHeight="1"/>
    <row r="111" s="236" customFormat="1" ht="12.75" customHeight="1"/>
    <row r="112" s="236" customFormat="1" ht="12.75" customHeight="1"/>
    <row r="113" s="236" customFormat="1" ht="12.75" customHeight="1"/>
    <row r="114" s="236" customFormat="1" ht="12.75" customHeight="1"/>
    <row r="115" s="236" customFormat="1" ht="12.75" customHeight="1"/>
    <row r="116" s="236" customFormat="1" ht="12.75" customHeight="1"/>
    <row r="117" s="236" customFormat="1" ht="12.75" customHeight="1"/>
    <row r="118" s="236" customFormat="1" ht="12.75" customHeight="1"/>
    <row r="119" s="236" customFormat="1" ht="12.75" customHeight="1"/>
    <row r="120" s="236" customFormat="1" ht="12.75" customHeight="1"/>
    <row r="121" s="236" customFormat="1" ht="12.75" customHeight="1"/>
    <row r="122" s="236" customFormat="1" ht="12.75" customHeight="1"/>
    <row r="123" s="236" customFormat="1" ht="12.75" customHeight="1"/>
    <row r="124" s="236" customFormat="1" ht="12.75" customHeight="1"/>
    <row r="125" s="236" customFormat="1" ht="12.75" customHeight="1"/>
    <row r="126" s="236" customFormat="1" ht="12.75" customHeight="1"/>
    <row r="127" s="236" customFormat="1" ht="12.75" customHeight="1"/>
    <row r="128" s="236" customFormat="1" ht="12.75" customHeight="1"/>
    <row r="129" s="236" customFormat="1" ht="12.75" customHeight="1"/>
    <row r="130" s="236" customFormat="1" ht="12.75" customHeight="1"/>
    <row r="131" s="236" customFormat="1" ht="12.75" customHeight="1"/>
    <row r="132" s="236" customFormat="1" ht="12.75" customHeight="1"/>
    <row r="133" s="236" customFormat="1" ht="12.75" customHeight="1"/>
    <row r="134" s="236" customFormat="1" ht="12.75" customHeight="1"/>
    <row r="135" s="236" customFormat="1" ht="12.75" customHeight="1"/>
    <row r="136" s="236" customFormat="1" ht="12.75" customHeight="1"/>
    <row r="137" s="236" customFormat="1" ht="12.75" customHeight="1"/>
    <row r="138" s="236" customFormat="1" ht="12.75" customHeight="1"/>
    <row r="139" s="236" customFormat="1" ht="12.75" customHeight="1"/>
    <row r="140" s="236" customFormat="1" ht="12.75" customHeight="1"/>
    <row r="141" s="236" customFormat="1" ht="12.75" customHeight="1"/>
    <row r="142" s="236" customFormat="1" ht="12.75" customHeight="1"/>
    <row r="143" s="236" customFormat="1" ht="12.75" customHeight="1"/>
    <row r="144" s="236" customFormat="1" ht="12.75" customHeight="1"/>
    <row r="145" s="236" customFormat="1" ht="12.75" customHeight="1"/>
    <row r="146" s="236" customFormat="1" ht="12.75" customHeight="1"/>
    <row r="147" s="236" customFormat="1" ht="12.75" customHeight="1"/>
    <row r="148" s="236" customFormat="1" ht="12.75" customHeight="1"/>
    <row r="149" s="236" customFormat="1" ht="12.75" customHeight="1"/>
    <row r="150" s="236" customFormat="1" ht="12.75" customHeight="1"/>
    <row r="151" s="236" customFormat="1" ht="12.75" customHeight="1"/>
    <row r="152" s="236" customFormat="1" ht="12.75" customHeight="1"/>
    <row r="153" s="236" customFormat="1" ht="12.75" customHeight="1"/>
  </sheetData>
  <mergeCells count="273">
    <mergeCell ref="C105:AO105"/>
    <mergeCell ref="AL9:AM9"/>
    <mergeCell ref="H43:K43"/>
    <mergeCell ref="L43:O43"/>
    <mergeCell ref="H38:K38"/>
    <mergeCell ref="L38:O38"/>
    <mergeCell ref="H39:K39"/>
    <mergeCell ref="L39:O39"/>
    <mergeCell ref="H40:K40"/>
    <mergeCell ref="L40:O40"/>
    <mergeCell ref="H41:K41"/>
    <mergeCell ref="AL10:AM10"/>
    <mergeCell ref="AH11:AI11"/>
    <mergeCell ref="AJ11:AK11"/>
    <mergeCell ref="AB10:AC10"/>
    <mergeCell ref="AD10:AE10"/>
    <mergeCell ref="AD12:AE12"/>
    <mergeCell ref="AF12:AG12"/>
    <mergeCell ref="AB12:AC12"/>
    <mergeCell ref="AF10:AG10"/>
    <mergeCell ref="AL11:AM11"/>
    <mergeCell ref="AH10:AI10"/>
    <mergeCell ref="AJ10:AK10"/>
    <mergeCell ref="Z12:AA12"/>
    <mergeCell ref="AL8:AM8"/>
    <mergeCell ref="AJ9:AK9"/>
    <mergeCell ref="AH9:AI9"/>
    <mergeCell ref="Z6:AM6"/>
    <mergeCell ref="Z7:AA7"/>
    <mergeCell ref="AB7:AC7"/>
    <mergeCell ref="AD7:AE7"/>
    <mergeCell ref="AF7:AG7"/>
    <mergeCell ref="AH7:AI7"/>
    <mergeCell ref="AJ7:AK7"/>
    <mergeCell ref="Z9:AA9"/>
    <mergeCell ref="H9:I9"/>
    <mergeCell ref="T9:U9"/>
    <mergeCell ref="R9:S9"/>
    <mergeCell ref="T11:U11"/>
    <mergeCell ref="T10:U10"/>
    <mergeCell ref="R10:S10"/>
    <mergeCell ref="Z8:AA8"/>
    <mergeCell ref="AB8:AC8"/>
    <mergeCell ref="AL7:AM7"/>
    <mergeCell ref="N9:O9"/>
    <mergeCell ref="Z10:AA10"/>
    <mergeCell ref="P9:Q9"/>
    <mergeCell ref="AD8:AE8"/>
    <mergeCell ref="AF8:AG8"/>
    <mergeCell ref="AH8:AI8"/>
    <mergeCell ref="AF11:AG11"/>
    <mergeCell ref="AB11:AC11"/>
    <mergeCell ref="AD11:AE11"/>
    <mergeCell ref="AB9:AC9"/>
    <mergeCell ref="AD9:AE9"/>
    <mergeCell ref="AF9:AG9"/>
    <mergeCell ref="N11:O11"/>
    <mergeCell ref="N10:O10"/>
    <mergeCell ref="AJ8:AK8"/>
    <mergeCell ref="R11:S11"/>
    <mergeCell ref="H23:K23"/>
    <mergeCell ref="H6:U6"/>
    <mergeCell ref="T8:U8"/>
    <mergeCell ref="R8:S8"/>
    <mergeCell ref="P8:Q8"/>
    <mergeCell ref="N8:O8"/>
    <mergeCell ref="L8:M8"/>
    <mergeCell ref="J8:K8"/>
    <mergeCell ref="H8:I8"/>
    <mergeCell ref="T7:U7"/>
    <mergeCell ref="R7:S7"/>
    <mergeCell ref="L10:M10"/>
    <mergeCell ref="H10:I10"/>
    <mergeCell ref="H11:I11"/>
    <mergeCell ref="L9:M9"/>
    <mergeCell ref="J9:K9"/>
    <mergeCell ref="J11:K11"/>
    <mergeCell ref="J7:K7"/>
    <mergeCell ref="H7:I7"/>
    <mergeCell ref="P7:Q7"/>
    <mergeCell ref="N7:O7"/>
    <mergeCell ref="L7:M7"/>
    <mergeCell ref="J10:K10"/>
    <mergeCell ref="L12:M12"/>
    <mergeCell ref="P12:Q12"/>
    <mergeCell ref="L11:M11"/>
    <mergeCell ref="H12:I12"/>
    <mergeCell ref="H13:I13"/>
    <mergeCell ref="J13:K13"/>
    <mergeCell ref="N12:O12"/>
    <mergeCell ref="L13:M13"/>
    <mergeCell ref="P11:Q11"/>
    <mergeCell ref="AJ13:AK13"/>
    <mergeCell ref="H37:K37"/>
    <mergeCell ref="L37:O37"/>
    <mergeCell ref="L30:O30"/>
    <mergeCell ref="H28:K28"/>
    <mergeCell ref="Z13:AA13"/>
    <mergeCell ref="H22:K22"/>
    <mergeCell ref="H35:K35"/>
    <mergeCell ref="L35:O35"/>
    <mergeCell ref="L29:O29"/>
    <mergeCell ref="L22:O22"/>
    <mergeCell ref="L23:O23"/>
    <mergeCell ref="L32:O32"/>
    <mergeCell ref="H25:K25"/>
    <mergeCell ref="L25:O25"/>
    <mergeCell ref="H26:K26"/>
    <mergeCell ref="L31:O31"/>
    <mergeCell ref="H27:K27"/>
    <mergeCell ref="L27:O27"/>
    <mergeCell ref="H30:K30"/>
    <mergeCell ref="L28:O28"/>
    <mergeCell ref="R13:S13"/>
    <mergeCell ref="L26:O26"/>
    <mergeCell ref="L46:O46"/>
    <mergeCell ref="H47:K47"/>
    <mergeCell ref="L41:O41"/>
    <mergeCell ref="H44:K44"/>
    <mergeCell ref="H48:K48"/>
    <mergeCell ref="L42:O42"/>
    <mergeCell ref="L49:O49"/>
    <mergeCell ref="H33:K33"/>
    <mergeCell ref="L33:O33"/>
    <mergeCell ref="H34:K34"/>
    <mergeCell ref="L34:O34"/>
    <mergeCell ref="L59:O59"/>
    <mergeCell ref="H63:K63"/>
    <mergeCell ref="AH12:AI12"/>
    <mergeCell ref="AJ12:AK12"/>
    <mergeCell ref="L24:O24"/>
    <mergeCell ref="AF13:AG13"/>
    <mergeCell ref="AB13:AC13"/>
    <mergeCell ref="AD13:AE13"/>
    <mergeCell ref="P15:V15"/>
    <mergeCell ref="X15:AD15"/>
    <mergeCell ref="AH13:AI13"/>
    <mergeCell ref="AF15:AL15"/>
    <mergeCell ref="AL13:AM13"/>
    <mergeCell ref="N13:O13"/>
    <mergeCell ref="P13:Q13"/>
    <mergeCell ref="L44:O44"/>
    <mergeCell ref="L48:O48"/>
    <mergeCell ref="L50:O50"/>
    <mergeCell ref="L51:O51"/>
    <mergeCell ref="H36:K36"/>
    <mergeCell ref="L36:O36"/>
    <mergeCell ref="H45:K45"/>
    <mergeCell ref="L45:O45"/>
    <mergeCell ref="H46:K46"/>
    <mergeCell ref="L53:O53"/>
    <mergeCell ref="L54:O54"/>
    <mergeCell ref="H64:K64"/>
    <mergeCell ref="H67:K67"/>
    <mergeCell ref="L67:O67"/>
    <mergeCell ref="H68:K68"/>
    <mergeCell ref="L68:O68"/>
    <mergeCell ref="H60:K60"/>
    <mergeCell ref="L61:O61"/>
    <mergeCell ref="H66:K66"/>
    <mergeCell ref="L56:O56"/>
    <mergeCell ref="L57:O57"/>
    <mergeCell ref="H56:K56"/>
    <mergeCell ref="H57:K57"/>
    <mergeCell ref="L66:O66"/>
    <mergeCell ref="L63:O63"/>
    <mergeCell ref="H62:K62"/>
    <mergeCell ref="L62:O62"/>
    <mergeCell ref="H61:K61"/>
    <mergeCell ref="L64:O64"/>
    <mergeCell ref="L58:O58"/>
    <mergeCell ref="H58:K58"/>
    <mergeCell ref="H59:K59"/>
    <mergeCell ref="L60:O60"/>
    <mergeCell ref="H72:K72"/>
    <mergeCell ref="L72:O72"/>
    <mergeCell ref="L69:O69"/>
    <mergeCell ref="L81:O81"/>
    <mergeCell ref="H70:K70"/>
    <mergeCell ref="L70:O70"/>
    <mergeCell ref="H71:K71"/>
    <mergeCell ref="L71:O71"/>
    <mergeCell ref="H65:K65"/>
    <mergeCell ref="L65:O65"/>
    <mergeCell ref="H75:K75"/>
    <mergeCell ref="L75:O75"/>
    <mergeCell ref="H73:K73"/>
    <mergeCell ref="L73:O73"/>
    <mergeCell ref="H74:K74"/>
    <mergeCell ref="L74:O74"/>
    <mergeCell ref="H80:K80"/>
    <mergeCell ref="L80:O80"/>
    <mergeCell ref="H81:K81"/>
    <mergeCell ref="H78:K78"/>
    <mergeCell ref="L78:O78"/>
    <mergeCell ref="H79:K79"/>
    <mergeCell ref="L79:O79"/>
    <mergeCell ref="H69:K69"/>
    <mergeCell ref="H103:K103"/>
    <mergeCell ref="L103:O103"/>
    <mergeCell ref="L99:O99"/>
    <mergeCell ref="H100:K100"/>
    <mergeCell ref="L100:O100"/>
    <mergeCell ref="H101:K101"/>
    <mergeCell ref="L101:O101"/>
    <mergeCell ref="H99:K99"/>
    <mergeCell ref="H102:K102"/>
    <mergeCell ref="L102:O102"/>
    <mergeCell ref="C2:AP2"/>
    <mergeCell ref="H55:K55"/>
    <mergeCell ref="L55:O55"/>
    <mergeCell ref="H31:K31"/>
    <mergeCell ref="H52:K52"/>
    <mergeCell ref="H53:K53"/>
    <mergeCell ref="H54:K54"/>
    <mergeCell ref="H24:K24"/>
    <mergeCell ref="R12:S12"/>
    <mergeCell ref="C4:AP4"/>
    <mergeCell ref="C3:AP3"/>
    <mergeCell ref="T13:U13"/>
    <mergeCell ref="T12:U12"/>
    <mergeCell ref="AL12:AM12"/>
    <mergeCell ref="P10:Q10"/>
    <mergeCell ref="J12:K12"/>
    <mergeCell ref="Z11:AA11"/>
    <mergeCell ref="H50:K50"/>
    <mergeCell ref="H51:K51"/>
    <mergeCell ref="H32:K32"/>
    <mergeCell ref="L47:O47"/>
    <mergeCell ref="L52:O52"/>
    <mergeCell ref="H49:K49"/>
    <mergeCell ref="H42:K42"/>
    <mergeCell ref="H98:K98"/>
    <mergeCell ref="L98:O98"/>
    <mergeCell ref="H96:K96"/>
    <mergeCell ref="L96:O96"/>
    <mergeCell ref="H97:K97"/>
    <mergeCell ref="L97:O97"/>
    <mergeCell ref="H91:K91"/>
    <mergeCell ref="L91:O91"/>
    <mergeCell ref="H76:K76"/>
    <mergeCell ref="L76:O76"/>
    <mergeCell ref="H77:K77"/>
    <mergeCell ref="L77:O77"/>
    <mergeCell ref="H86:K86"/>
    <mergeCell ref="L86:O86"/>
    <mergeCell ref="H87:K87"/>
    <mergeCell ref="L87:O87"/>
    <mergeCell ref="H84:K84"/>
    <mergeCell ref="L84:O84"/>
    <mergeCell ref="H85:K85"/>
    <mergeCell ref="L85:O85"/>
    <mergeCell ref="H82:K82"/>
    <mergeCell ref="L82:O82"/>
    <mergeCell ref="H83:K83"/>
    <mergeCell ref="L83:O83"/>
    <mergeCell ref="H88:K88"/>
    <mergeCell ref="L88:O88"/>
    <mergeCell ref="H89:K89"/>
    <mergeCell ref="L89:O89"/>
    <mergeCell ref="H94:K94"/>
    <mergeCell ref="L94:O94"/>
    <mergeCell ref="H95:K95"/>
    <mergeCell ref="L95:O95"/>
    <mergeCell ref="H92:K92"/>
    <mergeCell ref="L92:O92"/>
    <mergeCell ref="H93:K93"/>
    <mergeCell ref="L93:O93"/>
    <mergeCell ref="H90:K90"/>
    <mergeCell ref="L90:O90"/>
    <mergeCell ref="R21:AC21"/>
    <mergeCell ref="AD21:AO21"/>
    <mergeCell ref="H29:K29"/>
  </mergeCells>
  <phoneticPr fontId="0" type="noConversion"/>
  <printOptions horizontalCentered="1" verticalCentered="1"/>
  <pageMargins left="0.25" right="0.25" top="0.25" bottom="0.25" header="0" footer="0"/>
  <pageSetup scale="31" fitToWidth="1" fitToHeight="1" orientation="landscape" r:id="rId1"/>
  <headerFooter alignWithMargins="0">
    <oddHeader/>
    <oddFooter/>
  </headerFooter>
  <rowBreaks count="1" manualBreakCount="1">
    <brk id="107" max="16383" man="1"/>
  </rowBreaks>
  <colBreaks count="1" manualBreakCount="1">
    <brk id="45" max="1048575" man="1"/>
  </colBreaks>
  <drawing r:id="rId72"/>
</worksheet>
</file>

<file path=xl/worksheets/sheet7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V64"/>
  <sheetViews>
    <sheetView showGridLines="0" workbookViewId="0"/>
  </sheetViews>
  <sheetFormatPr defaultRowHeight="12.75"/>
  <cols>
    <col min="1" max="1" width="1.7109375" style="2" customWidth="1"/>
    <col min="2" max="2" width="8.7109375" customWidth="1"/>
    <col min="3" max="4" width="6.7109375" customWidth="1"/>
    <col min="5" max="6" width="3.7109375" customWidth="1"/>
    <col min="7" max="9" width="10.7109375" customWidth="1"/>
    <col min="10" max="11" width="3.7109375" customWidth="1"/>
    <col min="12" max="12" width="13.7109375" customWidth="1"/>
    <col min="13" max="13" width="13.7109375" style="110" customWidth="1"/>
    <col min="14" max="14" width="10.7109375" customWidth="1"/>
    <col min="15" max="16" width="3.7109375" customWidth="1"/>
    <col min="17" max="17" width="13.7109375" customWidth="1"/>
    <col min="18" max="18" width="13.7109375" style="110" customWidth="1"/>
    <col min="19" max="19" width="10.7109375" customWidth="1"/>
    <col min="20" max="20" width="3.7109375" customWidth="1"/>
    <col min="21" max="21" width="2.7109375" customWidth="1"/>
    <col min="22" max="24" width="7" style="236" customWidth="1"/>
    <col min="25" max="38" width="9.140625" style="236" customWidth="1"/>
  </cols>
  <sheetData>
    <row r="1" ht="26.25" customHeight="1">
      <c r="B1" s="20" t="s">
        <v>165</v>
      </c>
      <c r="C1" s="12"/>
      <c r="D1" s="12"/>
      <c r="E1" s="12"/>
      <c r="F1" s="12"/>
      <c r="G1" s="12"/>
      <c r="H1" s="12"/>
      <c r="I1" s="104"/>
      <c r="J1" s="12"/>
      <c r="K1" s="12"/>
      <c r="L1" s="12"/>
      <c r="M1" s="13"/>
      <c r="N1" s="51"/>
      <c r="O1" s="2"/>
      <c r="P1" s="2"/>
      <c r="Q1" s="2"/>
      <c r="R1" s="22"/>
      <c r="S1" s="51"/>
      <c r="T1" s="2"/>
      <c r="U1" s="2"/>
      <c r="V1" s="236"/>
    </row>
    <row r="2" ht="21.75" customHeight="1">
      <c r="B2" s="999" t="s">
        <v>208</v>
      </c>
      <c r="C2" s="999"/>
      <c r="D2" s="999"/>
      <c r="E2" s="999"/>
      <c r="F2" s="999"/>
      <c r="G2" s="999"/>
      <c r="H2" s="999"/>
      <c r="I2" s="999"/>
      <c r="J2" s="999"/>
      <c r="K2" s="999"/>
      <c r="L2" s="999"/>
      <c r="M2" s="999"/>
      <c r="N2" s="999"/>
      <c r="O2" s="999"/>
      <c r="P2" s="999"/>
      <c r="Q2" s="999"/>
      <c r="R2" s="999"/>
      <c r="S2" s="999"/>
      <c r="T2" s="2"/>
      <c r="U2" s="2"/>
    </row>
    <row r="3" ht="19.5" customHeight="1">
      <c r="A3"/>
      <c r="B3" s="1030" t="s">
        <v>209</v>
      </c>
      <c r="C3" s="1030"/>
      <c r="D3" s="1030"/>
      <c r="E3" s="1030"/>
      <c r="F3" s="1030"/>
      <c r="G3" s="1030"/>
      <c r="H3" s="1030"/>
      <c r="I3" s="1030"/>
      <c r="J3" s="1030"/>
      <c r="K3" s="1030"/>
      <c r="L3" s="1030"/>
      <c r="M3" s="1030"/>
      <c r="N3" s="1030"/>
      <c r="O3" s="1030"/>
      <c r="P3" s="1030"/>
      <c r="Q3" s="1030"/>
      <c r="R3" s="1030"/>
      <c r="S3" s="1030"/>
      <c r="T3" s="2"/>
      <c r="U3" s="2"/>
    </row>
    <row r="4" ht="18.75" customHeight="1">
      <c r="A4"/>
      <c r="B4" s="1076" t="s">
        <v>210</v>
      </c>
      <c r="C4" s="1076"/>
      <c r="D4" s="1076"/>
      <c r="E4" s="1076"/>
      <c r="F4" s="1076"/>
      <c r="G4" s="1076"/>
      <c r="H4" s="1076"/>
      <c r="I4" s="1076"/>
      <c r="J4" s="1076"/>
      <c r="K4" s="1076"/>
      <c r="L4" s="1076"/>
      <c r="M4" s="1076"/>
      <c r="N4" s="1076"/>
      <c r="O4" s="1076"/>
      <c r="P4" s="1076"/>
      <c r="Q4" s="131"/>
      <c r="R4" s="203"/>
      <c r="S4" s="131"/>
      <c r="T4" s="222"/>
      <c r="U4" s="2"/>
    </row>
    <row r="5" ht="12" customHeight="1">
      <c r="A5"/>
      <c r="B5" s="129"/>
      <c r="D5" s="13"/>
      <c r="E5" s="13"/>
      <c r="F5" s="2"/>
      <c r="G5" s="2"/>
      <c r="H5" s="2"/>
      <c r="I5" s="2"/>
      <c r="J5" s="2"/>
      <c r="K5" s="2"/>
      <c r="L5" s="2"/>
      <c r="M5" s="2"/>
      <c r="N5" s="9"/>
      <c r="O5" s="2"/>
      <c r="P5" s="2"/>
      <c r="Q5" s="2"/>
      <c r="R5" s="2"/>
      <c r="S5" s="2"/>
      <c r="T5" s="2"/>
      <c r="U5" s="2"/>
    </row>
    <row r="6" ht="17.1" customHeight="1">
      <c r="B6" s="1077" t="s">
        <v>211</v>
      </c>
      <c r="C6" s="1077"/>
      <c r="D6" s="1077"/>
      <c r="E6" s="1077"/>
      <c r="F6" s="1077"/>
      <c r="G6" s="1077"/>
      <c r="H6" s="1077"/>
      <c r="I6" s="1077"/>
      <c r="J6" s="1077"/>
      <c r="K6" s="1077"/>
      <c r="L6" s="1077"/>
      <c r="M6" s="1077"/>
      <c r="N6" s="1077"/>
      <c r="O6" s="1077"/>
      <c r="P6" s="1077"/>
      <c r="Q6" s="1077"/>
      <c r="R6" s="1077"/>
      <c r="S6" s="1077"/>
      <c r="T6" s="1077"/>
      <c r="U6" s="2"/>
    </row>
    <row r="7">
      <c r="B7" s="2"/>
      <c r="C7" s="2"/>
      <c r="D7" s="2"/>
      <c r="E7" s="2"/>
      <c r="F7" s="1032" t="s">
        <v>22</v>
      </c>
      <c r="G7" s="1032"/>
      <c r="H7" s="1032"/>
      <c r="I7" s="1032"/>
      <c r="J7" s="1032"/>
      <c r="K7" s="1032" t="s">
        <v>9</v>
      </c>
      <c r="L7" s="1032"/>
      <c r="M7" s="1032"/>
      <c r="N7" s="1032"/>
      <c r="O7" s="1032"/>
      <c r="P7" s="1032" t="s">
        <v>10</v>
      </c>
      <c r="Q7" s="1032"/>
      <c r="R7" s="1032"/>
      <c r="S7" s="1032"/>
      <c r="T7" s="1032"/>
      <c r="U7" s="2"/>
    </row>
    <row r="8" ht="20.1" customHeight="1">
      <c r="B8" s="2"/>
      <c r="C8" s="2"/>
      <c r="D8" s="2"/>
      <c r="E8" s="2"/>
      <c r="F8" s="1032"/>
      <c r="G8" s="1032"/>
      <c r="H8" s="1032"/>
      <c r="I8" s="1032"/>
      <c r="J8" s="1032"/>
      <c r="K8" s="1032"/>
      <c r="L8" s="1032"/>
      <c r="M8" s="1032"/>
      <c r="N8" s="1032"/>
      <c r="O8" s="1032"/>
      <c r="P8" s="1032"/>
      <c r="Q8" s="1032"/>
      <c r="R8" s="1032"/>
      <c r="S8" s="1032"/>
      <c r="T8" s="1032"/>
      <c r="U8" s="2"/>
    </row>
    <row r="9" ht="20.1" customHeight="1">
      <c r="B9" s="2"/>
      <c r="C9" s="2"/>
      <c r="D9" s="2"/>
      <c r="E9" s="2"/>
      <c r="F9" s="2"/>
      <c r="G9" s="22" t="s">
        <v>25</v>
      </c>
      <c r="H9" s="22" t="s">
        <v>15</v>
      </c>
      <c r="I9" s="593" t="s">
        <v>97</v>
      </c>
      <c r="J9" s="3"/>
      <c r="K9" s="3"/>
      <c r="L9" s="22" t="s">
        <v>25</v>
      </c>
      <c r="M9" s="22" t="s">
        <v>15</v>
      </c>
      <c r="N9" s="593" t="s">
        <v>98</v>
      </c>
      <c r="O9" s="2"/>
      <c r="P9" s="2"/>
      <c r="Q9" s="22" t="s">
        <v>25</v>
      </c>
      <c r="R9" s="22" t="s">
        <v>15</v>
      </c>
      <c r="S9" s="593" t="s">
        <v>99</v>
      </c>
      <c r="T9" s="2"/>
      <c r="U9" s="2"/>
    </row>
    <row r="10" ht="15" customHeight="1">
      <c r="B10" s="2"/>
      <c r="C10" s="17"/>
      <c r="D10" s="17"/>
      <c r="E10" s="17"/>
      <c r="F10" s="165"/>
      <c r="G10" s="164"/>
      <c r="H10" s="166"/>
      <c r="I10" s="176"/>
      <c r="J10" s="7"/>
      <c r="K10" s="165"/>
      <c r="L10" s="164"/>
      <c r="M10" s="168"/>
      <c r="N10" s="176"/>
      <c r="O10" s="7"/>
      <c r="P10" s="142"/>
      <c r="Q10" s="187"/>
      <c r="R10" s="168"/>
      <c r="S10" s="176"/>
      <c r="T10" s="7"/>
      <c r="U10" s="2"/>
    </row>
    <row r="11" ht="20.1" customHeight="1">
      <c r="B11" s="2"/>
      <c r="C11" s="180"/>
      <c r="D11" s="16" t="s">
        <v>42</v>
      </c>
      <c r="E11" s="180"/>
      <c r="F11" s="164"/>
      <c r="G11" s="193">
        <v>86.33919843597262952101661779</v>
      </c>
      <c r="H11" s="193">
        <v>80.03363400091729093410793457</v>
      </c>
      <c r="I11" s="193">
        <v>107.87864316519942319816419055</v>
      </c>
      <c r="J11" s="194"/>
      <c r="K11" s="194"/>
      <c r="L11" s="195">
        <v>319.73223889046136427964902349</v>
      </c>
      <c r="M11" s="195">
        <v>325.47704552690226042661572745</v>
      </c>
      <c r="N11" s="193">
        <v>98.23495797464345625703116866</v>
      </c>
      <c r="O11" s="194"/>
      <c r="P11" s="193"/>
      <c r="Q11" s="195">
        <v>276.05425219941348973607038123</v>
      </c>
      <c r="R11" s="195">
        <v>260.49110737399989807878509912</v>
      </c>
      <c r="S11" s="193">
        <v>105.97453977692555583879061268</v>
      </c>
      <c r="T11" s="141"/>
      <c r="U11" s="2"/>
    </row>
    <row r="12" ht="15" customHeight="1">
      <c r="B12" s="2"/>
      <c r="C12" s="17"/>
      <c r="D12" s="17"/>
      <c r="E12" s="17"/>
      <c r="F12" s="165"/>
      <c r="G12" s="193"/>
      <c r="H12" s="193"/>
      <c r="I12" s="193"/>
      <c r="J12" s="194"/>
      <c r="K12" s="194"/>
      <c r="L12" s="195"/>
      <c r="M12" s="195"/>
      <c r="N12" s="193"/>
      <c r="O12" s="194"/>
      <c r="P12" s="193"/>
      <c r="Q12" s="195"/>
      <c r="R12" s="195"/>
      <c r="S12" s="193"/>
      <c r="T12" s="7"/>
      <c r="U12" s="2"/>
    </row>
    <row r="13" ht="20.1" customHeight="1">
      <c r="B13" s="111"/>
      <c r="C13" s="188"/>
      <c r="D13" s="189" t="s">
        <v>58</v>
      </c>
      <c r="E13" s="188"/>
      <c r="F13" s="169"/>
      <c r="G13" s="196">
        <v>85.02905770029057700290577003</v>
      </c>
      <c r="H13" s="196">
        <v>76.586155691111467077663724170</v>
      </c>
      <c r="I13" s="196">
        <v>111.02405772035861324740404304</v>
      </c>
      <c r="J13" s="197"/>
      <c r="K13" s="197"/>
      <c r="L13" s="198">
        <v>275.60038567627602704615910367</v>
      </c>
      <c r="M13" s="198">
        <v>288.21114352095239710346464972</v>
      </c>
      <c r="N13" s="196">
        <v>95.62447249934140309231221971</v>
      </c>
      <c r="O13" s="197"/>
      <c r="P13" s="196"/>
      <c r="Q13" s="198">
        <v>234.34041095890410958904109589</v>
      </c>
      <c r="R13" s="198">
        <v>220.72983509608932259084001853</v>
      </c>
      <c r="S13" s="196">
        <v>106.16616954245375150973271950</v>
      </c>
      <c r="T13" s="170"/>
      <c r="U13" s="2"/>
    </row>
    <row r="14" ht="15" customHeight="1">
      <c r="B14" s="2"/>
      <c r="C14" s="180"/>
      <c r="D14" s="16"/>
      <c r="E14" s="16"/>
      <c r="F14" s="137"/>
      <c r="G14" s="193"/>
      <c r="H14" s="193"/>
      <c r="I14" s="193"/>
      <c r="J14" s="194"/>
      <c r="K14" s="194"/>
      <c r="L14" s="195"/>
      <c r="M14" s="195"/>
      <c r="N14" s="193"/>
      <c r="O14" s="194"/>
      <c r="P14" s="193"/>
      <c r="Q14" s="195"/>
      <c r="R14" s="195"/>
      <c r="S14" s="193"/>
      <c r="T14" s="7"/>
      <c r="U14" s="2"/>
    </row>
    <row r="15" ht="20.1" customHeight="1">
      <c r="B15" s="2"/>
      <c r="C15" s="180"/>
      <c r="D15" s="16" t="s">
        <v>44</v>
      </c>
      <c r="E15" s="180"/>
      <c r="F15" s="137"/>
      <c r="G15" s="193">
        <v>82.29578392621870882740447958</v>
      </c>
      <c r="H15" s="193">
        <v>79.062779037021773473452847040</v>
      </c>
      <c r="I15" s="193">
        <v>104.08916171249902434340164108</v>
      </c>
      <c r="J15" s="194"/>
      <c r="K15" s="194"/>
      <c r="L15" s="195">
        <v>267.60826495897538523113868321</v>
      </c>
      <c r="M15" s="195">
        <v>281.76660947375279629911169993</v>
      </c>
      <c r="N15" s="193">
        <v>94.97515176079047613073038307</v>
      </c>
      <c r="O15" s="194"/>
      <c r="P15" s="193"/>
      <c r="Q15" s="195">
        <v>220.23031949934123847167325428</v>
      </c>
      <c r="R15" s="195">
        <v>222.77251184834123222748815166</v>
      </c>
      <c r="S15" s="193">
        <v>98.85883930298819707806066722</v>
      </c>
      <c r="T15" s="141"/>
      <c r="U15" s="2"/>
    </row>
    <row r="16" ht="15" customHeight="1">
      <c r="B16" s="2"/>
      <c r="C16" s="180"/>
      <c r="D16" s="16"/>
      <c r="E16" s="180"/>
      <c r="F16" s="137"/>
      <c r="G16" s="193"/>
      <c r="H16" s="193"/>
      <c r="I16" s="193"/>
      <c r="J16" s="194"/>
      <c r="K16" s="194"/>
      <c r="L16" s="195"/>
      <c r="M16" s="195"/>
      <c r="N16" s="193"/>
      <c r="O16" s="194"/>
      <c r="P16" s="193"/>
      <c r="Q16" s="195"/>
      <c r="R16" s="195"/>
      <c r="S16" s="193"/>
      <c r="T16" s="7"/>
      <c r="U16" s="2"/>
    </row>
    <row r="17" ht="20.1" customHeight="1">
      <c r="B17" s="111"/>
      <c r="C17" s="188"/>
      <c r="D17" s="189" t="s">
        <v>45</v>
      </c>
      <c r="E17" s="188"/>
      <c r="F17" s="169"/>
      <c r="G17" s="196">
        <v>85.02905770029057700290577003</v>
      </c>
      <c r="H17" s="196">
        <v>76.586155691111467077663724170</v>
      </c>
      <c r="I17" s="196">
        <v>111.02405772035861324740404304</v>
      </c>
      <c r="J17" s="197"/>
      <c r="K17" s="197"/>
      <c r="L17" s="198">
        <v>275.60038567627602704615910367</v>
      </c>
      <c r="M17" s="198">
        <v>288.21114352095239710346464972</v>
      </c>
      <c r="N17" s="196">
        <v>95.62447249934140309231221971</v>
      </c>
      <c r="O17" s="197"/>
      <c r="P17" s="196"/>
      <c r="Q17" s="198">
        <v>234.34041095890410958904109589</v>
      </c>
      <c r="R17" s="198">
        <v>220.72983509608932259084001853</v>
      </c>
      <c r="S17" s="196">
        <v>106.16616954245375150973271950</v>
      </c>
      <c r="T17" s="170"/>
      <c r="U17" s="2"/>
    </row>
    <row r="18" ht="15" customHeight="1">
      <c r="B18" s="2"/>
      <c r="C18" s="16"/>
      <c r="D18" s="16"/>
      <c r="E18" s="16"/>
      <c r="F18" s="137"/>
      <c r="G18" s="191"/>
      <c r="H18" s="192"/>
      <c r="I18" s="187"/>
      <c r="J18" s="141"/>
      <c r="K18" s="137"/>
      <c r="L18" s="191"/>
      <c r="M18" s="192"/>
      <c r="N18" s="187"/>
      <c r="O18" s="141"/>
      <c r="P18" s="190"/>
      <c r="Q18" s="141"/>
      <c r="R18" s="192"/>
      <c r="S18" s="187"/>
      <c r="T18" s="141"/>
      <c r="U18" s="2"/>
    </row>
    <row r="19" ht="15" customHeight="1">
      <c r="B19" s="2"/>
      <c r="C19" s="16"/>
      <c r="D19" s="16"/>
      <c r="E19" s="16"/>
      <c r="F19" s="137"/>
      <c r="G19" s="138"/>
      <c r="H19" s="139"/>
      <c r="I19" s="140"/>
      <c r="J19" s="141"/>
      <c r="K19" s="137"/>
      <c r="L19" s="138"/>
      <c r="M19" s="139"/>
      <c r="N19" s="140"/>
      <c r="O19" s="141"/>
      <c r="P19" s="142"/>
      <c r="Q19" s="141"/>
      <c r="R19" s="157"/>
      <c r="S19" s="140"/>
      <c r="T19" s="141"/>
      <c r="U19" s="2"/>
    </row>
    <row r="20" ht="17.1" customHeight="1">
      <c r="B20" s="1077" t="s">
        <v>212</v>
      </c>
      <c r="C20" s="1077"/>
      <c r="D20" s="1077"/>
      <c r="E20" s="1077"/>
      <c r="F20" s="1077"/>
      <c r="G20" s="1077"/>
      <c r="H20" s="1077"/>
      <c r="I20" s="1077"/>
      <c r="J20" s="1077"/>
      <c r="K20" s="1077"/>
      <c r="L20" s="1077"/>
      <c r="M20" s="1077"/>
      <c r="N20" s="1077"/>
      <c r="O20" s="1077"/>
      <c r="P20" s="1077"/>
      <c r="Q20" s="1077"/>
      <c r="R20" s="1077"/>
      <c r="S20" s="1077"/>
      <c r="T20" s="1077"/>
      <c r="U20" s="2"/>
    </row>
    <row r="21">
      <c r="B21" s="2"/>
      <c r="C21" s="2"/>
      <c r="D21" s="2"/>
      <c r="E21" s="2"/>
      <c r="F21" s="1032" t="s">
        <v>72</v>
      </c>
      <c r="G21" s="1032"/>
      <c r="H21" s="1032"/>
      <c r="I21" s="1032"/>
      <c r="J21" s="1032"/>
      <c r="K21" s="1032" t="s">
        <v>9</v>
      </c>
      <c r="L21" s="1032"/>
      <c r="M21" s="1032"/>
      <c r="N21" s="1032"/>
      <c r="O21" s="1032"/>
      <c r="P21" s="1032" t="s">
        <v>10</v>
      </c>
      <c r="Q21" s="1032"/>
      <c r="R21" s="1032"/>
      <c r="S21" s="1032"/>
      <c r="T21" s="1032"/>
      <c r="U21" s="2"/>
    </row>
    <row r="22" ht="20.1" customHeight="1">
      <c r="B22" s="2"/>
      <c r="C22" s="2"/>
      <c r="D22" s="2"/>
      <c r="E22" s="2"/>
      <c r="F22" s="1032"/>
      <c r="G22" s="1032"/>
      <c r="H22" s="1032"/>
      <c r="I22" s="1032"/>
      <c r="J22" s="1032"/>
      <c r="K22" s="1032"/>
      <c r="L22" s="1032"/>
      <c r="M22" s="1032"/>
      <c r="N22" s="1032"/>
      <c r="O22" s="1032"/>
      <c r="P22" s="1032"/>
      <c r="Q22" s="1032"/>
      <c r="R22" s="1032"/>
      <c r="S22" s="1032"/>
      <c r="T22" s="1032"/>
      <c r="U22" s="2"/>
    </row>
    <row r="23" ht="20.1" customHeight="1">
      <c r="B23" s="2"/>
      <c r="C23" s="2"/>
      <c r="D23" s="2"/>
      <c r="E23" s="2"/>
      <c r="F23" s="2"/>
      <c r="G23" s="22" t="s">
        <v>25</v>
      </c>
      <c r="H23" s="22" t="s">
        <v>15</v>
      </c>
      <c r="I23" s="593" t="s">
        <v>97</v>
      </c>
      <c r="J23" s="3"/>
      <c r="K23" s="3"/>
      <c r="L23" s="22" t="s">
        <v>25</v>
      </c>
      <c r="M23" s="22" t="s">
        <v>15</v>
      </c>
      <c r="N23" s="593" t="s">
        <v>98</v>
      </c>
      <c r="O23" s="2"/>
      <c r="P23" s="2"/>
      <c r="Q23" s="22" t="s">
        <v>25</v>
      </c>
      <c r="R23" s="22" t="s">
        <v>15</v>
      </c>
      <c r="S23" s="593" t="s">
        <v>99</v>
      </c>
      <c r="T23" s="2"/>
      <c r="U23" s="2"/>
    </row>
    <row r="24" ht="15" customHeight="1">
      <c r="B24" s="2"/>
      <c r="C24" s="17"/>
      <c r="D24" s="17"/>
      <c r="E24" s="17"/>
      <c r="F24" s="165"/>
      <c r="G24" s="164"/>
      <c r="H24" s="166"/>
      <c r="I24" s="176"/>
      <c r="J24" s="7"/>
      <c r="K24" s="165"/>
      <c r="L24" s="164"/>
      <c r="M24" s="168"/>
      <c r="N24" s="176"/>
      <c r="O24" s="7"/>
      <c r="P24" s="142"/>
      <c r="Q24" s="187"/>
      <c r="R24" s="168"/>
      <c r="S24" s="176"/>
      <c r="T24" s="7"/>
      <c r="U24" s="2"/>
    </row>
    <row r="25" ht="20.1" customHeight="1">
      <c r="B25" s="2"/>
      <c r="C25" s="180"/>
      <c r="D25" s="16" t="s">
        <v>42</v>
      </c>
      <c r="E25" s="180"/>
      <c r="F25" s="164"/>
      <c r="G25" s="193">
        <v>-7.7786478726522018884396566100</v>
      </c>
      <c r="H25" s="193">
        <v>9.165184763469721988999390170</v>
      </c>
      <c r="I25" s="193">
        <v>-15.521278760059032291546026350</v>
      </c>
      <c r="J25" s="193"/>
      <c r="K25" s="193"/>
      <c r="L25" s="193">
        <v>-5.1198492329308838951420960200</v>
      </c>
      <c r="M25" s="193">
        <v>-6.7168973216714882417544129600</v>
      </c>
      <c r="N25" s="193">
        <v>1.7120443498190594325484706900</v>
      </c>
      <c r="O25" s="193"/>
      <c r="P25" s="193"/>
      <c r="Q25" s="193">
        <v>-12.500242062100870585097259470</v>
      </c>
      <c r="R25" s="193">
        <v>1.8326713918214728831252895300</v>
      </c>
      <c r="S25" s="193">
        <v>-14.074965586198334566670999050</v>
      </c>
      <c r="T25" s="141"/>
      <c r="U25" s="2"/>
    </row>
    <row r="26" ht="15" customHeight="1">
      <c r="B26" s="2"/>
      <c r="C26" s="17"/>
      <c r="D26" s="17"/>
      <c r="E26" s="17"/>
      <c r="F26" s="165"/>
      <c r="G26" s="193"/>
      <c r="H26" s="193"/>
      <c r="I26" s="193"/>
      <c r="J26" s="193"/>
      <c r="K26" s="193"/>
      <c r="L26" s="193"/>
      <c r="M26" s="193"/>
      <c r="N26" s="193"/>
      <c r="O26" s="193"/>
      <c r="P26" s="193"/>
      <c r="Q26" s="193"/>
      <c r="R26" s="193"/>
      <c r="S26" s="193"/>
      <c r="T26" s="7"/>
      <c r="U26" s="2"/>
    </row>
    <row r="27" ht="20.1" customHeight="1">
      <c r="B27" s="111"/>
      <c r="C27" s="188"/>
      <c r="D27" s="189" t="s">
        <v>58</v>
      </c>
      <c r="E27" s="188"/>
      <c r="F27" s="169"/>
      <c r="G27" s="196">
        <v>1.989145588536662112782954400</v>
      </c>
      <c r="H27" s="196">
        <v>8.170566819870315525329626950</v>
      </c>
      <c r="I27" s="196">
        <v>-5.7145131185369497087318742800</v>
      </c>
      <c r="J27" s="196"/>
      <c r="K27" s="196"/>
      <c r="L27" s="196">
        <v>17.904096670558583726120748430</v>
      </c>
      <c r="M27" s="196">
        <v>18.053361450747817297656364760</v>
      </c>
      <c r="N27" s="196">
        <v>-0.1264383990714420922833431300</v>
      </c>
      <c r="O27" s="196"/>
      <c r="P27" s="196"/>
      <c r="Q27" s="196">
        <v>20.249380808160366492609650750</v>
      </c>
      <c r="R27" s="196">
        <v>27.698990231218930414849968600</v>
      </c>
      <c r="S27" s="196">
        <v>-5.833726178701026370453974200</v>
      </c>
      <c r="T27" s="170"/>
      <c r="U27" s="2"/>
    </row>
    <row r="28" ht="15" customHeight="1">
      <c r="B28" s="2"/>
      <c r="C28" s="180"/>
      <c r="D28" s="16"/>
      <c r="E28" s="16"/>
      <c r="F28" s="137"/>
      <c r="G28" s="193"/>
      <c r="H28" s="193"/>
      <c r="I28" s="193"/>
      <c r="J28" s="193"/>
      <c r="K28" s="193"/>
      <c r="L28" s="193"/>
      <c r="M28" s="193"/>
      <c r="N28" s="193"/>
      <c r="O28" s="193"/>
      <c r="P28" s="193"/>
      <c r="Q28" s="193"/>
      <c r="R28" s="193"/>
      <c r="S28" s="193"/>
      <c r="T28" s="7"/>
      <c r="U28" s="2"/>
    </row>
    <row r="29" ht="20.1" customHeight="1">
      <c r="B29" s="2"/>
      <c r="C29" s="180"/>
      <c r="D29" s="16" t="s">
        <v>44</v>
      </c>
      <c r="E29" s="180"/>
      <c r="F29" s="137"/>
      <c r="G29" s="193">
        <v>-1.7692156477835750336517015900</v>
      </c>
      <c r="H29" s="193">
        <v>17.163231956399399334669779050</v>
      </c>
      <c r="I29" s="193">
        <v>-16.159034953141038344120207220</v>
      </c>
      <c r="J29" s="193"/>
      <c r="K29" s="193"/>
      <c r="L29" s="193">
        <v>3.7267022814375971313477932500</v>
      </c>
      <c r="M29" s="193">
        <v>5.2312464170371224898378230600</v>
      </c>
      <c r="N29" s="193">
        <v>-1.4297503706404821957292686400</v>
      </c>
      <c r="O29" s="193"/>
      <c r="P29" s="193"/>
      <c r="Q29" s="193">
        <v>1.8915532337768083904659682600</v>
      </c>
      <c r="R29" s="193">
        <v>23.292329330122466557728664720</v>
      </c>
      <c r="S29" s="193">
        <v>-17.357751461568354992251254850</v>
      </c>
      <c r="T29" s="141"/>
      <c r="U29" s="2"/>
    </row>
    <row r="30" ht="15" customHeight="1">
      <c r="B30" s="2"/>
      <c r="C30" s="180"/>
      <c r="D30" s="16"/>
      <c r="E30" s="180"/>
      <c r="F30" s="137"/>
      <c r="G30" s="193"/>
      <c r="H30" s="193"/>
      <c r="I30" s="193"/>
      <c r="J30" s="193"/>
      <c r="K30" s="193"/>
      <c r="L30" s="193"/>
      <c r="M30" s="193"/>
      <c r="N30" s="193"/>
      <c r="O30" s="193"/>
      <c r="P30" s="193"/>
      <c r="Q30" s="193"/>
      <c r="R30" s="193"/>
      <c r="S30" s="193"/>
      <c r="T30" s="7"/>
      <c r="U30" s="2"/>
    </row>
    <row r="31" ht="20.1" customHeight="1">
      <c r="B31" s="111"/>
      <c r="C31" s="188"/>
      <c r="D31" s="189" t="s">
        <v>45</v>
      </c>
      <c r="E31" s="188"/>
      <c r="F31" s="169"/>
      <c r="G31" s="196">
        <v>1.989145588536662112782954400</v>
      </c>
      <c r="H31" s="196">
        <v>8.170566819870315525329626950</v>
      </c>
      <c r="I31" s="196">
        <v>-5.7145131185369497087318742800</v>
      </c>
      <c r="J31" s="196"/>
      <c r="K31" s="196"/>
      <c r="L31" s="196">
        <v>17.904096670558583726120748430</v>
      </c>
      <c r="M31" s="196">
        <v>18.053361450747817297656364760</v>
      </c>
      <c r="N31" s="196">
        <v>-0.1264383990714420922833431300</v>
      </c>
      <c r="O31" s="196"/>
      <c r="P31" s="196"/>
      <c r="Q31" s="196">
        <v>20.249380808160366492609650750</v>
      </c>
      <c r="R31" s="196">
        <v>27.698990231218930414849968600</v>
      </c>
      <c r="S31" s="196">
        <v>-5.833726178701026370453974200</v>
      </c>
      <c r="T31" s="170"/>
      <c r="U31" s="2"/>
    </row>
    <row r="32" ht="15" customHeight="1">
      <c r="B32" s="2"/>
      <c r="C32" s="16"/>
      <c r="D32" s="16"/>
      <c r="E32" s="16"/>
      <c r="F32" s="137"/>
      <c r="G32" s="191"/>
      <c r="H32" s="192"/>
      <c r="I32" s="187"/>
      <c r="J32" s="141"/>
      <c r="K32" s="137"/>
      <c r="L32" s="191"/>
      <c r="M32" s="192"/>
      <c r="N32" s="187"/>
      <c r="O32" s="141"/>
      <c r="P32" s="190"/>
      <c r="Q32" s="141"/>
      <c r="R32" s="192"/>
      <c r="S32" s="187"/>
      <c r="T32" s="141"/>
      <c r="U32" s="2"/>
    </row>
    <row r="33" ht="15" customHeight="1">
      <c r="B33" s="2"/>
      <c r="C33" s="16"/>
      <c r="D33" s="0"/>
      <c r="E33" s="0"/>
      <c r="F33" s="137"/>
      <c r="G33" s="138"/>
      <c r="H33" s="139"/>
      <c r="I33" s="140"/>
      <c r="J33" s="141"/>
      <c r="K33" s="137"/>
      <c r="L33" s="138"/>
      <c r="M33" s="139"/>
      <c r="N33" s="140"/>
      <c r="O33" s="141"/>
      <c r="P33" s="142"/>
      <c r="Q33" s="141"/>
      <c r="R33" s="139"/>
      <c r="S33" s="140"/>
      <c r="T33" s="141"/>
      <c r="U33" s="2"/>
    </row>
    <row r="34" ht="39.95" customHeight="1">
      <c r="B34" s="1034" t="s">
        <v>126</v>
      </c>
      <c r="C34" s="1034"/>
      <c r="D34" s="1034"/>
      <c r="E34" s="1034"/>
      <c r="F34" s="1034"/>
      <c r="G34" s="1034"/>
      <c r="H34" s="1034"/>
      <c r="I34" s="1034"/>
      <c r="J34" s="1034"/>
      <c r="K34" s="1034"/>
      <c r="L34" s="1034"/>
      <c r="M34" s="1034"/>
      <c r="N34" s="1034"/>
      <c r="O34" s="1034"/>
      <c r="P34" s="1034"/>
      <c r="Q34" s="1034"/>
      <c r="R34" s="1034"/>
      <c r="S34" s="1034"/>
      <c r="T34" s="1034"/>
      <c r="U34" s="2"/>
    </row>
    <row r="35" ht="18">
      <c r="B35" s="2"/>
      <c r="C35" s="2"/>
      <c r="D35" s="2"/>
      <c r="E35" s="2"/>
      <c r="F35" s="2"/>
      <c r="G35" s="2"/>
      <c r="H35" s="106"/>
      <c r="I35" s="107"/>
      <c r="J35" s="127"/>
      <c r="K35" s="108"/>
      <c r="L35" s="2"/>
      <c r="M35" s="106"/>
      <c r="N35" s="107"/>
      <c r="O35" s="127"/>
      <c r="P35" s="2"/>
      <c r="Q35" s="2"/>
      <c r="R35" s="13"/>
      <c r="S35" s="51"/>
      <c r="T35" s="2"/>
      <c r="U35" s="2"/>
    </row>
    <row r="36" s="236" customFormat="1">
      <c r="A36" s="236"/>
    </row>
    <row r="37" s="236" customFormat="1"/>
    <row r="38" s="236" customFormat="1"/>
    <row r="39" s="236" customFormat="1"/>
    <row r="40" s="236" customFormat="1"/>
    <row r="41" s="236" customFormat="1"/>
    <row r="42" s="236" customFormat="1"/>
    <row r="43" s="236" customFormat="1"/>
    <row r="44" s="236" customFormat="1"/>
    <row r="45" s="236" customFormat="1"/>
    <row r="46" s="236" customFormat="1"/>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sheetData>
  <mergeCells count="12">
    <mergeCell ref="B34:T34"/>
    <mergeCell ref="K21:O22"/>
    <mergeCell ref="P21:T22"/>
    <mergeCell ref="F21:J22"/>
    <mergeCell ref="K7:O8"/>
    <mergeCell ref="P7:T8"/>
    <mergeCell ref="B2:S2"/>
    <mergeCell ref="B3:S3"/>
    <mergeCell ref="B4:P4"/>
    <mergeCell ref="B6:T6"/>
    <mergeCell ref="B20:T20"/>
    <mergeCell ref="F7:J8"/>
  </mergeCells>
  <phoneticPr fontId="12" type="noConversion"/>
  <printOptions horizontalCentered="1" verticalCentered="1"/>
  <pageMargins left="0.25" right="0.25" top="0.25" bottom="0.25" header="0" footer="0"/>
  <pageSetup scale="86" fitToWidth="1" fitToHeight="1" orientation="landscape" r:id="rId1"/>
  <headerFooter alignWithMargins="0">
    <oddHeader/>
    <oddFooter/>
  </headerFooter>
  <rowBreaks count="1" manualBreakCount="1">
    <brk id="36" max="16383" man="1"/>
  </rowBreaks>
  <colBreaks count="1" manualBreakCount="1">
    <brk id="22" max="1048575" man="1"/>
  </colBreaks>
  <drawing r:id="rId76"/>
</worksheet>
</file>

<file path=xl/worksheets/sheet7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pageSetUpPr fitToPage="1"/>
  </sheetPr>
  <dimension ref="A1:AI82"/>
  <sheetViews>
    <sheetView showGridLines="0" zoomScale="80" workbookViewId="0"/>
  </sheetViews>
  <sheetFormatPr defaultRowHeight="12.75"/>
  <cols>
    <col min="1" max="1" width="2.7109375" customWidth="1"/>
    <col min="2" max="2" width="17.7109375" customWidth="1"/>
    <col min="3" max="3" width="19" customWidth="1"/>
    <col min="4" max="4" width="2.7109375" customWidth="1"/>
    <col min="5" max="12" width="12.7109375" customWidth="1"/>
    <col min="13" max="13" width="2.7109375" customWidth="1"/>
    <col min="14" max="14" width="11.7109375" customWidth="1"/>
    <col min="15" max="15" width="1.7109375" customWidth="1"/>
    <col min="16" max="16" width="10.7109375" style="9" customWidth="1"/>
    <col min="17" max="17" width="1.7109375" style="9" customWidth="1"/>
    <col min="18" max="18" width="10.7109375" customWidth="1"/>
    <col min="19" max="19" width="1.7109375" customWidth="1"/>
    <col min="20" max="20" width="10.7109375" customWidth="1"/>
    <col min="21" max="21" width="2.7109375" customWidth="1"/>
    <col min="22" max="23" width="11.7109375" style="236" customWidth="1"/>
    <col min="24" max="24" width="5.7109375" style="236" customWidth="1"/>
    <col min="25" max="35" width="9.140625" style="236" customWidth="1"/>
  </cols>
  <sheetData>
    <row r="1" ht="30.75" customHeight="1">
      <c r="B1" s="20" t="s">
        <v>167</v>
      </c>
      <c r="E1" s="12"/>
      <c r="F1" s="12"/>
      <c r="G1" s="12"/>
      <c r="H1" s="12"/>
      <c r="I1" s="12"/>
      <c r="J1" s="12"/>
      <c r="K1" s="12"/>
      <c r="L1" s="12"/>
      <c r="M1" s="12"/>
      <c r="N1" s="12"/>
      <c r="O1" s="12"/>
      <c r="Q1" s="231"/>
      <c r="R1" s="2"/>
      <c r="S1" s="2"/>
      <c r="T1" s="2"/>
      <c r="U1" s="2"/>
      <c r="V1" s="236"/>
    </row>
    <row r="2" ht="18" customHeight="1">
      <c r="B2" s="1078" t="s">
        <v>208</v>
      </c>
      <c r="C2" s="1078"/>
      <c r="D2" s="1078"/>
      <c r="E2" s="1078"/>
      <c r="F2" s="1078"/>
      <c r="G2" s="1078"/>
      <c r="H2" s="1078"/>
      <c r="I2" s="1078"/>
      <c r="J2" s="1078"/>
      <c r="K2" s="1078"/>
      <c r="L2" s="1078"/>
      <c r="M2" s="1078"/>
      <c r="N2" s="1078"/>
      <c r="O2" s="1078"/>
      <c r="P2" s="1078"/>
      <c r="Q2" s="1078"/>
      <c r="R2" s="1078"/>
      <c r="S2" s="1078"/>
      <c r="T2" s="1078"/>
      <c r="U2" s="2"/>
    </row>
    <row r="3" ht="18" customHeight="1">
      <c r="B3" s="1079" t="s">
        <v>209</v>
      </c>
      <c r="C3" s="1079"/>
      <c r="D3" s="1079"/>
      <c r="E3" s="1079"/>
      <c r="F3" s="1079"/>
      <c r="G3" s="1079"/>
      <c r="H3" s="1079"/>
      <c r="I3" s="1079"/>
      <c r="J3" s="1079"/>
      <c r="K3" s="1079"/>
      <c r="L3" s="1079"/>
      <c r="M3" s="1079"/>
      <c r="N3" s="1079"/>
      <c r="O3" s="1079"/>
      <c r="P3" s="1079"/>
      <c r="Q3" s="1079"/>
      <c r="R3" s="1079"/>
      <c r="S3" s="1079"/>
      <c r="T3" s="1079"/>
      <c r="U3" s="2"/>
    </row>
    <row r="4" ht="18" customHeight="1">
      <c r="B4" s="1079" t="s">
        <v>210</v>
      </c>
      <c r="C4" s="1079"/>
      <c r="D4" s="1079"/>
      <c r="E4" s="1079"/>
      <c r="F4" s="1079"/>
      <c r="G4" s="1079"/>
      <c r="H4" s="1079"/>
      <c r="I4" s="1079"/>
      <c r="J4" s="1079"/>
      <c r="K4" s="1079"/>
      <c r="L4" s="1079"/>
      <c r="M4" s="1079"/>
      <c r="N4" s="1079"/>
      <c r="O4" s="1079"/>
      <c r="P4" s="1079"/>
      <c r="Q4" s="1079"/>
      <c r="R4" s="1079"/>
      <c r="S4" s="1079"/>
      <c r="T4" s="1079"/>
      <c r="U4" s="2"/>
    </row>
    <row r="5" s="122" customFormat="1" ht="21" customHeight="1">
      <c r="B5" s="1080"/>
      <c r="C5" s="1080"/>
      <c r="D5" s="163"/>
      <c r="E5" s="942" t="s">
        <v>22</v>
      </c>
      <c r="F5" s="942"/>
      <c r="G5" s="942"/>
      <c r="H5" s="942"/>
      <c r="I5" s="942"/>
      <c r="J5" s="942"/>
      <c r="K5" s="942"/>
      <c r="L5" s="942"/>
      <c r="M5" s="537"/>
      <c r="N5" s="1081" t="s">
        <v>28</v>
      </c>
      <c r="O5" s="1081"/>
      <c r="P5" s="1081"/>
      <c r="Q5" s="1081"/>
      <c r="R5" s="1081"/>
      <c r="S5" s="1081"/>
      <c r="T5" s="1081"/>
      <c r="V5" s="236"/>
      <c r="W5" s="236"/>
      <c r="X5" s="236"/>
      <c r="Y5" s="236"/>
      <c r="Z5" s="236"/>
      <c r="AA5" s="236"/>
      <c r="AB5" s="236"/>
      <c r="AC5" s="236"/>
      <c r="AD5" s="236"/>
      <c r="AE5" s="236"/>
      <c r="AF5" s="236"/>
      <c r="AG5" s="236"/>
      <c r="AH5" s="236"/>
      <c r="AI5" s="236"/>
    </row>
    <row r="6" s="122" customFormat="1" ht="15.75" customHeight="1">
      <c r="B6" s="1082"/>
      <c r="C6" s="1082"/>
      <c r="D6" s="163"/>
      <c r="E6" s="940" t="s">
        <v>42</v>
      </c>
      <c r="F6" s="1083" t="s">
        <v>24</v>
      </c>
      <c r="G6" s="943" t="s">
        <v>37</v>
      </c>
      <c r="H6" s="1084" t="s">
        <v>24</v>
      </c>
      <c r="I6" s="943" t="s">
        <v>44</v>
      </c>
      <c r="J6" s="1083" t="s">
        <v>24</v>
      </c>
      <c r="K6" s="943" t="s">
        <v>45</v>
      </c>
      <c r="L6" s="1083" t="s">
        <v>24</v>
      </c>
      <c r="M6" s="538"/>
      <c r="N6" s="1083" t="s">
        <v>63</v>
      </c>
      <c r="O6" s="944" t="s">
        <v>64</v>
      </c>
      <c r="P6" s="944"/>
      <c r="Q6" s="944" t="s">
        <v>65</v>
      </c>
      <c r="R6" s="944"/>
      <c r="S6" s="944" t="s">
        <v>66</v>
      </c>
      <c r="T6" s="944"/>
      <c r="V6" s="236"/>
      <c r="W6" s="236"/>
      <c r="X6" s="236"/>
      <c r="Y6" s="236"/>
      <c r="Z6" s="236"/>
      <c r="AA6" s="236"/>
      <c r="AB6" s="236"/>
      <c r="AC6" s="236"/>
      <c r="AD6" s="236"/>
      <c r="AE6" s="236"/>
      <c r="AF6" s="236"/>
      <c r="AG6" s="236"/>
      <c r="AH6" s="236"/>
      <c r="AI6" s="236"/>
    </row>
    <row r="7" s="122" customFormat="1" ht="24" customHeight="1">
      <c r="B7" s="1085"/>
      <c r="C7" s="1085"/>
      <c r="D7" s="163"/>
      <c r="E7" s="940"/>
      <c r="F7" s="1083"/>
      <c r="G7" s="943"/>
      <c r="H7" s="1084"/>
      <c r="I7" s="943"/>
      <c r="J7" s="1083"/>
      <c r="K7" s="943"/>
      <c r="L7" s="1083"/>
      <c r="M7" s="539"/>
      <c r="N7" s="1083"/>
      <c r="O7" s="944"/>
      <c r="P7" s="944"/>
      <c r="Q7" s="944"/>
      <c r="R7" s="944"/>
      <c r="S7" s="944"/>
      <c r="T7" s="944"/>
      <c r="V7" s="236"/>
      <c r="W7" s="236"/>
      <c r="X7" s="236"/>
      <c r="Y7" s="236"/>
      <c r="Z7" s="236"/>
      <c r="AA7" s="236"/>
      <c r="AB7" s="236"/>
      <c r="AC7" s="236"/>
      <c r="AD7" s="236"/>
      <c r="AE7" s="236"/>
      <c r="AF7" s="236"/>
      <c r="AG7" s="236"/>
      <c r="AH7" s="236"/>
      <c r="AI7" s="236"/>
    </row>
    <row r="8" ht="20.1" customHeight="1">
      <c r="B8" s="1086" t="s">
        <v>213</v>
      </c>
      <c r="C8" s="1086"/>
      <c r="D8" s="345"/>
      <c r="E8" s="238">
        <v>86.33919843597262952101661779</v>
      </c>
      <c r="F8" s="239">
        <v>-7.7786478726522018884396566100</v>
      </c>
      <c r="G8" s="238">
        <v>85.02905770029057700290577003</v>
      </c>
      <c r="H8" s="239">
        <v>1.989145588536662112782954400</v>
      </c>
      <c r="I8" s="238">
        <v>82.29578392621870882740447958</v>
      </c>
      <c r="J8" s="239">
        <v>-1.7692156477835750336517015900</v>
      </c>
      <c r="K8" s="238">
        <v>85.02905770029057700290577003</v>
      </c>
      <c r="L8" s="239">
        <v>1.989145588536662112782954400</v>
      </c>
      <c r="M8" s="540"/>
      <c r="N8" s="156">
        <v>0</v>
      </c>
      <c r="O8" s="156"/>
      <c r="P8" s="156">
        <v>0</v>
      </c>
      <c r="Q8" s="156"/>
      <c r="R8" s="156">
        <v>0</v>
      </c>
      <c r="S8" s="156"/>
      <c r="T8" s="243">
        <v>0</v>
      </c>
    </row>
    <row r="9" ht="20.1" customHeight="1">
      <c r="B9" s="1087" t="s">
        <v>214</v>
      </c>
      <c r="C9" s="1087"/>
      <c r="D9" s="345"/>
      <c r="E9" s="240">
        <v>70.855266931279425045665629410</v>
      </c>
      <c r="F9" s="241">
        <v>-4.7726062200879409715440544500</v>
      </c>
      <c r="G9" s="240">
        <v>72.124347376480649689986698110</v>
      </c>
      <c r="H9" s="241">
        <v>7.961118059512440268369550410</v>
      </c>
      <c r="I9" s="240">
        <v>70.823317174103584279733111720</v>
      </c>
      <c r="J9" s="241">
        <v>3.1354388202009635393270857700</v>
      </c>
      <c r="K9" s="240">
        <v>72.124347376480649689986698110</v>
      </c>
      <c r="L9" s="241">
        <v>7.961118059512440268369550410</v>
      </c>
      <c r="M9" s="540"/>
      <c r="N9" s="121">
        <v>4.6584242730082634201728379500</v>
      </c>
      <c r="O9" s="121"/>
      <c r="P9" s="121">
        <v>4.3872339412214011613599028600</v>
      </c>
      <c r="Q9" s="121"/>
      <c r="R9" s="121">
        <v>4.2775387278115652869687052500</v>
      </c>
      <c r="S9" s="121"/>
      <c r="T9" s="241">
        <v>4.3872339412214011613599028600</v>
      </c>
    </row>
    <row r="10" ht="20.1" customHeight="1">
      <c r="B10" s="1088" t="s">
        <v>215</v>
      </c>
      <c r="C10" s="1088"/>
      <c r="D10" s="345"/>
      <c r="E10" s="242">
        <v>71.203896194903179089486346970</v>
      </c>
      <c r="F10" s="243">
        <v>-4.448902375032215826575092600</v>
      </c>
      <c r="G10" s="242">
        <v>71.506316249742937520340380670</v>
      </c>
      <c r="H10" s="243">
        <v>9.860570586865155597533406560</v>
      </c>
      <c r="I10" s="242">
        <v>70.063737397199333887115124940</v>
      </c>
      <c r="J10" s="243">
        <v>3.9366552541250946760314543100</v>
      </c>
      <c r="K10" s="242">
        <v>71.506316249742937520340380670</v>
      </c>
      <c r="L10" s="243">
        <v>9.860570586865155597533406560</v>
      </c>
      <c r="M10" s="540"/>
      <c r="N10" s="156">
        <v>1.313183185386251925757464600</v>
      </c>
      <c r="O10" s="156"/>
      <c r="P10" s="156">
        <v>3.960150452880106589817052500</v>
      </c>
      <c r="Q10" s="156"/>
      <c r="R10" s="156">
        <v>0.9862831580462306315504062700</v>
      </c>
      <c r="S10" s="156"/>
      <c r="T10" s="243">
        <v>3.960150452880106589817052500</v>
      </c>
    </row>
    <row r="11" ht="20.1" customHeight="1">
      <c r="B11" s="1087" t="s">
        <v>216</v>
      </c>
      <c r="C11" s="1087"/>
      <c r="D11" s="345"/>
      <c r="E11" s="240">
        <v>66.134276958073994502543363560</v>
      </c>
      <c r="F11" s="241">
        <v>-5.965380884091404375060391400</v>
      </c>
      <c r="G11" s="240">
        <v>68.264070564478669354072193720</v>
      </c>
      <c r="H11" s="241">
        <v>5.6549045520131428964199463900</v>
      </c>
      <c r="I11" s="240">
        <v>65.602870261081135649482612690</v>
      </c>
      <c r="J11" s="241">
        <v>3.0684501218001981453205414100</v>
      </c>
      <c r="K11" s="240">
        <v>68.264070564478669354072193720</v>
      </c>
      <c r="L11" s="241">
        <v>5.6549045520131428964199463900</v>
      </c>
      <c r="M11" s="540"/>
      <c r="N11" s="121">
        <v>0.4091105778686912395263758300</v>
      </c>
      <c r="O11" s="121"/>
      <c r="P11" s="121">
        <v>3.3458388288365382897139385900</v>
      </c>
      <c r="Q11" s="121"/>
      <c r="R11" s="121">
        <v>0.6908699909459489018692691100</v>
      </c>
      <c r="S11" s="121"/>
      <c r="T11" s="241">
        <v>3.3458388288365382897139385900</v>
      </c>
    </row>
    <row r="12" ht="20.1" customHeight="1">
      <c r="B12" s="1088" t="s">
        <v>217</v>
      </c>
      <c r="C12" s="1088"/>
      <c r="D12" s="345"/>
      <c r="E12" s="242">
        <v>70.804143508687704267223073660</v>
      </c>
      <c r="F12" s="243">
        <v>-6.3596892705902626620634566300</v>
      </c>
      <c r="G12" s="242">
        <v>71.236349429598374746054070950</v>
      </c>
      <c r="H12" s="243">
        <v>7.1463814367454015368945828100</v>
      </c>
      <c r="I12" s="242">
        <v>69.441427993904904064433871320</v>
      </c>
      <c r="J12" s="243">
        <v>2.8472455169988888203184633900</v>
      </c>
      <c r="K12" s="242">
        <v>71.236349429598374746054070950</v>
      </c>
      <c r="L12" s="243">
        <v>7.1463814367454015368945828100</v>
      </c>
      <c r="M12" s="540"/>
      <c r="N12" s="156">
        <v>1.3811513463324048282265552500</v>
      </c>
      <c r="O12" s="156"/>
      <c r="P12" s="156">
        <v>2.5010972535024011430658384100</v>
      </c>
      <c r="Q12" s="156"/>
      <c r="R12" s="156">
        <v>1.2375046908567960125828298300</v>
      </c>
      <c r="S12" s="156"/>
      <c r="T12" s="243">
        <v>2.5010972535024011430658384100</v>
      </c>
    </row>
    <row r="13" ht="20.1" customHeight="1">
      <c r="B13" s="1089" t="s">
        <v>74</v>
      </c>
      <c r="C13" s="1089"/>
      <c r="D13" s="345"/>
      <c r="E13" s="244">
        <v>80.03363400091729093410793457</v>
      </c>
      <c r="F13" s="245">
        <v>9.165184763469721988999390170</v>
      </c>
      <c r="G13" s="244">
        <v>76.586155691111467077663724170</v>
      </c>
      <c r="H13" s="245">
        <v>8.170566819870315525329626950</v>
      </c>
      <c r="I13" s="244">
        <v>79.062779037021773473452847040</v>
      </c>
      <c r="J13" s="245">
        <v>17.163231956399399334669779050</v>
      </c>
      <c r="K13" s="244">
        <v>76.586155691111467077663724170</v>
      </c>
      <c r="L13" s="245">
        <v>8.170566819870315525329626950</v>
      </c>
      <c r="M13" s="540"/>
      <c r="N13" s="250">
        <v>0.3169572107765451664025356600</v>
      </c>
      <c r="O13" s="250"/>
      <c r="P13" s="250">
        <v>9.790100101717794910307720100</v>
      </c>
      <c r="Q13" s="250"/>
      <c r="R13" s="250">
        <v>0.3169572107765451664025356600</v>
      </c>
      <c r="S13" s="250"/>
      <c r="T13" s="245">
        <v>9.790100101717794910307720100</v>
      </c>
    </row>
    <row r="14" ht="9.95" customHeight="1">
      <c r="B14" s="4"/>
      <c r="C14" s="4"/>
      <c r="D14" s="4"/>
      <c r="E14" s="535"/>
      <c r="F14" s="535"/>
      <c r="G14" s="535"/>
      <c r="H14" s="535"/>
      <c r="I14" s="535"/>
      <c r="J14" s="535"/>
      <c r="K14" s="535"/>
      <c r="L14" s="535"/>
      <c r="M14" s="156"/>
      <c r="N14" s="156"/>
      <c r="O14" s="156"/>
      <c r="P14" s="156"/>
      <c r="Q14" s="156"/>
      <c r="R14" s="156"/>
      <c r="S14" s="156"/>
      <c r="T14" s="156"/>
    </row>
    <row r="15" ht="21" customHeight="1">
      <c r="B15" s="4"/>
      <c r="C15" s="4"/>
      <c r="D15" s="4"/>
      <c r="E15" s="1090" t="s">
        <v>90</v>
      </c>
      <c r="F15" s="1090"/>
      <c r="G15" s="1090"/>
      <c r="H15" s="1090"/>
      <c r="I15" s="1090"/>
      <c r="J15" s="1090"/>
      <c r="K15" s="1090"/>
      <c r="L15" s="1090"/>
      <c r="M15" s="537"/>
      <c r="N15" s="1090" t="s">
        <v>29</v>
      </c>
      <c r="O15" s="1090"/>
      <c r="P15" s="1090"/>
      <c r="Q15" s="1090"/>
      <c r="R15" s="1090"/>
      <c r="S15" s="1090"/>
      <c r="T15" s="1090"/>
    </row>
    <row r="16" ht="22.5" customHeight="1">
      <c r="B16" s="4"/>
      <c r="C16" s="4"/>
      <c r="D16" s="4"/>
      <c r="E16" s="940" t="s">
        <v>42</v>
      </c>
      <c r="F16" s="1083" t="s">
        <v>24</v>
      </c>
      <c r="G16" s="940" t="s">
        <v>37</v>
      </c>
      <c r="H16" s="1083" t="s">
        <v>24</v>
      </c>
      <c r="I16" s="940" t="s">
        <v>44</v>
      </c>
      <c r="J16" s="1083" t="s">
        <v>24</v>
      </c>
      <c r="K16" s="940" t="s">
        <v>45</v>
      </c>
      <c r="L16" s="1083" t="s">
        <v>24</v>
      </c>
      <c r="M16" s="538"/>
      <c r="N16" s="944" t="s">
        <v>63</v>
      </c>
      <c r="O16" s="944" t="s">
        <v>64</v>
      </c>
      <c r="P16" s="944"/>
      <c r="Q16" s="944" t="s">
        <v>65</v>
      </c>
      <c r="R16" s="944"/>
      <c r="S16" s="944" t="s">
        <v>66</v>
      </c>
      <c r="T16" s="944"/>
    </row>
    <row r="17" ht="18.75" customHeight="1">
      <c r="B17" s="4"/>
      <c r="C17" s="4"/>
      <c r="D17" s="4"/>
      <c r="E17" s="940"/>
      <c r="F17" s="1083"/>
      <c r="G17" s="940"/>
      <c r="H17" s="1083"/>
      <c r="I17" s="940"/>
      <c r="J17" s="1083"/>
      <c r="K17" s="940"/>
      <c r="L17" s="1083"/>
      <c r="M17" s="539"/>
      <c r="N17" s="944"/>
      <c r="O17" s="944"/>
      <c r="P17" s="944"/>
      <c r="Q17" s="944"/>
      <c r="R17" s="944"/>
      <c r="S17" s="944"/>
      <c r="T17" s="944"/>
    </row>
    <row r="18" ht="20.1" customHeight="1">
      <c r="B18" s="1091" t="s">
        <v>213</v>
      </c>
      <c r="C18" s="1091"/>
      <c r="D18" s="345"/>
      <c r="E18" s="253">
        <v>319.73223889046136427964902349</v>
      </c>
      <c r="F18" s="239">
        <v>-5.1198492329308838951420960200</v>
      </c>
      <c r="G18" s="253">
        <v>275.60038567627602704615910367</v>
      </c>
      <c r="H18" s="239">
        <v>17.904096670558583726120748430</v>
      </c>
      <c r="I18" s="253">
        <v>267.60826495897538523113868321</v>
      </c>
      <c r="J18" s="239">
        <v>3.7267022814375971313477932500</v>
      </c>
      <c r="K18" s="253">
        <v>275.60038567627602704615910367</v>
      </c>
      <c r="L18" s="239">
        <v>17.904096670558583726120748430</v>
      </c>
      <c r="M18" s="540"/>
      <c r="N18" s="238">
        <v>-7.7786478726181153745758287700</v>
      </c>
      <c r="O18" s="246"/>
      <c r="P18" s="246">
        <v>1.9891455885281816371240788700</v>
      </c>
      <c r="Q18" s="246"/>
      <c r="R18" s="246">
        <v>-1.7692156477295065854137998800</v>
      </c>
      <c r="S18" s="246"/>
      <c r="T18" s="239">
        <v>1.9891455885281816371240788700</v>
      </c>
    </row>
    <row r="19" ht="20.1" customHeight="1">
      <c r="B19" s="1092" t="s">
        <v>214</v>
      </c>
      <c r="C19" s="1092"/>
      <c r="D19" s="345"/>
      <c r="E19" s="254">
        <v>289.73511289408659169205989005</v>
      </c>
      <c r="F19" s="241">
        <v>-7.3564517613786530376428090800</v>
      </c>
      <c r="G19" s="254">
        <v>253.1052388123383402899406838</v>
      </c>
      <c r="H19" s="241">
        <v>14.034336974637166310289888490</v>
      </c>
      <c r="I19" s="254">
        <v>246.47053838569153112418403073</v>
      </c>
      <c r="J19" s="241">
        <v>0.9761709263570660840026044100</v>
      </c>
      <c r="K19" s="254">
        <v>253.1052388123383402899406838</v>
      </c>
      <c r="L19" s="241">
        <v>14.034336974637166310289888490</v>
      </c>
      <c r="M19" s="540"/>
      <c r="N19" s="240">
        <v>-0.3365101937565804766658006600</v>
      </c>
      <c r="O19" s="121"/>
      <c r="P19" s="121">
        <v>12.697624874410547399035765540</v>
      </c>
      <c r="Q19" s="121"/>
      <c r="R19" s="121">
        <v>7.5470971578053273303413389100</v>
      </c>
      <c r="S19" s="121"/>
      <c r="T19" s="241">
        <v>12.697624874410547399035765540</v>
      </c>
    </row>
    <row r="20" ht="20.1" customHeight="1">
      <c r="B20" s="1093" t="s">
        <v>215</v>
      </c>
      <c r="C20" s="1093"/>
      <c r="D20" s="345"/>
      <c r="E20" s="255">
        <v>275.09691927658276225187070869</v>
      </c>
      <c r="F20" s="243">
        <v>-6.0766581563117524431057231500</v>
      </c>
      <c r="G20" s="255">
        <v>248.13929688409647509452306514</v>
      </c>
      <c r="H20" s="243">
        <v>14.135095033688020627200270010</v>
      </c>
      <c r="I20" s="255">
        <v>240.24821430176839190513436003</v>
      </c>
      <c r="J20" s="243">
        <v>3.125076021260276239103058100</v>
      </c>
      <c r="K20" s="255">
        <v>248.13929688409647509452306514</v>
      </c>
      <c r="L20" s="243">
        <v>14.135095033688020627200270010</v>
      </c>
      <c r="M20" s="540"/>
      <c r="N20" s="242">
        <v>-3.1941414276141751537843494100</v>
      </c>
      <c r="O20" s="156"/>
      <c r="P20" s="156">
        <v>14.211214470449044413333886090</v>
      </c>
      <c r="Q20" s="156"/>
      <c r="R20" s="156">
        <v>4.9617649799535966161152087300</v>
      </c>
      <c r="S20" s="156"/>
      <c r="T20" s="243">
        <v>14.211214470449044413333886090</v>
      </c>
    </row>
    <row r="21" ht="20.1" customHeight="1">
      <c r="B21" s="1092" t="s">
        <v>216</v>
      </c>
      <c r="C21" s="1092"/>
      <c r="D21" s="345"/>
      <c r="E21" s="254">
        <v>463.62443818507024597557060523</v>
      </c>
      <c r="F21" s="241">
        <v>-11.766919822686168323239767800</v>
      </c>
      <c r="G21" s="254">
        <v>385.71291700118641430544103351</v>
      </c>
      <c r="H21" s="241">
        <v>11.603460170554472778840470820</v>
      </c>
      <c r="I21" s="254">
        <v>377.0352898093865919371898401</v>
      </c>
      <c r="J21" s="241">
        <v>-3.9915033063536670063075420900</v>
      </c>
      <c r="K21" s="254">
        <v>385.71291700118641430544103351</v>
      </c>
      <c r="L21" s="241">
        <v>11.603460170554472778840470820</v>
      </c>
      <c r="M21" s="540"/>
      <c r="N21" s="240">
        <v>-5.5806753104284471901759906500</v>
      </c>
      <c r="O21" s="121"/>
      <c r="P21" s="121">
        <v>9.189947373077382276571785890</v>
      </c>
      <c r="Q21" s="121"/>
      <c r="R21" s="121">
        <v>3.7805191138448103103106475700</v>
      </c>
      <c r="S21" s="121"/>
      <c r="T21" s="241">
        <v>9.189947373077382276571785890</v>
      </c>
    </row>
    <row r="22" ht="20.1" customHeight="1">
      <c r="B22" s="1093" t="s">
        <v>217</v>
      </c>
      <c r="C22" s="1093"/>
      <c r="D22" s="345"/>
      <c r="E22" s="255">
        <v>573.99751208749941322818382387</v>
      </c>
      <c r="F22" s="243">
        <v>-12.245544118427300869077413960</v>
      </c>
      <c r="G22" s="255">
        <v>468.20543680323902129117715065</v>
      </c>
      <c r="H22" s="243">
        <v>11.498332597778946591627620290</v>
      </c>
      <c r="I22" s="255">
        <v>463.29136401334869065681218507</v>
      </c>
      <c r="J22" s="243">
        <v>-4.1232968726943411702354126200</v>
      </c>
      <c r="K22" s="255">
        <v>468.20543680323902129117715065</v>
      </c>
      <c r="L22" s="243">
        <v>11.498332597778946591627620290</v>
      </c>
      <c r="M22" s="540"/>
      <c r="N22" s="242">
        <v>-5.0663748582633108700280750100</v>
      </c>
      <c r="O22" s="156"/>
      <c r="P22" s="156">
        <v>9.826216640124127529471855670</v>
      </c>
      <c r="Q22" s="156"/>
      <c r="R22" s="156">
        <v>4.1199850046720518047548618200</v>
      </c>
      <c r="S22" s="156"/>
      <c r="T22" s="243">
        <v>9.826216640124127529471855670</v>
      </c>
    </row>
    <row r="23" ht="20.1" customHeight="1">
      <c r="B23" s="1094" t="s">
        <v>74</v>
      </c>
      <c r="C23" s="1094"/>
      <c r="D23" s="345"/>
      <c r="E23" s="256">
        <v>325.47704552690226042661572745</v>
      </c>
      <c r="F23" s="245">
        <v>-6.7168973216714882417544129600</v>
      </c>
      <c r="G23" s="256">
        <v>288.21114352095239710346464972</v>
      </c>
      <c r="H23" s="245">
        <v>18.053361450747817297656364760</v>
      </c>
      <c r="I23" s="256">
        <v>281.76660947375279629911169993</v>
      </c>
      <c r="J23" s="245">
        <v>5.2312464170371224898378230600</v>
      </c>
      <c r="K23" s="256">
        <v>288.21114352095239710346464972</v>
      </c>
      <c r="L23" s="245">
        <v>18.053361450747817297656364760</v>
      </c>
      <c r="M23" s="540"/>
      <c r="N23" s="244">
        <v>9.511191688166794505264625900</v>
      </c>
      <c r="O23" s="250"/>
      <c r="P23" s="250">
        <v>18.760573592201723999033271570</v>
      </c>
      <c r="Q23" s="250"/>
      <c r="R23" s="250">
        <v>17.534589268392301015979986730</v>
      </c>
      <c r="S23" s="250"/>
      <c r="T23" s="245">
        <v>18.760573592201723999033271570</v>
      </c>
    </row>
    <row r="24" ht="9.95" customHeight="1">
      <c r="B24" s="4"/>
      <c r="C24" s="4"/>
      <c r="D24" s="4"/>
      <c r="E24" s="535"/>
      <c r="F24" s="535"/>
      <c r="G24" s="535"/>
      <c r="H24" s="535"/>
      <c r="I24" s="535"/>
      <c r="J24" s="535"/>
      <c r="K24" s="535"/>
      <c r="L24" s="535"/>
      <c r="M24" s="156"/>
      <c r="N24" s="156"/>
      <c r="O24" s="156"/>
      <c r="P24" s="156"/>
      <c r="Q24" s="156"/>
      <c r="R24" s="156"/>
      <c r="S24" s="156"/>
      <c r="T24" s="156"/>
    </row>
    <row r="25" s="122" customFormat="1" ht="21" customHeight="1">
      <c r="B25" s="1080"/>
      <c r="C25" s="1080"/>
      <c r="D25" s="163"/>
      <c r="E25" s="1090" t="s">
        <v>10</v>
      </c>
      <c r="F25" s="1090"/>
      <c r="G25" s="1090"/>
      <c r="H25" s="1090"/>
      <c r="I25" s="1090"/>
      <c r="J25" s="1090"/>
      <c r="K25" s="1090"/>
      <c r="L25" s="1090"/>
      <c r="M25" s="537"/>
      <c r="N25" s="1090" t="s">
        <v>38</v>
      </c>
      <c r="O25" s="1090"/>
      <c r="P25" s="1090"/>
      <c r="Q25" s="1090"/>
      <c r="R25" s="1090"/>
      <c r="S25" s="1090"/>
      <c r="T25" s="1090"/>
      <c r="V25" s="236"/>
      <c r="W25" s="236"/>
      <c r="X25" s="236"/>
      <c r="Y25" s="236"/>
      <c r="Z25" s="236"/>
      <c r="AA25" s="236"/>
      <c r="AB25" s="236"/>
      <c r="AC25" s="236"/>
      <c r="AD25" s="236"/>
      <c r="AE25" s="236"/>
      <c r="AF25" s="236"/>
      <c r="AG25" s="236"/>
      <c r="AH25" s="236"/>
      <c r="AI25" s="236"/>
    </row>
    <row r="26" s="122" customFormat="1" ht="19.5" customHeight="1">
      <c r="B26" s="163"/>
      <c r="C26" s="163"/>
      <c r="D26" s="163"/>
      <c r="E26" s="940" t="s">
        <v>42</v>
      </c>
      <c r="F26" s="1083" t="s">
        <v>24</v>
      </c>
      <c r="G26" s="940" t="s">
        <v>37</v>
      </c>
      <c r="H26" s="1083" t="s">
        <v>24</v>
      </c>
      <c r="I26" s="940" t="s">
        <v>44</v>
      </c>
      <c r="J26" s="1083" t="s">
        <v>24</v>
      </c>
      <c r="K26" s="940" t="s">
        <v>45</v>
      </c>
      <c r="L26" s="1083" t="s">
        <v>24</v>
      </c>
      <c r="M26" s="538"/>
      <c r="N26" s="944" t="s">
        <v>63</v>
      </c>
      <c r="O26" s="944" t="s">
        <v>64</v>
      </c>
      <c r="P26" s="944"/>
      <c r="Q26" s="944" t="s">
        <v>65</v>
      </c>
      <c r="R26" s="944"/>
      <c r="S26" s="944" t="s">
        <v>66</v>
      </c>
      <c r="T26" s="944"/>
      <c r="V26" s="236"/>
      <c r="W26" s="236"/>
      <c r="X26" s="236"/>
      <c r="Y26" s="236"/>
      <c r="Z26" s="236"/>
      <c r="AA26" s="236"/>
      <c r="AB26" s="236"/>
      <c r="AC26" s="236"/>
      <c r="AD26" s="236"/>
      <c r="AE26" s="236"/>
      <c r="AF26" s="236"/>
      <c r="AG26" s="236"/>
      <c r="AH26" s="236"/>
      <c r="AI26" s="236"/>
    </row>
    <row r="27" s="122" customFormat="1" ht="25.5" customHeight="1">
      <c r="B27" s="163"/>
      <c r="C27" s="163"/>
      <c r="D27" s="163"/>
      <c r="E27" s="940"/>
      <c r="F27" s="1083"/>
      <c r="G27" s="940"/>
      <c r="H27" s="1083"/>
      <c r="I27" s="940"/>
      <c r="J27" s="1083"/>
      <c r="K27" s="940"/>
      <c r="L27" s="1083"/>
      <c r="M27" s="539"/>
      <c r="N27" s="944"/>
      <c r="O27" s="944"/>
      <c r="P27" s="944"/>
      <c r="Q27" s="944"/>
      <c r="R27" s="944"/>
      <c r="S27" s="944"/>
      <c r="T27" s="944"/>
      <c r="V27" s="236"/>
      <c r="W27" s="236"/>
      <c r="X27" s="236"/>
      <c r="Y27" s="236"/>
      <c r="Z27" s="236"/>
      <c r="AA27" s="236"/>
      <c r="AB27" s="236"/>
      <c r="AC27" s="236"/>
      <c r="AD27" s="236"/>
      <c r="AE27" s="236"/>
      <c r="AF27" s="236"/>
      <c r="AG27" s="236"/>
      <c r="AH27" s="236"/>
      <c r="AI27" s="236"/>
    </row>
    <row r="28" ht="20.1" customHeight="1">
      <c r="B28" s="1091" t="s">
        <v>213</v>
      </c>
      <c r="C28" s="1091"/>
      <c r="D28" s="345"/>
      <c r="E28" s="253">
        <v>276.05425219941348973607038123</v>
      </c>
      <c r="F28" s="239">
        <v>-12.500242062100870585097259470</v>
      </c>
      <c r="G28" s="253">
        <v>234.34041095890410958904109589</v>
      </c>
      <c r="H28" s="239">
        <v>20.249380808160366492609650750</v>
      </c>
      <c r="I28" s="253">
        <v>220.23031949934123847167325428</v>
      </c>
      <c r="J28" s="239">
        <v>1.8915532337768083904659682600</v>
      </c>
      <c r="K28" s="253">
        <v>234.34041095890410958904109589</v>
      </c>
      <c r="L28" s="239">
        <v>20.249380808160366492609650750</v>
      </c>
      <c r="M28" s="540"/>
      <c r="N28" s="238">
        <v>-12.500242062105777654530511830</v>
      </c>
      <c r="O28" s="246"/>
      <c r="P28" s="246">
        <v>20.249380808168486211099815690</v>
      </c>
      <c r="Q28" s="246"/>
      <c r="R28" s="246">
        <v>1.8915532337940748095017309700</v>
      </c>
      <c r="S28" s="246"/>
      <c r="T28" s="239">
        <v>20.249380808168486211099815690</v>
      </c>
    </row>
    <row r="29" ht="20.1" customHeight="1">
      <c r="B29" s="1092" t="s">
        <v>214</v>
      </c>
      <c r="C29" s="1092"/>
      <c r="D29" s="345"/>
      <c r="E29" s="254">
        <v>205.292587634748846329202769</v>
      </c>
      <c r="F29" s="241">
        <v>-11.777963507178435004891000450</v>
      </c>
      <c r="G29" s="254">
        <v>182.55050166908183084484138051</v>
      </c>
      <c r="H29" s="241">
        <v>23.112745169608144631088852230</v>
      </c>
      <c r="I29" s="254">
        <v>174.55861114161903725327892512</v>
      </c>
      <c r="J29" s="241">
        <v>4.1422169886946835294437443300</v>
      </c>
      <c r="K29" s="254">
        <v>182.55050166908183084484138051</v>
      </c>
      <c r="L29" s="241">
        <v>23.112745169608144631088852230</v>
      </c>
      <c r="M29" s="540"/>
      <c r="N29" s="240">
        <v>-7.6682067450549213729608818800</v>
      </c>
      <c r="O29" s="121"/>
      <c r="P29" s="121">
        <v>28.513989311687963506998736410</v>
      </c>
      <c r="Q29" s="121"/>
      <c r="R29" s="121">
        <v>8.596940652392741177502426950</v>
      </c>
      <c r="S29" s="121"/>
      <c r="T29" s="241">
        <v>28.513989311687963506998736410</v>
      </c>
    </row>
    <row r="30" ht="20.1" customHeight="1">
      <c r="B30" s="1093" t="s">
        <v>215</v>
      </c>
      <c r="C30" s="1093"/>
      <c r="D30" s="345"/>
      <c r="E30" s="255">
        <v>195.87972483707458363504706734</v>
      </c>
      <c r="F30" s="243">
        <v>-10.255215942355427115775846970</v>
      </c>
      <c r="G30" s="255">
        <v>177.43527036983054840661194647</v>
      </c>
      <c r="H30" s="243">
        <v>25.389466643856978739666623020</v>
      </c>
      <c r="I30" s="255">
        <v>168.32687796985169933585553382</v>
      </c>
      <c r="J30" s="243">
        <v>7.1847547447954970766482941600</v>
      </c>
      <c r="K30" s="255">
        <v>177.43527036983054840661194647</v>
      </c>
      <c r="L30" s="243">
        <v>25.389466643856978739666623020</v>
      </c>
      <c r="M30" s="540"/>
      <c r="N30" s="242">
        <v>-9.076702528344982340404605850</v>
      </c>
      <c r="O30" s="156"/>
      <c r="P30" s="156">
        <v>30.355078174983340564164160840</v>
      </c>
      <c r="Q30" s="156"/>
      <c r="R30" s="156">
        <v>8.241899928830058873867386450</v>
      </c>
      <c r="S30" s="156"/>
      <c r="T30" s="243">
        <v>30.355078174983340564164160840</v>
      </c>
    </row>
    <row r="31" ht="20.1" customHeight="1">
      <c r="B31" s="1092" t="s">
        <v>216</v>
      </c>
      <c r="C31" s="1092"/>
      <c r="D31" s="345"/>
      <c r="E31" s="254">
        <v>306.6146699946289216770402199</v>
      </c>
      <c r="F31" s="241">
        <v>-17.030359121028743404178683330</v>
      </c>
      <c r="G31" s="254">
        <v>263.30333783799893610703025329</v>
      </c>
      <c r="H31" s="241">
        <v>17.914529319937158252301894420</v>
      </c>
      <c r="I31" s="254">
        <v>247.34597201214315013964963425</v>
      </c>
      <c r="J31" s="241">
        <v>-1.0455304726083791127813773400</v>
      </c>
      <c r="K31" s="254">
        <v>263.30333783799893610703025329</v>
      </c>
      <c r="L31" s="241">
        <v>17.914529319937158252301894420</v>
      </c>
      <c r="M31" s="540"/>
      <c r="N31" s="240">
        <v>-16.690921543778560925165828460</v>
      </c>
      <c r="O31" s="121"/>
      <c r="P31" s="121">
        <v>21.859759426761944693329043820</v>
      </c>
      <c r="Q31" s="121"/>
      <c r="R31" s="121">
        <v>-0.3618837379434380711644383100</v>
      </c>
      <c r="S31" s="121"/>
      <c r="T31" s="241">
        <v>21.859759426761944693329043820</v>
      </c>
    </row>
    <row r="32" ht="20.1" customHeight="1">
      <c r="B32" s="1093" t="s">
        <v>217</v>
      </c>
      <c r="C32" s="1093"/>
      <c r="D32" s="345"/>
      <c r="E32" s="255">
        <v>406.41402219473013645512122163</v>
      </c>
      <c r="F32" s="243">
        <v>-17.826454833618437915917834480</v>
      </c>
      <c r="G32" s="255">
        <v>333.53246100953273949054539772</v>
      </c>
      <c r="H32" s="243">
        <v>19.466428740885430043726251570</v>
      </c>
      <c r="I32" s="255">
        <v>321.7161389433093883135864664</v>
      </c>
      <c r="J32" s="243">
        <v>-1.393451741072530029806143600</v>
      </c>
      <c r="K32" s="255">
        <v>333.53246100953273949054539772</v>
      </c>
      <c r="L32" s="243">
        <v>19.466428740885430043726251570</v>
      </c>
      <c r="M32" s="540"/>
      <c r="N32" s="242">
        <v>-16.691513808216120631241518140</v>
      </c>
      <c r="O32" s="156"/>
      <c r="P32" s="156">
        <v>22.454400308966804269100558560</v>
      </c>
      <c r="Q32" s="156"/>
      <c r="R32" s="156">
        <v>-0.1731910808756737062451296300</v>
      </c>
      <c r="S32" s="156"/>
      <c r="T32" s="243">
        <v>22.454400308966804269100558560</v>
      </c>
    </row>
    <row r="33" ht="20.1" customHeight="1">
      <c r="B33" s="1094" t="s">
        <v>74</v>
      </c>
      <c r="C33" s="1094"/>
      <c r="D33" s="345"/>
      <c r="E33" s="256">
        <v>260.49110737399989807878509912</v>
      </c>
      <c r="F33" s="245">
        <v>1.8326713918214728831252895300</v>
      </c>
      <c r="G33" s="256">
        <v>220.72983509608932259084001853</v>
      </c>
      <c r="H33" s="245">
        <v>27.698990231218930414849968600</v>
      </c>
      <c r="I33" s="256">
        <v>222.77251184834123222748815166</v>
      </c>
      <c r="J33" s="245">
        <v>23.292329330122466557728664720</v>
      </c>
      <c r="K33" s="256">
        <v>220.72983509608932259084001853</v>
      </c>
      <c r="L33" s="245">
        <v>27.698990231218930414849968600</v>
      </c>
      <c r="M33" s="540"/>
      <c r="N33" s="244">
        <v>2.1554373867352656919870721300</v>
      </c>
      <c r="O33" s="250"/>
      <c r="P33" s="250">
        <v>40.200849203767901227873195700</v>
      </c>
      <c r="Q33" s="250"/>
      <c r="R33" s="250">
        <v>23.683113258265961871213775440</v>
      </c>
      <c r="S33" s="250"/>
      <c r="T33" s="245">
        <v>40.200849203767901227873195700</v>
      </c>
    </row>
    <row r="34" ht="9.95" customHeight="1">
      <c r="B34" s="4"/>
      <c r="C34" s="4"/>
      <c r="D34" s="4"/>
      <c r="E34" s="535"/>
      <c r="F34" s="535"/>
      <c r="G34" s="535"/>
      <c r="H34" s="535"/>
      <c r="I34" s="535"/>
      <c r="J34" s="535"/>
      <c r="K34" s="535"/>
      <c r="L34" s="535"/>
      <c r="M34" s="156"/>
      <c r="N34" s="156"/>
      <c r="O34" s="156"/>
      <c r="P34" s="156"/>
      <c r="Q34" s="156"/>
      <c r="R34" s="156"/>
      <c r="S34" s="156"/>
      <c r="T34" s="156"/>
    </row>
    <row r="35" ht="21" customHeight="1">
      <c r="B35" s="9"/>
      <c r="C35" s="155"/>
      <c r="D35" s="252"/>
      <c r="E35" s="1090" t="s">
        <v>30</v>
      </c>
      <c r="F35" s="1090"/>
      <c r="G35" s="1090"/>
      <c r="H35" s="1090"/>
      <c r="I35" s="1090"/>
      <c r="J35" s="1090"/>
      <c r="K35" s="1090"/>
      <c r="L35" s="1090"/>
      <c r="M35" s="113"/>
      <c r="N35" s="1095" t="s">
        <v>56</v>
      </c>
      <c r="O35" s="1095"/>
      <c r="P35" s="1095"/>
      <c r="Q35" s="1095"/>
      <c r="R35" s="1095"/>
      <c r="S35" s="1095"/>
      <c r="T35" s="1095"/>
      <c r="U35" s="123"/>
    </row>
    <row r="36" ht="24.95" customHeight="1">
      <c r="B36" s="9"/>
      <c r="C36" s="155"/>
      <c r="D36" s="252"/>
      <c r="E36" s="257" t="s">
        <v>31</v>
      </c>
      <c r="F36" s="257"/>
      <c r="G36" s="257"/>
      <c r="H36" s="257" t="s">
        <v>32</v>
      </c>
      <c r="I36" s="257"/>
      <c r="J36" s="257"/>
      <c r="K36" s="257" t="s">
        <v>36</v>
      </c>
      <c r="L36" s="257"/>
      <c r="M36" s="113"/>
      <c r="N36" s="1096"/>
      <c r="O36" s="1096"/>
      <c r="P36" s="1096"/>
      <c r="Q36" s="1096"/>
      <c r="R36" s="1096"/>
      <c r="S36" s="1096"/>
      <c r="T36" s="1096"/>
      <c r="U36" s="123"/>
    </row>
    <row r="37" ht="24.95" customHeight="1">
      <c r="B37" s="9"/>
      <c r="C37" s="155"/>
      <c r="D37" s="252"/>
      <c r="E37" s="257" t="s">
        <v>33</v>
      </c>
      <c r="F37" s="257"/>
      <c r="G37" s="257" t="s">
        <v>34</v>
      </c>
      <c r="H37" s="257" t="s">
        <v>33</v>
      </c>
      <c r="I37" s="257"/>
      <c r="J37" s="257" t="s">
        <v>34</v>
      </c>
      <c r="K37" s="257" t="s">
        <v>34</v>
      </c>
      <c r="L37" s="257"/>
      <c r="M37" s="113"/>
      <c r="N37" s="1096"/>
      <c r="O37" s="1096"/>
      <c r="P37" s="1096"/>
      <c r="Q37" s="1096"/>
      <c r="R37" s="1096"/>
      <c r="S37" s="1096"/>
      <c r="T37" s="1096"/>
      <c r="U37" s="123"/>
    </row>
    <row r="38" ht="18.95" customHeight="1">
      <c r="B38" s="1097" t="s">
        <v>214</v>
      </c>
      <c r="C38" s="1097"/>
      <c r="D38" s="4"/>
      <c r="E38" s="1098">
        <v>564</v>
      </c>
      <c r="F38" s="1098"/>
      <c r="G38" s="258">
        <v>66366</v>
      </c>
      <c r="H38" s="1099">
        <v>331</v>
      </c>
      <c r="I38" s="1099"/>
      <c r="J38" s="258">
        <v>54036</v>
      </c>
      <c r="K38" s="1100">
        <v>81.42120965554651478166531055</v>
      </c>
      <c r="L38" s="1100"/>
      <c r="N38" s="692"/>
      <c r="O38" s="1096"/>
      <c r="P38" s="1096"/>
      <c r="Q38" s="1101"/>
      <c r="R38" s="1101"/>
      <c r="S38" s="1096"/>
      <c r="T38" s="1096"/>
      <c r="U38" s="123"/>
    </row>
    <row r="39" ht="18.95" customHeight="1">
      <c r="B39" s="1093" t="s">
        <v>215</v>
      </c>
      <c r="C39" s="1093"/>
      <c r="D39" s="4"/>
      <c r="E39" s="1102">
        <v>94</v>
      </c>
      <c r="F39" s="1102"/>
      <c r="G39" s="4">
        <v>13810</v>
      </c>
      <c r="H39" s="1103">
        <v>74</v>
      </c>
      <c r="I39" s="1103"/>
      <c r="J39" s="4">
        <v>12156</v>
      </c>
      <c r="K39" s="1104">
        <v>88.02317161477190441708906589</v>
      </c>
      <c r="L39" s="1104"/>
      <c r="N39" s="693"/>
      <c r="O39" s="1105"/>
      <c r="P39" s="1105"/>
      <c r="Q39" s="1105"/>
      <c r="R39" s="1105"/>
      <c r="S39" s="1105"/>
      <c r="T39" s="1105"/>
      <c r="U39" s="123"/>
    </row>
    <row r="40" ht="18.95" customHeight="1">
      <c r="B40" s="1092" t="s">
        <v>216</v>
      </c>
      <c r="C40" s="1092"/>
      <c r="D40" s="4"/>
      <c r="E40" s="1106">
        <v>245</v>
      </c>
      <c r="F40" s="1106"/>
      <c r="G40" s="120">
        <v>25525</v>
      </c>
      <c r="H40" s="1107">
        <v>128</v>
      </c>
      <c r="I40" s="1107"/>
      <c r="J40" s="120">
        <v>19652</v>
      </c>
      <c r="K40" s="1108">
        <v>76.991185112634671890303623900</v>
      </c>
      <c r="L40" s="1108"/>
      <c r="N40" s="1109"/>
      <c r="O40" s="1109"/>
      <c r="P40" s="1109"/>
      <c r="Q40" s="1109"/>
      <c r="R40" s="1109"/>
      <c r="S40" s="1109"/>
      <c r="T40" s="1109"/>
      <c r="U40" s="123"/>
    </row>
    <row r="41" ht="18.95" customHeight="1">
      <c r="B41" s="1093" t="s">
        <v>217</v>
      </c>
      <c r="C41" s="1093"/>
      <c r="D41" s="4"/>
      <c r="E41" s="1102">
        <v>45</v>
      </c>
      <c r="F41" s="1102"/>
      <c r="G41" s="4">
        <v>8735</v>
      </c>
      <c r="H41" s="1103">
        <v>43</v>
      </c>
      <c r="I41" s="1103"/>
      <c r="J41" s="4">
        <v>8676</v>
      </c>
      <c r="K41" s="1104">
        <v>99.32455638236977676016027476</v>
      </c>
      <c r="L41" s="1104"/>
      <c r="N41" s="1109"/>
      <c r="O41" s="1109"/>
      <c r="P41" s="1109"/>
      <c r="Q41" s="1109"/>
      <c r="R41" s="1109"/>
      <c r="S41" s="1109"/>
      <c r="T41" s="1109"/>
      <c r="U41" s="123"/>
    </row>
    <row r="42" ht="18.95" customHeight="1">
      <c r="B42" s="1094" t="s">
        <v>74</v>
      </c>
      <c r="C42" s="1094"/>
      <c r="D42" s="4"/>
      <c r="E42" s="1110">
        <v>6</v>
      </c>
      <c r="F42" s="1110"/>
      <c r="G42" s="260">
        <v>633</v>
      </c>
      <c r="H42" s="1111">
        <v>6</v>
      </c>
      <c r="I42" s="1111"/>
      <c r="J42" s="260">
        <v>633</v>
      </c>
      <c r="K42" s="1112">
        <v>100</v>
      </c>
      <c r="L42" s="1112"/>
      <c r="N42" s="1109"/>
      <c r="O42" s="1109"/>
      <c r="P42" s="1109"/>
      <c r="Q42" s="1109"/>
      <c r="R42" s="1109"/>
      <c r="S42" s="1109"/>
      <c r="T42" s="1109"/>
      <c r="U42" s="123"/>
    </row>
    <row r="43" ht="15" customHeight="1">
      <c r="B43" s="2"/>
      <c r="C43" s="44"/>
      <c r="D43" s="44"/>
      <c r="E43" s="16"/>
      <c r="F43" s="19"/>
      <c r="G43" s="123"/>
      <c r="H43" s="113"/>
      <c r="I43" s="113"/>
      <c r="J43" s="113"/>
      <c r="K43" s="123"/>
      <c r="L43" s="123"/>
      <c r="M43" s="113"/>
      <c r="N43" s="123"/>
      <c r="O43" s="123"/>
      <c r="P43" s="113"/>
      <c r="Q43" s="113"/>
      <c r="R43" s="123"/>
      <c r="S43" s="123"/>
      <c r="T43" s="123"/>
      <c r="U43" s="123"/>
    </row>
    <row r="44" ht="39.95" customHeight="1">
      <c r="B44" s="1034" t="s">
        <v>126</v>
      </c>
      <c r="C44" s="1034"/>
      <c r="D44" s="1034"/>
      <c r="E44" s="1034"/>
      <c r="F44" s="1034"/>
      <c r="G44" s="1034"/>
      <c r="H44" s="1034"/>
      <c r="I44" s="1034"/>
      <c r="J44" s="1034"/>
      <c r="K44" s="1034"/>
      <c r="L44" s="1034"/>
      <c r="M44" s="1034"/>
      <c r="N44" s="1034"/>
      <c r="O44" s="1034"/>
      <c r="P44" s="1034"/>
      <c r="Q44" s="1034"/>
      <c r="R44" s="1034"/>
      <c r="S44" s="1034"/>
      <c r="T44" s="1034"/>
      <c r="U44" s="2"/>
    </row>
    <row r="45" ht="12" customHeight="1">
      <c r="B45" s="2"/>
      <c r="C45" s="2"/>
      <c r="D45" s="2"/>
      <c r="E45" s="2"/>
      <c r="F45" s="2"/>
      <c r="G45" s="2"/>
      <c r="H45" s="2"/>
      <c r="I45" s="2"/>
      <c r="J45" s="2"/>
      <c r="K45" s="2"/>
      <c r="L45" s="2"/>
      <c r="M45" s="2"/>
      <c r="N45" s="2"/>
      <c r="O45" s="2"/>
      <c r="R45" s="2"/>
      <c r="S45" s="2"/>
      <c r="T45" s="2"/>
      <c r="U45" s="2"/>
    </row>
    <row r="46" s="236" customFormat="1" ht="18" customHeight="1">
      <c r="A46" s="236"/>
    </row>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sheetData>
  <mergeCells count="106">
    <mergeCell ref="H40:I40"/>
    <mergeCell ref="H39:I39"/>
    <mergeCell ref="K42:L42"/>
    <mergeCell ref="K41:L41"/>
    <mergeCell ref="F16:F17"/>
    <mergeCell ref="G16:G17"/>
    <mergeCell ref="B7:C7"/>
    <mergeCell ref="K36:L36"/>
    <mergeCell ref="B31:C31"/>
    <mergeCell ref="H36:J36"/>
    <mergeCell ref="E39:F39"/>
    <mergeCell ref="L6:L7"/>
    <mergeCell ref="E6:E7"/>
    <mergeCell ref="F6:F7"/>
    <mergeCell ref="H16:H17"/>
    <mergeCell ref="E15:L15"/>
    <mergeCell ref="I6:I7"/>
    <mergeCell ref="J6:J7"/>
    <mergeCell ref="K6:K7"/>
    <mergeCell ref="I16:I17"/>
    <mergeCell ref="J16:J17"/>
    <mergeCell ref="K16:K17"/>
    <mergeCell ref="L16:L17"/>
    <mergeCell ref="E35:L35"/>
    <mergeCell ref="B44:T44"/>
    <mergeCell ref="J26:J27"/>
    <mergeCell ref="K26:K27"/>
    <mergeCell ref="E25:L25"/>
    <mergeCell ref="E26:E27"/>
    <mergeCell ref="F26:F27"/>
    <mergeCell ref="G26:G27"/>
    <mergeCell ref="H26:H27"/>
    <mergeCell ref="I26:I27"/>
    <mergeCell ref="H38:I38"/>
    <mergeCell ref="K40:L40"/>
    <mergeCell ref="K38:L38"/>
    <mergeCell ref="N40:T42"/>
    <mergeCell ref="N37:P37"/>
    <mergeCell ref="H37:I37"/>
    <mergeCell ref="H42:I42"/>
    <mergeCell ref="H41:I41"/>
    <mergeCell ref="Q37:T37"/>
    <mergeCell ref="K39:L39"/>
    <mergeCell ref="E42:F42"/>
    <mergeCell ref="E38:F38"/>
    <mergeCell ref="E40:F40"/>
    <mergeCell ref="E41:F41"/>
    <mergeCell ref="E37:F37"/>
    <mergeCell ref="L26:L27"/>
    <mergeCell ref="E36:G36"/>
    <mergeCell ref="E16:E17"/>
    <mergeCell ref="G6:G7"/>
    <mergeCell ref="N15:T15"/>
    <mergeCell ref="N6:N7"/>
    <mergeCell ref="N16:N17"/>
    <mergeCell ref="O16:P17"/>
    <mergeCell ref="Q16:R17"/>
    <mergeCell ref="S16:T17"/>
    <mergeCell ref="N36:T36"/>
    <mergeCell ref="N25:T25"/>
    <mergeCell ref="N35:T35"/>
    <mergeCell ref="N26:N27"/>
    <mergeCell ref="O26:P27"/>
    <mergeCell ref="Q26:R27"/>
    <mergeCell ref="S26:T27"/>
    <mergeCell ref="S39:T39"/>
    <mergeCell ref="Q39:R39"/>
    <mergeCell ref="O39:P39"/>
    <mergeCell ref="O38:P38"/>
    <mergeCell ref="Q38:R38"/>
    <mergeCell ref="S38:T38"/>
    <mergeCell ref="B38:C38"/>
    <mergeCell ref="B33:C33"/>
    <mergeCell ref="B32:C32"/>
    <mergeCell ref="K37:L37"/>
    <mergeCell ref="B42:C42"/>
    <mergeCell ref="B41:C41"/>
    <mergeCell ref="B40:C40"/>
    <mergeCell ref="B39:C39"/>
    <mergeCell ref="B21:C21"/>
    <mergeCell ref="B20:C20"/>
    <mergeCell ref="B19:C19"/>
    <mergeCell ref="B13:C13"/>
    <mergeCell ref="B30:C30"/>
    <mergeCell ref="B29:C29"/>
    <mergeCell ref="B23:C23"/>
    <mergeCell ref="B22:C22"/>
    <mergeCell ref="B25:C25"/>
    <mergeCell ref="B28:C28"/>
    <mergeCell ref="B18:C18"/>
    <mergeCell ref="B4:T4"/>
    <mergeCell ref="B3:T3"/>
    <mergeCell ref="B2:T2"/>
    <mergeCell ref="B12:C12"/>
    <mergeCell ref="B11:C11"/>
    <mergeCell ref="B10:C10"/>
    <mergeCell ref="B9:C9"/>
    <mergeCell ref="O6:P7"/>
    <mergeCell ref="S6:T7"/>
    <mergeCell ref="Q6:R7"/>
    <mergeCell ref="N5:T5"/>
    <mergeCell ref="B5:C5"/>
    <mergeCell ref="B8:C8"/>
    <mergeCell ref="E5:L5"/>
    <mergeCell ref="B6:C6"/>
    <mergeCell ref="H6:H7"/>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22" max="1048575" man="1"/>
  </colBreaks>
  <drawing r:id="rId80"/>
</worksheet>
</file>

<file path=xl/worksheets/sheet8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0">
    <pageSetUpPr fitToPage="1"/>
  </sheetPr>
  <dimension ref="A1:AV94"/>
  <sheetViews>
    <sheetView showGridLines="0" zoomScale="70" zoomScaleNormal="75" workbookViewId="0"/>
  </sheetViews>
  <sheetFormatPr defaultRowHeight="12.75"/>
  <cols>
    <col min="1" max="1" width="1.85546875" customWidth="1"/>
    <col min="2" max="2" width="22.5703125" customWidth="1"/>
    <col min="3" max="20" width="10.28515625" customWidth="1"/>
    <col min="21" max="21" width="2.7109375" customWidth="1"/>
    <col min="22" max="24" width="10.28515625" customWidth="1"/>
    <col min="25" max="25" width="2.7109375" customWidth="1"/>
    <col min="26" max="28" width="10.28515625" customWidth="1"/>
    <col min="29" max="29" width="2.7109375" customWidth="1"/>
    <col min="30" max="32" width="10.28515625" customWidth="1"/>
    <col min="33" max="33" width="2.7109375" customWidth="1"/>
    <col min="34" max="37" width="9.28515625" style="236" customWidth="1"/>
    <col min="38" max="48" width="9.140625" style="236" customWidth="1"/>
  </cols>
  <sheetData>
    <row r="1" ht="39.95" customHeight="1">
      <c r="A1" s="7"/>
      <c r="B1" s="656" t="s">
        <v>169</v>
      </c>
      <c r="AA1" s="998"/>
      <c r="AB1" s="998"/>
      <c r="AC1" s="998"/>
      <c r="AD1" s="998"/>
      <c r="AE1" s="998"/>
      <c r="AF1" s="998"/>
      <c r="AH1" s="236"/>
    </row>
    <row r="2" ht="20.1" customHeight="1">
      <c r="A2" s="6"/>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c r="AC2" s="999"/>
      <c r="AD2" s="999"/>
      <c r="AE2" s="999"/>
      <c r="AF2" s="26"/>
    </row>
    <row r="3" ht="20.1" customHeight="1">
      <c r="A3" s="6"/>
      <c r="B3" s="999" t="s">
        <v>209</v>
      </c>
      <c r="C3" s="999"/>
      <c r="D3" s="999"/>
      <c r="E3" s="999"/>
      <c r="F3" s="999"/>
      <c r="G3" s="999"/>
      <c r="H3" s="999"/>
      <c r="I3" s="999"/>
      <c r="J3" s="999"/>
      <c r="K3" s="999"/>
      <c r="L3" s="999"/>
      <c r="M3" s="999"/>
      <c r="N3" s="999"/>
      <c r="O3" s="999"/>
      <c r="P3" s="999"/>
      <c r="Q3" s="999"/>
      <c r="R3" s="999"/>
      <c r="S3" s="999"/>
      <c r="T3" s="999"/>
      <c r="U3" s="1000"/>
      <c r="V3" s="1000"/>
      <c r="W3" s="1000"/>
      <c r="X3" s="1000"/>
      <c r="Y3" s="1000"/>
      <c r="Z3" s="1000"/>
      <c r="AA3" s="1000"/>
      <c r="AB3" s="1000"/>
      <c r="AC3" s="1000"/>
      <c r="AD3" s="1000"/>
      <c r="AE3" s="1000"/>
      <c r="AF3" s="1000"/>
    </row>
    <row r="4" ht="20.1" customHeight="1">
      <c r="A4" s="6"/>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c r="AC4" s="999"/>
      <c r="AD4" s="999"/>
      <c r="AE4" s="999"/>
      <c r="AF4" s="26"/>
    </row>
    <row r="5" ht="20.1" customHeight="1">
      <c r="A5" s="6"/>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row>
    <row r="6" ht="24.95" customHeight="1">
      <c r="A6" s="6"/>
      <c r="B6" s="4"/>
      <c r="C6" s="4"/>
      <c r="D6" s="4"/>
      <c r="E6" s="4"/>
      <c r="F6" s="4"/>
      <c r="G6" s="4"/>
      <c r="H6" s="4"/>
      <c r="I6" s="4"/>
      <c r="J6" s="4"/>
      <c r="K6" s="4"/>
      <c r="L6" s="4"/>
      <c r="M6" s="4"/>
      <c r="N6" s="4"/>
      <c r="O6" s="4"/>
      <c r="P6" s="4"/>
      <c r="Q6" s="4"/>
      <c r="R6" s="4"/>
      <c r="S6" s="4"/>
      <c r="T6" s="4"/>
      <c r="U6" s="4"/>
      <c r="V6" s="4"/>
      <c r="W6" s="4"/>
      <c r="X6" s="4"/>
      <c r="Y6" s="24"/>
      <c r="Z6" s="24"/>
      <c r="AA6" s="24"/>
      <c r="AB6" s="24"/>
      <c r="AC6" s="24"/>
      <c r="AD6" s="24"/>
      <c r="AE6" s="24"/>
      <c r="AF6" s="24"/>
      <c r="AG6" s="24"/>
    </row>
    <row r="7" ht="24.95" customHeight="1">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row>
    <row r="8" ht="24.95" customHeight="1">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row>
    <row r="9" ht="24.95" customHeight="1">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row>
    <row r="10" ht="24.95" customHeight="1">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row>
    <row r="11" ht="24.95" customHeight="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row>
    <row r="12" ht="24.95" customHeight="1">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row>
    <row r="13" ht="24.95" customHeight="1">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row>
    <row r="14" ht="24.95" customHeight="1">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row>
    <row r="15" ht="24.95" customHeight="1">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row>
    <row r="16" ht="24.95" customHeight="1">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row>
    <row r="17" ht="20.25" customHeight="1">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row>
    <row r="18" ht="28.5" customHeight="1">
      <c r="A18" s="8"/>
      <c r="B18" s="25"/>
      <c r="X18" s="1001"/>
      <c r="Y18" s="1001"/>
      <c r="Z18" s="1001"/>
      <c r="AA18" s="1001"/>
      <c r="AB18" s="1001"/>
      <c r="AC18" s="1001"/>
      <c r="AD18" s="1001"/>
      <c r="AE18" s="1001"/>
      <c r="AF18" s="1001"/>
      <c r="AG18" s="1001"/>
    </row>
    <row r="19" s="117" customFormat="1" ht="15.95" customHeight="1">
      <c r="B19" s="964" t="s">
        <v>22</v>
      </c>
      <c r="C19" s="1002">
        <v>2021</v>
      </c>
      <c r="D19" s="1002"/>
      <c r="E19" s="1002"/>
      <c r="F19" s="1002"/>
      <c r="G19" s="1002"/>
      <c r="H19" s="1002"/>
      <c r="I19" s="1002">
        <v>2022</v>
      </c>
      <c r="J19" s="1002"/>
      <c r="K19" s="1002"/>
      <c r="L19" s="1002"/>
      <c r="M19" s="1002"/>
      <c r="N19" s="1002"/>
      <c r="O19" s="1002"/>
      <c r="P19" s="1002"/>
      <c r="Q19" s="1002"/>
      <c r="R19" s="1002"/>
      <c r="S19" s="1002"/>
      <c r="T19" s="1002"/>
      <c r="U19" s="119"/>
      <c r="V19" s="1003" t="s">
        <v>58</v>
      </c>
      <c r="W19" s="1003"/>
      <c r="X19" s="1003"/>
      <c r="Y19" s="119"/>
      <c r="Z19" s="1003" t="s">
        <v>44</v>
      </c>
      <c r="AA19" s="1003"/>
      <c r="AB19" s="1003"/>
      <c r="AC19" s="119"/>
      <c r="AD19" s="1004" t="s">
        <v>45</v>
      </c>
      <c r="AE19" s="1004"/>
      <c r="AF19" s="1004"/>
      <c r="AG19" s="119"/>
      <c r="AH19" s="236"/>
      <c r="AI19" s="236"/>
      <c r="AJ19" s="236"/>
      <c r="AK19" s="236"/>
      <c r="AL19" s="236"/>
      <c r="AM19" s="236"/>
      <c r="AN19" s="236"/>
      <c r="AO19" s="236"/>
      <c r="AP19" s="236"/>
      <c r="AQ19" s="236"/>
      <c r="AR19" s="236"/>
      <c r="AS19" s="236"/>
      <c r="AT19" s="236"/>
      <c r="AU19" s="236"/>
      <c r="AV19" s="236"/>
    </row>
    <row r="20" s="118" customFormat="1" ht="15.95" customHeight="1">
      <c r="B20" s="964"/>
      <c r="C20" s="269" t="s">
        <v>218</v>
      </c>
      <c r="D20" s="269" t="s">
        <v>221</v>
      </c>
      <c r="E20" s="269" t="s">
        <v>222</v>
      </c>
      <c r="F20" s="269" t="s">
        <v>224</v>
      </c>
      <c r="G20" s="269" t="s">
        <v>227</v>
      </c>
      <c r="H20" s="1005" t="s">
        <v>229</v>
      </c>
      <c r="I20" s="269" t="s">
        <v>230</v>
      </c>
      <c r="J20" s="269" t="s">
        <v>231</v>
      </c>
      <c r="K20" s="269" t="s">
        <v>232</v>
      </c>
      <c r="L20" s="269" t="s">
        <v>233</v>
      </c>
      <c r="M20" s="269" t="s">
        <v>234</v>
      </c>
      <c r="N20" s="269" t="s">
        <v>235</v>
      </c>
      <c r="O20" s="269" t="s">
        <v>218</v>
      </c>
      <c r="P20" s="269" t="s">
        <v>221</v>
      </c>
      <c r="Q20" s="269" t="s">
        <v>222</v>
      </c>
      <c r="R20" s="269" t="s">
        <v>224</v>
      </c>
      <c r="S20" s="269" t="s">
        <v>227</v>
      </c>
      <c r="T20" s="1005" t="s">
        <v>229</v>
      </c>
      <c r="U20" s="144"/>
      <c r="V20" s="268">
        <v>2020</v>
      </c>
      <c r="W20" s="269">
        <v>2021</v>
      </c>
      <c r="X20" s="270">
        <v>2022</v>
      </c>
      <c r="Y20" s="144"/>
      <c r="Z20" s="268">
        <v>2020</v>
      </c>
      <c r="AA20" s="269">
        <v>2021</v>
      </c>
      <c r="AB20" s="270">
        <v>2022</v>
      </c>
      <c r="AC20" s="144"/>
      <c r="AD20" s="268">
        <v>2020</v>
      </c>
      <c r="AE20" s="269">
        <v>2021</v>
      </c>
      <c r="AF20" s="270">
        <v>2022</v>
      </c>
      <c r="AG20" s="144"/>
      <c r="AH20" s="236"/>
      <c r="AI20" s="236"/>
      <c r="AJ20" s="236"/>
      <c r="AK20" s="236"/>
      <c r="AL20" s="236"/>
      <c r="AM20" s="236"/>
      <c r="AN20" s="236"/>
      <c r="AO20" s="236"/>
      <c r="AP20" s="236"/>
      <c r="AQ20" s="236"/>
      <c r="AR20" s="236"/>
      <c r="AS20" s="236"/>
      <c r="AT20" s="236"/>
      <c r="AU20" s="236"/>
      <c r="AV20" s="236"/>
    </row>
    <row r="21" ht="21.95" customHeight="1">
      <c r="B21" s="263" t="s">
        <v>19</v>
      </c>
      <c r="C21" s="573">
        <v>86.95014662756598240469208211</v>
      </c>
      <c r="D21" s="574">
        <v>63.489736070381231671554252200</v>
      </c>
      <c r="E21" s="574">
        <v>59.141414141414141414141414140</v>
      </c>
      <c r="F21" s="574">
        <v>73.362658846529814271749755620</v>
      </c>
      <c r="G21" s="574">
        <v>84.36868686868686868686868687</v>
      </c>
      <c r="H21" s="1006">
        <v>93.62170087976539589442815249</v>
      </c>
      <c r="I21" s="574">
        <v>91.88660801564027370478983382</v>
      </c>
      <c r="J21" s="574">
        <v>96.50974025974025974025974026</v>
      </c>
      <c r="K21" s="574">
        <v>94.20821114369501466275659824</v>
      </c>
      <c r="L21" s="574">
        <v>90.80808080808080808080808081</v>
      </c>
      <c r="M21" s="574">
        <v>87.31671554252199413489736070</v>
      </c>
      <c r="N21" s="574">
        <v>81.03535353535353535353535354</v>
      </c>
      <c r="O21" s="574">
        <v>85.19061583577712609970674487</v>
      </c>
      <c r="P21" s="574">
        <v>79.42326490713587487781036168</v>
      </c>
      <c r="Q21" s="574">
        <v>67.601010101010101010101010100</v>
      </c>
      <c r="R21" s="574">
        <v>74.217986314760508308895405670</v>
      </c>
      <c r="S21" s="574">
        <v>86.46464646464646464646464646</v>
      </c>
      <c r="T21" s="1006">
        <v>86.33919843597262952101661779</v>
      </c>
      <c r="U21" s="113"/>
      <c r="V21" s="573">
        <v>49.336810730253353204172876300</v>
      </c>
      <c r="W21" s="574">
        <v>83.37069323370693233706932337</v>
      </c>
      <c r="X21" s="575">
        <v>85.02905770029057700290577003</v>
      </c>
      <c r="Y21" s="113"/>
      <c r="Z21" s="573">
        <v>58.885046113306982872200263500</v>
      </c>
      <c r="AA21" s="574">
        <v>83.77799736495388669301712780</v>
      </c>
      <c r="AB21" s="575">
        <v>82.29578392621870882740447958</v>
      </c>
      <c r="AC21" s="113"/>
      <c r="AD21" s="573">
        <v>49.336810730253353204172876300</v>
      </c>
      <c r="AE21" s="574">
        <v>83.37069323370693233706932337</v>
      </c>
      <c r="AF21" s="575">
        <v>85.02905770029057700290577003</v>
      </c>
      <c r="AG21" s="113"/>
    </row>
    <row r="22" ht="21.95" customHeight="1">
      <c r="B22" s="38" t="s">
        <v>35</v>
      </c>
      <c r="C22" s="271">
        <v>79.75488495779858943230431264</v>
      </c>
      <c r="D22" s="92">
        <v>57.896866689790727251705399470</v>
      </c>
      <c r="E22" s="92">
        <v>52.060931899641577060931899640</v>
      </c>
      <c r="F22" s="92">
        <v>60.037830376770103777925463930</v>
      </c>
      <c r="G22" s="92">
        <v>69.144215530903328050713153720</v>
      </c>
      <c r="H22" s="1007">
        <v>73.314247737845713409334901080</v>
      </c>
      <c r="I22" s="92">
        <v>61.602167578344665405654107660</v>
      </c>
      <c r="J22" s="92">
        <v>78.261114872489280072218460840</v>
      </c>
      <c r="K22" s="92">
        <v>81.32803343015848748917087092</v>
      </c>
      <c r="L22" s="92">
        <v>83.82833070036861506055818852</v>
      </c>
      <c r="M22" s="92">
        <v>77.113591194007032563828160830</v>
      </c>
      <c r="N22" s="92">
        <v>74.007372301211163770405476570</v>
      </c>
      <c r="O22" s="92">
        <v>79.33037761810120776639657545</v>
      </c>
      <c r="P22" s="92">
        <v>77.047342404321459511797380620</v>
      </c>
      <c r="Q22" s="92">
        <v>69.441811479726171669299631380</v>
      </c>
      <c r="R22" s="92">
        <v>73.495388065025735106762472610</v>
      </c>
      <c r="S22" s="92">
        <v>83.81253291205897840968931016</v>
      </c>
      <c r="T22" s="1007">
        <v>80.03363400091729093410793457</v>
      </c>
      <c r="U22" s="113"/>
      <c r="V22" s="271">
        <v>54.737770033314993713233345700</v>
      </c>
      <c r="W22" s="92">
        <v>70.801289059157928759518218890</v>
      </c>
      <c r="X22" s="272">
        <v>76.586155691111467077663724170</v>
      </c>
      <c r="Y22" s="113"/>
      <c r="Z22" s="271">
        <v>57.511927266180574309118732560</v>
      </c>
      <c r="AA22" s="92">
        <v>67.480879211741197547026803550</v>
      </c>
      <c r="AB22" s="272">
        <v>79.062779037021773473452847040</v>
      </c>
      <c r="AC22" s="113"/>
      <c r="AD22" s="271">
        <v>54.737770033314993713233345700</v>
      </c>
      <c r="AE22" s="92">
        <v>70.801289059157928759518218890</v>
      </c>
      <c r="AF22" s="272">
        <v>76.586155691111467077663724170</v>
      </c>
      <c r="AG22" s="113"/>
    </row>
    <row r="23" ht="21.95" customHeight="1">
      <c r="B23" s="40" t="s">
        <v>97</v>
      </c>
      <c r="C23" s="576">
        <v>109.02171907535588303398878294</v>
      </c>
      <c r="D23" s="113">
        <v>109.66005537147065908394704100</v>
      </c>
      <c r="E23" s="113">
        <v>113.60037552817709533980532247</v>
      </c>
      <c r="F23" s="113">
        <v>122.19405395914978764834331248</v>
      </c>
      <c r="G23" s="113">
        <v>122.01843092859036563938492279</v>
      </c>
      <c r="H23" s="1008">
        <v>127.69919049649486055730623721</v>
      </c>
      <c r="I23" s="113">
        <v>149.16132277138942874825291027</v>
      </c>
      <c r="J23" s="113">
        <v>123.31761490616408767702702939</v>
      </c>
      <c r="K23" s="113">
        <v>115.83731607693362127642772266</v>
      </c>
      <c r="L23" s="113">
        <v>108.32624251176637483819180394</v>
      </c>
      <c r="M23" s="113">
        <v>113.23129190398264274992852267</v>
      </c>
      <c r="N23" s="113">
        <v>109.49632586001108357581183914</v>
      </c>
      <c r="O23" s="113">
        <v>107.38713011790839572200060377</v>
      </c>
      <c r="P23" s="113">
        <v>103.08371765812298156374965825</v>
      </c>
      <c r="Q23" s="113">
        <v>97.34914550835410961060094803</v>
      </c>
      <c r="R23" s="113">
        <v>100.98318856296321034861305711</v>
      </c>
      <c r="S23" s="113">
        <v>103.16434005798144718693842428</v>
      </c>
      <c r="T23" s="1008">
        <v>107.87864316519942319816419055</v>
      </c>
      <c r="U23" s="113"/>
      <c r="V23" s="576">
        <v>90.13303008185948055047487188</v>
      </c>
      <c r="W23" s="113">
        <v>117.75307249561108049836149694</v>
      </c>
      <c r="X23" s="577">
        <v>111.02405772035861324740404304</v>
      </c>
      <c r="Y23" s="113"/>
      <c r="Z23" s="576">
        <v>102.38753752895700742233295320</v>
      </c>
      <c r="AA23" s="113">
        <v>124.15071994264747584931788074</v>
      </c>
      <c r="AB23" s="577">
        <v>104.08916171249902434340164108</v>
      </c>
      <c r="AC23" s="113"/>
      <c r="AD23" s="576">
        <v>90.13303008185948055047487188</v>
      </c>
      <c r="AE23" s="113">
        <v>117.75307249561108049836149694</v>
      </c>
      <c r="AF23" s="577">
        <v>111.02405772035861324740404304</v>
      </c>
      <c r="AG23" s="113"/>
    </row>
    <row r="24" ht="21.95" customHeight="1">
      <c r="A24" s="23"/>
      <c r="B24" s="39" t="s">
        <v>23</v>
      </c>
      <c r="C24" s="273" t="s">
        <v>228</v>
      </c>
      <c r="D24" s="274" t="s">
        <v>303</v>
      </c>
      <c r="E24" s="274" t="s">
        <v>225</v>
      </c>
      <c r="F24" s="274" t="s">
        <v>311</v>
      </c>
      <c r="G24" s="274" t="s">
        <v>313</v>
      </c>
      <c r="H24" s="1009" t="s">
        <v>312</v>
      </c>
      <c r="I24" s="274" t="s">
        <v>312</v>
      </c>
      <c r="J24" s="274" t="s">
        <v>314</v>
      </c>
      <c r="K24" s="274" t="s">
        <v>312</v>
      </c>
      <c r="L24" s="274" t="s">
        <v>313</v>
      </c>
      <c r="M24" s="274" t="s">
        <v>312</v>
      </c>
      <c r="N24" s="274" t="s">
        <v>312</v>
      </c>
      <c r="O24" s="274" t="s">
        <v>312</v>
      </c>
      <c r="P24" s="274" t="s">
        <v>313</v>
      </c>
      <c r="Q24" s="274" t="s">
        <v>315</v>
      </c>
      <c r="R24" s="274" t="s">
        <v>311</v>
      </c>
      <c r="S24" s="274" t="s">
        <v>313</v>
      </c>
      <c r="T24" s="1009" t="s">
        <v>312</v>
      </c>
      <c r="U24" s="113"/>
      <c r="V24" s="273" t="s">
        <v>318</v>
      </c>
      <c r="W24" s="274" t="s">
        <v>314</v>
      </c>
      <c r="X24" s="275" t="s">
        <v>312</v>
      </c>
      <c r="Y24" s="113"/>
      <c r="Z24" s="273" t="s">
        <v>220</v>
      </c>
      <c r="AA24" s="274" t="s">
        <v>312</v>
      </c>
      <c r="AB24" s="275" t="s">
        <v>313</v>
      </c>
      <c r="AC24" s="113"/>
      <c r="AD24" s="273" t="s">
        <v>318</v>
      </c>
      <c r="AE24" s="274" t="s">
        <v>314</v>
      </c>
      <c r="AF24" s="275" t="s">
        <v>312</v>
      </c>
      <c r="AG24" s="113"/>
    </row>
    <row r="25" ht="21.95" customHeight="1">
      <c r="B25" s="25" t="s">
        <v>68</v>
      </c>
      <c r="F25" s="4"/>
      <c r="G25" s="4"/>
      <c r="H25" s="4"/>
      <c r="I25" s="4"/>
      <c r="J25" s="4"/>
      <c r="K25" s="4"/>
      <c r="L25" s="4"/>
      <c r="M25" s="4"/>
      <c r="N25" s="4"/>
      <c r="O25" s="4"/>
      <c r="P25" s="4"/>
      <c r="Q25" s="4"/>
      <c r="R25" s="98"/>
      <c r="S25" s="98"/>
      <c r="T25" s="98"/>
      <c r="U25" s="9"/>
      <c r="V25" s="98"/>
      <c r="W25" s="98"/>
      <c r="X25" s="98"/>
      <c r="Y25" s="9"/>
      <c r="Z25" s="98"/>
      <c r="AA25" s="98"/>
      <c r="AB25" s="98"/>
      <c r="AC25" s="9"/>
      <c r="AD25" s="98"/>
      <c r="AE25" s="98"/>
      <c r="AF25" s="98"/>
      <c r="AG25" s="9"/>
    </row>
    <row r="26" ht="21.95" customHeight="1">
      <c r="B26" s="37" t="s">
        <v>19</v>
      </c>
      <c r="C26" s="573">
        <v>563.80597014730194364001464950</v>
      </c>
      <c r="D26" s="574">
        <v>148.61244019140849559304961144</v>
      </c>
      <c r="E26" s="574">
        <v>24.707135250377799780202680880</v>
      </c>
      <c r="F26" s="574">
        <v>38.660508083099887886756035140</v>
      </c>
      <c r="G26" s="574">
        <v>62.737457379552519698994735230</v>
      </c>
      <c r="H26" s="1006">
        <v>30.617115581374664890591574850</v>
      </c>
      <c r="I26" s="574">
        <v>7.643859146894496694505537800</v>
      </c>
      <c r="J26" s="574">
        <v>5.7515564779389224117965150300</v>
      </c>
      <c r="K26" s="574">
        <v>5.1841746248124777540578747600</v>
      </c>
      <c r="L26" s="574">
        <v>0.6437167645931443565335122900</v>
      </c>
      <c r="M26" s="574">
        <v>-5.149986726852332521205168600</v>
      </c>
      <c r="N26" s="574">
        <v>-11.475862068961609969084423130</v>
      </c>
      <c r="O26" s="574">
        <v>-2.0236087690096636134326977300</v>
      </c>
      <c r="P26" s="574">
        <v>25.096227867553474248267020370</v>
      </c>
      <c r="Q26" s="574">
        <v>14.304013663562771241525019280</v>
      </c>
      <c r="R26" s="574">
        <v>1.1658894071030720803053516800</v>
      </c>
      <c r="S26" s="574">
        <v>2.4842861418577396501664872700</v>
      </c>
      <c r="T26" s="1006">
        <v>-7.7786478726522018884396566100</v>
      </c>
      <c r="U26" s="113"/>
      <c r="V26" s="573">
        <v>-27.003821981851820098190248650</v>
      </c>
      <c r="W26" s="574">
        <v>68.982737229314182152003445530</v>
      </c>
      <c r="X26" s="575">
        <v>1.989145588536662112782954400</v>
      </c>
      <c r="Y26" s="113"/>
      <c r="Z26" s="573">
        <v>-22.119363972988326777063891620</v>
      </c>
      <c r="AA26" s="574">
        <v>42.273807859057565122229685470</v>
      </c>
      <c r="AB26" s="575">
        <v>-1.7692156477835750336517015900</v>
      </c>
      <c r="AC26" s="113"/>
      <c r="AD26" s="573">
        <v>-27.003821981851820098190248650</v>
      </c>
      <c r="AE26" s="574">
        <v>68.982737229314182152003445530</v>
      </c>
      <c r="AF26" s="575">
        <v>1.989145588536662112782954400</v>
      </c>
      <c r="AG26" s="113"/>
    </row>
    <row r="27" ht="21.95" customHeight="1">
      <c r="B27" s="38" t="s">
        <v>35</v>
      </c>
      <c r="C27" s="271">
        <v>320.29726990833681629670190124</v>
      </c>
      <c r="D27" s="92">
        <v>78.919702812897379978647925210</v>
      </c>
      <c r="E27" s="92">
        <v>22.900440408259195166177447440</v>
      </c>
      <c r="F27" s="92">
        <v>29.140415778099053567915482180</v>
      </c>
      <c r="G27" s="92">
        <v>16.202700422425338741534966630</v>
      </c>
      <c r="H27" s="1007">
        <v>10.070613795149851325484725810</v>
      </c>
      <c r="I27" s="92">
        <v>6.0292830617299562099147832600</v>
      </c>
      <c r="J27" s="92">
        <v>5.0925362069761632818632971700</v>
      </c>
      <c r="K27" s="92">
        <v>1.1294890572355921153582360100</v>
      </c>
      <c r="L27" s="92">
        <v>6.1487334284610843495073256200</v>
      </c>
      <c r="M27" s="92">
        <v>-9.319449321983753380132779760</v>
      </c>
      <c r="N27" s="92">
        <v>-9.768141855642560362325408710</v>
      </c>
      <c r="O27" s="92">
        <v>-0.5322650016026078707024968700</v>
      </c>
      <c r="P27" s="92">
        <v>33.076877574611997136639182460</v>
      </c>
      <c r="Q27" s="92">
        <v>33.385648212454902794679806700</v>
      </c>
      <c r="R27" s="92">
        <v>22.415129933519458510177921060</v>
      </c>
      <c r="S27" s="92">
        <v>21.214091834773689829114107170</v>
      </c>
      <c r="T27" s="1007">
        <v>9.165184763469721988999390170</v>
      </c>
      <c r="U27" s="113"/>
      <c r="V27" s="271">
        <v>-35.152875339663512907369129800</v>
      </c>
      <c r="W27" s="92">
        <v>29.346316110586173851607442170</v>
      </c>
      <c r="X27" s="272">
        <v>8.170566819870315525329626950</v>
      </c>
      <c r="Y27" s="113"/>
      <c r="Z27" s="271">
        <v>-32.398914682578171230776770120</v>
      </c>
      <c r="AA27" s="92">
        <v>17.333712187037057035376605830</v>
      </c>
      <c r="AB27" s="272">
        <v>17.163231956399399334669779050</v>
      </c>
      <c r="AC27" s="113"/>
      <c r="AD27" s="271">
        <v>-35.152875339663512907369129800</v>
      </c>
      <c r="AE27" s="92">
        <v>29.346316110586173851607442170</v>
      </c>
      <c r="AF27" s="272">
        <v>8.170566819870315525329626950</v>
      </c>
      <c r="AG27" s="113"/>
    </row>
    <row r="28" ht="21.95" customHeight="1">
      <c r="B28" s="40" t="s">
        <v>97</v>
      </c>
      <c r="C28" s="576">
        <v>57.937254813587626343069618200</v>
      </c>
      <c r="D28" s="113">
        <v>38.951963524797775732741187530</v>
      </c>
      <c r="E28" s="113">
        <v>1.470047492144188917081441300</v>
      </c>
      <c r="F28" s="113">
        <v>7.3718922520053564083302989800</v>
      </c>
      <c r="G28" s="113">
        <v>40.046192375769953938818409330</v>
      </c>
      <c r="H28" s="1008">
        <v>18.666655047954937799312875820</v>
      </c>
      <c r="I28" s="113">
        <v>1.5227643143042489996815873500</v>
      </c>
      <c r="J28" s="113">
        <v>0.6270857044128103401429717400</v>
      </c>
      <c r="K28" s="113">
        <v>4.0093998351053674376613505300</v>
      </c>
      <c r="L28" s="113">
        <v>-5.1861350446971339959428280700</v>
      </c>
      <c r="M28" s="113">
        <v>4.5979678816990546878264808700</v>
      </c>
      <c r="N28" s="113">
        <v>-1.8925912071811911130750892700</v>
      </c>
      <c r="O28" s="113">
        <v>-1.4993241450917810905184803500</v>
      </c>
      <c r="P28" s="113">
        <v>-5.997022061586674817421753800</v>
      </c>
      <c r="Q28" s="113">
        <v>-14.305612938587256290114503800</v>
      </c>
      <c r="R28" s="113">
        <v>-17.358344951249716894119968470</v>
      </c>
      <c r="S28" s="113">
        <v>-15.451838486311273329098802190</v>
      </c>
      <c r="T28" s="1008">
        <v>-15.521278760059032291546026350</v>
      </c>
      <c r="U28" s="113"/>
      <c r="V28" s="576">
        <v>12.566560815972058338102165780</v>
      </c>
      <c r="W28" s="113">
        <v>30.643641280686933845981765090</v>
      </c>
      <c r="X28" s="577">
        <v>-5.7145131185369497087318742800</v>
      </c>
      <c r="Y28" s="113"/>
      <c r="Z28" s="576">
        <v>15.206191825545106160056893530</v>
      </c>
      <c r="AA28" s="113">
        <v>21.255694725037531427159283550</v>
      </c>
      <c r="AB28" s="577">
        <v>-16.159034953141038344120207220</v>
      </c>
      <c r="AC28" s="113"/>
      <c r="AD28" s="576">
        <v>12.566560815972058338102165780</v>
      </c>
      <c r="AE28" s="113">
        <v>30.643641280686933845981765090</v>
      </c>
      <c r="AF28" s="577">
        <v>-5.7145131185369497087318742800</v>
      </c>
      <c r="AG28" s="113"/>
    </row>
    <row r="29" ht="21.95" customHeight="1">
      <c r="A29" s="23"/>
      <c r="B29" s="39" t="s">
        <v>23</v>
      </c>
      <c r="C29" s="273" t="s">
        <v>237</v>
      </c>
      <c r="D29" s="274" t="s">
        <v>236</v>
      </c>
      <c r="E29" s="274" t="s">
        <v>239</v>
      </c>
      <c r="F29" s="274" t="s">
        <v>239</v>
      </c>
      <c r="G29" s="274" t="s">
        <v>223</v>
      </c>
      <c r="H29" s="1009" t="s">
        <v>220</v>
      </c>
      <c r="I29" s="274" t="s">
        <v>303</v>
      </c>
      <c r="J29" s="274" t="s">
        <v>303</v>
      </c>
      <c r="K29" s="274" t="s">
        <v>226</v>
      </c>
      <c r="L29" s="274" t="s">
        <v>303</v>
      </c>
      <c r="M29" s="274" t="s">
        <v>225</v>
      </c>
      <c r="N29" s="274" t="s">
        <v>226</v>
      </c>
      <c r="O29" s="274" t="s">
        <v>226</v>
      </c>
      <c r="P29" s="274" t="s">
        <v>303</v>
      </c>
      <c r="Q29" s="274" t="s">
        <v>302</v>
      </c>
      <c r="R29" s="274" t="s">
        <v>315</v>
      </c>
      <c r="S29" s="274" t="s">
        <v>318</v>
      </c>
      <c r="T29" s="1009" t="s">
        <v>318</v>
      </c>
      <c r="U29" s="113"/>
      <c r="V29" s="273" t="s">
        <v>311</v>
      </c>
      <c r="W29" s="274" t="s">
        <v>314</v>
      </c>
      <c r="X29" s="275" t="s">
        <v>318</v>
      </c>
      <c r="Y29" s="113"/>
      <c r="Z29" s="273" t="s">
        <v>219</v>
      </c>
      <c r="AA29" s="274" t="s">
        <v>239</v>
      </c>
      <c r="AB29" s="275" t="s">
        <v>317</v>
      </c>
      <c r="AC29" s="113"/>
      <c r="AD29" s="273" t="s">
        <v>311</v>
      </c>
      <c r="AE29" s="274" t="s">
        <v>314</v>
      </c>
      <c r="AF29" s="275" t="s">
        <v>318</v>
      </c>
      <c r="AG29" s="113"/>
    </row>
    <row r="30" ht="21.95" customHeight="1">
      <c r="A30" s="8"/>
      <c r="B30" s="25"/>
      <c r="F30" s="4"/>
      <c r="G30" s="4"/>
      <c r="H30" s="4"/>
      <c r="I30" s="4"/>
      <c r="J30" s="4"/>
      <c r="K30" s="4"/>
      <c r="L30" s="4"/>
      <c r="M30" s="4"/>
      <c r="N30" s="4"/>
      <c r="O30" s="4"/>
      <c r="P30" s="4"/>
      <c r="Q30" s="4"/>
      <c r="U30" s="9"/>
      <c r="X30" s="102"/>
      <c r="Y30" s="116"/>
      <c r="Z30" s="4"/>
      <c r="AA30" s="4"/>
      <c r="AB30" s="102"/>
      <c r="AC30" s="116"/>
      <c r="AF30" s="102"/>
      <c r="AG30" s="116"/>
    </row>
    <row r="31" s="117" customFormat="1" ht="15.95" customHeight="1">
      <c r="B31" s="964" t="s">
        <v>9</v>
      </c>
      <c r="C31" s="1002">
        <v>2021</v>
      </c>
      <c r="D31" s="1002"/>
      <c r="E31" s="1002"/>
      <c r="F31" s="1002"/>
      <c r="G31" s="1002"/>
      <c r="H31" s="1002"/>
      <c r="I31" s="1002">
        <v>2022</v>
      </c>
      <c r="J31" s="1002"/>
      <c r="K31" s="1002"/>
      <c r="L31" s="1002"/>
      <c r="M31" s="1002"/>
      <c r="N31" s="1002"/>
      <c r="O31" s="1002"/>
      <c r="P31" s="1002"/>
      <c r="Q31" s="1002"/>
      <c r="R31" s="1002"/>
      <c r="S31" s="1002"/>
      <c r="T31" s="1002"/>
      <c r="U31" s="119"/>
      <c r="V31" s="1003" t="s">
        <v>58</v>
      </c>
      <c r="W31" s="1003"/>
      <c r="X31" s="1003"/>
      <c r="Y31" s="119"/>
      <c r="Z31" s="1003" t="s">
        <v>44</v>
      </c>
      <c r="AA31" s="1003"/>
      <c r="AB31" s="1003"/>
      <c r="AC31" s="119"/>
      <c r="AD31" s="1004" t="s">
        <v>45</v>
      </c>
      <c r="AE31" s="1004"/>
      <c r="AF31" s="1004"/>
      <c r="AG31" s="119"/>
      <c r="AH31" s="236"/>
      <c r="AI31" s="236"/>
      <c r="AJ31" s="236"/>
      <c r="AK31" s="236"/>
      <c r="AL31" s="236"/>
      <c r="AM31" s="236"/>
      <c r="AN31" s="236"/>
      <c r="AO31" s="236"/>
      <c r="AP31" s="236"/>
      <c r="AQ31" s="236"/>
      <c r="AR31" s="236"/>
      <c r="AS31" s="236"/>
      <c r="AT31" s="236"/>
      <c r="AU31" s="236"/>
      <c r="AV31" s="236"/>
    </row>
    <row r="32" s="118" customFormat="1" ht="15.95" customHeight="1">
      <c r="B32" s="964"/>
      <c r="C32" s="269" t="s">
        <v>218</v>
      </c>
      <c r="D32" s="269" t="s">
        <v>221</v>
      </c>
      <c r="E32" s="269" t="s">
        <v>222</v>
      </c>
      <c r="F32" s="269" t="s">
        <v>224</v>
      </c>
      <c r="G32" s="269" t="s">
        <v>227</v>
      </c>
      <c r="H32" s="1005" t="s">
        <v>229</v>
      </c>
      <c r="I32" s="269" t="s">
        <v>230</v>
      </c>
      <c r="J32" s="269" t="s">
        <v>231</v>
      </c>
      <c r="K32" s="269" t="s">
        <v>232</v>
      </c>
      <c r="L32" s="269" t="s">
        <v>233</v>
      </c>
      <c r="M32" s="269" t="s">
        <v>234</v>
      </c>
      <c r="N32" s="269" t="s">
        <v>235</v>
      </c>
      <c r="O32" s="269" t="s">
        <v>218</v>
      </c>
      <c r="P32" s="269" t="s">
        <v>221</v>
      </c>
      <c r="Q32" s="269" t="s">
        <v>222</v>
      </c>
      <c r="R32" s="269" t="s">
        <v>224</v>
      </c>
      <c r="S32" s="269" t="s">
        <v>227</v>
      </c>
      <c r="T32" s="1005" t="s">
        <v>229</v>
      </c>
      <c r="U32" s="144"/>
      <c r="V32" s="268">
        <v>2020</v>
      </c>
      <c r="W32" s="269">
        <v>2021</v>
      </c>
      <c r="X32" s="270">
        <v>2022</v>
      </c>
      <c r="Y32" s="144"/>
      <c r="Z32" s="268">
        <v>2020</v>
      </c>
      <c r="AA32" s="269">
        <v>2021</v>
      </c>
      <c r="AB32" s="270">
        <v>2022</v>
      </c>
      <c r="AC32" s="144"/>
      <c r="AD32" s="268">
        <v>2020</v>
      </c>
      <c r="AE32" s="269">
        <v>2021</v>
      </c>
      <c r="AF32" s="270">
        <v>2022</v>
      </c>
      <c r="AG32" s="144"/>
      <c r="AH32" s="236"/>
      <c r="AI32" s="236"/>
      <c r="AJ32" s="236"/>
      <c r="AK32" s="236"/>
      <c r="AL32" s="236"/>
      <c r="AM32" s="236"/>
      <c r="AN32" s="236"/>
      <c r="AO32" s="236"/>
      <c r="AP32" s="236"/>
      <c r="AQ32" s="236"/>
      <c r="AR32" s="236"/>
      <c r="AS32" s="236"/>
      <c r="AT32" s="236"/>
      <c r="AU32" s="236"/>
      <c r="AV32" s="236"/>
    </row>
    <row r="33" ht="21.95" customHeight="1">
      <c r="B33" s="263" t="s">
        <v>19</v>
      </c>
      <c r="C33" s="578">
        <v>267.21810005621135469364811692</v>
      </c>
      <c r="D33" s="579">
        <v>206.73171670515781370284834488</v>
      </c>
      <c r="E33" s="579">
        <v>182.90093936806148590947907771</v>
      </c>
      <c r="F33" s="579">
        <v>185.16122584943371085942704863</v>
      </c>
      <c r="G33" s="579">
        <v>232.85902424423825202035318767</v>
      </c>
      <c r="H33" s="1010">
        <v>336.98538240668232837379274341</v>
      </c>
      <c r="I33" s="579">
        <v>272.61063829787234042553191489</v>
      </c>
      <c r="J33" s="579">
        <v>360.40734510793383795906924586</v>
      </c>
      <c r="K33" s="579">
        <v>335.71802853437094682230869001</v>
      </c>
      <c r="L33" s="579">
        <v>354.76223581757508342602892102</v>
      </c>
      <c r="M33" s="579">
        <v>316.9294710327455919395465995</v>
      </c>
      <c r="N33" s="579">
        <v>212.63477718915550015581177937</v>
      </c>
      <c r="O33" s="579">
        <v>229.13482501434308663224325875</v>
      </c>
      <c r="P33" s="579">
        <v>193.212000000</v>
      </c>
      <c r="Q33" s="579">
        <v>184.57228240567799775868509526</v>
      </c>
      <c r="R33" s="579">
        <v>212.23740533421139282186368126</v>
      </c>
      <c r="S33" s="579">
        <v>262.937500000</v>
      </c>
      <c r="T33" s="1010">
        <v>319.73223889046136427964902349</v>
      </c>
      <c r="U33" s="113"/>
      <c r="V33" s="578">
        <v>205.63515078286260887076473846</v>
      </c>
      <c r="W33" s="579">
        <v>233.74962656841266679944234216</v>
      </c>
      <c r="X33" s="580">
        <v>275.60038567627602704615910367</v>
      </c>
      <c r="Y33" s="113"/>
      <c r="Z33" s="578">
        <v>140.13704377010208362466787862</v>
      </c>
      <c r="AA33" s="579">
        <v>257.99361116571653233733045017</v>
      </c>
      <c r="AB33" s="580">
        <v>267.60826495897538523113868321</v>
      </c>
      <c r="AC33" s="113"/>
      <c r="AD33" s="578">
        <v>205.63515078286260887076473846</v>
      </c>
      <c r="AE33" s="579">
        <v>233.74962656841266679944234216</v>
      </c>
      <c r="AF33" s="580">
        <v>275.60038567627602704615910367</v>
      </c>
      <c r="AG33" s="113"/>
    </row>
    <row r="34" ht="21.95" customHeight="1">
      <c r="B34" s="38" t="s">
        <v>35</v>
      </c>
      <c r="C34" s="276">
        <v>243.863366193099449115685706</v>
      </c>
      <c r="D34" s="94">
        <v>200.90484273589615576635047428</v>
      </c>
      <c r="E34" s="94">
        <v>186.20061962134251290877796902</v>
      </c>
      <c r="F34" s="94">
        <v>197.81733651226158038147138966</v>
      </c>
      <c r="G34" s="94">
        <v>241.59813583925433570173428071</v>
      </c>
      <c r="H34" s="1011">
        <v>348.91318597029495851056411687</v>
      </c>
      <c r="I34" s="94">
        <v>325.30975103734439834024896268</v>
      </c>
      <c r="J34" s="94">
        <v>386.81839809674861221252973833</v>
      </c>
      <c r="K34" s="94">
        <v>388.95400714330471834074816715</v>
      </c>
      <c r="L34" s="94">
        <v>368.16835228343488912620139455</v>
      </c>
      <c r="M34" s="94">
        <v>315.60388580491673275178429818</v>
      </c>
      <c r="N34" s="94">
        <v>227.67923722783549167496798064</v>
      </c>
      <c r="O34" s="94">
        <v>217.80484357936660885205884242</v>
      </c>
      <c r="P34" s="94">
        <v>187.10648852437330511277200874</v>
      </c>
      <c r="Q34" s="94">
        <v>186.75794342913475392431940549</v>
      </c>
      <c r="R34" s="94">
        <v>235.56753570933296352794341978</v>
      </c>
      <c r="S34" s="94">
        <v>280.49811510429756220155818046</v>
      </c>
      <c r="T34" s="1011">
        <v>325.47704552690226042661572745</v>
      </c>
      <c r="U34" s="113"/>
      <c r="V34" s="276">
        <v>223.18590302999951209887041139</v>
      </c>
      <c r="W34" s="94">
        <v>244.13632952012674883858320578</v>
      </c>
      <c r="X34" s="277">
        <v>288.21114352095239710346464972</v>
      </c>
      <c r="Y34" s="113"/>
      <c r="Z34" s="276">
        <v>147.0165127562998904366880576</v>
      </c>
      <c r="AA34" s="94">
        <v>267.75945269821820595292796244</v>
      </c>
      <c r="AB34" s="277">
        <v>281.76660947375279629911169993</v>
      </c>
      <c r="AC34" s="113"/>
      <c r="AD34" s="276">
        <v>223.18590302999951209887041139</v>
      </c>
      <c r="AE34" s="94">
        <v>244.13632952012674883858320578</v>
      </c>
      <c r="AF34" s="277">
        <v>288.21114352095239710346464972</v>
      </c>
      <c r="AG34" s="113"/>
    </row>
    <row r="35" ht="21.95" customHeight="1">
      <c r="B35" s="40" t="s">
        <v>98</v>
      </c>
      <c r="C35" s="576">
        <v>109.57697510195861717572045124</v>
      </c>
      <c r="D35" s="113">
        <v>102.90031533830050404076121552</v>
      </c>
      <c r="E35" s="113">
        <v>98.22788975678518386159217354</v>
      </c>
      <c r="F35" s="113">
        <v>93.60212260158535183766972333</v>
      </c>
      <c r="G35" s="113">
        <v>96.38279013838310233185525617</v>
      </c>
      <c r="H35" s="1008">
        <v>96.58144087319388849727545932</v>
      </c>
      <c r="I35" s="113">
        <v>83.80032797314299321189101965</v>
      </c>
      <c r="J35" s="113">
        <v>93.17223453726114835973694183</v>
      </c>
      <c r="K35" s="113">
        <v>86.31304019723965980884322333</v>
      </c>
      <c r="L35" s="113">
        <v>96.35869938774491115443834858</v>
      </c>
      <c r="M35" s="113">
        <v>100.42001549647111828438061478</v>
      </c>
      <c r="N35" s="113">
        <v>93.39225648248634103104794510</v>
      </c>
      <c r="O35" s="113">
        <v>105.20189599494043446846513943</v>
      </c>
      <c r="P35" s="113">
        <v>103.26312119037165214585774073</v>
      </c>
      <c r="Q35" s="113">
        <v>98.82968243101704672726607818</v>
      </c>
      <c r="R35" s="113">
        <v>90.09620306769310315307943456</v>
      </c>
      <c r="S35" s="113">
        <v>93.73948908791408914862248005</v>
      </c>
      <c r="T35" s="1008">
        <v>98.23495797464345625703116866</v>
      </c>
      <c r="U35" s="113"/>
      <c r="V35" s="576">
        <v>92.13626308433186747707142517</v>
      </c>
      <c r="W35" s="113">
        <v>95.74553161665675609516130379</v>
      </c>
      <c r="X35" s="577">
        <v>95.62447249934140309231221971</v>
      </c>
      <c r="Y35" s="113"/>
      <c r="Z35" s="576">
        <v>95.32061476821887471567039296</v>
      </c>
      <c r="AA35" s="113">
        <v>96.35275564165017504118918201</v>
      </c>
      <c r="AB35" s="577">
        <v>94.97515176079047613073038307</v>
      </c>
      <c r="AC35" s="113"/>
      <c r="AD35" s="576">
        <v>92.13626308433186747707142517</v>
      </c>
      <c r="AE35" s="113">
        <v>95.74553161665675609516130379</v>
      </c>
      <c r="AF35" s="577">
        <v>95.62447249934140309231221971</v>
      </c>
      <c r="AG35" s="113"/>
    </row>
    <row r="36" ht="21.95" customHeight="1">
      <c r="A36" s="23"/>
      <c r="B36" s="39" t="s">
        <v>23</v>
      </c>
      <c r="C36" s="273" t="s">
        <v>225</v>
      </c>
      <c r="D36" s="274" t="s">
        <v>225</v>
      </c>
      <c r="E36" s="274" t="s">
        <v>225</v>
      </c>
      <c r="F36" s="274" t="s">
        <v>312</v>
      </c>
      <c r="G36" s="274" t="s">
        <v>312</v>
      </c>
      <c r="H36" s="1009" t="s">
        <v>313</v>
      </c>
      <c r="I36" s="274" t="s">
        <v>311</v>
      </c>
      <c r="J36" s="274" t="s">
        <v>313</v>
      </c>
      <c r="K36" s="274" t="s">
        <v>311</v>
      </c>
      <c r="L36" s="274" t="s">
        <v>313</v>
      </c>
      <c r="M36" s="274" t="s">
        <v>313</v>
      </c>
      <c r="N36" s="274" t="s">
        <v>311</v>
      </c>
      <c r="O36" s="274" t="s">
        <v>313</v>
      </c>
      <c r="P36" s="274" t="s">
        <v>313</v>
      </c>
      <c r="Q36" s="274" t="s">
        <v>312</v>
      </c>
      <c r="R36" s="274" t="s">
        <v>313</v>
      </c>
      <c r="S36" s="274" t="s">
        <v>313</v>
      </c>
      <c r="T36" s="1009" t="s">
        <v>313</v>
      </c>
      <c r="U36" s="113"/>
      <c r="V36" s="273" t="s">
        <v>315</v>
      </c>
      <c r="W36" s="274" t="s">
        <v>313</v>
      </c>
      <c r="X36" s="275" t="s">
        <v>313</v>
      </c>
      <c r="Y36" s="113"/>
      <c r="Z36" s="273" t="s">
        <v>223</v>
      </c>
      <c r="AA36" s="274" t="s">
        <v>313</v>
      </c>
      <c r="AB36" s="275" t="s">
        <v>313</v>
      </c>
      <c r="AC36" s="113"/>
      <c r="AD36" s="273" t="s">
        <v>315</v>
      </c>
      <c r="AE36" s="274" t="s">
        <v>313</v>
      </c>
      <c r="AF36" s="275" t="s">
        <v>313</v>
      </c>
      <c r="AG36" s="113"/>
    </row>
    <row r="37" ht="21.95" customHeight="1">
      <c r="B37" s="25" t="s">
        <v>68</v>
      </c>
      <c r="F37" s="4"/>
      <c r="G37" s="4"/>
      <c r="H37" s="4"/>
      <c r="I37" s="4"/>
      <c r="J37" s="4"/>
      <c r="K37" s="4"/>
      <c r="L37" s="4"/>
      <c r="M37" s="4"/>
      <c r="N37" s="4"/>
      <c r="O37" s="4"/>
      <c r="P37" s="4"/>
      <c r="Q37" s="4"/>
      <c r="S37" s="98"/>
      <c r="T37" s="98"/>
      <c r="U37" s="9"/>
      <c r="V37" s="98"/>
      <c r="W37" s="98"/>
      <c r="X37" s="98"/>
      <c r="Y37" s="9"/>
      <c r="Z37" s="98"/>
      <c r="AA37" s="98"/>
      <c r="AB37" s="98"/>
      <c r="AC37" s="9"/>
      <c r="AD37" s="98"/>
      <c r="AE37" s="98"/>
      <c r="AF37" s="98"/>
      <c r="AG37" s="9"/>
    </row>
    <row r="38" ht="21.95" customHeight="1">
      <c r="B38" s="37" t="s">
        <v>19</v>
      </c>
      <c r="C38" s="573">
        <v>94.56747579283222250525818635</v>
      </c>
      <c r="D38" s="574">
        <v>87.50565808009448037464337649</v>
      </c>
      <c r="E38" s="574">
        <v>62.854565603148828120779834780</v>
      </c>
      <c r="F38" s="574">
        <v>55.268010149497998698846866090</v>
      </c>
      <c r="G38" s="574">
        <v>84.30857304858609216838980761</v>
      </c>
      <c r="H38" s="1006">
        <v>103.97519524991013283641442340</v>
      </c>
      <c r="I38" s="574">
        <v>62.573534812503983902355966970</v>
      </c>
      <c r="J38" s="574">
        <v>77.237971075308441506482345590</v>
      </c>
      <c r="K38" s="574">
        <v>41.999754707629583918543983940</v>
      </c>
      <c r="L38" s="574">
        <v>47.627193746327478596713406380</v>
      </c>
      <c r="M38" s="574">
        <v>17.329605123397602146698247530</v>
      </c>
      <c r="N38" s="574">
        <v>-7.5738200557158284056744327100</v>
      </c>
      <c r="O38" s="574">
        <v>-14.251757285096864985392944240</v>
      </c>
      <c r="P38" s="574">
        <v>-6.5397399686276264166636040100</v>
      </c>
      <c r="Q38" s="574">
        <v>0.9137968582076615383711579200</v>
      </c>
      <c r="R38" s="574">
        <v>14.623028855314273128633840750</v>
      </c>
      <c r="S38" s="574">
        <v>12.917032463494567736462841820</v>
      </c>
      <c r="T38" s="1006">
        <v>-5.1198492329308838951420960200</v>
      </c>
      <c r="U38" s="113"/>
      <c r="V38" s="573">
        <v>5.6208548544613259021366218100</v>
      </c>
      <c r="W38" s="574">
        <v>13.672018464972760852009297750</v>
      </c>
      <c r="X38" s="575">
        <v>17.904096670558583726120748430</v>
      </c>
      <c r="Y38" s="113"/>
      <c r="Z38" s="573">
        <v>-27.274979319885839337582836260</v>
      </c>
      <c r="AA38" s="574">
        <v>84.10093735740892845007746608</v>
      </c>
      <c r="AB38" s="575">
        <v>3.7267022814375971313477932500</v>
      </c>
      <c r="AC38" s="113"/>
      <c r="AD38" s="573">
        <v>5.6208548544613259021366218100</v>
      </c>
      <c r="AE38" s="574">
        <v>13.672018464972760852009297750</v>
      </c>
      <c r="AF38" s="575">
        <v>17.904096670558583726120748430</v>
      </c>
      <c r="AG38" s="113"/>
    </row>
    <row r="39" ht="21.95" customHeight="1">
      <c r="B39" s="38" t="s">
        <v>35</v>
      </c>
      <c r="C39" s="271">
        <v>95.22101359561158124362157758</v>
      </c>
      <c r="D39" s="92">
        <v>94.61407693311956021689054908</v>
      </c>
      <c r="E39" s="92">
        <v>49.776874831092768091764475470</v>
      </c>
      <c r="F39" s="92">
        <v>53.523895258817064313935972400</v>
      </c>
      <c r="G39" s="92">
        <v>91.77261984577808263038825024</v>
      </c>
      <c r="H39" s="1007">
        <v>96.1496906260328225603953300</v>
      </c>
      <c r="I39" s="92">
        <v>76.471648620080000263949452070</v>
      </c>
      <c r="J39" s="92">
        <v>82.81600535924909870075829732</v>
      </c>
      <c r="K39" s="92">
        <v>46.813966894327075211556800240</v>
      </c>
      <c r="L39" s="92">
        <v>43.442102444104158628404014290</v>
      </c>
      <c r="M39" s="92">
        <v>13.700991920860840086838315710</v>
      </c>
      <c r="N39" s="92">
        <v>-8.086854656068601818428451710</v>
      </c>
      <c r="O39" s="92">
        <v>-10.685706106877608117473657890</v>
      </c>
      <c r="P39" s="92">
        <v>-6.8681043341824061622067149100</v>
      </c>
      <c r="Q39" s="92">
        <v>0.2993136161245083870198277300</v>
      </c>
      <c r="R39" s="92">
        <v>19.083362390073283568836448220</v>
      </c>
      <c r="S39" s="92">
        <v>16.101109029612730295297409930</v>
      </c>
      <c r="T39" s="1007">
        <v>-6.7168973216714882417544129600</v>
      </c>
      <c r="U39" s="113"/>
      <c r="V39" s="271">
        <v>6.3579455426976815210186014800</v>
      </c>
      <c r="W39" s="92">
        <v>9.386984664219878367191158250</v>
      </c>
      <c r="X39" s="272">
        <v>18.053361450747817297656364760</v>
      </c>
      <c r="Y39" s="113"/>
      <c r="Z39" s="271">
        <v>-29.549216201614025138658809960</v>
      </c>
      <c r="AA39" s="92">
        <v>82.12882871332022514184467911</v>
      </c>
      <c r="AB39" s="272">
        <v>5.2312464170371224898378230600</v>
      </c>
      <c r="AC39" s="113"/>
      <c r="AD39" s="271">
        <v>6.3579455426976815210186014800</v>
      </c>
      <c r="AE39" s="92">
        <v>9.386984664219878367191158250</v>
      </c>
      <c r="AF39" s="272">
        <v>18.053361450747817297656364760</v>
      </c>
      <c r="AG39" s="113"/>
    </row>
    <row r="40" ht="21.95" customHeight="1">
      <c r="B40" s="40" t="s">
        <v>98</v>
      </c>
      <c r="C40" s="576">
        <v>-0.3347681639501756897289179600</v>
      </c>
      <c r="D40" s="113">
        <v>-3.6525717795763596106907166100</v>
      </c>
      <c r="E40" s="113">
        <v>8.731448554245657599922349540</v>
      </c>
      <c r="F40" s="113">
        <v>1.1360543501086456519428816100</v>
      </c>
      <c r="G40" s="113">
        <v>-3.8921337171246842747351085400</v>
      </c>
      <c r="H40" s="1008">
        <v>3.9895574644125868359905135800</v>
      </c>
      <c r="I40" s="113">
        <v>-7.8755505013254532506190387700</v>
      </c>
      <c r="J40" s="113">
        <v>-3.0511739237421237737005573300</v>
      </c>
      <c r="K40" s="113">
        <v>-3.27912411101006498293789900</v>
      </c>
      <c r="L40" s="113">
        <v>2.9176170949710539227140237800</v>
      </c>
      <c r="M40" s="113">
        <v>3.1913645969172895907240912700</v>
      </c>
      <c r="N40" s="113">
        <v>0.5581732607557622702382273500</v>
      </c>
      <c r="O40" s="113">
        <v>-3.9926992901446788940717592300</v>
      </c>
      <c r="P40" s="113">
        <v>0.3525799224996291488918137100</v>
      </c>
      <c r="Q40" s="113">
        <v>0.6126494987391160577709736300</v>
      </c>
      <c r="R40" s="113">
        <v>-3.7455555883376601520649307100</v>
      </c>
      <c r="S40" s="113">
        <v>-2.7425031446903399446375120100</v>
      </c>
      <c r="T40" s="1008">
        <v>1.7120443498190594325484706900</v>
      </c>
      <c r="U40" s="113"/>
      <c r="V40" s="576">
        <v>-0.6930283247542820373418889300</v>
      </c>
      <c r="W40" s="113">
        <v>3.917315953062323296886661500</v>
      </c>
      <c r="X40" s="577">
        <v>-0.1264383990714420922833431300</v>
      </c>
      <c r="Y40" s="113"/>
      <c r="Z40" s="576">
        <v>3.2281214758534012096093181300</v>
      </c>
      <c r="AA40" s="113">
        <v>1.082809711162824486250544200</v>
      </c>
      <c r="AB40" s="577">
        <v>-1.4297503706404821957292686400</v>
      </c>
      <c r="AC40" s="113"/>
      <c r="AD40" s="576">
        <v>-0.6930283247542820373418889300</v>
      </c>
      <c r="AE40" s="113">
        <v>3.917315953062323296886661500</v>
      </c>
      <c r="AF40" s="577">
        <v>-0.1264383990714420922833431300</v>
      </c>
      <c r="AG40" s="113"/>
    </row>
    <row r="41" ht="21.95" customHeight="1">
      <c r="A41" s="23"/>
      <c r="B41" s="39" t="s">
        <v>23</v>
      </c>
      <c r="C41" s="273" t="s">
        <v>236</v>
      </c>
      <c r="D41" s="274" t="s">
        <v>236</v>
      </c>
      <c r="E41" s="274" t="s">
        <v>220</v>
      </c>
      <c r="F41" s="274" t="s">
        <v>220</v>
      </c>
      <c r="G41" s="274" t="s">
        <v>220</v>
      </c>
      <c r="H41" s="1009" t="s">
        <v>220</v>
      </c>
      <c r="I41" s="274" t="s">
        <v>303</v>
      </c>
      <c r="J41" s="274" t="s">
        <v>226</v>
      </c>
      <c r="K41" s="274" t="s">
        <v>303</v>
      </c>
      <c r="L41" s="274" t="s">
        <v>225</v>
      </c>
      <c r="M41" s="274" t="s">
        <v>226</v>
      </c>
      <c r="N41" s="274" t="s">
        <v>225</v>
      </c>
      <c r="O41" s="274" t="s">
        <v>302</v>
      </c>
      <c r="P41" s="274" t="s">
        <v>303</v>
      </c>
      <c r="Q41" s="274" t="s">
        <v>303</v>
      </c>
      <c r="R41" s="274" t="s">
        <v>315</v>
      </c>
      <c r="S41" s="274" t="s">
        <v>317</v>
      </c>
      <c r="T41" s="1009" t="s">
        <v>315</v>
      </c>
      <c r="U41" s="113"/>
      <c r="V41" s="273" t="s">
        <v>313</v>
      </c>
      <c r="W41" s="274" t="s">
        <v>313</v>
      </c>
      <c r="X41" s="275" t="s">
        <v>311</v>
      </c>
      <c r="Y41" s="113"/>
      <c r="Z41" s="273" t="s">
        <v>223</v>
      </c>
      <c r="AA41" s="274" t="s">
        <v>220</v>
      </c>
      <c r="AB41" s="275" t="s">
        <v>315</v>
      </c>
      <c r="AC41" s="113"/>
      <c r="AD41" s="273" t="s">
        <v>313</v>
      </c>
      <c r="AE41" s="274" t="s">
        <v>313</v>
      </c>
      <c r="AF41" s="275" t="s">
        <v>311</v>
      </c>
      <c r="AG41" s="113"/>
    </row>
    <row r="42" ht="21.95" customHeight="1">
      <c r="A42" s="8"/>
      <c r="B42" s="25"/>
      <c r="F42" s="4"/>
      <c r="G42" s="4"/>
      <c r="H42" s="4"/>
      <c r="I42" s="4"/>
      <c r="J42" s="4"/>
      <c r="K42" s="4"/>
      <c r="L42" s="4"/>
      <c r="M42" s="4"/>
      <c r="N42" s="4"/>
      <c r="O42" s="4"/>
      <c r="P42" s="4"/>
      <c r="Q42" s="4"/>
      <c r="U42" s="9"/>
      <c r="X42" s="102"/>
      <c r="Y42" s="116"/>
      <c r="Z42" s="4"/>
      <c r="AA42" s="4"/>
      <c r="AB42" s="102"/>
      <c r="AC42" s="116"/>
      <c r="AF42" s="102"/>
      <c r="AG42" s="116"/>
    </row>
    <row r="43" s="117" customFormat="1" ht="15.95" customHeight="1">
      <c r="B43" s="964" t="s">
        <v>10</v>
      </c>
      <c r="C43" s="1002">
        <v>2021</v>
      </c>
      <c r="D43" s="1002"/>
      <c r="E43" s="1002"/>
      <c r="F43" s="1002"/>
      <c r="G43" s="1002"/>
      <c r="H43" s="1002"/>
      <c r="I43" s="1002">
        <v>2022</v>
      </c>
      <c r="J43" s="1002"/>
      <c r="K43" s="1002"/>
      <c r="L43" s="1002"/>
      <c r="M43" s="1002"/>
      <c r="N43" s="1002"/>
      <c r="O43" s="1002"/>
      <c r="P43" s="1002"/>
      <c r="Q43" s="1002"/>
      <c r="R43" s="1002"/>
      <c r="S43" s="1002"/>
      <c r="T43" s="1002"/>
      <c r="U43" s="119"/>
      <c r="V43" s="1003" t="s">
        <v>58</v>
      </c>
      <c r="W43" s="1003"/>
      <c r="X43" s="1003"/>
      <c r="Y43" s="119"/>
      <c r="Z43" s="1003" t="s">
        <v>44</v>
      </c>
      <c r="AA43" s="1003"/>
      <c r="AB43" s="1003"/>
      <c r="AC43" s="119"/>
      <c r="AD43" s="1004" t="s">
        <v>45</v>
      </c>
      <c r="AE43" s="1004"/>
      <c r="AF43" s="1004"/>
      <c r="AG43" s="119"/>
      <c r="AH43" s="236"/>
      <c r="AI43" s="236"/>
      <c r="AJ43" s="236"/>
      <c r="AK43" s="236"/>
      <c r="AL43" s="236"/>
      <c r="AM43" s="236"/>
      <c r="AN43" s="236"/>
      <c r="AO43" s="236"/>
      <c r="AP43" s="236"/>
      <c r="AQ43" s="236"/>
      <c r="AR43" s="236"/>
      <c r="AS43" s="236"/>
      <c r="AT43" s="236"/>
      <c r="AU43" s="236"/>
      <c r="AV43" s="236"/>
    </row>
    <row r="44" s="118" customFormat="1" ht="15.95" customHeight="1">
      <c r="B44" s="964"/>
      <c r="C44" s="269" t="s">
        <v>218</v>
      </c>
      <c r="D44" s="269" t="s">
        <v>221</v>
      </c>
      <c r="E44" s="269" t="s">
        <v>222</v>
      </c>
      <c r="F44" s="269" t="s">
        <v>224</v>
      </c>
      <c r="G44" s="269" t="s">
        <v>227</v>
      </c>
      <c r="H44" s="1005" t="s">
        <v>229</v>
      </c>
      <c r="I44" s="269" t="s">
        <v>230</v>
      </c>
      <c r="J44" s="269" t="s">
        <v>231</v>
      </c>
      <c r="K44" s="269" t="s">
        <v>232</v>
      </c>
      <c r="L44" s="269" t="s">
        <v>233</v>
      </c>
      <c r="M44" s="269" t="s">
        <v>234</v>
      </c>
      <c r="N44" s="269" t="s">
        <v>235</v>
      </c>
      <c r="O44" s="269" t="s">
        <v>218</v>
      </c>
      <c r="P44" s="269" t="s">
        <v>221</v>
      </c>
      <c r="Q44" s="269" t="s">
        <v>222</v>
      </c>
      <c r="R44" s="269" t="s">
        <v>224</v>
      </c>
      <c r="S44" s="269" t="s">
        <v>227</v>
      </c>
      <c r="T44" s="1005" t="s">
        <v>229</v>
      </c>
      <c r="U44" s="144"/>
      <c r="V44" s="268">
        <v>2020</v>
      </c>
      <c r="W44" s="269">
        <v>2021</v>
      </c>
      <c r="X44" s="270">
        <v>2022</v>
      </c>
      <c r="Y44" s="144"/>
      <c r="Z44" s="268">
        <v>2020</v>
      </c>
      <c r="AA44" s="269">
        <v>2021</v>
      </c>
      <c r="AB44" s="270">
        <v>2022</v>
      </c>
      <c r="AC44" s="144"/>
      <c r="AD44" s="268">
        <v>2020</v>
      </c>
      <c r="AE44" s="269">
        <v>2021</v>
      </c>
      <c r="AF44" s="270">
        <v>2022</v>
      </c>
      <c r="AG44" s="144"/>
      <c r="AH44" s="236"/>
      <c r="AI44" s="236"/>
      <c r="AJ44" s="236"/>
      <c r="AK44" s="236"/>
      <c r="AL44" s="236"/>
      <c r="AM44" s="236"/>
      <c r="AN44" s="236"/>
      <c r="AO44" s="236"/>
      <c r="AP44" s="236"/>
      <c r="AQ44" s="236"/>
      <c r="AR44" s="236"/>
      <c r="AS44" s="236"/>
      <c r="AT44" s="236"/>
      <c r="AU44" s="236"/>
      <c r="AV44" s="236"/>
    </row>
    <row r="45" ht="21.95" customHeight="1">
      <c r="B45" s="263" t="s">
        <v>19</v>
      </c>
      <c r="C45" s="578">
        <v>232.34652981427174975562072336</v>
      </c>
      <c r="D45" s="579">
        <v>131.2534213098729227761485826</v>
      </c>
      <c r="E45" s="579">
        <v>108.17020202020202020202020202</v>
      </c>
      <c r="F45" s="579">
        <v>135.83919843597262952101661779</v>
      </c>
      <c r="G45" s="579">
        <v>196.46010101010101010101010101</v>
      </c>
      <c r="H45" s="1010">
        <v>315.4914467253176930596285435</v>
      </c>
      <c r="I45" s="579">
        <v>250.49266862170087976539589443</v>
      </c>
      <c r="J45" s="579">
        <v>347.82819264069264069264069264</v>
      </c>
      <c r="K45" s="579">
        <v>316.2739491691104594330400782</v>
      </c>
      <c r="L45" s="579">
        <v>322.15277777777777777777777778</v>
      </c>
      <c r="M45" s="579">
        <v>276.73240469208211143695014663</v>
      </c>
      <c r="N45" s="579">
        <v>172.30934343434343434343434343</v>
      </c>
      <c r="O45" s="579">
        <v>195.20136852394916911045943304</v>
      </c>
      <c r="P45" s="579">
        <v>153.45527859237536656891495601</v>
      </c>
      <c r="Q45" s="579">
        <v>124.77272727272727272727272727</v>
      </c>
      <c r="R45" s="579">
        <v>157.51832844574780058651026393</v>
      </c>
      <c r="S45" s="579">
        <v>227.3479797979797979797979798</v>
      </c>
      <c r="T45" s="1010">
        <v>276.05425219941348973607038123</v>
      </c>
      <c r="U45" s="113"/>
      <c r="V45" s="578">
        <v>101.45382513661202185792349727</v>
      </c>
      <c r="W45" s="579">
        <v>194.87868410128684101286841013</v>
      </c>
      <c r="X45" s="580">
        <v>234.34041095890410958904109589</v>
      </c>
      <c r="Y45" s="113"/>
      <c r="Z45" s="578">
        <v>82.51976284584980237154150198</v>
      </c>
      <c r="AA45" s="579">
        <v>216.14188076416337285902503294</v>
      </c>
      <c r="AB45" s="580">
        <v>220.23031949934123847167325428</v>
      </c>
      <c r="AC45" s="113"/>
      <c r="AD45" s="578">
        <v>101.45382513661202185792349727</v>
      </c>
      <c r="AE45" s="579">
        <v>194.87868410128684101286841013</v>
      </c>
      <c r="AF45" s="580">
        <v>234.34041095890410958904109589</v>
      </c>
      <c r="AG45" s="113"/>
    </row>
    <row r="46" ht="21.95" customHeight="1">
      <c r="B46" s="38" t="s">
        <v>35</v>
      </c>
      <c r="C46" s="276">
        <v>194.49294716152156318649554862</v>
      </c>
      <c r="D46" s="94">
        <v>116.31760897213550699502832697</v>
      </c>
      <c r="E46" s="94">
        <v>96.93777777777777777777777778</v>
      </c>
      <c r="F46" s="94">
        <v>118.76523695107612085271714125</v>
      </c>
      <c r="G46" s="94">
        <v>167.05113576333861595351294242</v>
      </c>
      <c r="H46" s="1011">
        <v>255.8030775522723787127447472</v>
      </c>
      <c r="I46" s="94">
        <v>200.39785798272071979960124738</v>
      </c>
      <c r="J46" s="94">
        <v>302.72839088241931843827578425</v>
      </c>
      <c r="K46" s="94">
        <v>316.32864495744789277888192427</v>
      </c>
      <c r="L46" s="94">
        <v>308.62938388625592417061611374</v>
      </c>
      <c r="M46" s="94">
        <v>243.37349029200428069102583703</v>
      </c>
      <c r="N46" s="94">
        <v>168.49942074776197998946814113</v>
      </c>
      <c r="O46" s="94">
        <v>172.78540488202619375222952658</v>
      </c>
      <c r="P46" s="94">
        <v>144.16057687407633898996076033</v>
      </c>
      <c r="Q46" s="94">
        <v>129.68809899947340705634544497</v>
      </c>
      <c r="R46" s="94">
        <v>173.1312745247923355246394537</v>
      </c>
      <c r="S46" s="94">
        <v>235.09257503949447077409162717</v>
      </c>
      <c r="T46" s="1011">
        <v>260.49110737399989807878509912</v>
      </c>
      <c r="U46" s="113"/>
      <c r="V46" s="276">
        <v>122.16698634733853349706926705</v>
      </c>
      <c r="W46" s="94">
        <v>172.85166836196324850512866826</v>
      </c>
      <c r="X46" s="277">
        <v>220.72983509608932259084001853</v>
      </c>
      <c r="Y46" s="113"/>
      <c r="Z46" s="276">
        <v>84.55202988567827887298586731</v>
      </c>
      <c r="AA46" s="94">
        <v>180.68643285330393440363811755</v>
      </c>
      <c r="AB46" s="277">
        <v>222.77251184834123222748815166</v>
      </c>
      <c r="AC46" s="113"/>
      <c r="AD46" s="276">
        <v>122.16698634733853349706926705</v>
      </c>
      <c r="AE46" s="94">
        <v>172.85166836196324850512866826</v>
      </c>
      <c r="AF46" s="277">
        <v>220.72983509608932259084001853</v>
      </c>
      <c r="AG46" s="113"/>
    </row>
    <row r="47" ht="21.95" customHeight="1">
      <c r="B47" s="40" t="s">
        <v>99</v>
      </c>
      <c r="C47" s="576">
        <v>119.46270196694561169819878377</v>
      </c>
      <c r="D47" s="113">
        <v>112.84054277745292564521159376</v>
      </c>
      <c r="E47" s="113">
        <v>111.58725163697159773908897746</v>
      </c>
      <c r="F47" s="113">
        <v>114.37622819874691540438205788</v>
      </c>
      <c r="G47" s="113">
        <v>117.60476821209494586079249282</v>
      </c>
      <c r="H47" s="1008">
        <v>123.33371816483097567871205272</v>
      </c>
      <c r="I47" s="113">
        <v>124.99767769140799798668979689</v>
      </c>
      <c r="J47" s="113">
        <v>114.89777738613634916678067346</v>
      </c>
      <c r="K47" s="113">
        <v>99.98270918895223464429967452</v>
      </c>
      <c r="L47" s="113">
        <v>104.38175837996677498983700170</v>
      </c>
      <c r="M47" s="113">
        <v>113.70688087681941828448014007</v>
      </c>
      <c r="N47" s="113">
        <v>102.26108948602612826022247216</v>
      </c>
      <c r="O47" s="113">
        <v>112.97329693862607174375532337</v>
      </c>
      <c r="P47" s="113">
        <v>106.44746429281614495311744105</v>
      </c>
      <c r="Q47" s="113">
        <v>96.20985135514116988024354734</v>
      </c>
      <c r="R47" s="113">
        <v>90.98201863187015351510420831</v>
      </c>
      <c r="S47" s="113">
        <v>96.70572529131600029891550581</v>
      </c>
      <c r="T47" s="1008">
        <v>105.97453977692555583879061268</v>
      </c>
      <c r="U47" s="113"/>
      <c r="V47" s="576">
        <v>83.0452057221056614960203200</v>
      </c>
      <c r="W47" s="113">
        <v>112.74330525590072754548586503</v>
      </c>
      <c r="X47" s="577">
        <v>106.16616954245375150973271950</v>
      </c>
      <c r="Y47" s="113"/>
      <c r="Z47" s="576">
        <v>97.59643021865060142430541219</v>
      </c>
      <c r="AA47" s="113">
        <v>119.62263981361001546009319118</v>
      </c>
      <c r="AB47" s="577">
        <v>98.85883930298819707806066722</v>
      </c>
      <c r="AC47" s="113"/>
      <c r="AD47" s="576">
        <v>83.0452057221056614960203200</v>
      </c>
      <c r="AE47" s="113">
        <v>112.74330525590072754548586503</v>
      </c>
      <c r="AF47" s="577">
        <v>106.16616954245375150973271950</v>
      </c>
      <c r="AG47" s="113"/>
    </row>
    <row r="48" ht="21.95" customHeight="1">
      <c r="A48" s="23"/>
      <c r="B48" s="39" t="s">
        <v>23</v>
      </c>
      <c r="C48" s="273" t="s">
        <v>225</v>
      </c>
      <c r="D48" s="274" t="s">
        <v>225</v>
      </c>
      <c r="E48" s="274" t="s">
        <v>225</v>
      </c>
      <c r="F48" s="274" t="s">
        <v>313</v>
      </c>
      <c r="G48" s="274" t="s">
        <v>312</v>
      </c>
      <c r="H48" s="1009" t="s">
        <v>313</v>
      </c>
      <c r="I48" s="274" t="s">
        <v>312</v>
      </c>
      <c r="J48" s="274" t="s">
        <v>313</v>
      </c>
      <c r="K48" s="274" t="s">
        <v>311</v>
      </c>
      <c r="L48" s="274" t="s">
        <v>313</v>
      </c>
      <c r="M48" s="274" t="s">
        <v>312</v>
      </c>
      <c r="N48" s="274" t="s">
        <v>313</v>
      </c>
      <c r="O48" s="274" t="s">
        <v>312</v>
      </c>
      <c r="P48" s="274" t="s">
        <v>313</v>
      </c>
      <c r="Q48" s="274" t="s">
        <v>313</v>
      </c>
      <c r="R48" s="274" t="s">
        <v>311</v>
      </c>
      <c r="S48" s="274" t="s">
        <v>313</v>
      </c>
      <c r="T48" s="1009" t="s">
        <v>312</v>
      </c>
      <c r="U48" s="113"/>
      <c r="V48" s="273" t="s">
        <v>315</v>
      </c>
      <c r="W48" s="274" t="s">
        <v>312</v>
      </c>
      <c r="X48" s="275" t="s">
        <v>313</v>
      </c>
      <c r="Y48" s="113"/>
      <c r="Z48" s="273" t="s">
        <v>223</v>
      </c>
      <c r="AA48" s="274" t="s">
        <v>313</v>
      </c>
      <c r="AB48" s="275" t="s">
        <v>313</v>
      </c>
      <c r="AC48" s="113"/>
      <c r="AD48" s="273" t="s">
        <v>315</v>
      </c>
      <c r="AE48" s="274" t="s">
        <v>312</v>
      </c>
      <c r="AF48" s="275" t="s">
        <v>313</v>
      </c>
      <c r="AG48" s="113"/>
    </row>
    <row r="49" ht="21.95" customHeight="1">
      <c r="B49" s="25" t="s">
        <v>68</v>
      </c>
      <c r="F49" s="4"/>
      <c r="G49" s="4"/>
      <c r="H49" s="4"/>
      <c r="I49" s="4"/>
      <c r="J49" s="4"/>
      <c r="K49" s="4"/>
      <c r="L49" s="4"/>
      <c r="M49" s="4"/>
      <c r="N49" s="4"/>
      <c r="O49" s="4"/>
      <c r="P49" s="4"/>
      <c r="Q49" s="4"/>
      <c r="S49" s="98"/>
      <c r="T49" s="98"/>
      <c r="U49" s="9"/>
      <c r="V49" s="98"/>
      <c r="W49" s="98"/>
      <c r="X49" s="98"/>
      <c r="Y49" s="9"/>
      <c r="Z49" s="98"/>
      <c r="AA49" s="98"/>
      <c r="AB49" s="98"/>
      <c r="AC49" s="9"/>
      <c r="AD49" s="98"/>
      <c r="AE49" s="98"/>
      <c r="AF49" s="98"/>
      <c r="AG49" s="9"/>
    </row>
    <row r="50" ht="21.95" customHeight="1">
      <c r="B50" s="37" t="s">
        <v>19</v>
      </c>
      <c r="C50" s="573">
        <v>1191.5505202801207504013161454</v>
      </c>
      <c r="D50" s="574">
        <v>366.16239204917050126020932647</v>
      </c>
      <c r="E50" s="574">
        <v>103.09126338784837961539329120</v>
      </c>
      <c r="F50" s="574">
        <v>115.29541176373315822828155812</v>
      </c>
      <c r="G50" s="574">
        <v>199.93908551160459557406122292</v>
      </c>
      <c r="H50" s="1006">
        <v>166.42651653680275745749143577</v>
      </c>
      <c r="I50" s="574">
        <v>75.000426823618269348541443790</v>
      </c>
      <c r="J50" s="574">
        <v>87.43191308197637322132585219</v>
      </c>
      <c r="K50" s="574">
        <v>49.361269958515153617240792630</v>
      </c>
      <c r="L50" s="574">
        <v>48.577494741631318605552856180</v>
      </c>
      <c r="M50" s="574">
        <v>11.287146032878493029340349550</v>
      </c>
      <c r="N50" s="574">
        <v>-18.180520981732806616930937140</v>
      </c>
      <c r="O50" s="574">
        <v>-15.986966243928251136143642570</v>
      </c>
      <c r="P50" s="574">
        <v>16.915259854487888951753103750</v>
      </c>
      <c r="Q50" s="574">
        <v>15.348520149224526415444220890</v>
      </c>
      <c r="R50" s="574">
        <v>15.959406606747477838533219660</v>
      </c>
      <c r="S50" s="574">
        <v>15.722214652781764730878877820</v>
      </c>
      <c r="T50" s="1006">
        <v>-12.500242062100870585097259470</v>
      </c>
      <c r="U50" s="113"/>
      <c r="V50" s="573">
        <v>-22.900812766146078637758322040</v>
      </c>
      <c r="W50" s="574">
        <v>92.08608826616171883247526863</v>
      </c>
      <c r="X50" s="575">
        <v>20.249380808160366492609650750</v>
      </c>
      <c r="Y50" s="113"/>
      <c r="Z50" s="573">
        <v>-43.361291343572961445259553310</v>
      </c>
      <c r="AA50" s="574">
        <v>161.92741388272703239124683003</v>
      </c>
      <c r="AB50" s="575">
        <v>1.8915532337768083904659682600</v>
      </c>
      <c r="AC50" s="113"/>
      <c r="AD50" s="573">
        <v>-22.900812766146078637758322040</v>
      </c>
      <c r="AE50" s="574">
        <v>92.08608826616171883247526863</v>
      </c>
      <c r="AF50" s="575">
        <v>20.249380808160366492609650750</v>
      </c>
      <c r="AG50" s="113"/>
    </row>
    <row r="51" ht="21.95" customHeight="1">
      <c r="B51" s="38" t="s">
        <v>35</v>
      </c>
      <c r="C51" s="271">
        <v>720.50859042908301143931776231</v>
      </c>
      <c r="D51" s="92">
        <v>248.20292808074107292126647958</v>
      </c>
      <c r="E51" s="92">
        <v>84.07643879695223462130536812</v>
      </c>
      <c r="F51" s="92">
        <v>98.26139665604776981942451741</v>
      </c>
      <c r="G51" s="92">
        <v>122.84496293181194681969929195</v>
      </c>
      <c r="H51" s="1007">
        <v>115.90316842936280909928418534</v>
      </c>
      <c r="I51" s="92">
        <v>87.11162383909695597469606873</v>
      </c>
      <c r="J51" s="92">
        <v>92.12597662430101675181104559</v>
      </c>
      <c r="K51" s="92">
        <v>48.472214584828088289740549600</v>
      </c>
      <c r="L51" s="92">
        <v>52.261974947536136724011247160</v>
      </c>
      <c r="M51" s="92">
        <v>3.1046856002279718550569580800</v>
      </c>
      <c r="N51" s="92">
        <v>-17.065061077215393479582843440</v>
      </c>
      <c r="O51" s="92">
        <v>-11.161094834687572547168018260</v>
      </c>
      <c r="P51" s="92">
        <v>23.937018778175510149174169890</v>
      </c>
      <c r="Q51" s="92">
        <v>33.784889619342658948222263930</v>
      </c>
      <c r="R51" s="92">
        <v>45.776052799083645447018605560</v>
      </c>
      <c r="S51" s="92">
        <v>40.730904920397861120006609500</v>
      </c>
      <c r="T51" s="1007">
        <v>1.8326713918214728831252895300</v>
      </c>
      <c r="U51" s="113"/>
      <c r="V51" s="271">
        <v>-31.029930467737472213729810290</v>
      </c>
      <c r="W51" s="92">
        <v>41.488034967626444563805500030</v>
      </c>
      <c r="X51" s="272">
        <v>27.698990231218930414849968600</v>
      </c>
      <c r="Y51" s="113"/>
      <c r="Z51" s="271">
        <v>-52.374505537649711883140400160</v>
      </c>
      <c r="AA51" s="92">
        <v>113.69851569212630121327480823</v>
      </c>
      <c r="AB51" s="272">
        <v>23.292329330122466557728664720</v>
      </c>
      <c r="AC51" s="113"/>
      <c r="AD51" s="271">
        <v>-31.029930467737472213729810290</v>
      </c>
      <c r="AE51" s="92">
        <v>41.488034967626444563805500030</v>
      </c>
      <c r="AF51" s="272">
        <v>27.698990231218930414849968600</v>
      </c>
      <c r="AG51" s="113"/>
    </row>
    <row r="52" ht="21.95" customHeight="1">
      <c r="B52" s="40" t="s">
        <v>99</v>
      </c>
      <c r="C52" s="576">
        <v>57.408531165582286226085062040</v>
      </c>
      <c r="D52" s="113">
        <v>33.876643318023761345077532850</v>
      </c>
      <c r="E52" s="113">
        <v>10.329852486923342853701162770</v>
      </c>
      <c r="F52" s="113">
        <v>8.591695304736771274019848950</v>
      </c>
      <c r="G52" s="113">
        <v>34.595407302762570972526578640</v>
      </c>
      <c r="H52" s="1008">
        <v>23.400929442098052878271839290</v>
      </c>
      <c r="I52" s="113">
        <v>-6.4727122596573009320349410800</v>
      </c>
      <c r="J52" s="113">
        <v>-2.4432216948486337570024131200</v>
      </c>
      <c r="K52" s="113">
        <v>0.5988025276122046868951476100</v>
      </c>
      <c r="L52" s="113">
        <v>-2.4198295123935588882162468700</v>
      </c>
      <c r="M52" s="113">
        <v>7.936070397755250133929598330</v>
      </c>
      <c r="N52" s="113">
        <v>-1.3449818846083733221542750400</v>
      </c>
      <c r="O52" s="113">
        <v>-5.4321599306132998676672145600</v>
      </c>
      <c r="P52" s="113">
        <v>-5.6655864349126580014447670700</v>
      </c>
      <c r="Q52" s="113">
        <v>-13.780606705757421521282639690</v>
      </c>
      <c r="R52" s="113">
        <v>-20.453734080291821537737668960</v>
      </c>
      <c r="S52" s="113">
        <v>-17.770574474576244426168401410</v>
      </c>
      <c r="T52" s="1008">
        <v>-14.074965586198334566670999050</v>
      </c>
      <c r="U52" s="113"/>
      <c r="V52" s="576">
        <v>11.786442665204747401305572020</v>
      </c>
      <c r="W52" s="113">
        <v>35.761365482291129750190413890</v>
      </c>
      <c r="X52" s="577">
        <v>-5.833726178701026370453974200</v>
      </c>
      <c r="Y52" s="113"/>
      <c r="Z52" s="576">
        <v>18.925187645406703292336333720</v>
      </c>
      <c r="AA52" s="113">
        <v>22.568663162732847014175062310</v>
      </c>
      <c r="AB52" s="577">
        <v>-17.357751461568354992251254850</v>
      </c>
      <c r="AC52" s="113"/>
      <c r="AD52" s="576">
        <v>11.786442665204747401305572020</v>
      </c>
      <c r="AE52" s="113">
        <v>35.761365482291129750190413890</v>
      </c>
      <c r="AF52" s="577">
        <v>-5.833726178701026370453974200</v>
      </c>
      <c r="AG52" s="113"/>
    </row>
    <row r="53" ht="21.95" customHeight="1">
      <c r="A53" s="23"/>
      <c r="B53" s="39" t="s">
        <v>23</v>
      </c>
      <c r="C53" s="273" t="s">
        <v>237</v>
      </c>
      <c r="D53" s="274" t="s">
        <v>237</v>
      </c>
      <c r="E53" s="274" t="s">
        <v>239</v>
      </c>
      <c r="F53" s="274" t="s">
        <v>220</v>
      </c>
      <c r="G53" s="274" t="s">
        <v>223</v>
      </c>
      <c r="H53" s="1009" t="s">
        <v>220</v>
      </c>
      <c r="I53" s="274" t="s">
        <v>303</v>
      </c>
      <c r="J53" s="274" t="s">
        <v>303</v>
      </c>
      <c r="K53" s="274" t="s">
        <v>303</v>
      </c>
      <c r="L53" s="274" t="s">
        <v>303</v>
      </c>
      <c r="M53" s="274" t="s">
        <v>225</v>
      </c>
      <c r="N53" s="274" t="s">
        <v>226</v>
      </c>
      <c r="O53" s="274" t="s">
        <v>302</v>
      </c>
      <c r="P53" s="274" t="s">
        <v>302</v>
      </c>
      <c r="Q53" s="274" t="s">
        <v>316</v>
      </c>
      <c r="R53" s="274" t="s">
        <v>317</v>
      </c>
      <c r="S53" s="274" t="s">
        <v>317</v>
      </c>
      <c r="T53" s="1009" t="s">
        <v>318</v>
      </c>
      <c r="U53" s="113"/>
      <c r="V53" s="273" t="s">
        <v>311</v>
      </c>
      <c r="W53" s="274" t="s">
        <v>314</v>
      </c>
      <c r="X53" s="275" t="s">
        <v>318</v>
      </c>
      <c r="Y53" s="113"/>
      <c r="Z53" s="273" t="s">
        <v>219</v>
      </c>
      <c r="AA53" s="274" t="s">
        <v>220</v>
      </c>
      <c r="AB53" s="275" t="s">
        <v>317</v>
      </c>
      <c r="AC53" s="113"/>
      <c r="AD53" s="273" t="s">
        <v>311</v>
      </c>
      <c r="AE53" s="274" t="s">
        <v>314</v>
      </c>
      <c r="AF53" s="275" t="s">
        <v>318</v>
      </c>
      <c r="AG53" s="113"/>
    </row>
    <row r="54" ht="10" customHeight="1">
      <c r="A54" s="23"/>
      <c r="B54" s="146"/>
      <c r="C54" s="113"/>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row>
    <row r="55" ht="10" customHeight="1">
      <c r="B55" s="1012" t="s">
        <v>100</v>
      </c>
      <c r="C55" s="1012"/>
      <c r="D55" s="1012"/>
      <c r="E55" s="1012"/>
      <c r="F55" s="1012"/>
      <c r="G55" s="1012"/>
      <c r="H55" s="1012"/>
      <c r="I55" s="1012"/>
      <c r="J55" s="1012"/>
      <c r="K55" s="1012"/>
      <c r="L55" s="1012"/>
      <c r="M55" s="1012"/>
      <c r="N55" s="1012"/>
      <c r="O55" s="1012"/>
      <c r="P55" s="1012"/>
      <c r="Q55" s="1012"/>
      <c r="R55" s="1012"/>
      <c r="S55" s="1012"/>
      <c r="T55" s="1012"/>
      <c r="AD55" s="232"/>
      <c r="AE55" s="233"/>
      <c r="AF55" s="5"/>
    </row>
    <row r="56" ht="10" customHeight="1">
      <c r="B56" s="146"/>
      <c r="C56" s="93"/>
      <c r="D56" s="93"/>
      <c r="E56" s="93"/>
      <c r="F56" s="4"/>
      <c r="G56" s="4"/>
      <c r="H56" s="4"/>
      <c r="I56" s="4"/>
      <c r="J56" s="4"/>
      <c r="K56" s="4"/>
      <c r="L56" s="4"/>
      <c r="M56" s="4"/>
      <c r="N56" s="4"/>
      <c r="O56" s="4"/>
      <c r="P56" s="4"/>
      <c r="Q56" s="4"/>
      <c r="R56" s="4"/>
      <c r="S56" s="4"/>
      <c r="T56" s="4"/>
      <c r="AD56" s="145"/>
    </row>
    <row r="57" ht="24.95" customHeight="1">
      <c r="B57" s="1013" t="s">
        <v>126</v>
      </c>
      <c r="C57" s="1013"/>
      <c r="D57" s="1013"/>
      <c r="E57" s="1013"/>
      <c r="F57" s="1013"/>
      <c r="G57" s="1013"/>
      <c r="H57" s="1013"/>
      <c r="I57" s="1013"/>
      <c r="J57" s="1013"/>
      <c r="K57" s="1013"/>
      <c r="L57" s="1013"/>
      <c r="M57" s="1013"/>
      <c r="N57" s="1013"/>
      <c r="O57" s="1013"/>
      <c r="P57" s="1013"/>
      <c r="Q57" s="1013"/>
      <c r="R57" s="1013"/>
      <c r="S57" s="1013"/>
      <c r="T57" s="1013"/>
      <c r="U57" s="1013"/>
      <c r="V57" s="1013"/>
      <c r="W57" s="1013"/>
      <c r="X57" s="1013"/>
      <c r="Y57" s="1013"/>
      <c r="Z57" s="1013"/>
      <c r="AA57" s="1013"/>
      <c r="AB57" s="1013"/>
      <c r="AC57" s="1013"/>
      <c r="AD57" s="1013"/>
      <c r="AE57" s="1013"/>
      <c r="AF57" s="1013"/>
    </row>
    <row r="58">
      <c r="A58"/>
    </row>
    <row r="59" s="281" customFormat="1">
      <c r="A59" s="1014"/>
      <c r="B59" s="1014" t="s">
        <v>109</v>
      </c>
      <c r="C59" s="1014"/>
      <c r="D59" s="1014"/>
      <c r="E59" s="1014"/>
      <c r="F59" s="1014"/>
      <c r="G59" s="1014"/>
      <c r="H59" s="1014"/>
      <c r="I59" s="1014"/>
      <c r="J59" s="1014"/>
      <c r="K59" s="1014"/>
      <c r="L59" s="1014"/>
      <c r="M59" s="1014"/>
      <c r="N59" s="1014"/>
      <c r="O59" s="1014"/>
      <c r="P59" s="1014"/>
      <c r="Q59" s="1014"/>
      <c r="R59" s="1014"/>
      <c r="S59" s="1014"/>
      <c r="T59" s="1014"/>
      <c r="U59" s="1014"/>
      <c r="V59" s="1014"/>
      <c r="W59" s="1014"/>
      <c r="X59" s="1014"/>
      <c r="Y59" s="1014"/>
      <c r="Z59" s="1014"/>
      <c r="AA59" s="1014"/>
      <c r="AB59" s="1014"/>
      <c r="AC59" s="1014"/>
      <c r="AD59" s="1014"/>
      <c r="AE59" s="1014"/>
      <c r="AF59" s="1014"/>
      <c r="AG59" s="1014"/>
    </row>
    <row r="60" s="281" customFormat="1">
      <c r="A60" s="1014"/>
      <c r="B60" s="1014" t="s">
        <v>110</v>
      </c>
      <c r="C60" s="1014">
        <v>100</v>
      </c>
      <c r="D60" s="1014">
        <v>100</v>
      </c>
      <c r="E60" s="1014">
        <v>100</v>
      </c>
      <c r="F60" s="1014">
        <v>100</v>
      </c>
      <c r="G60" s="1014">
        <v>100</v>
      </c>
      <c r="H60" s="1014">
        <v>100</v>
      </c>
      <c r="I60" s="1014">
        <v>100</v>
      </c>
      <c r="J60" s="1014">
        <v>100</v>
      </c>
      <c r="K60" s="1014">
        <v>100</v>
      </c>
      <c r="L60" s="1014">
        <v>100</v>
      </c>
      <c r="M60" s="1014">
        <v>100</v>
      </c>
      <c r="N60" s="1014">
        <v>100</v>
      </c>
      <c r="O60" s="1014">
        <v>100</v>
      </c>
      <c r="P60" s="1014">
        <v>100</v>
      </c>
      <c r="Q60" s="1014">
        <v>100</v>
      </c>
      <c r="R60" s="1014">
        <v>100</v>
      </c>
      <c r="S60" s="1014">
        <v>100</v>
      </c>
      <c r="T60" s="1014">
        <v>100</v>
      </c>
      <c r="U60" s="1014"/>
      <c r="V60" s="1014"/>
      <c r="W60" s="1014"/>
      <c r="X60" s="1014"/>
      <c r="Y60" s="1014"/>
      <c r="Z60" s="1014"/>
      <c r="AA60" s="1014"/>
      <c r="AB60" s="1014"/>
      <c r="AC60" s="1014"/>
      <c r="AD60" s="1014"/>
      <c r="AE60" s="1014"/>
      <c r="AF60" s="1014"/>
      <c r="AG60" s="1014"/>
    </row>
    <row r="61" s="281" customFormat="1">
      <c r="A61" s="1014"/>
      <c r="B61" s="1014" t="s">
        <v>111</v>
      </c>
      <c r="C61" s="1014"/>
      <c r="D61" s="1014"/>
      <c r="E61" s="1014"/>
      <c r="F61" s="1014"/>
      <c r="G61" s="1014"/>
      <c r="H61" s="1014"/>
      <c r="I61" s="1014"/>
      <c r="J61" s="1014"/>
      <c r="K61" s="1014"/>
      <c r="L61" s="1014"/>
      <c r="M61" s="1014"/>
      <c r="N61" s="1014"/>
      <c r="O61" s="1014"/>
      <c r="P61" s="1014"/>
      <c r="Q61" s="1014"/>
      <c r="R61" s="1014"/>
      <c r="S61" s="1014"/>
      <c r="T61" s="1014"/>
      <c r="U61" s="1014"/>
      <c r="V61" s="1014"/>
      <c r="W61" s="1014"/>
      <c r="X61" s="1014"/>
      <c r="Y61" s="1014"/>
      <c r="Z61" s="1014"/>
      <c r="AA61" s="1014"/>
      <c r="AB61" s="1014"/>
      <c r="AC61" s="1014"/>
      <c r="AD61" s="1014"/>
      <c r="AE61" s="1014"/>
      <c r="AF61" s="1014"/>
      <c r="AG61" s="1014"/>
    </row>
    <row r="62" s="281" customFormat="1">
      <c r="A62" s="1014"/>
      <c r="B62" s="1014"/>
      <c r="C62" s="1014"/>
      <c r="D62" s="1014"/>
      <c r="E62" s="1014"/>
      <c r="F62" s="1014"/>
      <c r="G62" s="1014"/>
      <c r="H62" s="1014"/>
      <c r="I62" s="1014"/>
      <c r="J62" s="1014"/>
      <c r="K62" s="1014"/>
      <c r="L62" s="1014"/>
      <c r="M62" s="1014"/>
      <c r="N62" s="1014"/>
      <c r="O62" s="1014"/>
      <c r="P62" s="1014"/>
      <c r="Q62" s="1014"/>
      <c r="R62" s="1014"/>
      <c r="S62" s="1014"/>
      <c r="T62" s="1014"/>
      <c r="U62" s="1014"/>
      <c r="V62" s="1014"/>
      <c r="W62" s="1014"/>
      <c r="X62" s="1014"/>
      <c r="Y62" s="1014"/>
      <c r="Z62" s="1014"/>
      <c r="AA62" s="1014"/>
      <c r="AB62" s="1014"/>
      <c r="AC62" s="1014"/>
      <c r="AD62" s="1014"/>
      <c r="AE62" s="1014"/>
      <c r="AF62" s="1014"/>
      <c r="AG62" s="1014"/>
    </row>
    <row r="63" s="281" customFormat="1">
      <c r="A63" s="1014"/>
      <c r="B63" s="1014"/>
      <c r="C63" s="1014"/>
      <c r="D63" s="1014"/>
      <c r="E63" s="1014"/>
      <c r="F63" s="1014"/>
      <c r="G63" s="1014"/>
      <c r="H63" s="1014"/>
      <c r="I63" s="1014"/>
      <c r="J63" s="1014"/>
      <c r="K63" s="1014"/>
      <c r="L63" s="1014"/>
      <c r="M63" s="1014"/>
      <c r="N63" s="1014"/>
      <c r="O63" s="1014"/>
      <c r="P63" s="1014"/>
      <c r="Q63" s="1014"/>
      <c r="R63" s="1014"/>
      <c r="S63" s="1014"/>
      <c r="T63" s="1014"/>
      <c r="U63" s="1014"/>
      <c r="V63" s="1014"/>
      <c r="W63" s="1014"/>
      <c r="X63" s="1014"/>
      <c r="Y63" s="1014"/>
      <c r="Z63" s="1014"/>
      <c r="AA63" s="1014"/>
      <c r="AB63" s="1014"/>
      <c r="AC63" s="1014"/>
      <c r="AD63" s="1014"/>
      <c r="AE63" s="1014"/>
      <c r="AF63" s="1014"/>
      <c r="AG63" s="1014"/>
    </row>
    <row r="64" s="281" customFormat="1">
      <c r="A64" s="1014"/>
      <c r="B64" s="1014"/>
      <c r="C64" s="1014"/>
      <c r="D64" s="1014"/>
      <c r="E64" s="1014"/>
      <c r="F64" s="1014"/>
      <c r="G64" s="1014"/>
      <c r="H64" s="1014"/>
      <c r="I64" s="1014"/>
      <c r="J64" s="1014"/>
      <c r="K64" s="1014"/>
      <c r="L64" s="1014"/>
      <c r="M64" s="1014"/>
      <c r="N64" s="1014"/>
      <c r="O64" s="1014"/>
      <c r="P64" s="1014"/>
      <c r="Q64" s="1014"/>
      <c r="R64" s="1014"/>
      <c r="S64" s="1014"/>
      <c r="T64" s="1014"/>
      <c r="U64" s="1014"/>
      <c r="V64" s="1014"/>
      <c r="W64" s="1014"/>
      <c r="X64" s="1014"/>
      <c r="Y64" s="1014"/>
      <c r="Z64" s="1014"/>
      <c r="AA64" s="1014"/>
      <c r="AB64" s="1014"/>
      <c r="AC64" s="1014"/>
      <c r="AD64" s="1014"/>
      <c r="AE64" s="1014"/>
      <c r="AF64" s="1014"/>
      <c r="AG64" s="1014"/>
    </row>
    <row r="65" s="281" customFormat="1">
      <c r="A65" s="1014"/>
      <c r="B65" s="1014"/>
      <c r="C65" s="1014"/>
      <c r="D65" s="1014"/>
      <c r="E65" s="1014"/>
      <c r="F65" s="1014"/>
      <c r="G65" s="1014"/>
      <c r="H65" s="1014"/>
      <c r="I65" s="1014"/>
      <c r="J65" s="1014"/>
      <c r="K65" s="1014"/>
      <c r="L65" s="1014"/>
      <c r="M65" s="1014"/>
      <c r="N65" s="1014"/>
      <c r="O65" s="1014"/>
      <c r="P65" s="1014"/>
      <c r="Q65" s="1014"/>
      <c r="R65" s="1014"/>
      <c r="S65" s="1014"/>
      <c r="T65" s="1014"/>
      <c r="U65" s="1014"/>
      <c r="V65" s="1014"/>
      <c r="W65" s="1014"/>
      <c r="X65" s="1014"/>
      <c r="Y65" s="1014"/>
      <c r="Z65" s="1014"/>
      <c r="AA65" s="1014"/>
      <c r="AB65" s="1014"/>
      <c r="AC65" s="1014"/>
      <c r="AD65" s="1014"/>
      <c r="AE65" s="1014"/>
      <c r="AF65" s="1014"/>
      <c r="AG65" s="1014"/>
    </row>
    <row r="66" s="281" customFormat="1" ht="10.5" customHeight="1">
      <c r="A66" s="1014"/>
      <c r="B66" s="1014"/>
      <c r="C66" s="1014"/>
      <c r="D66" s="1014"/>
      <c r="E66" s="1014"/>
      <c r="F66" s="1014"/>
      <c r="G66" s="1014"/>
      <c r="H66" s="1014"/>
      <c r="I66" s="1014"/>
      <c r="J66" s="1014"/>
      <c r="K66" s="1014"/>
      <c r="L66" s="1014"/>
      <c r="M66" s="1014"/>
      <c r="N66" s="1014"/>
      <c r="O66" s="1014"/>
      <c r="P66" s="1014"/>
      <c r="Q66" s="1014"/>
      <c r="R66" s="1014"/>
      <c r="S66" s="1014"/>
      <c r="T66" s="1014"/>
      <c r="U66" s="1014"/>
      <c r="V66" s="1014"/>
      <c r="W66" s="1014"/>
      <c r="X66" s="1014"/>
      <c r="Y66" s="1014"/>
      <c r="Z66" s="1014"/>
      <c r="AA66" s="1014"/>
      <c r="AB66" s="1014"/>
      <c r="AC66" s="1014"/>
      <c r="AD66" s="1014"/>
      <c r="AE66" s="1014"/>
      <c r="AF66" s="1014"/>
      <c r="AG66" s="1014"/>
    </row>
    <row r="67" s="281" customFormat="1">
      <c r="A67" s="1014"/>
      <c r="B67" s="1014" t="s">
        <v>37</v>
      </c>
      <c r="C67" s="1014"/>
      <c r="D67" s="1014"/>
      <c r="E67" s="1014"/>
      <c r="F67" s="1014"/>
      <c r="G67" s="1014"/>
      <c r="H67" s="1014"/>
      <c r="I67" s="1014"/>
      <c r="J67" s="1014"/>
      <c r="K67" s="1014"/>
      <c r="L67" s="1014"/>
      <c r="M67" s="1014"/>
      <c r="N67" s="1014"/>
      <c r="O67" s="1014"/>
      <c r="P67" s="1014"/>
      <c r="Q67" s="1014"/>
      <c r="R67" s="1014"/>
      <c r="S67" s="1014"/>
      <c r="T67" s="1014"/>
      <c r="U67" s="1014"/>
      <c r="V67" s="1014"/>
      <c r="W67" s="1014"/>
      <c r="X67" s="1014"/>
      <c r="Y67" s="1014"/>
      <c r="Z67" s="1014"/>
      <c r="AA67" s="1014"/>
      <c r="AB67" s="1014"/>
      <c r="AC67" s="1014"/>
      <c r="AD67" s="1014"/>
      <c r="AE67" s="1014"/>
      <c r="AF67" s="1014"/>
      <c r="AG67" s="1014"/>
    </row>
    <row r="68" s="281" customFormat="1">
      <c r="A68" s="1014"/>
      <c r="B68" s="1014" t="s">
        <v>44</v>
      </c>
      <c r="C68" s="1014"/>
      <c r="D68" s="1014"/>
      <c r="E68" s="1014"/>
      <c r="F68" s="1014"/>
      <c r="G68" s="1014"/>
      <c r="H68" s="1014"/>
      <c r="I68" s="1014"/>
      <c r="J68" s="1014"/>
      <c r="K68" s="1014"/>
      <c r="L68" s="1014"/>
      <c r="M68" s="1014"/>
      <c r="N68" s="1014"/>
      <c r="O68" s="1014"/>
      <c r="P68" s="1014"/>
      <c r="Q68" s="1014"/>
      <c r="R68" s="1014"/>
      <c r="S68" s="1014"/>
      <c r="T68" s="1014"/>
      <c r="U68" s="1014"/>
      <c r="V68" s="1014"/>
      <c r="W68" s="1014"/>
      <c r="X68" s="1014"/>
      <c r="Y68" s="1014"/>
      <c r="Z68" s="1014"/>
      <c r="AA68" s="1014"/>
      <c r="AB68" s="1014"/>
      <c r="AC68" s="1014"/>
      <c r="AD68" s="1014"/>
      <c r="AE68" s="1014"/>
      <c r="AF68" s="1014"/>
      <c r="AG68" s="1014"/>
    </row>
    <row r="69" s="281" customFormat="1">
      <c r="A69" s="1014"/>
      <c r="B69" s="1014" t="s">
        <v>45</v>
      </c>
      <c r="C69" s="1014"/>
      <c r="D69" s="1014"/>
      <c r="E69" s="1014"/>
      <c r="F69" s="1014"/>
      <c r="G69" s="1014"/>
      <c r="H69" s="1014"/>
      <c r="I69" s="1014"/>
      <c r="J69" s="1014"/>
      <c r="K69" s="1014"/>
      <c r="L69" s="1014"/>
      <c r="M69" s="1014"/>
      <c r="N69" s="1014"/>
      <c r="O69" s="1014"/>
      <c r="P69" s="1014"/>
      <c r="Q69" s="1014"/>
      <c r="R69" s="1014"/>
      <c r="S69" s="1014"/>
      <c r="T69" s="1014"/>
      <c r="U69" s="1014"/>
      <c r="V69" s="1014"/>
      <c r="W69" s="1014"/>
      <c r="X69" s="1014"/>
      <c r="Y69" s="1014"/>
      <c r="Z69" s="1014"/>
      <c r="AA69" s="1014"/>
      <c r="AB69" s="1014"/>
      <c r="AC69" s="1014"/>
      <c r="AD69" s="1014"/>
      <c r="AE69" s="1014"/>
      <c r="AF69" s="1014"/>
      <c r="AG69" s="1014"/>
    </row>
    <row r="70" s="281" customFormat="1">
      <c r="A70" s="1014"/>
      <c r="B70" s="1014"/>
      <c r="C70" s="1014"/>
      <c r="D70" s="1014"/>
      <c r="E70" s="1014"/>
      <c r="F70" s="1014"/>
      <c r="G70" s="1014"/>
      <c r="H70" s="1014"/>
      <c r="I70" s="1014"/>
      <c r="J70" s="1014"/>
      <c r="K70" s="1014"/>
      <c r="L70" s="1014"/>
      <c r="M70" s="1014"/>
      <c r="N70" s="1014"/>
      <c r="O70" s="1014"/>
      <c r="P70" s="1014"/>
      <c r="Q70" s="1014"/>
      <c r="R70" s="1014"/>
      <c r="S70" s="1014"/>
      <c r="T70" s="1014"/>
      <c r="U70" s="1014"/>
      <c r="V70" s="1014"/>
      <c r="W70" s="1014"/>
      <c r="X70" s="1014"/>
      <c r="Y70" s="1014"/>
      <c r="Z70" s="1014"/>
      <c r="AA70" s="1014"/>
      <c r="AB70" s="1014"/>
      <c r="AC70" s="1014"/>
      <c r="AD70" s="1014"/>
      <c r="AE70" s="1014"/>
      <c r="AF70" s="1014"/>
      <c r="AG70" s="1014"/>
    </row>
    <row r="71" s="281" customFormat="1">
      <c r="A71" s="1014"/>
      <c r="B71" s="1014"/>
      <c r="C71" s="1014"/>
      <c r="D71" s="1014"/>
      <c r="E71" s="1014"/>
      <c r="F71" s="1014"/>
      <c r="G71" s="1014"/>
      <c r="H71" s="1014"/>
      <c r="I71" s="1014"/>
      <c r="J71" s="1014"/>
      <c r="K71" s="1014"/>
      <c r="L71" s="1014"/>
      <c r="M71" s="1014"/>
      <c r="N71" s="1014"/>
      <c r="O71" s="1014"/>
      <c r="P71" s="1014"/>
      <c r="Q71" s="1014"/>
      <c r="R71" s="1014"/>
      <c r="S71" s="1014"/>
      <c r="T71" s="1014"/>
      <c r="U71" s="1014"/>
      <c r="V71" s="1014"/>
      <c r="W71" s="1014"/>
      <c r="X71" s="1014"/>
      <c r="Y71" s="1014"/>
      <c r="Z71" s="1014"/>
      <c r="AA71" s="1014"/>
      <c r="AB71" s="1014"/>
      <c r="AC71" s="1014"/>
      <c r="AD71" s="1014"/>
      <c r="AE71" s="1014"/>
      <c r="AF71" s="1014"/>
      <c r="AG71" s="1014"/>
    </row>
    <row r="72" s="281" customFormat="1">
      <c r="A72" s="1014"/>
      <c r="B72" s="1014"/>
      <c r="C72" s="1014"/>
      <c r="D72" s="1014"/>
      <c r="E72" s="1014"/>
      <c r="F72" s="1014"/>
      <c r="G72" s="1014"/>
      <c r="H72" s="1014"/>
      <c r="I72" s="1014"/>
      <c r="J72" s="1014"/>
      <c r="K72" s="1014"/>
      <c r="L72" s="1014"/>
      <c r="M72" s="1014"/>
      <c r="N72" s="1014"/>
      <c r="O72" s="1014"/>
      <c r="P72" s="1014"/>
      <c r="Q72" s="1014"/>
      <c r="R72" s="1014"/>
      <c r="S72" s="1014"/>
      <c r="T72" s="1014"/>
      <c r="U72" s="1014"/>
      <c r="V72" s="1014"/>
      <c r="W72" s="1014"/>
      <c r="X72" s="1014"/>
      <c r="Y72" s="1014"/>
      <c r="Z72" s="1014"/>
      <c r="AA72" s="1014"/>
      <c r="AB72" s="1014"/>
      <c r="AC72" s="1014"/>
      <c r="AD72" s="1014"/>
      <c r="AE72" s="1014"/>
      <c r="AF72" s="1014"/>
      <c r="AG72" s="1014"/>
    </row>
    <row r="73" s="281" customFormat="1">
      <c r="A73" s="1014"/>
      <c r="B73" s="1014"/>
      <c r="C73" s="1014"/>
      <c r="D73" s="1014"/>
      <c r="E73" s="1014"/>
      <c r="F73" s="1014"/>
      <c r="G73" s="1014"/>
      <c r="H73" s="1014"/>
      <c r="I73" s="1014"/>
      <c r="J73" s="1014"/>
      <c r="K73" s="1014"/>
      <c r="L73" s="1014"/>
      <c r="M73" s="1014"/>
      <c r="N73" s="1014"/>
      <c r="O73" s="1014"/>
      <c r="P73" s="1014"/>
      <c r="Q73" s="1014"/>
      <c r="R73" s="1014"/>
      <c r="S73" s="1014"/>
      <c r="T73" s="1014"/>
      <c r="U73" s="1014"/>
      <c r="V73" s="1014"/>
      <c r="W73" s="1014"/>
      <c r="X73" s="1014"/>
      <c r="Y73" s="1014"/>
      <c r="Z73" s="1014"/>
      <c r="AA73" s="1014"/>
      <c r="AB73" s="1014"/>
      <c r="AC73" s="1014"/>
      <c r="AD73" s="1014"/>
      <c r="AE73" s="1014"/>
      <c r="AF73" s="1014"/>
      <c r="AG73" s="1014"/>
    </row>
    <row r="74" s="281" customFormat="1"/>
    <row r="75" s="281" customFormat="1"/>
    <row r="76" s="281" customFormat="1"/>
    <row r="77" s="281" customFormat="1"/>
    <row r="78" s="281" customFormat="1"/>
    <row r="79" s="281" customFormat="1"/>
    <row r="80" s="281" customFormat="1"/>
    <row r="81" s="281" customFormat="1"/>
    <row r="82" s="281" customFormat="1"/>
    <row r="83" s="281" customFormat="1"/>
    <row r="84" s="281" customFormat="1"/>
    <row r="85" s="281" customFormat="1"/>
    <row r="86" s="281" customFormat="1"/>
    <row r="87" s="281" customFormat="1"/>
    <row r="88" s="281" customFormat="1"/>
    <row r="89" s="281" customFormat="1"/>
    <row r="90" s="281" customFormat="1"/>
    <row r="91" s="281" customFormat="1"/>
    <row r="92" s="281" customFormat="1"/>
    <row r="93" s="281" customFormat="1"/>
    <row r="94" s="281" customFormat="1"/>
  </sheetData>
  <mergeCells count="25">
    <mergeCell ref="Z19:AB19"/>
    <mergeCell ref="X18:AG18"/>
    <mergeCell ref="V19:X19"/>
    <mergeCell ref="AD19:AF19"/>
    <mergeCell ref="B2:AE2"/>
    <mergeCell ref="B57:AF57"/>
    <mergeCell ref="AA1:AF1"/>
    <mergeCell ref="AD43:AF43"/>
    <mergeCell ref="AD31:AF31"/>
    <mergeCell ref="B43:B44"/>
    <mergeCell ref="Z31:AB31"/>
    <mergeCell ref="Z43:AB43"/>
    <mergeCell ref="V31:X31"/>
    <mergeCell ref="B31:B32"/>
    <mergeCell ref="V43:X43"/>
    <mergeCell ref="B3:T3"/>
    <mergeCell ref="U3:AF3"/>
    <mergeCell ref="B4:AE4"/>
    <mergeCell ref="B19:B20"/>
    <mergeCell ref="C19:H19"/>
    <mergeCell ref="C31:H31"/>
    <mergeCell ref="C43:H43"/>
    <mergeCell ref="I19:T19"/>
    <mergeCell ref="I31:T31"/>
    <mergeCell ref="I43:T43"/>
  </mergeCells>
  <phoneticPr fontId="0" type="noConversion"/>
  <printOptions horizontalCentered="1" verticalCentered="1"/>
  <pageMargins left="0.25" right="0.25" top="0.25" bottom="0.25" header="0" footer="0"/>
  <pageSetup scale="45" fitToWidth="1" fitToHeight="1" orientation="landscape" r:id="rId1"/>
  <headerFooter alignWithMargins="0">
    <oddHeader/>
    <oddFooter/>
  </headerFooter>
  <rowBreaks count="1" manualBreakCount="1">
    <brk id="58" max="16383" man="1"/>
  </rowBreaks>
  <colBreaks count="1" manualBreakCount="1">
    <brk id="34" max="1048575" man="1"/>
  </colBreaks>
  <drawing r:id="rId31"/>
</worksheet>
</file>

<file path=xl/worksheets/sheet8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5">
    <pageSetUpPr fitToPage="1"/>
  </sheetPr>
  <dimension ref="A1:BW153"/>
  <sheetViews>
    <sheetView showGridLines="0" zoomScale="85" workbookViewId="0"/>
  </sheetViews>
  <sheetFormatPr defaultRowHeight="12.75"/>
  <cols>
    <col min="1" max="1" width="1" customWidth="1"/>
    <col min="2" max="2" width="1.28515625" style="21"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236" customWidth="1"/>
    <col min="70" max="75" width="9.140625" style="236" customWidth="1"/>
  </cols>
  <sheetData>
    <row r="1" ht="23.25" customHeight="1">
      <c r="B1" s="6" t="s">
        <v>171</v>
      </c>
      <c r="D1" s="6"/>
      <c r="E1" s="6"/>
      <c r="AS1" s="236"/>
    </row>
    <row r="2" ht="15" customHeight="1">
      <c r="B2" s="0"/>
      <c r="C2" s="1049" t="s">
        <v>208</v>
      </c>
      <c r="D2" s="1049"/>
      <c r="E2" s="1049"/>
      <c r="F2" s="1049"/>
      <c r="G2" s="1049"/>
      <c r="H2" s="1049"/>
      <c r="I2" s="1049"/>
      <c r="J2" s="1049"/>
      <c r="K2" s="1049"/>
      <c r="L2" s="1049"/>
      <c r="M2" s="1049"/>
      <c r="N2" s="1049"/>
      <c r="O2" s="1049"/>
      <c r="P2" s="1049"/>
      <c r="Q2" s="1049"/>
      <c r="R2" s="1049"/>
      <c r="S2" s="1049"/>
      <c r="T2" s="1049"/>
      <c r="U2" s="1049"/>
      <c r="V2" s="1049"/>
      <c r="W2" s="1049"/>
      <c r="X2" s="1049"/>
      <c r="Y2" s="1049"/>
      <c r="Z2" s="1049"/>
      <c r="AA2" s="1049"/>
      <c r="AB2" s="1049"/>
      <c r="AC2" s="1049"/>
      <c r="AD2" s="1049"/>
      <c r="AE2" s="1049"/>
      <c r="AF2" s="1049"/>
      <c r="AG2" s="1049"/>
      <c r="AH2" s="1049"/>
      <c r="AI2" s="1049"/>
      <c r="AJ2" s="1049"/>
      <c r="AK2" s="1049"/>
      <c r="AL2" s="1049"/>
      <c r="AM2" s="1049"/>
      <c r="AN2" s="1049"/>
      <c r="AO2" s="1049"/>
      <c r="AP2" s="1049"/>
      <c r="AQ2" s="0"/>
    </row>
    <row r="3" ht="15" customHeight="1">
      <c r="B3" s="0"/>
      <c r="C3" s="1049" t="s">
        <v>209</v>
      </c>
      <c r="D3" s="1049"/>
      <c r="E3" s="1049"/>
      <c r="F3" s="1049"/>
      <c r="G3" s="1049"/>
      <c r="H3" s="1049"/>
      <c r="I3" s="1049"/>
      <c r="J3" s="1049"/>
      <c r="K3" s="1049"/>
      <c r="L3" s="1049"/>
      <c r="M3" s="1049"/>
      <c r="N3" s="1049"/>
      <c r="O3" s="1049"/>
      <c r="P3" s="1049"/>
      <c r="Q3" s="1049"/>
      <c r="R3" s="1049"/>
      <c r="S3" s="1049"/>
      <c r="T3" s="1049"/>
      <c r="U3" s="1049"/>
      <c r="V3" s="1049"/>
      <c r="W3" s="1049"/>
      <c r="X3" s="1049"/>
      <c r="Y3" s="1049"/>
      <c r="Z3" s="1049"/>
      <c r="AA3" s="1049"/>
      <c r="AB3" s="1049"/>
      <c r="AC3" s="1049"/>
      <c r="AD3" s="1049"/>
      <c r="AE3" s="1049"/>
      <c r="AF3" s="1049"/>
      <c r="AG3" s="1049"/>
      <c r="AH3" s="1049"/>
      <c r="AI3" s="1049"/>
      <c r="AJ3" s="1049"/>
      <c r="AK3" s="1049"/>
      <c r="AL3" s="1049"/>
      <c r="AM3" s="1049"/>
      <c r="AN3" s="1049"/>
      <c r="AO3" s="1049"/>
      <c r="AP3" s="1049"/>
      <c r="AQ3" s="0"/>
    </row>
    <row r="4" ht="15" customHeight="1">
      <c r="B4" s="0"/>
      <c r="C4" s="1049" t="s">
        <v>241</v>
      </c>
      <c r="D4" s="1049"/>
      <c r="E4" s="1049"/>
      <c r="F4" s="1049"/>
      <c r="G4" s="1049"/>
      <c r="H4" s="1049"/>
      <c r="I4" s="1049"/>
      <c r="J4" s="1049"/>
      <c r="K4" s="1049"/>
      <c r="L4" s="1049"/>
      <c r="M4" s="1049"/>
      <c r="N4" s="1049"/>
      <c r="O4" s="1049"/>
      <c r="P4" s="1049"/>
      <c r="Q4" s="1049"/>
      <c r="R4" s="1049"/>
      <c r="S4" s="1049"/>
      <c r="T4" s="1049"/>
      <c r="U4" s="1049"/>
      <c r="V4" s="1049"/>
      <c r="W4" s="1049"/>
      <c r="X4" s="1049"/>
      <c r="Y4" s="1049"/>
      <c r="Z4" s="1049"/>
      <c r="AA4" s="1049"/>
      <c r="AB4" s="1049"/>
      <c r="AC4" s="1049"/>
      <c r="AD4" s="1049"/>
      <c r="AE4" s="1049"/>
      <c r="AF4" s="1049"/>
      <c r="AG4" s="1049"/>
      <c r="AH4" s="1049"/>
      <c r="AI4" s="1049"/>
      <c r="AJ4" s="1049"/>
      <c r="AK4" s="1049"/>
      <c r="AL4" s="1049"/>
      <c r="AM4" s="1049"/>
      <c r="AN4" s="1049"/>
      <c r="AO4" s="1049"/>
      <c r="AP4" s="1049"/>
      <c r="AQ4" s="0"/>
    </row>
    <row r="5" ht="12.75" customHeight="1">
      <c r="C5" s="67"/>
      <c r="D5" s="67"/>
      <c r="E5" s="67"/>
    </row>
    <row r="6" ht="18" customHeight="1">
      <c r="B6" s="68"/>
      <c r="C6" s="68" t="s">
        <v>7</v>
      </c>
      <c r="D6" s="69"/>
      <c r="E6" s="69"/>
      <c r="F6" s="69"/>
      <c r="H6" s="1050" t="s">
        <v>243</v>
      </c>
      <c r="I6" s="1050"/>
      <c r="J6" s="1050"/>
      <c r="K6" s="1050"/>
      <c r="L6" s="1050"/>
      <c r="M6" s="1050"/>
      <c r="N6" s="1050"/>
      <c r="O6" s="1050"/>
      <c r="P6" s="1050"/>
      <c r="Q6" s="1050"/>
      <c r="R6" s="1050"/>
      <c r="S6" s="1050"/>
      <c r="T6" s="1050"/>
      <c r="U6" s="1050"/>
      <c r="Z6" s="1050" t="s">
        <v>244</v>
      </c>
      <c r="AA6" s="1050"/>
      <c r="AB6" s="1050"/>
      <c r="AC6" s="1050"/>
      <c r="AD6" s="1050"/>
      <c r="AE6" s="1050"/>
      <c r="AF6" s="1050"/>
      <c r="AG6" s="1050"/>
      <c r="AH6" s="1050"/>
      <c r="AI6" s="1050"/>
      <c r="AJ6" s="1050"/>
      <c r="AK6" s="1050"/>
      <c r="AL6" s="1050"/>
      <c r="AM6" s="1050"/>
    </row>
    <row r="7" ht="15" customHeight="1">
      <c r="D7" s="93" t="s">
        <v>246</v>
      </c>
      <c r="E7" s="71"/>
      <c r="F7" s="71"/>
      <c r="H7" s="1051" t="s">
        <v>0</v>
      </c>
      <c r="I7" s="1051"/>
      <c r="J7" s="1051" t="s">
        <v>1</v>
      </c>
      <c r="K7" s="1051"/>
      <c r="L7" s="1051" t="s">
        <v>2</v>
      </c>
      <c r="M7" s="1051"/>
      <c r="N7" s="1051" t="s">
        <v>3</v>
      </c>
      <c r="O7" s="1051"/>
      <c r="P7" s="1051" t="s">
        <v>4</v>
      </c>
      <c r="Q7" s="1051"/>
      <c r="R7" s="1051" t="s">
        <v>5</v>
      </c>
      <c r="S7" s="1051"/>
      <c r="T7" s="1051" t="s">
        <v>6</v>
      </c>
      <c r="U7" s="1051"/>
      <c r="Z7" s="1051" t="s">
        <v>0</v>
      </c>
      <c r="AA7" s="1051"/>
      <c r="AB7" s="1051" t="s">
        <v>1</v>
      </c>
      <c r="AC7" s="1051"/>
      <c r="AD7" s="1051" t="s">
        <v>2</v>
      </c>
      <c r="AE7" s="1051"/>
      <c r="AF7" s="1051" t="s">
        <v>3</v>
      </c>
      <c r="AG7" s="1051"/>
      <c r="AH7" s="1051" t="s">
        <v>4</v>
      </c>
      <c r="AI7" s="1051"/>
      <c r="AJ7" s="1051" t="s">
        <v>5</v>
      </c>
      <c r="AK7" s="1051"/>
      <c r="AL7" s="1051" t="s">
        <v>6</v>
      </c>
      <c r="AM7" s="1051"/>
    </row>
    <row r="8" ht="15" customHeight="1">
      <c r="D8" s="175" t="s">
        <v>248</v>
      </c>
      <c r="E8" s="71"/>
      <c r="F8" s="71"/>
      <c r="G8" s="71"/>
      <c r="H8" s="1052"/>
      <c r="I8" s="1052"/>
      <c r="J8" s="1053"/>
      <c r="K8" s="1053"/>
      <c r="L8" s="1053"/>
      <c r="M8" s="1053"/>
      <c r="N8" s="1053"/>
      <c r="O8" s="1053"/>
      <c r="P8" s="1053">
        <v>1</v>
      </c>
      <c r="Q8" s="1053"/>
      <c r="R8" s="1053">
        <v>2</v>
      </c>
      <c r="S8" s="1053"/>
      <c r="T8" s="1054">
        <v>3</v>
      </c>
      <c r="U8" s="1054"/>
      <c r="Z8" s="1052"/>
      <c r="AA8" s="1052"/>
      <c r="AB8" s="1053"/>
      <c r="AC8" s="1053"/>
      <c r="AD8" s="1053"/>
      <c r="AE8" s="1053"/>
      <c r="AF8" s="1053">
        <v>1</v>
      </c>
      <c r="AG8" s="1053"/>
      <c r="AH8" s="1053">
        <v>2</v>
      </c>
      <c r="AI8" s="1053"/>
      <c r="AJ8" s="1053">
        <v>3</v>
      </c>
      <c r="AK8" s="1053"/>
      <c r="AL8" s="1054">
        <v>4</v>
      </c>
      <c r="AM8" s="1054"/>
    </row>
    <row r="9" ht="15" customHeight="1">
      <c r="D9" s="175" t="s">
        <v>250</v>
      </c>
      <c r="H9" s="1055">
        <v>4</v>
      </c>
      <c r="I9" s="1055"/>
      <c r="J9" s="1056">
        <v>5</v>
      </c>
      <c r="K9" s="1056"/>
      <c r="L9" s="1056">
        <v>6</v>
      </c>
      <c r="M9" s="1056"/>
      <c r="N9" s="1056">
        <v>7</v>
      </c>
      <c r="O9" s="1056"/>
      <c r="P9" s="1056">
        <v>8</v>
      </c>
      <c r="Q9" s="1056"/>
      <c r="R9" s="1056">
        <v>9</v>
      </c>
      <c r="S9" s="1056"/>
      <c r="T9" s="1057">
        <v>10</v>
      </c>
      <c r="U9" s="1057"/>
      <c r="Z9" s="1055">
        <v>5</v>
      </c>
      <c r="AA9" s="1055"/>
      <c r="AB9" s="1056">
        <v>6</v>
      </c>
      <c r="AC9" s="1056"/>
      <c r="AD9" s="1056">
        <v>7</v>
      </c>
      <c r="AE9" s="1056"/>
      <c r="AF9" s="1056">
        <v>8</v>
      </c>
      <c r="AG9" s="1056"/>
      <c r="AH9" s="1056">
        <v>9</v>
      </c>
      <c r="AI9" s="1056"/>
      <c r="AJ9" s="1056">
        <v>10</v>
      </c>
      <c r="AK9" s="1056"/>
      <c r="AL9" s="1057">
        <v>11</v>
      </c>
      <c r="AM9" s="1057"/>
    </row>
    <row r="10" ht="15" customHeight="1">
      <c r="D10" t="s">
        <v>252</v>
      </c>
      <c r="H10" s="1058">
        <v>11</v>
      </c>
      <c r="I10" s="1058"/>
      <c r="J10" s="1059">
        <v>12</v>
      </c>
      <c r="K10" s="1059"/>
      <c r="L10" s="1059">
        <v>13</v>
      </c>
      <c r="M10" s="1059"/>
      <c r="N10" s="1059">
        <v>14</v>
      </c>
      <c r="O10" s="1059"/>
      <c r="P10" s="1059">
        <v>15</v>
      </c>
      <c r="Q10" s="1059"/>
      <c r="R10" s="1059">
        <v>16</v>
      </c>
      <c r="S10" s="1059"/>
      <c r="T10" s="1060">
        <v>17</v>
      </c>
      <c r="U10" s="1060"/>
      <c r="Z10" s="1058">
        <v>12</v>
      </c>
      <c r="AA10" s="1058"/>
      <c r="AB10" s="1059">
        <v>13</v>
      </c>
      <c r="AC10" s="1059"/>
      <c r="AD10" s="1059">
        <v>14</v>
      </c>
      <c r="AE10" s="1059"/>
      <c r="AF10" s="1059">
        <v>15</v>
      </c>
      <c r="AG10" s="1059"/>
      <c r="AH10" s="1059">
        <v>16</v>
      </c>
      <c r="AI10" s="1059"/>
      <c r="AJ10" s="1059">
        <v>17</v>
      </c>
      <c r="AK10" s="1059"/>
      <c r="AL10" s="1060">
        <v>18</v>
      </c>
      <c r="AM10" s="1060"/>
    </row>
    <row r="11" ht="15" customHeight="1">
      <c r="D11" t="s">
        <v>254</v>
      </c>
      <c r="H11" s="1055">
        <v>18</v>
      </c>
      <c r="I11" s="1055"/>
      <c r="J11" s="1056">
        <v>19</v>
      </c>
      <c r="K11" s="1056"/>
      <c r="L11" s="1056">
        <v>20</v>
      </c>
      <c r="M11" s="1056"/>
      <c r="N11" s="1056">
        <v>21</v>
      </c>
      <c r="O11" s="1056"/>
      <c r="P11" s="1056">
        <v>22</v>
      </c>
      <c r="Q11" s="1056"/>
      <c r="R11" s="1056">
        <v>23</v>
      </c>
      <c r="S11" s="1056"/>
      <c r="T11" s="1057">
        <v>24</v>
      </c>
      <c r="U11" s="1057"/>
      <c r="Z11" s="1055">
        <v>19</v>
      </c>
      <c r="AA11" s="1055"/>
      <c r="AB11" s="1056">
        <v>20</v>
      </c>
      <c r="AC11" s="1056"/>
      <c r="AD11" s="1056">
        <v>21</v>
      </c>
      <c r="AE11" s="1056"/>
      <c r="AF11" s="1056">
        <v>22</v>
      </c>
      <c r="AG11" s="1056"/>
      <c r="AH11" s="1056">
        <v>23</v>
      </c>
      <c r="AI11" s="1056"/>
      <c r="AJ11" s="1056">
        <v>24</v>
      </c>
      <c r="AK11" s="1056"/>
      <c r="AL11" s="1057">
        <v>25</v>
      </c>
      <c r="AM11" s="1057"/>
      <c r="AN11" t="s">
        <v>27</v>
      </c>
    </row>
    <row r="12" ht="15" customHeight="1">
      <c r="A12" s="68"/>
      <c r="H12" s="1058">
        <v>25</v>
      </c>
      <c r="I12" s="1058"/>
      <c r="J12" s="1059">
        <v>26</v>
      </c>
      <c r="K12" s="1059"/>
      <c r="L12" s="1059">
        <v>27</v>
      </c>
      <c r="M12" s="1059"/>
      <c r="N12" s="1059">
        <v>28</v>
      </c>
      <c r="O12" s="1059"/>
      <c r="P12" s="1059">
        <v>29</v>
      </c>
      <c r="Q12" s="1059"/>
      <c r="R12" s="1059">
        <v>30</v>
      </c>
      <c r="S12" s="1059"/>
      <c r="T12" s="1060">
        <v>31</v>
      </c>
      <c r="U12" s="1060"/>
      <c r="Z12" s="1058">
        <v>26</v>
      </c>
      <c r="AA12" s="1058"/>
      <c r="AB12" s="1059">
        <v>27</v>
      </c>
      <c r="AC12" s="1059"/>
      <c r="AD12" s="1059">
        <v>28</v>
      </c>
      <c r="AE12" s="1059"/>
      <c r="AF12" s="1059">
        <v>29</v>
      </c>
      <c r="AG12" s="1059"/>
      <c r="AH12" s="1059">
        <v>30</v>
      </c>
      <c r="AI12" s="1059"/>
      <c r="AJ12" s="1059">
        <v>31</v>
      </c>
      <c r="AK12" s="1059"/>
      <c r="AL12" s="1060"/>
      <c r="AM12" s="1060"/>
    </row>
    <row r="13" ht="15" customHeight="1">
      <c r="C13" s="72"/>
      <c r="D13" s="73"/>
      <c r="E13" s="73"/>
      <c r="F13" s="73"/>
      <c r="G13" s="73"/>
      <c r="H13" s="1061" t="s">
        <v>27</v>
      </c>
      <c r="I13" s="1061"/>
      <c r="J13" s="1062" t="s">
        <v>27</v>
      </c>
      <c r="K13" s="1062"/>
      <c r="L13" s="1062" t="s">
        <v>27</v>
      </c>
      <c r="M13" s="1062"/>
      <c r="N13" s="1062" t="s">
        <v>27</v>
      </c>
      <c r="O13" s="1062"/>
      <c r="P13" s="1062" t="s">
        <v>27</v>
      </c>
      <c r="Q13" s="1062"/>
      <c r="R13" s="1062" t="s">
        <v>27</v>
      </c>
      <c r="S13" s="1062"/>
      <c r="T13" s="1063" t="s">
        <v>27</v>
      </c>
      <c r="U13" s="1063"/>
      <c r="Z13" s="1061" t="s">
        <v>27</v>
      </c>
      <c r="AA13" s="1061"/>
      <c r="AB13" s="1062" t="s">
        <v>27</v>
      </c>
      <c r="AC13" s="1062"/>
      <c r="AD13" s="1062" t="s">
        <v>27</v>
      </c>
      <c r="AE13" s="1062"/>
      <c r="AF13" s="1062" t="s">
        <v>27</v>
      </c>
      <c r="AG13" s="1062"/>
      <c r="AH13" s="1062" t="s">
        <v>27</v>
      </c>
      <c r="AI13" s="1062"/>
      <c r="AJ13" s="1062" t="s">
        <v>27</v>
      </c>
      <c r="AK13" s="1062"/>
      <c r="AL13" s="1063" t="s">
        <v>27</v>
      </c>
      <c r="AM13" s="1063"/>
    </row>
    <row r="14" ht="15" customHeight="1">
      <c r="A14" s="68"/>
      <c r="C14" s="68" t="s">
        <v>8</v>
      </c>
      <c r="F14" s="64"/>
    </row>
    <row r="15" ht="15" customHeight="1">
      <c r="D15" s="70" t="s">
        <v>248</v>
      </c>
      <c r="F15" s="64"/>
      <c r="P15" s="1064"/>
      <c r="Q15" s="1064"/>
      <c r="R15" s="1064"/>
      <c r="S15" s="1064"/>
      <c r="T15" s="1064"/>
      <c r="U15" s="1064"/>
      <c r="V15" s="1064"/>
      <c r="W15" s="0"/>
      <c r="X15" s="1064"/>
      <c r="Y15" s="1064"/>
      <c r="Z15" s="1064"/>
      <c r="AA15" s="1064"/>
      <c r="AB15" s="1064"/>
      <c r="AC15" s="1064"/>
      <c r="AD15" s="1064"/>
      <c r="AE15" s="0"/>
      <c r="AF15" s="1064"/>
      <c r="AG15" s="1064"/>
      <c r="AH15" s="1064"/>
      <c r="AI15" s="1064"/>
      <c r="AJ15" s="1064"/>
      <c r="AK15" s="1064"/>
      <c r="AL15" s="1064"/>
      <c r="AM15" s="0"/>
      <c r="AN15" s="0"/>
    </row>
    <row r="16" ht="15" customHeight="1">
      <c r="C16" s="70"/>
      <c r="D16" s="73" t="s">
        <v>250</v>
      </c>
      <c r="F16" s="64"/>
      <c r="P16" s="21"/>
      <c r="Q16" s="21"/>
      <c r="R16" s="21"/>
      <c r="S16" s="21"/>
      <c r="T16" s="21"/>
      <c r="U16" s="21"/>
      <c r="V16" s="21"/>
      <c r="W16" s="0"/>
      <c r="X16" s="21"/>
      <c r="Y16" s="21"/>
      <c r="Z16" s="21"/>
      <c r="AA16" s="21"/>
      <c r="AB16" s="21"/>
      <c r="AC16" s="21"/>
      <c r="AD16" s="21"/>
      <c r="AE16" s="0"/>
      <c r="AF16" s="21"/>
      <c r="AG16" s="21"/>
      <c r="AH16" s="21"/>
      <c r="AI16" s="21"/>
      <c r="AJ16" s="21"/>
      <c r="AK16" s="21"/>
      <c r="AL16" s="21"/>
      <c r="AM16" s="0"/>
      <c r="AN16" s="0"/>
    </row>
    <row r="17" ht="15" customHeight="1">
      <c r="C17" s="70"/>
      <c r="D17" s="73" t="s">
        <v>252</v>
      </c>
      <c r="F17" s="64"/>
      <c r="P17" s="21"/>
      <c r="Q17" s="21"/>
      <c r="R17" s="21"/>
      <c r="S17" s="21"/>
      <c r="T17" s="21"/>
      <c r="U17" s="21"/>
      <c r="V17" s="21"/>
      <c r="W17" s="0"/>
      <c r="X17" s="21"/>
      <c r="Y17" s="21"/>
      <c r="Z17" s="21"/>
      <c r="AA17" s="21"/>
      <c r="AB17" s="21"/>
      <c r="AC17" s="21"/>
      <c r="AD17" s="21"/>
      <c r="AE17" s="0"/>
      <c r="AF17" s="21"/>
      <c r="AG17" s="21"/>
      <c r="AH17" s="21"/>
      <c r="AI17" s="21"/>
      <c r="AJ17" s="21"/>
      <c r="AK17" s="21"/>
      <c r="AL17" s="21"/>
      <c r="AM17" s="0"/>
      <c r="AN17" s="0"/>
    </row>
    <row r="18" ht="15" customHeight="1">
      <c r="C18" s="70"/>
      <c r="D18" s="71" t="s">
        <v>254</v>
      </c>
      <c r="F18" s="64"/>
      <c r="P18" s="21"/>
      <c r="Q18" s="21"/>
      <c r="R18" s="21"/>
      <c r="S18" s="21"/>
      <c r="T18" s="21"/>
      <c r="U18" s="21"/>
      <c r="V18" s="21"/>
      <c r="W18" s="0"/>
      <c r="X18" s="21"/>
      <c r="Y18" s="21"/>
      <c r="Z18" s="21"/>
      <c r="AA18" s="21"/>
      <c r="AB18" s="21"/>
      <c r="AC18" s="21"/>
      <c r="AD18" s="21"/>
      <c r="AE18" s="0"/>
      <c r="AF18" s="21"/>
      <c r="AG18" s="21"/>
      <c r="AH18" s="21"/>
      <c r="AI18" s="21"/>
      <c r="AJ18" s="21"/>
      <c r="AK18" s="21"/>
      <c r="AL18" s="21"/>
      <c r="AM18" s="0"/>
      <c r="AN18" s="0"/>
    </row>
    <row r="19" ht="15" customHeight="1">
      <c r="C19" s="74"/>
      <c r="D19" s="71"/>
      <c r="F19" s="64"/>
      <c r="P19" s="21"/>
      <c r="Q19" s="21"/>
      <c r="R19" s="21"/>
      <c r="S19" s="21"/>
      <c r="T19" s="21"/>
      <c r="U19" s="21"/>
      <c r="V19" s="21"/>
      <c r="W19" s="0"/>
      <c r="X19" s="21"/>
      <c r="Y19" s="21"/>
      <c r="Z19" s="21"/>
      <c r="AA19" s="21"/>
      <c r="AB19" s="21"/>
      <c r="AC19" s="21"/>
      <c r="AD19" s="21"/>
      <c r="AE19" s="0"/>
      <c r="AF19" s="21"/>
      <c r="AG19" s="21"/>
      <c r="AH19" s="21"/>
      <c r="AI19" s="21"/>
      <c r="AJ19" s="21"/>
      <c r="AK19" s="21"/>
      <c r="AL19" s="21"/>
      <c r="AM19" s="0"/>
      <c r="AN19" s="0"/>
    </row>
    <row r="20" ht="15" customHeight="1">
      <c r="C20" s="74"/>
      <c r="D20" s="71"/>
      <c r="F20" s="64"/>
      <c r="P20" s="21"/>
      <c r="Q20" s="21"/>
      <c r="R20" s="21"/>
      <c r="S20" s="21"/>
      <c r="T20" s="21"/>
      <c r="U20" s="21"/>
      <c r="V20" s="21"/>
      <c r="W20" s="0"/>
      <c r="X20" s="21"/>
      <c r="Y20" s="21"/>
      <c r="Z20" s="21"/>
      <c r="AA20" s="21"/>
      <c r="AB20" s="21"/>
      <c r="AC20" s="21"/>
      <c r="AD20" s="21"/>
      <c r="AE20" s="0"/>
      <c r="AF20" s="21"/>
      <c r="AG20" s="21"/>
      <c r="AH20" s="21"/>
      <c r="AI20" s="21"/>
      <c r="AJ20" s="21"/>
      <c r="AK20" s="21"/>
      <c r="AL20" s="21"/>
      <c r="AM20" s="0"/>
      <c r="AN20" s="0"/>
    </row>
    <row r="21" ht="30" customHeight="1">
      <c r="R21" s="993">
        <v>2021</v>
      </c>
      <c r="S21" s="993"/>
      <c r="T21" s="993"/>
      <c r="U21" s="993"/>
      <c r="V21" s="993"/>
      <c r="W21" s="993"/>
      <c r="X21" s="993"/>
      <c r="Y21" s="993"/>
      <c r="Z21" s="993"/>
      <c r="AA21" s="993"/>
      <c r="AB21" s="993"/>
      <c r="AC21" s="993"/>
      <c r="AD21" s="995">
        <v>2022</v>
      </c>
      <c r="AE21" s="995"/>
      <c r="AF21" s="995"/>
      <c r="AG21" s="995"/>
      <c r="AH21" s="995"/>
      <c r="AI21" s="995"/>
      <c r="AJ21" s="995"/>
      <c r="AK21" s="995"/>
      <c r="AL21" s="995"/>
      <c r="AM21" s="995"/>
      <c r="AN21" s="995"/>
      <c r="AO21" s="995"/>
    </row>
    <row r="22" s="5" customFormat="1" ht="30" customHeight="1">
      <c r="B22" s="76"/>
      <c r="C22" s="77" t="s">
        <v>71</v>
      </c>
      <c r="D22" s="77" t="s">
        <v>21</v>
      </c>
      <c r="E22" s="177" t="s">
        <v>242</v>
      </c>
      <c r="F22" s="10" t="s">
        <v>60</v>
      </c>
      <c r="G22" s="10" t="s">
        <v>61</v>
      </c>
      <c r="H22" s="1065" t="s">
        <v>34</v>
      </c>
      <c r="I22" s="1065"/>
      <c r="J22" s="1065"/>
      <c r="K22" s="1065"/>
      <c r="L22" s="1065" t="s">
        <v>62</v>
      </c>
      <c r="M22" s="1065"/>
      <c r="N22" s="1065"/>
      <c r="O22" s="1065"/>
      <c r="R22" s="617" t="s">
        <v>230</v>
      </c>
      <c r="S22" s="618" t="s">
        <v>231</v>
      </c>
      <c r="T22" s="618" t="s">
        <v>232</v>
      </c>
      <c r="U22" s="618" t="s">
        <v>233</v>
      </c>
      <c r="V22" s="618" t="s">
        <v>234</v>
      </c>
      <c r="W22" s="618" t="s">
        <v>235</v>
      </c>
      <c r="X22" s="618" t="s">
        <v>218</v>
      </c>
      <c r="Y22" s="618" t="s">
        <v>221</v>
      </c>
      <c r="Z22" s="618" t="s">
        <v>222</v>
      </c>
      <c r="AA22" s="618" t="s">
        <v>224</v>
      </c>
      <c r="AB22" s="618" t="s">
        <v>227</v>
      </c>
      <c r="AC22" s="1015" t="s">
        <v>229</v>
      </c>
      <c r="AD22" s="618" t="s">
        <v>230</v>
      </c>
      <c r="AE22" s="618" t="s">
        <v>231</v>
      </c>
      <c r="AF22" s="618" t="s">
        <v>232</v>
      </c>
      <c r="AG22" s="618" t="s">
        <v>233</v>
      </c>
      <c r="AH22" s="618" t="s">
        <v>234</v>
      </c>
      <c r="AI22" s="618" t="s">
        <v>235</v>
      </c>
      <c r="AJ22" s="618" t="s">
        <v>218</v>
      </c>
      <c r="AK22" s="618" t="s">
        <v>221</v>
      </c>
      <c r="AL22" s="618" t="s">
        <v>222</v>
      </c>
      <c r="AM22" s="618" t="s">
        <v>224</v>
      </c>
      <c r="AN22" s="618" t="s">
        <v>227</v>
      </c>
      <c r="AO22" s="1015" t="s">
        <v>229</v>
      </c>
      <c r="AP22" s="78"/>
      <c r="AQ22" s="78"/>
      <c r="AR22" s="78"/>
      <c r="AS22" s="236"/>
      <c r="AT22" s="236"/>
      <c r="AU22" s="236"/>
      <c r="AV22" s="236"/>
      <c r="AW22" s="236"/>
      <c r="AX22" s="236"/>
      <c r="AY22" s="236"/>
      <c r="AZ22" s="236"/>
      <c r="BA22" s="236"/>
      <c r="BB22" s="236"/>
      <c r="BC22" s="236"/>
      <c r="BD22" s="236"/>
      <c r="BE22" s="236"/>
      <c r="BF22" s="236"/>
      <c r="BG22" s="236"/>
      <c r="BH22" s="236"/>
      <c r="BI22" s="236"/>
      <c r="BJ22" s="236"/>
      <c r="BK22" s="236"/>
      <c r="BL22" s="236"/>
      <c r="BM22" s="236"/>
      <c r="BN22" s="236"/>
      <c r="BO22" s="236"/>
      <c r="BP22" s="236"/>
      <c r="BQ22" s="236"/>
      <c r="BR22" s="236"/>
      <c r="BS22" s="236"/>
      <c r="BT22" s="236"/>
      <c r="BU22" s="236"/>
      <c r="BV22" s="236"/>
      <c r="BW22" s="236"/>
    </row>
    <row r="23" s="0" customFormat="1" ht="18" customHeight="1">
      <c r="B23" s="21"/>
      <c r="C23" s="1016">
        <v>56387</v>
      </c>
      <c r="D23" s="1016" t="s">
        <v>213</v>
      </c>
      <c r="E23" s="1016" t="s">
        <v>259</v>
      </c>
      <c r="F23" s="1016" t="s">
        <v>260</v>
      </c>
      <c r="G23" s="1016" t="s">
        <v>261</v>
      </c>
      <c r="H23" s="1017" t="s">
        <v>262</v>
      </c>
      <c r="I23" s="1017"/>
      <c r="J23" s="1017"/>
      <c r="K23" s="1017"/>
      <c r="L23" s="1017" t="s">
        <v>263</v>
      </c>
      <c r="M23" s="1017"/>
      <c r="N23" s="1017"/>
      <c r="O23" s="1017"/>
      <c r="P23" s="80"/>
      <c r="Q23" s="4"/>
      <c r="R23" s="1018" t="s">
        <v>264</v>
      </c>
      <c r="S23" s="1019" t="s">
        <v>264</v>
      </c>
      <c r="T23" s="1019" t="s">
        <v>264</v>
      </c>
      <c r="U23" s="1019" t="s">
        <v>264</v>
      </c>
      <c r="V23" s="1019" t="s">
        <v>264</v>
      </c>
      <c r="W23" s="1019" t="s">
        <v>264</v>
      </c>
      <c r="X23" s="1019" t="s">
        <v>264</v>
      </c>
      <c r="Y23" s="1019" t="s">
        <v>264</v>
      </c>
      <c r="Z23" s="1019" t="s">
        <v>264</v>
      </c>
      <c r="AA23" s="1019" t="s">
        <v>264</v>
      </c>
      <c r="AB23" s="1019" t="s">
        <v>264</v>
      </c>
      <c r="AC23" s="1019" t="s">
        <v>264</v>
      </c>
      <c r="AD23" s="1019" t="s">
        <v>264</v>
      </c>
      <c r="AE23" s="1019" t="s">
        <v>264</v>
      </c>
      <c r="AF23" s="1019" t="s">
        <v>264</v>
      </c>
      <c r="AG23" s="1019" t="s">
        <v>264</v>
      </c>
      <c r="AH23" s="1019" t="s">
        <v>264</v>
      </c>
      <c r="AI23" s="1019" t="s">
        <v>264</v>
      </c>
      <c r="AJ23" s="1019" t="s">
        <v>264</v>
      </c>
      <c r="AK23" s="1019" t="s">
        <v>264</v>
      </c>
      <c r="AL23" s="1019" t="s">
        <v>264</v>
      </c>
      <c r="AM23" s="1019" t="s">
        <v>264</v>
      </c>
      <c r="AN23" s="1019" t="s">
        <v>264</v>
      </c>
      <c r="AO23" s="1020" t="s">
        <v>264</v>
      </c>
      <c r="AP23" s="79"/>
      <c r="AQ23" s="79"/>
      <c r="AR23" s="79"/>
      <c r="AS23" s="236"/>
      <c r="AT23" s="236"/>
      <c r="AU23" s="236"/>
      <c r="AV23" s="236"/>
      <c r="AW23" s="236"/>
      <c r="AX23" s="236"/>
      <c r="AY23" s="236"/>
      <c r="AZ23" s="236"/>
      <c r="BA23" s="236"/>
      <c r="BB23" s="236"/>
      <c r="BC23" s="236"/>
      <c r="BD23" s="236"/>
      <c r="BE23" s="236"/>
      <c r="BF23" s="236"/>
      <c r="BG23" s="236"/>
      <c r="BH23" s="236"/>
      <c r="BI23" s="236"/>
      <c r="BJ23" s="236"/>
      <c r="BK23" s="236"/>
      <c r="BL23" s="236"/>
      <c r="BM23" s="236"/>
      <c r="BN23" s="236"/>
      <c r="BO23" s="236"/>
      <c r="BP23" s="236"/>
      <c r="BQ23" s="236"/>
      <c r="BR23" s="236"/>
      <c r="BS23" s="236"/>
      <c r="BT23" s="236"/>
      <c r="BU23" s="236"/>
      <c r="BV23" s="236"/>
      <c r="BW23" s="236"/>
    </row>
    <row r="24" s="0" customFormat="1" ht="18" customHeight="1">
      <c r="B24" s="21"/>
      <c r="C24" s="1021">
        <v>31851</v>
      </c>
      <c r="D24" s="1021" t="s">
        <v>319</v>
      </c>
      <c r="E24" s="1021" t="s">
        <v>259</v>
      </c>
      <c r="F24" s="1021" t="s">
        <v>320</v>
      </c>
      <c r="G24" s="1021" t="s">
        <v>321</v>
      </c>
      <c r="H24" s="1023" t="s">
        <v>322</v>
      </c>
      <c r="I24" s="1023"/>
      <c r="J24" s="1023"/>
      <c r="K24" s="1023"/>
      <c r="L24" s="1023" t="s">
        <v>323</v>
      </c>
      <c r="M24" s="1023"/>
      <c r="N24" s="1023"/>
      <c r="O24" s="1023"/>
      <c r="P24" s="80"/>
      <c r="Q24" s="4"/>
      <c r="R24" s="1024" t="s">
        <v>264</v>
      </c>
      <c r="S24" s="1025" t="s">
        <v>264</v>
      </c>
      <c r="T24" s="1025" t="s">
        <v>264</v>
      </c>
      <c r="U24" s="1025" t="s">
        <v>264</v>
      </c>
      <c r="V24" s="1025" t="s">
        <v>264</v>
      </c>
      <c r="W24" s="1025" t="s">
        <v>264</v>
      </c>
      <c r="X24" s="1025" t="s">
        <v>264</v>
      </c>
      <c r="Y24" s="1025" t="s">
        <v>264</v>
      </c>
      <c r="Z24" s="1025" t="s">
        <v>264</v>
      </c>
      <c r="AA24" s="1025" t="s">
        <v>264</v>
      </c>
      <c r="AB24" s="1025" t="s">
        <v>264</v>
      </c>
      <c r="AC24" s="1025" t="s">
        <v>264</v>
      </c>
      <c r="AD24" s="1025" t="s">
        <v>264</v>
      </c>
      <c r="AE24" s="1025" t="s">
        <v>264</v>
      </c>
      <c r="AF24" s="1025" t="s">
        <v>264</v>
      </c>
      <c r="AG24" s="1025" t="s">
        <v>264</v>
      </c>
      <c r="AH24" s="1025" t="s">
        <v>264</v>
      </c>
      <c r="AI24" s="1025" t="s">
        <v>264</v>
      </c>
      <c r="AJ24" s="1025" t="s">
        <v>264</v>
      </c>
      <c r="AK24" s="1025" t="s">
        <v>264</v>
      </c>
      <c r="AL24" s="1025" t="s">
        <v>264</v>
      </c>
      <c r="AM24" s="1025" t="s">
        <v>264</v>
      </c>
      <c r="AN24" s="1025" t="s">
        <v>264</v>
      </c>
      <c r="AO24" s="1026" t="s">
        <v>264</v>
      </c>
      <c r="AP24" s="79"/>
      <c r="AQ24" s="79"/>
      <c r="AR24" s="79"/>
      <c r="AS24" s="236"/>
      <c r="AT24" s="236"/>
      <c r="AU24" s="236"/>
      <c r="AV24" s="236"/>
      <c r="AW24" s="236"/>
      <c r="AX24" s="236"/>
      <c r="AY24" s="236"/>
      <c r="AZ24" s="236"/>
      <c r="BA24" s="236"/>
      <c r="BB24" s="236"/>
      <c r="BC24" s="236"/>
      <c r="BD24" s="236"/>
      <c r="BE24" s="236"/>
      <c r="BF24" s="236"/>
      <c r="BG24" s="236"/>
      <c r="BH24" s="236"/>
      <c r="BI24" s="236"/>
      <c r="BJ24" s="236"/>
      <c r="BK24" s="236"/>
      <c r="BL24" s="236"/>
      <c r="BM24" s="236"/>
      <c r="BN24" s="236"/>
      <c r="BO24" s="236"/>
      <c r="BP24" s="236"/>
      <c r="BQ24" s="236"/>
      <c r="BR24" s="236"/>
      <c r="BS24" s="236"/>
      <c r="BT24" s="236"/>
      <c r="BU24" s="236"/>
      <c r="BV24" s="236"/>
      <c r="BW24" s="236"/>
    </row>
    <row r="25" s="0" customFormat="1" ht="18" customHeight="1">
      <c r="B25" s="21"/>
      <c r="C25" s="1016">
        <v>33931</v>
      </c>
      <c r="D25" s="1016" t="s">
        <v>265</v>
      </c>
      <c r="E25" s="1016" t="s">
        <v>259</v>
      </c>
      <c r="F25" s="1027" t="s">
        <v>266</v>
      </c>
      <c r="G25" s="1016" t="s">
        <v>267</v>
      </c>
      <c r="H25" s="1017" t="s">
        <v>268</v>
      </c>
      <c r="I25" s="1017"/>
      <c r="J25" s="1017"/>
      <c r="K25" s="1017"/>
      <c r="L25" s="1017" t="s">
        <v>269</v>
      </c>
      <c r="M25" s="1017"/>
      <c r="N25" s="1017"/>
      <c r="O25" s="1017"/>
      <c r="P25" s="80"/>
      <c r="Q25" s="4"/>
      <c r="R25" s="1018" t="s">
        <v>264</v>
      </c>
      <c r="S25" s="1019" t="s">
        <v>264</v>
      </c>
      <c r="T25" s="1019" t="s">
        <v>264</v>
      </c>
      <c r="U25" s="1019" t="s">
        <v>264</v>
      </c>
      <c r="V25" s="1019" t="s">
        <v>264</v>
      </c>
      <c r="W25" s="1019" t="s">
        <v>264</v>
      </c>
      <c r="X25" s="1019" t="s">
        <v>264</v>
      </c>
      <c r="Y25" s="1019" t="s">
        <v>264</v>
      </c>
      <c r="Z25" s="1019" t="s">
        <v>264</v>
      </c>
      <c r="AA25" s="1019" t="s">
        <v>264</v>
      </c>
      <c r="AB25" s="1019" t="s">
        <v>264</v>
      </c>
      <c r="AC25" s="1019" t="s">
        <v>264</v>
      </c>
      <c r="AD25" s="1019" t="s">
        <v>264</v>
      </c>
      <c r="AE25" s="1019" t="s">
        <v>264</v>
      </c>
      <c r="AF25" s="1019" t="s">
        <v>264</v>
      </c>
      <c r="AG25" s="1019" t="s">
        <v>264</v>
      </c>
      <c r="AH25" s="1019" t="s">
        <v>264</v>
      </c>
      <c r="AI25" s="1019" t="s">
        <v>264</v>
      </c>
      <c r="AJ25" s="1019" t="s">
        <v>264</v>
      </c>
      <c r="AK25" s="1019" t="s">
        <v>264</v>
      </c>
      <c r="AL25" s="1019" t="s">
        <v>264</v>
      </c>
      <c r="AM25" s="1019" t="s">
        <v>264</v>
      </c>
      <c r="AN25" s="1019" t="s">
        <v>264</v>
      </c>
      <c r="AO25" s="1020" t="s">
        <v>264</v>
      </c>
      <c r="AP25" s="79"/>
      <c r="AQ25" s="79"/>
      <c r="AR25" s="79"/>
      <c r="AS25" s="236"/>
      <c r="AT25" s="236"/>
      <c r="AU25" s="236"/>
      <c r="AV25" s="236"/>
      <c r="AW25" s="236"/>
      <c r="AX25" s="236"/>
      <c r="AY25" s="236"/>
      <c r="AZ25" s="236"/>
      <c r="BA25" s="236"/>
      <c r="BB25" s="236"/>
      <c r="BC25" s="236"/>
      <c r="BD25" s="236"/>
      <c r="BE25" s="236"/>
      <c r="BF25" s="236"/>
      <c r="BG25" s="236"/>
      <c r="BH25" s="236"/>
      <c r="BI25" s="236"/>
      <c r="BJ25" s="236"/>
      <c r="BK25" s="236"/>
      <c r="BL25" s="236"/>
      <c r="BM25" s="236"/>
      <c r="BN25" s="236"/>
      <c r="BO25" s="236"/>
      <c r="BP25" s="236"/>
      <c r="BQ25" s="236"/>
      <c r="BR25" s="236"/>
      <c r="BS25" s="236"/>
      <c r="BT25" s="236"/>
      <c r="BU25" s="236"/>
      <c r="BV25" s="236"/>
      <c r="BW25" s="236"/>
    </row>
    <row r="26" s="0" customFormat="1" ht="18" customHeight="1">
      <c r="B26" s="21"/>
      <c r="C26" s="1021">
        <v>34401</v>
      </c>
      <c r="D26" s="1021" t="s">
        <v>270</v>
      </c>
      <c r="E26" s="1021" t="s">
        <v>259</v>
      </c>
      <c r="F26" s="1022" t="s">
        <v>266</v>
      </c>
      <c r="G26" s="1021" t="s">
        <v>271</v>
      </c>
      <c r="H26" s="1023" t="s">
        <v>272</v>
      </c>
      <c r="I26" s="1023"/>
      <c r="J26" s="1023"/>
      <c r="K26" s="1023"/>
      <c r="L26" s="1023" t="s">
        <v>273</v>
      </c>
      <c r="M26" s="1023"/>
      <c r="N26" s="1023"/>
      <c r="O26" s="1023"/>
      <c r="P26" s="80"/>
      <c r="Q26" s="4"/>
      <c r="R26" s="1024" t="s">
        <v>264</v>
      </c>
      <c r="S26" s="1025" t="s">
        <v>264</v>
      </c>
      <c r="T26" s="1025" t="s">
        <v>264</v>
      </c>
      <c r="U26" s="1025" t="s">
        <v>264</v>
      </c>
      <c r="V26" s="1025" t="s">
        <v>264</v>
      </c>
      <c r="W26" s="1025" t="s">
        <v>264</v>
      </c>
      <c r="X26" s="1025" t="s">
        <v>264</v>
      </c>
      <c r="Y26" s="1025" t="s">
        <v>264</v>
      </c>
      <c r="Z26" s="1025" t="s">
        <v>264</v>
      </c>
      <c r="AA26" s="1025" t="s">
        <v>264</v>
      </c>
      <c r="AB26" s="1025" t="s">
        <v>264</v>
      </c>
      <c r="AC26" s="1025" t="s">
        <v>264</v>
      </c>
      <c r="AD26" s="1025" t="s">
        <v>264</v>
      </c>
      <c r="AE26" s="1025" t="s">
        <v>264</v>
      </c>
      <c r="AF26" s="1025" t="s">
        <v>264</v>
      </c>
      <c r="AG26" s="1025" t="s">
        <v>264</v>
      </c>
      <c r="AH26" s="1025" t="s">
        <v>264</v>
      </c>
      <c r="AI26" s="1025" t="s">
        <v>264</v>
      </c>
      <c r="AJ26" s="1025" t="s">
        <v>264</v>
      </c>
      <c r="AK26" s="1025" t="s">
        <v>264</v>
      </c>
      <c r="AL26" s="1025" t="s">
        <v>264</v>
      </c>
      <c r="AM26" s="1025" t="s">
        <v>264</v>
      </c>
      <c r="AN26" s="1025" t="s">
        <v>264</v>
      </c>
      <c r="AO26" s="1026" t="s">
        <v>264</v>
      </c>
      <c r="AP26" s="79"/>
      <c r="AQ26" s="79"/>
      <c r="AR26" s="79"/>
      <c r="AS26" s="236"/>
      <c r="AT26" s="236"/>
      <c r="AU26" s="236"/>
      <c r="AV26" s="236"/>
      <c r="AW26" s="236"/>
      <c r="AX26" s="236"/>
      <c r="AY26" s="236"/>
      <c r="AZ26" s="236"/>
      <c r="BA26" s="236"/>
      <c r="BB26" s="236"/>
      <c r="BC26" s="236"/>
      <c r="BD26" s="236"/>
      <c r="BE26" s="236"/>
      <c r="BF26" s="236"/>
      <c r="BG26" s="236"/>
      <c r="BH26" s="236"/>
      <c r="BI26" s="236"/>
      <c r="BJ26" s="236"/>
      <c r="BK26" s="236"/>
      <c r="BL26" s="236"/>
      <c r="BM26" s="236"/>
      <c r="BN26" s="236"/>
      <c r="BO26" s="236"/>
      <c r="BP26" s="236"/>
      <c r="BQ26" s="236"/>
      <c r="BR26" s="236"/>
      <c r="BS26" s="236"/>
      <c r="BT26" s="236"/>
      <c r="BU26" s="236"/>
      <c r="BV26" s="236"/>
      <c r="BW26" s="236"/>
    </row>
    <row r="27" s="0" customFormat="1" ht="18" customHeight="1">
      <c r="B27" s="21"/>
      <c r="C27" s="1016">
        <v>35815</v>
      </c>
      <c r="D27" s="1016" t="s">
        <v>324</v>
      </c>
      <c r="E27" s="1016" t="s">
        <v>259</v>
      </c>
      <c r="F27" s="1027" t="s">
        <v>266</v>
      </c>
      <c r="G27" s="1016" t="s">
        <v>325</v>
      </c>
      <c r="H27" s="1017" t="s">
        <v>326</v>
      </c>
      <c r="I27" s="1017"/>
      <c r="J27" s="1017"/>
      <c r="K27" s="1017"/>
      <c r="L27" s="1017" t="s">
        <v>327</v>
      </c>
      <c r="M27" s="1017"/>
      <c r="N27" s="1017"/>
      <c r="O27" s="1017"/>
      <c r="P27" s="80"/>
      <c r="Q27" s="4"/>
      <c r="R27" s="1018" t="s">
        <v>264</v>
      </c>
      <c r="S27" s="1019" t="s">
        <v>264</v>
      </c>
      <c r="T27" s="1019" t="s">
        <v>264</v>
      </c>
      <c r="U27" s="1019" t="s">
        <v>264</v>
      </c>
      <c r="V27" s="1019" t="s">
        <v>264</v>
      </c>
      <c r="W27" s="1019" t="s">
        <v>264</v>
      </c>
      <c r="X27" s="1019" t="s">
        <v>264</v>
      </c>
      <c r="Y27" s="1019" t="s">
        <v>264</v>
      </c>
      <c r="Z27" s="1019" t="s">
        <v>264</v>
      </c>
      <c r="AA27" s="1019" t="s">
        <v>264</v>
      </c>
      <c r="AB27" s="1019" t="s">
        <v>264</v>
      </c>
      <c r="AC27" s="1019" t="s">
        <v>264</v>
      </c>
      <c r="AD27" s="1019" t="s">
        <v>264</v>
      </c>
      <c r="AE27" s="1019" t="s">
        <v>264</v>
      </c>
      <c r="AF27" s="1019" t="s">
        <v>264</v>
      </c>
      <c r="AG27" s="1019" t="s">
        <v>264</v>
      </c>
      <c r="AH27" s="1019" t="s">
        <v>264</v>
      </c>
      <c r="AI27" s="1019" t="s">
        <v>264</v>
      </c>
      <c r="AJ27" s="1019" t="s">
        <v>264</v>
      </c>
      <c r="AK27" s="1019" t="s">
        <v>264</v>
      </c>
      <c r="AL27" s="1019" t="s">
        <v>264</v>
      </c>
      <c r="AM27" s="1019" t="s">
        <v>264</v>
      </c>
      <c r="AN27" s="1019" t="s">
        <v>264</v>
      </c>
      <c r="AO27" s="1020" t="s">
        <v>264</v>
      </c>
      <c r="AP27" s="79"/>
      <c r="AQ27" s="79"/>
      <c r="AR27" s="79"/>
      <c r="AS27" s="236"/>
      <c r="AT27" s="236"/>
      <c r="AU27" s="236"/>
      <c r="AV27" s="236"/>
      <c r="AW27" s="236"/>
      <c r="AX27" s="236"/>
      <c r="AY27" s="236"/>
      <c r="AZ27" s="236"/>
      <c r="BA27" s="236"/>
      <c r="BB27" s="236"/>
      <c r="BC27" s="236"/>
      <c r="BD27" s="236"/>
      <c r="BE27" s="236"/>
      <c r="BF27" s="236"/>
      <c r="BG27" s="236"/>
      <c r="BH27" s="236"/>
      <c r="BI27" s="236"/>
      <c r="BJ27" s="236"/>
      <c r="BK27" s="236"/>
      <c r="BL27" s="236"/>
      <c r="BM27" s="236"/>
      <c r="BN27" s="236"/>
      <c r="BO27" s="236"/>
      <c r="BP27" s="236"/>
      <c r="BQ27" s="236"/>
      <c r="BR27" s="236"/>
      <c r="BS27" s="236"/>
      <c r="BT27" s="236"/>
      <c r="BU27" s="236"/>
      <c r="BV27" s="236"/>
      <c r="BW27" s="236"/>
    </row>
    <row r="28" s="0" customFormat="1" ht="18" customHeight="1">
      <c r="B28" s="21"/>
      <c r="C28" s="1021">
        <v>39070</v>
      </c>
      <c r="D28" s="1021" t="s">
        <v>274</v>
      </c>
      <c r="E28" s="1021" t="s">
        <v>259</v>
      </c>
      <c r="F28" s="1022" t="s">
        <v>266</v>
      </c>
      <c r="G28" s="1021" t="s">
        <v>275</v>
      </c>
      <c r="H28" s="1023" t="s">
        <v>276</v>
      </c>
      <c r="I28" s="1023"/>
      <c r="J28" s="1023"/>
      <c r="K28" s="1023"/>
      <c r="L28" s="1023" t="s">
        <v>277</v>
      </c>
      <c r="M28" s="1023"/>
      <c r="N28" s="1023"/>
      <c r="O28" s="1023"/>
      <c r="P28" s="80"/>
      <c r="Q28" s="4"/>
      <c r="R28" s="1024" t="s">
        <v>278</v>
      </c>
      <c r="S28" s="1025" t="s">
        <v>278</v>
      </c>
      <c r="T28" s="1025" t="s">
        <v>278</v>
      </c>
      <c r="U28" s="1025" t="s">
        <v>278</v>
      </c>
      <c r="V28" s="1025" t="s">
        <v>278</v>
      </c>
      <c r="W28" s="1025" t="s">
        <v>278</v>
      </c>
      <c r="X28" s="1025" t="s">
        <v>278</v>
      </c>
      <c r="Y28" s="1025" t="s">
        <v>278</v>
      </c>
      <c r="Z28" s="1025" t="s">
        <v>278</v>
      </c>
      <c r="AA28" s="1025" t="s">
        <v>264</v>
      </c>
      <c r="AB28" s="1025" t="s">
        <v>264</v>
      </c>
      <c r="AC28" s="1025" t="s">
        <v>264</v>
      </c>
      <c r="AD28" s="1025" t="s">
        <v>264</v>
      </c>
      <c r="AE28" s="1025" t="s">
        <v>264</v>
      </c>
      <c r="AF28" s="1025" t="s">
        <v>264</v>
      </c>
      <c r="AG28" s="1025" t="s">
        <v>264</v>
      </c>
      <c r="AH28" s="1025" t="s">
        <v>264</v>
      </c>
      <c r="AI28" s="1025" t="s">
        <v>264</v>
      </c>
      <c r="AJ28" s="1025" t="s">
        <v>264</v>
      </c>
      <c r="AK28" s="1025" t="s">
        <v>264</v>
      </c>
      <c r="AL28" s="1025" t="s">
        <v>264</v>
      </c>
      <c r="AM28" s="1025" t="s">
        <v>264</v>
      </c>
      <c r="AN28" s="1025" t="s">
        <v>264</v>
      </c>
      <c r="AO28" s="1026" t="s">
        <v>264</v>
      </c>
      <c r="AP28" s="79"/>
      <c r="AQ28" s="79"/>
      <c r="AR28" s="79"/>
      <c r="AS28" s="236"/>
      <c r="AT28" s="236"/>
      <c r="AU28" s="236"/>
      <c r="AV28" s="236"/>
      <c r="AW28" s="236"/>
      <c r="AX28" s="236"/>
      <c r="AY28" s="236"/>
      <c r="AZ28" s="236"/>
      <c r="BA28" s="236"/>
      <c r="BB28" s="236"/>
      <c r="BC28" s="236"/>
      <c r="BD28" s="236"/>
      <c r="BE28" s="236"/>
      <c r="BF28" s="236"/>
      <c r="BG28" s="236"/>
      <c r="BH28" s="236"/>
      <c r="BI28" s="236"/>
      <c r="BJ28" s="236"/>
      <c r="BK28" s="236"/>
      <c r="BL28" s="236"/>
      <c r="BM28" s="236"/>
      <c r="BN28" s="236"/>
      <c r="BO28" s="236"/>
      <c r="BP28" s="236"/>
      <c r="BQ28" s="236"/>
      <c r="BR28" s="236"/>
      <c r="BS28" s="236"/>
      <c r="BT28" s="236"/>
      <c r="BU28" s="236"/>
      <c r="BV28" s="236"/>
      <c r="BW28" s="236"/>
    </row>
    <row r="29" s="0" customFormat="1" ht="18" customHeight="1">
      <c r="B29" s="21"/>
      <c r="C29" s="1016">
        <v>43915</v>
      </c>
      <c r="D29" s="1016" t="s">
        <v>328</v>
      </c>
      <c r="E29" s="1016" t="s">
        <v>259</v>
      </c>
      <c r="F29" s="1016" t="s">
        <v>329</v>
      </c>
      <c r="G29" s="1016" t="s">
        <v>330</v>
      </c>
      <c r="H29" s="1017" t="s">
        <v>331</v>
      </c>
      <c r="I29" s="1017"/>
      <c r="J29" s="1017"/>
      <c r="K29" s="1017"/>
      <c r="L29" s="1017" t="s">
        <v>332</v>
      </c>
      <c r="M29" s="1017"/>
      <c r="N29" s="1017"/>
      <c r="O29" s="1017"/>
      <c r="P29" s="80"/>
      <c r="Q29" s="4"/>
      <c r="R29" s="1018" t="s">
        <v>264</v>
      </c>
      <c r="S29" s="1019" t="s">
        <v>264</v>
      </c>
      <c r="T29" s="1019" t="s">
        <v>264</v>
      </c>
      <c r="U29" s="1019" t="s">
        <v>264</v>
      </c>
      <c r="V29" s="1019" t="s">
        <v>264</v>
      </c>
      <c r="W29" s="1019" t="s">
        <v>264</v>
      </c>
      <c r="X29" s="1019" t="s">
        <v>264</v>
      </c>
      <c r="Y29" s="1019" t="s">
        <v>264</v>
      </c>
      <c r="Z29" s="1019" t="s">
        <v>264</v>
      </c>
      <c r="AA29" s="1019" t="s">
        <v>264</v>
      </c>
      <c r="AB29" s="1019" t="s">
        <v>264</v>
      </c>
      <c r="AC29" s="1019" t="s">
        <v>264</v>
      </c>
      <c r="AD29" s="1019" t="s">
        <v>264</v>
      </c>
      <c r="AE29" s="1019" t="s">
        <v>264</v>
      </c>
      <c r="AF29" s="1019" t="s">
        <v>264</v>
      </c>
      <c r="AG29" s="1019" t="s">
        <v>264</v>
      </c>
      <c r="AH29" s="1019" t="s">
        <v>264</v>
      </c>
      <c r="AI29" s="1019" t="s">
        <v>264</v>
      </c>
      <c r="AJ29" s="1019" t="s">
        <v>264</v>
      </c>
      <c r="AK29" s="1019" t="s">
        <v>264</v>
      </c>
      <c r="AL29" s="1019" t="s">
        <v>264</v>
      </c>
      <c r="AM29" s="1019" t="s">
        <v>264</v>
      </c>
      <c r="AN29" s="1019" t="s">
        <v>264</v>
      </c>
      <c r="AO29" s="1020" t="s">
        <v>264</v>
      </c>
      <c r="AP29" s="79"/>
      <c r="AQ29" s="79"/>
      <c r="AR29" s="79"/>
      <c r="AS29" s="236"/>
      <c r="AT29" s="236"/>
      <c r="AU29" s="236"/>
      <c r="AV29" s="236"/>
      <c r="AW29" s="236"/>
      <c r="AX29" s="236"/>
      <c r="AY29" s="236"/>
      <c r="AZ29" s="236"/>
      <c r="BA29" s="236"/>
      <c r="BB29" s="236"/>
      <c r="BC29" s="236"/>
      <c r="BD29" s="236"/>
      <c r="BE29" s="236"/>
      <c r="BF29" s="236"/>
      <c r="BG29" s="236"/>
      <c r="BH29" s="236"/>
      <c r="BI29" s="236"/>
      <c r="BJ29" s="236"/>
      <c r="BK29" s="236"/>
      <c r="BL29" s="236"/>
      <c r="BM29" s="236"/>
      <c r="BN29" s="236"/>
      <c r="BO29" s="236"/>
      <c r="BP29" s="236"/>
      <c r="BQ29" s="236"/>
      <c r="BR29" s="236"/>
      <c r="BS29" s="236"/>
      <c r="BT29" s="236"/>
      <c r="BU29" s="236"/>
      <c r="BV29" s="236"/>
      <c r="BW29" s="236"/>
    </row>
    <row r="30" s="0" customFormat="1" ht="18" customHeight="1">
      <c r="B30" s="21"/>
      <c r="C30" s="181"/>
      <c r="D30" s="181"/>
      <c r="E30" s="181"/>
      <c r="F30" s="201"/>
      <c r="G30" s="181"/>
      <c r="H30" s="1017">
        <v>765</v>
      </c>
      <c r="I30" s="1017"/>
      <c r="J30" s="1017"/>
      <c r="K30" s="1017"/>
      <c r="L30" s="1072"/>
      <c r="M30" s="1072"/>
      <c r="N30" s="1072"/>
      <c r="O30" s="1072"/>
      <c r="P30" s="80"/>
      <c r="Q30" s="4"/>
      <c r="R30" s="182"/>
      <c r="S30" s="182"/>
      <c r="T30" s="182"/>
      <c r="U30" s="182"/>
      <c r="V30" s="182"/>
      <c r="W30" s="182"/>
      <c r="X30" s="182"/>
      <c r="Y30" s="182"/>
      <c r="Z30" s="182"/>
      <c r="AA30" s="182"/>
      <c r="AB30" s="182"/>
      <c r="AC30" s="182"/>
      <c r="AD30" s="182"/>
      <c r="AE30" s="182"/>
      <c r="AF30" s="182"/>
      <c r="AG30" s="182"/>
      <c r="AH30" s="182"/>
      <c r="AI30" s="182"/>
      <c r="AJ30" s="182"/>
      <c r="AK30" s="182"/>
      <c r="AL30" s="182"/>
      <c r="AM30" s="182"/>
      <c r="AN30" s="182"/>
      <c r="AO30" s="182"/>
      <c r="AP30" s="79"/>
      <c r="AQ30" s="79"/>
      <c r="AR30" s="79"/>
      <c r="AS30" s="236"/>
      <c r="AT30" s="236"/>
      <c r="AU30" s="236"/>
      <c r="AV30" s="236"/>
      <c r="AW30" s="236"/>
      <c r="AX30" s="236"/>
      <c r="AY30" s="236"/>
      <c r="AZ30" s="236"/>
      <c r="BA30" s="236"/>
      <c r="BB30" s="236"/>
      <c r="BC30" s="236"/>
      <c r="BD30" s="236"/>
      <c r="BE30" s="236"/>
      <c r="BF30" s="236"/>
      <c r="BG30" s="236"/>
      <c r="BH30" s="236"/>
      <c r="BI30" s="236"/>
      <c r="BJ30" s="236"/>
      <c r="BK30" s="236"/>
      <c r="BL30" s="236"/>
      <c r="BM30" s="236"/>
      <c r="BN30" s="236"/>
      <c r="BO30" s="236"/>
      <c r="BP30" s="236"/>
      <c r="BQ30" s="236"/>
      <c r="BR30" s="236"/>
      <c r="BS30" s="236"/>
      <c r="BT30" s="236"/>
      <c r="BU30" s="236"/>
      <c r="BV30" s="236"/>
      <c r="BW30" s="236"/>
    </row>
    <row r="31" s="0" customFormat="1" ht="18" customHeight="1">
      <c r="B31" s="21"/>
      <c r="C31" s="181"/>
      <c r="D31" s="181"/>
      <c r="E31" s="181"/>
      <c r="F31" s="201"/>
      <c r="G31" s="181"/>
      <c r="H31" s="996"/>
      <c r="I31" s="996"/>
      <c r="J31" s="996"/>
      <c r="K31" s="996"/>
      <c r="L31" s="1072"/>
      <c r="M31" s="1072"/>
      <c r="N31" s="1072"/>
      <c r="O31" s="1072"/>
      <c r="P31" s="80"/>
      <c r="Q31" s="4"/>
      <c r="R31" s="182"/>
      <c r="S31" s="182"/>
      <c r="T31" s="182"/>
      <c r="U31" s="182"/>
      <c r="V31" s="182"/>
      <c r="W31" s="182"/>
      <c r="X31" s="1028" t="s">
        <v>288</v>
      </c>
      <c r="Y31" s="182"/>
      <c r="Z31" s="182"/>
      <c r="AA31" s="182"/>
      <c r="AB31" s="182"/>
      <c r="AC31" s="182"/>
      <c r="AD31" s="182"/>
      <c r="AE31" s="182"/>
      <c r="AF31" s="182"/>
      <c r="AG31" s="182"/>
      <c r="AH31" s="182"/>
      <c r="AI31" s="182"/>
      <c r="AJ31" s="182"/>
      <c r="AK31" s="182"/>
      <c r="AL31" s="182"/>
      <c r="AM31" s="182"/>
      <c r="AN31" s="182"/>
      <c r="AO31" s="182"/>
      <c r="AP31" s="48"/>
      <c r="AQ31" s="48"/>
      <c r="AR31" s="48"/>
      <c r="AS31" s="236"/>
      <c r="AT31" s="236"/>
      <c r="AU31" s="236"/>
      <c r="AV31" s="236"/>
      <c r="AW31" s="236"/>
      <c r="AX31" s="236"/>
      <c r="AY31" s="236"/>
      <c r="AZ31" s="236"/>
      <c r="BA31" s="236"/>
      <c r="BB31" s="236"/>
      <c r="BC31" s="236"/>
      <c r="BD31" s="236"/>
      <c r="BE31" s="236"/>
      <c r="BF31" s="236"/>
      <c r="BG31" s="236"/>
      <c r="BH31" s="236"/>
      <c r="BI31" s="236"/>
      <c r="BJ31" s="236"/>
      <c r="BK31" s="236"/>
      <c r="BL31" s="236"/>
      <c r="BM31" s="236"/>
      <c r="BN31" s="236"/>
      <c r="BO31" s="236"/>
      <c r="BP31" s="236"/>
      <c r="BQ31" s="236"/>
      <c r="BR31" s="236"/>
      <c r="BS31" s="236"/>
      <c r="BT31" s="236"/>
      <c r="BU31" s="236"/>
      <c r="BV31" s="236"/>
      <c r="BW31" s="236"/>
    </row>
    <row r="32" s="0" customFormat="1" ht="18" customHeight="1">
      <c r="B32" s="21"/>
      <c r="C32" s="181"/>
      <c r="D32" s="181"/>
      <c r="E32" s="181"/>
      <c r="F32" s="201"/>
      <c r="G32" s="181"/>
      <c r="H32" s="996"/>
      <c r="I32" s="996"/>
      <c r="J32" s="996"/>
      <c r="K32" s="996"/>
      <c r="L32" s="1072"/>
      <c r="M32" s="1072"/>
      <c r="N32" s="1072"/>
      <c r="O32" s="1072"/>
      <c r="P32" s="80"/>
      <c r="Q32" s="4"/>
      <c r="R32" s="182"/>
      <c r="S32" s="182"/>
      <c r="T32" s="182"/>
      <c r="U32" s="182"/>
      <c r="V32" s="182"/>
      <c r="W32" s="182"/>
      <c r="X32" s="182"/>
      <c r="Y32" s="182"/>
      <c r="Z32" s="182"/>
      <c r="AA32" s="1029" t="s">
        <v>289</v>
      </c>
      <c r="AB32" s="1028" t="s">
        <v>290</v>
      </c>
      <c r="AC32" s="182"/>
      <c r="AD32" s="182"/>
      <c r="AE32" s="182"/>
      <c r="AF32" s="182"/>
      <c r="AG32" s="182"/>
      <c r="AH32" s="182"/>
      <c r="AI32" s="182"/>
      <c r="AJ32" s="182"/>
      <c r="AK32" s="182"/>
      <c r="AL32" s="182"/>
      <c r="AM32" s="182"/>
      <c r="AN32" s="182"/>
      <c r="AO32" s="182"/>
      <c r="AP32" s="79"/>
      <c r="AQ32" s="79"/>
      <c r="AR32" s="79"/>
      <c r="AS32" s="236"/>
      <c r="AT32" s="236"/>
      <c r="AU32" s="236"/>
      <c r="AV32" s="236"/>
      <c r="AW32" s="236"/>
      <c r="AX32" s="236"/>
      <c r="AY32" s="236"/>
      <c r="AZ32" s="236"/>
      <c r="BA32" s="236"/>
      <c r="BB32" s="236"/>
      <c r="BC32" s="236"/>
      <c r="BD32" s="236"/>
      <c r="BE32" s="236"/>
      <c r="BF32" s="236"/>
      <c r="BG32" s="236"/>
      <c r="BH32" s="236"/>
      <c r="BI32" s="236"/>
      <c r="BJ32" s="236"/>
      <c r="BK32" s="236"/>
      <c r="BL32" s="236"/>
      <c r="BM32" s="236"/>
      <c r="BN32" s="236"/>
      <c r="BO32" s="236"/>
      <c r="BP32" s="236"/>
      <c r="BQ32" s="236"/>
      <c r="BR32" s="236"/>
      <c r="BS32" s="236"/>
      <c r="BT32" s="236"/>
      <c r="BU32" s="236"/>
      <c r="BV32" s="236"/>
      <c r="BW32" s="236"/>
    </row>
    <row r="33" s="0" customFormat="1" ht="18" customHeight="1">
      <c r="B33" s="21"/>
      <c r="C33" s="181"/>
      <c r="D33" s="181"/>
      <c r="E33" s="181"/>
      <c r="F33" s="201"/>
      <c r="G33" s="181"/>
      <c r="H33" s="996"/>
      <c r="I33" s="996"/>
      <c r="J33" s="996"/>
      <c r="K33" s="996"/>
      <c r="L33" s="1072"/>
      <c r="M33" s="1072"/>
      <c r="N33" s="1072"/>
      <c r="O33" s="1072"/>
      <c r="P33" s="80"/>
      <c r="Q33" s="4"/>
      <c r="R33" s="182"/>
      <c r="S33" s="182"/>
      <c r="T33" s="182"/>
      <c r="U33" s="182"/>
      <c r="V33" s="182"/>
      <c r="W33" s="182"/>
      <c r="X33" s="182"/>
      <c r="Y33" s="182"/>
      <c r="Z33" s="182"/>
      <c r="AA33" s="1029" t="s">
        <v>264</v>
      </c>
      <c r="AB33" s="1028" t="s">
        <v>291</v>
      </c>
      <c r="AC33" s="182"/>
      <c r="AD33" s="182"/>
      <c r="AE33" s="182"/>
      <c r="AF33" s="182"/>
      <c r="AG33" s="182"/>
      <c r="AH33" s="182"/>
      <c r="AI33" s="182"/>
      <c r="AJ33" s="182"/>
      <c r="AK33" s="182"/>
      <c r="AL33" s="182"/>
      <c r="AM33" s="182"/>
      <c r="AN33" s="182"/>
      <c r="AO33" s="182"/>
      <c r="AP33" s="79"/>
      <c r="AQ33" s="79"/>
      <c r="AR33" s="79"/>
      <c r="AS33" s="236"/>
      <c r="AT33" s="236"/>
      <c r="AU33" s="236"/>
      <c r="AV33" s="236"/>
      <c r="AW33" s="236"/>
      <c r="AX33" s="236"/>
      <c r="AY33" s="236"/>
      <c r="AZ33" s="236"/>
      <c r="BA33" s="236"/>
      <c r="BB33" s="236"/>
      <c r="BC33" s="236"/>
      <c r="BD33" s="236"/>
      <c r="BE33" s="236"/>
      <c r="BF33" s="236"/>
      <c r="BG33" s="236"/>
      <c r="BH33" s="236"/>
      <c r="BI33" s="236"/>
      <c r="BJ33" s="236"/>
      <c r="BK33" s="236"/>
      <c r="BL33" s="236"/>
      <c r="BM33" s="236"/>
      <c r="BN33" s="236"/>
      <c r="BO33" s="236"/>
      <c r="BP33" s="236"/>
      <c r="BQ33" s="236"/>
      <c r="BR33" s="236"/>
      <c r="BS33" s="236"/>
      <c r="BT33" s="236"/>
      <c r="BU33" s="236"/>
      <c r="BV33" s="236"/>
      <c r="BW33" s="236"/>
    </row>
    <row r="34" s="0" customFormat="1" ht="18" customHeight="1">
      <c r="B34" s="21"/>
      <c r="C34" s="181"/>
      <c r="D34" s="181"/>
      <c r="E34" s="181"/>
      <c r="F34" s="201"/>
      <c r="G34" s="181"/>
      <c r="H34" s="996"/>
      <c r="I34" s="996"/>
      <c r="J34" s="996"/>
      <c r="K34" s="996"/>
      <c r="L34" s="1072"/>
      <c r="M34" s="1072"/>
      <c r="N34" s="1072"/>
      <c r="O34" s="1072"/>
      <c r="P34" s="80"/>
      <c r="Q34" s="4"/>
      <c r="R34" s="182"/>
      <c r="S34" s="182"/>
      <c r="T34" s="182"/>
      <c r="U34" s="182"/>
      <c r="V34" s="182"/>
      <c r="W34" s="182"/>
      <c r="X34" s="182"/>
      <c r="Y34" s="182"/>
      <c r="Z34" s="182"/>
      <c r="AA34" s="182"/>
      <c r="AB34" s="182"/>
      <c r="AC34" s="182"/>
      <c r="AD34" s="182"/>
      <c r="AE34" s="182"/>
      <c r="AF34" s="182"/>
      <c r="AG34" s="182"/>
      <c r="AH34" s="182"/>
      <c r="AI34" s="182"/>
      <c r="AJ34" s="182"/>
      <c r="AK34" s="182"/>
      <c r="AL34" s="182"/>
      <c r="AM34" s="182"/>
      <c r="AN34" s="182"/>
      <c r="AO34" s="182"/>
      <c r="AP34" s="48"/>
      <c r="AQ34" s="48"/>
      <c r="AR34" s="48"/>
      <c r="AS34" s="236"/>
      <c r="AT34" s="236"/>
      <c r="AU34" s="236"/>
      <c r="AV34" s="236"/>
      <c r="AW34" s="236"/>
      <c r="AX34" s="236"/>
      <c r="AY34" s="236"/>
      <c r="AZ34" s="236"/>
      <c r="BA34" s="236"/>
      <c r="BB34" s="236"/>
      <c r="BC34" s="236"/>
      <c r="BD34" s="236"/>
      <c r="BE34" s="236"/>
      <c r="BF34" s="236"/>
      <c r="BG34" s="236"/>
      <c r="BH34" s="236"/>
      <c r="BI34" s="236"/>
      <c r="BJ34" s="236"/>
      <c r="BK34" s="236"/>
      <c r="BL34" s="236"/>
      <c r="BM34" s="236"/>
      <c r="BN34" s="236"/>
      <c r="BO34" s="236"/>
      <c r="BP34" s="236"/>
      <c r="BQ34" s="236"/>
      <c r="BR34" s="236"/>
      <c r="BS34" s="236"/>
      <c r="BT34" s="236"/>
      <c r="BU34" s="236"/>
      <c r="BV34" s="236"/>
      <c r="BW34" s="236"/>
    </row>
    <row r="35" s="0" customFormat="1" ht="18" customHeight="1">
      <c r="B35" s="21"/>
      <c r="C35" s="181"/>
      <c r="D35" s="181"/>
      <c r="E35" s="181"/>
      <c r="F35" s="201"/>
      <c r="G35" s="181"/>
      <c r="H35" s="996"/>
      <c r="I35" s="996"/>
      <c r="J35" s="996"/>
      <c r="K35" s="996"/>
      <c r="L35" s="1072"/>
      <c r="M35" s="1072"/>
      <c r="N35" s="1072"/>
      <c r="O35" s="1072"/>
      <c r="P35" s="80"/>
      <c r="Q35" s="4"/>
      <c r="R35" s="182"/>
      <c r="S35" s="182"/>
      <c r="T35" s="182"/>
      <c r="U35" s="182"/>
      <c r="V35" s="182"/>
      <c r="W35" s="182"/>
      <c r="X35" s="182"/>
      <c r="Y35" s="182"/>
      <c r="Z35" s="182"/>
      <c r="AA35" s="182"/>
      <c r="AB35" s="182"/>
      <c r="AC35" s="182"/>
      <c r="AD35" s="182"/>
      <c r="AE35" s="182"/>
      <c r="AF35" s="182"/>
      <c r="AG35" s="182"/>
      <c r="AH35" s="182"/>
      <c r="AI35" s="182"/>
      <c r="AJ35" s="182"/>
      <c r="AK35" s="182"/>
      <c r="AL35" s="182"/>
      <c r="AM35" s="182"/>
      <c r="AN35" s="182"/>
      <c r="AO35" s="182"/>
      <c r="AP35" s="79"/>
      <c r="AQ35" s="79"/>
      <c r="AR35" s="79"/>
      <c r="AS35" s="236"/>
      <c r="AT35" s="236"/>
      <c r="AU35" s="236"/>
      <c r="AV35" s="236"/>
      <c r="AW35" s="236"/>
      <c r="AX35" s="236"/>
      <c r="AY35" s="236"/>
      <c r="AZ35" s="236"/>
      <c r="BA35" s="236"/>
      <c r="BB35" s="236"/>
      <c r="BC35" s="236"/>
      <c r="BD35" s="236"/>
      <c r="BE35" s="236"/>
      <c r="BF35" s="236"/>
      <c r="BG35" s="236"/>
      <c r="BH35" s="236"/>
      <c r="BI35" s="236"/>
      <c r="BJ35" s="236"/>
      <c r="BK35" s="236"/>
      <c r="BL35" s="236"/>
      <c r="BM35" s="236"/>
      <c r="BN35" s="236"/>
      <c r="BO35" s="236"/>
      <c r="BP35" s="236"/>
      <c r="BQ35" s="236"/>
      <c r="BR35" s="236"/>
      <c r="BS35" s="236"/>
      <c r="BT35" s="236"/>
      <c r="BU35" s="236"/>
      <c r="BV35" s="236"/>
      <c r="BW35" s="236"/>
    </row>
    <row r="36" s="0" customFormat="1" ht="18" customHeight="1">
      <c r="B36" s="21"/>
      <c r="C36" s="181"/>
      <c r="D36" s="181"/>
      <c r="E36" s="181"/>
      <c r="F36" s="201"/>
      <c r="G36" s="181"/>
      <c r="H36" s="996"/>
      <c r="I36" s="996"/>
      <c r="J36" s="996"/>
      <c r="K36" s="996"/>
      <c r="L36" s="1072"/>
      <c r="M36" s="1072"/>
      <c r="N36" s="1072"/>
      <c r="O36" s="1072"/>
      <c r="P36" s="80"/>
      <c r="Q36" s="4"/>
      <c r="R36" s="182"/>
      <c r="S36" s="182"/>
      <c r="T36" s="182"/>
      <c r="U36" s="182"/>
      <c r="V36" s="182"/>
      <c r="W36" s="182"/>
      <c r="X36" s="182"/>
      <c r="Y36" s="182"/>
      <c r="Z36" s="182"/>
      <c r="AA36" s="182"/>
      <c r="AB36" s="182"/>
      <c r="AC36" s="182"/>
      <c r="AD36" s="182"/>
      <c r="AE36" s="182"/>
      <c r="AF36" s="182"/>
      <c r="AG36" s="182"/>
      <c r="AH36" s="182"/>
      <c r="AI36" s="182"/>
      <c r="AJ36" s="182"/>
      <c r="AK36" s="182"/>
      <c r="AL36" s="182"/>
      <c r="AM36" s="182"/>
      <c r="AN36" s="182"/>
      <c r="AO36" s="182"/>
      <c r="AP36" s="79"/>
      <c r="AQ36" s="79"/>
      <c r="AR36" s="79"/>
      <c r="AS36" s="236"/>
      <c r="AT36" s="236"/>
      <c r="AU36" s="236"/>
      <c r="AV36" s="236"/>
      <c r="AW36" s="236"/>
      <c r="AX36" s="236"/>
      <c r="AY36" s="236"/>
      <c r="AZ36" s="236"/>
      <c r="BA36" s="236"/>
      <c r="BB36" s="236"/>
      <c r="BC36" s="236"/>
      <c r="BD36" s="236"/>
      <c r="BE36" s="236"/>
      <c r="BF36" s="236"/>
      <c r="BG36" s="236"/>
      <c r="BH36" s="236"/>
      <c r="BI36" s="236"/>
      <c r="BJ36" s="236"/>
      <c r="BK36" s="236"/>
      <c r="BL36" s="236"/>
      <c r="BM36" s="236"/>
      <c r="BN36" s="236"/>
      <c r="BO36" s="236"/>
      <c r="BP36" s="236"/>
      <c r="BQ36" s="236"/>
      <c r="BR36" s="236"/>
      <c r="BS36" s="236"/>
      <c r="BT36" s="236"/>
      <c r="BU36" s="236"/>
      <c r="BV36" s="236"/>
      <c r="BW36" s="236"/>
    </row>
    <row r="37" s="0" customFormat="1" ht="18" customHeight="1">
      <c r="B37" s="21"/>
      <c r="C37" s="181"/>
      <c r="D37" s="181"/>
      <c r="E37" s="181"/>
      <c r="F37" s="201"/>
      <c r="G37" s="181"/>
      <c r="H37" s="996"/>
      <c r="I37" s="996"/>
      <c r="J37" s="996"/>
      <c r="K37" s="996"/>
      <c r="L37" s="1072"/>
      <c r="M37" s="1072"/>
      <c r="N37" s="1072"/>
      <c r="O37" s="1072"/>
      <c r="P37" s="80"/>
      <c r="Q37" s="4"/>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79"/>
      <c r="AQ37" s="79"/>
      <c r="AR37" s="79"/>
      <c r="AS37" s="236"/>
      <c r="AT37" s="236"/>
      <c r="AU37" s="236"/>
      <c r="AV37" s="236"/>
      <c r="AW37" s="236"/>
      <c r="AX37" s="236"/>
      <c r="AY37" s="236"/>
      <c r="AZ37" s="236"/>
      <c r="BA37" s="236"/>
      <c r="BB37" s="236"/>
      <c r="BC37" s="236"/>
      <c r="BD37" s="236"/>
      <c r="BE37" s="236"/>
      <c r="BF37" s="236"/>
      <c r="BG37" s="236"/>
      <c r="BH37" s="236"/>
      <c r="BI37" s="236"/>
      <c r="BJ37" s="236"/>
      <c r="BK37" s="236"/>
      <c r="BL37" s="236"/>
      <c r="BM37" s="236"/>
      <c r="BN37" s="236"/>
      <c r="BO37" s="236"/>
      <c r="BP37" s="236"/>
      <c r="BQ37" s="236"/>
      <c r="BR37" s="236"/>
      <c r="BS37" s="236"/>
      <c r="BT37" s="236"/>
      <c r="BU37" s="236"/>
      <c r="BV37" s="236"/>
      <c r="BW37" s="236"/>
    </row>
    <row r="38" s="0" customFormat="1" ht="18" customHeight="1">
      <c r="B38" s="21"/>
      <c r="C38" s="181"/>
      <c r="D38" s="181"/>
      <c r="E38" s="181"/>
      <c r="F38" s="201"/>
      <c r="G38" s="181"/>
      <c r="H38" s="996"/>
      <c r="I38" s="996"/>
      <c r="J38" s="996"/>
      <c r="K38" s="996"/>
      <c r="L38" s="1072"/>
      <c r="M38" s="1072"/>
      <c r="N38" s="1072"/>
      <c r="O38" s="1072"/>
      <c r="P38" s="80"/>
      <c r="Q38" s="4"/>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79"/>
      <c r="AQ38" s="79"/>
      <c r="AR38" s="79"/>
      <c r="AS38" s="236"/>
      <c r="AT38" s="236"/>
      <c r="AU38" s="236"/>
      <c r="AV38" s="236"/>
      <c r="AW38" s="236"/>
      <c r="AX38" s="236"/>
      <c r="AY38" s="236"/>
      <c r="AZ38" s="236"/>
      <c r="BA38" s="236"/>
      <c r="BB38" s="236"/>
      <c r="BC38" s="236"/>
      <c r="BD38" s="236"/>
      <c r="BE38" s="236"/>
      <c r="BF38" s="236"/>
      <c r="BG38" s="236"/>
      <c r="BH38" s="236"/>
      <c r="BI38" s="236"/>
      <c r="BJ38" s="236"/>
      <c r="BK38" s="236"/>
      <c r="BL38" s="236"/>
      <c r="BM38" s="236"/>
      <c r="BN38" s="236"/>
      <c r="BO38" s="236"/>
      <c r="BP38" s="236"/>
      <c r="BQ38" s="236"/>
      <c r="BR38" s="236"/>
      <c r="BS38" s="236"/>
      <c r="BT38" s="236"/>
      <c r="BU38" s="236"/>
      <c r="BV38" s="236"/>
      <c r="BW38" s="236"/>
    </row>
    <row r="39" ht="18" customHeight="1">
      <c r="C39" s="181"/>
      <c r="D39" s="181"/>
      <c r="E39" s="181"/>
      <c r="F39" s="201"/>
      <c r="G39" s="181"/>
      <c r="H39" s="996"/>
      <c r="I39" s="996"/>
      <c r="J39" s="996"/>
      <c r="K39" s="996"/>
      <c r="L39" s="1072"/>
      <c r="M39" s="1072"/>
      <c r="N39" s="1072"/>
      <c r="O39" s="1072"/>
      <c r="P39" s="80"/>
      <c r="Q39" s="4"/>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4"/>
      <c r="AQ39" s="79"/>
      <c r="AR39" s="79"/>
    </row>
    <row r="40" ht="18" customHeight="1">
      <c r="C40" s="181"/>
      <c r="D40" s="181"/>
      <c r="E40" s="181"/>
      <c r="F40" s="201"/>
      <c r="G40" s="181"/>
      <c r="H40" s="996"/>
      <c r="I40" s="996"/>
      <c r="J40" s="996"/>
      <c r="K40" s="996"/>
      <c r="L40" s="1072"/>
      <c r="M40" s="1072"/>
      <c r="N40" s="1072"/>
      <c r="O40" s="1072"/>
      <c r="P40" s="80"/>
      <c r="Q40" s="4"/>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4"/>
      <c r="AQ40" s="79"/>
      <c r="AR40" s="79"/>
    </row>
    <row r="41" ht="18" customHeight="1">
      <c r="C41" s="181"/>
      <c r="D41" s="181"/>
      <c r="E41" s="181"/>
      <c r="F41" s="201"/>
      <c r="G41" s="181"/>
      <c r="H41" s="996"/>
      <c r="I41" s="996"/>
      <c r="J41" s="996"/>
      <c r="K41" s="996"/>
      <c r="L41" s="1072"/>
      <c r="M41" s="1072"/>
      <c r="N41" s="1072"/>
      <c r="O41" s="1072"/>
      <c r="P41" s="80"/>
      <c r="Q41" s="4"/>
      <c r="R41" s="182"/>
      <c r="S41" s="182"/>
      <c r="T41" s="182"/>
      <c r="U41" s="182"/>
      <c r="V41" s="182"/>
      <c r="W41" s="182"/>
      <c r="X41" s="182"/>
      <c r="Y41" s="182"/>
      <c r="Z41" s="182"/>
      <c r="AA41" s="182"/>
      <c r="AB41" s="182"/>
      <c r="AC41" s="182"/>
      <c r="AD41" s="182"/>
      <c r="AE41" s="182"/>
      <c r="AF41" s="182"/>
      <c r="AG41" s="182"/>
      <c r="AH41" s="182"/>
      <c r="AI41" s="182"/>
      <c r="AJ41" s="182"/>
      <c r="AK41" s="182"/>
      <c r="AL41" s="182"/>
      <c r="AM41" s="182"/>
      <c r="AN41" s="182"/>
      <c r="AO41" s="182"/>
      <c r="AP41" s="4"/>
      <c r="AQ41" s="79"/>
      <c r="AR41" s="79"/>
    </row>
    <row r="42" ht="18" customHeight="1">
      <c r="C42" s="181"/>
      <c r="D42" s="181"/>
      <c r="E42" s="181"/>
      <c r="F42" s="201"/>
      <c r="G42" s="181"/>
      <c r="H42" s="996"/>
      <c r="I42" s="996"/>
      <c r="J42" s="996"/>
      <c r="K42" s="996"/>
      <c r="L42" s="1072"/>
      <c r="M42" s="1072"/>
      <c r="N42" s="1072"/>
      <c r="O42" s="1072"/>
      <c r="P42" s="80"/>
      <c r="Q42" s="4"/>
      <c r="R42" s="182"/>
      <c r="S42" s="182"/>
      <c r="T42" s="182"/>
      <c r="U42" s="182"/>
      <c r="V42" s="182"/>
      <c r="W42" s="182"/>
      <c r="X42" s="182"/>
      <c r="Y42" s="182"/>
      <c r="Z42" s="182"/>
      <c r="AA42" s="182"/>
      <c r="AB42" s="182"/>
      <c r="AC42" s="182"/>
      <c r="AD42" s="182"/>
      <c r="AE42" s="182"/>
      <c r="AF42" s="182"/>
      <c r="AG42" s="182"/>
      <c r="AH42" s="182"/>
      <c r="AI42" s="182"/>
      <c r="AJ42" s="182"/>
      <c r="AK42" s="182"/>
      <c r="AL42" s="182"/>
      <c r="AM42" s="182"/>
      <c r="AN42" s="182"/>
      <c r="AO42" s="182"/>
      <c r="AP42" s="4"/>
      <c r="AQ42" s="79"/>
      <c r="AR42" s="79"/>
    </row>
    <row r="43" ht="18" customHeight="1">
      <c r="C43" s="181"/>
      <c r="D43" s="181"/>
      <c r="E43" s="181"/>
      <c r="F43" s="201"/>
      <c r="G43" s="181"/>
      <c r="H43" s="996"/>
      <c r="I43" s="996"/>
      <c r="J43" s="996"/>
      <c r="K43" s="996"/>
      <c r="L43" s="1072"/>
      <c r="M43" s="1072"/>
      <c r="N43" s="1072"/>
      <c r="O43" s="1072"/>
      <c r="P43" s="80"/>
      <c r="Q43" s="4"/>
      <c r="R43" s="182"/>
      <c r="S43" s="182"/>
      <c r="T43" s="182"/>
      <c r="U43" s="182"/>
      <c r="V43" s="182"/>
      <c r="W43" s="182"/>
      <c r="X43" s="182"/>
      <c r="Y43" s="182"/>
      <c r="Z43" s="182"/>
      <c r="AA43" s="182"/>
      <c r="AB43" s="182"/>
      <c r="AC43" s="182"/>
      <c r="AD43" s="182"/>
      <c r="AE43" s="182"/>
      <c r="AF43" s="182"/>
      <c r="AG43" s="182"/>
      <c r="AH43" s="182"/>
      <c r="AI43" s="182"/>
      <c r="AJ43" s="182"/>
      <c r="AK43" s="182"/>
      <c r="AL43" s="182"/>
      <c r="AM43" s="182"/>
      <c r="AN43" s="182"/>
      <c r="AO43" s="182"/>
      <c r="AP43" s="4"/>
      <c r="AQ43" s="79"/>
      <c r="AR43" s="79"/>
    </row>
    <row r="44" ht="18" customHeight="1">
      <c r="C44" s="181"/>
      <c r="D44" s="181"/>
      <c r="E44" s="181"/>
      <c r="F44" s="201"/>
      <c r="G44" s="181"/>
      <c r="H44" s="996"/>
      <c r="I44" s="996"/>
      <c r="J44" s="996"/>
      <c r="K44" s="996"/>
      <c r="L44" s="1072"/>
      <c r="M44" s="1072"/>
      <c r="N44" s="1072"/>
      <c r="O44" s="1072"/>
      <c r="P44" s="80"/>
      <c r="Q44" s="4"/>
      <c r="R44" s="182"/>
      <c r="S44" s="182"/>
      <c r="T44" s="182"/>
      <c r="U44" s="182"/>
      <c r="V44" s="182"/>
      <c r="W44" s="182"/>
      <c r="X44" s="182"/>
      <c r="Y44" s="182"/>
      <c r="Z44" s="182"/>
      <c r="AA44" s="182"/>
      <c r="AB44" s="182"/>
      <c r="AC44" s="182"/>
      <c r="AD44" s="182"/>
      <c r="AE44" s="182"/>
      <c r="AF44" s="182"/>
      <c r="AG44" s="182"/>
      <c r="AH44" s="182"/>
      <c r="AI44" s="182"/>
      <c r="AJ44" s="182"/>
      <c r="AK44" s="182"/>
      <c r="AL44" s="182"/>
      <c r="AM44" s="182"/>
      <c r="AN44" s="182"/>
      <c r="AO44" s="182"/>
      <c r="AP44" s="4"/>
      <c r="AQ44" s="79"/>
      <c r="AR44" s="79"/>
    </row>
    <row r="45" ht="18" customHeight="1">
      <c r="C45" s="181"/>
      <c r="D45" s="181"/>
      <c r="E45" s="181"/>
      <c r="F45" s="201"/>
      <c r="G45" s="181"/>
      <c r="H45" s="996"/>
      <c r="I45" s="996"/>
      <c r="J45" s="996"/>
      <c r="K45" s="996"/>
      <c r="L45" s="1072"/>
      <c r="M45" s="1072"/>
      <c r="N45" s="1072"/>
      <c r="O45" s="1072"/>
      <c r="P45" s="80"/>
      <c r="Q45" s="4"/>
      <c r="R45" s="182"/>
      <c r="S45" s="182"/>
      <c r="T45" s="182"/>
      <c r="U45" s="182"/>
      <c r="V45" s="182"/>
      <c r="W45" s="182"/>
      <c r="X45" s="182"/>
      <c r="Y45" s="182"/>
      <c r="Z45" s="182"/>
      <c r="AA45" s="182"/>
      <c r="AB45" s="182"/>
      <c r="AC45" s="182"/>
      <c r="AD45" s="182"/>
      <c r="AE45" s="182"/>
      <c r="AF45" s="182"/>
      <c r="AG45" s="182"/>
      <c r="AH45" s="182"/>
      <c r="AI45" s="182"/>
      <c r="AJ45" s="182"/>
      <c r="AK45" s="182"/>
      <c r="AL45" s="182"/>
      <c r="AM45" s="182"/>
      <c r="AN45" s="182"/>
      <c r="AO45" s="182"/>
      <c r="AP45" s="4"/>
      <c r="AQ45" s="79"/>
      <c r="AR45" s="79"/>
    </row>
    <row r="46" ht="18" customHeight="1">
      <c r="C46" s="181"/>
      <c r="D46" s="181"/>
      <c r="E46" s="181"/>
      <c r="F46" s="201"/>
      <c r="G46" s="181"/>
      <c r="H46" s="996"/>
      <c r="I46" s="996"/>
      <c r="J46" s="996"/>
      <c r="K46" s="996"/>
      <c r="L46" s="1072"/>
      <c r="M46" s="1072"/>
      <c r="N46" s="1072"/>
      <c r="O46" s="1072"/>
      <c r="P46" s="80"/>
      <c r="Q46" s="4"/>
      <c r="R46" s="182"/>
      <c r="S46" s="182"/>
      <c r="T46" s="182"/>
      <c r="U46" s="182"/>
      <c r="V46" s="182"/>
      <c r="W46" s="182"/>
      <c r="X46" s="182"/>
      <c r="Y46" s="182"/>
      <c r="Z46" s="182"/>
      <c r="AA46" s="182"/>
      <c r="AB46" s="182"/>
      <c r="AC46" s="182"/>
      <c r="AD46" s="182"/>
      <c r="AE46" s="182"/>
      <c r="AF46" s="182"/>
      <c r="AG46" s="182"/>
      <c r="AH46" s="182"/>
      <c r="AI46" s="182"/>
      <c r="AJ46" s="182"/>
      <c r="AK46" s="182"/>
      <c r="AL46" s="182"/>
      <c r="AM46" s="182"/>
      <c r="AN46" s="182"/>
      <c r="AO46" s="182"/>
      <c r="AP46" s="4"/>
      <c r="AQ46" s="79"/>
      <c r="AR46" s="79"/>
    </row>
    <row r="47" ht="0" hidden="1" customHeight="1">
      <c r="C47" s="181"/>
      <c r="D47" s="181"/>
      <c r="E47" s="181"/>
      <c r="F47" s="201"/>
      <c r="G47" s="181"/>
      <c r="H47" s="996"/>
      <c r="I47" s="996"/>
      <c r="J47" s="996"/>
      <c r="K47" s="996"/>
      <c r="L47" s="1072"/>
      <c r="M47" s="1072"/>
      <c r="N47" s="1072"/>
      <c r="O47" s="1072"/>
      <c r="P47" s="80"/>
      <c r="Q47" s="4"/>
      <c r="R47" s="182"/>
      <c r="S47" s="182"/>
      <c r="T47" s="182"/>
      <c r="U47" s="182"/>
      <c r="V47" s="182"/>
      <c r="W47" s="182"/>
      <c r="X47" s="182"/>
      <c r="Y47" s="182"/>
      <c r="Z47" s="182"/>
      <c r="AA47" s="182"/>
      <c r="AB47" s="182"/>
      <c r="AC47" s="182"/>
      <c r="AD47" s="182"/>
      <c r="AE47" s="182"/>
      <c r="AF47" s="182"/>
      <c r="AG47" s="182"/>
      <c r="AH47" s="182"/>
      <c r="AI47" s="182"/>
      <c r="AJ47" s="182"/>
      <c r="AK47" s="182"/>
      <c r="AL47" s="182"/>
      <c r="AM47" s="182"/>
      <c r="AN47" s="182"/>
      <c r="AO47" s="182"/>
      <c r="AP47" s="4"/>
      <c r="AQ47" s="79"/>
      <c r="AR47" s="79"/>
    </row>
    <row r="48" ht="0" hidden="1" customHeight="1">
      <c r="C48" s="181"/>
      <c r="D48" s="181"/>
      <c r="E48" s="181"/>
      <c r="F48" s="201"/>
      <c r="G48" s="181"/>
      <c r="H48" s="996"/>
      <c r="I48" s="996"/>
      <c r="J48" s="996"/>
      <c r="K48" s="996"/>
      <c r="L48" s="1072"/>
      <c r="M48" s="1072"/>
      <c r="N48" s="1072"/>
      <c r="O48" s="1072"/>
      <c r="P48" s="80"/>
      <c r="Q48" s="4"/>
      <c r="R48" s="182"/>
      <c r="S48" s="182"/>
      <c r="T48" s="182"/>
      <c r="U48" s="182"/>
      <c r="V48" s="182"/>
      <c r="W48" s="182"/>
      <c r="X48" s="182"/>
      <c r="Y48" s="182"/>
      <c r="Z48" s="182"/>
      <c r="AA48" s="182"/>
      <c r="AB48" s="182"/>
      <c r="AC48" s="182"/>
      <c r="AD48" s="182"/>
      <c r="AE48" s="182"/>
      <c r="AF48" s="182"/>
      <c r="AG48" s="182"/>
      <c r="AH48" s="182"/>
      <c r="AI48" s="182"/>
      <c r="AJ48" s="182"/>
      <c r="AK48" s="182"/>
      <c r="AL48" s="182"/>
      <c r="AM48" s="182"/>
      <c r="AN48" s="182"/>
      <c r="AO48" s="182"/>
      <c r="AP48" s="4"/>
      <c r="AQ48" s="79"/>
      <c r="AR48" s="79"/>
    </row>
    <row r="49" ht="0" hidden="1" customHeight="1">
      <c r="C49" s="181"/>
      <c r="D49" s="181"/>
      <c r="E49" s="181"/>
      <c r="F49" s="201"/>
      <c r="G49" s="181"/>
      <c r="H49" s="996"/>
      <c r="I49" s="996"/>
      <c r="J49" s="996"/>
      <c r="K49" s="996"/>
      <c r="L49" s="1072"/>
      <c r="M49" s="1072"/>
      <c r="N49" s="1072"/>
      <c r="O49" s="1072"/>
      <c r="P49" s="80"/>
      <c r="Q49" s="4"/>
      <c r="R49" s="182"/>
      <c r="S49" s="182"/>
      <c r="T49" s="182"/>
      <c r="U49" s="182"/>
      <c r="V49" s="182"/>
      <c r="W49" s="182"/>
      <c r="X49" s="182"/>
      <c r="Y49" s="182"/>
      <c r="Z49" s="182"/>
      <c r="AA49" s="182"/>
      <c r="AB49" s="182"/>
      <c r="AC49" s="182"/>
      <c r="AD49" s="182"/>
      <c r="AE49" s="182"/>
      <c r="AF49" s="182"/>
      <c r="AG49" s="182"/>
      <c r="AH49" s="182"/>
      <c r="AI49" s="182"/>
      <c r="AJ49" s="182"/>
      <c r="AK49" s="182"/>
      <c r="AL49" s="182"/>
      <c r="AM49" s="182"/>
      <c r="AN49" s="182"/>
      <c r="AO49" s="182"/>
      <c r="AP49" s="4"/>
      <c r="AQ49" s="79"/>
      <c r="AR49" s="79"/>
    </row>
    <row r="50" ht="0" hidden="1" customHeight="1">
      <c r="C50" s="181"/>
      <c r="D50" s="181"/>
      <c r="E50" s="181"/>
      <c r="F50" s="201"/>
      <c r="G50" s="181"/>
      <c r="H50" s="996"/>
      <c r="I50" s="996"/>
      <c r="J50" s="996"/>
      <c r="K50" s="996"/>
      <c r="L50" s="1072"/>
      <c r="M50" s="1072"/>
      <c r="N50" s="1072"/>
      <c r="O50" s="1072"/>
      <c r="P50" s="80"/>
      <c r="Q50" s="4"/>
      <c r="R50" s="182"/>
      <c r="S50" s="182"/>
      <c r="T50" s="182"/>
      <c r="U50" s="182"/>
      <c r="V50" s="182"/>
      <c r="W50" s="182"/>
      <c r="X50" s="182"/>
      <c r="Y50" s="182"/>
      <c r="Z50" s="182"/>
      <c r="AA50" s="182"/>
      <c r="AB50" s="182"/>
      <c r="AC50" s="182"/>
      <c r="AD50" s="182"/>
      <c r="AE50" s="182"/>
      <c r="AF50" s="182"/>
      <c r="AG50" s="182"/>
      <c r="AH50" s="182"/>
      <c r="AI50" s="182"/>
      <c r="AJ50" s="182"/>
      <c r="AK50" s="182"/>
      <c r="AL50" s="182"/>
      <c r="AM50" s="182"/>
      <c r="AN50" s="182"/>
      <c r="AO50" s="182"/>
      <c r="AP50" s="4"/>
      <c r="AQ50" s="79"/>
      <c r="AR50" s="79"/>
    </row>
    <row r="51" ht="0" hidden="1" customHeight="1">
      <c r="C51" s="181"/>
      <c r="D51" s="181"/>
      <c r="E51" s="181"/>
      <c r="F51" s="201"/>
      <c r="G51" s="181"/>
      <c r="H51" s="996"/>
      <c r="I51" s="996"/>
      <c r="J51" s="996"/>
      <c r="K51" s="996"/>
      <c r="L51" s="1072"/>
      <c r="M51" s="1072"/>
      <c r="N51" s="1072"/>
      <c r="O51" s="1072"/>
      <c r="P51" s="80"/>
      <c r="Q51" s="4"/>
      <c r="R51" s="182"/>
      <c r="S51" s="182"/>
      <c r="T51" s="182"/>
      <c r="U51" s="182"/>
      <c r="V51" s="182"/>
      <c r="W51" s="182"/>
      <c r="X51" s="182"/>
      <c r="Y51" s="182"/>
      <c r="Z51" s="182"/>
      <c r="AA51" s="182"/>
      <c r="AB51" s="182"/>
      <c r="AC51" s="182"/>
      <c r="AD51" s="182"/>
      <c r="AE51" s="182"/>
      <c r="AF51" s="182"/>
      <c r="AG51" s="182"/>
      <c r="AH51" s="182"/>
      <c r="AI51" s="182"/>
      <c r="AJ51" s="182"/>
      <c r="AK51" s="182"/>
      <c r="AL51" s="182"/>
      <c r="AM51" s="182"/>
      <c r="AN51" s="182"/>
      <c r="AO51" s="182"/>
      <c r="AP51" s="4"/>
      <c r="AQ51" s="79"/>
      <c r="AR51" s="79"/>
    </row>
    <row r="52" s="0" customFormat="1" ht="0" hidden="1" customHeight="1">
      <c r="B52" s="21"/>
      <c r="C52" s="181"/>
      <c r="D52" s="181"/>
      <c r="E52" s="181"/>
      <c r="F52" s="201"/>
      <c r="G52" s="181"/>
      <c r="H52" s="996"/>
      <c r="I52" s="996"/>
      <c r="J52" s="996"/>
      <c r="K52" s="996"/>
      <c r="L52" s="1072"/>
      <c r="M52" s="1072"/>
      <c r="N52" s="1072"/>
      <c r="O52" s="1072"/>
      <c r="P52" s="80"/>
      <c r="Q52" s="4"/>
      <c r="R52" s="182"/>
      <c r="S52" s="182"/>
      <c r="T52" s="182"/>
      <c r="U52" s="182"/>
      <c r="V52" s="182"/>
      <c r="W52" s="182"/>
      <c r="X52" s="182"/>
      <c r="Y52" s="182"/>
      <c r="Z52" s="182"/>
      <c r="AA52" s="182"/>
      <c r="AB52" s="182"/>
      <c r="AC52" s="182"/>
      <c r="AD52" s="182"/>
      <c r="AE52" s="182"/>
      <c r="AF52" s="182"/>
      <c r="AG52" s="182"/>
      <c r="AH52" s="182"/>
      <c r="AI52" s="182"/>
      <c r="AJ52" s="182"/>
      <c r="AK52" s="182"/>
      <c r="AL52" s="182"/>
      <c r="AM52" s="182"/>
      <c r="AN52" s="182"/>
      <c r="AO52" s="182"/>
      <c r="AP52" s="79"/>
      <c r="AQ52" s="79"/>
      <c r="AR52" s="79"/>
      <c r="AS52" s="236"/>
      <c r="AT52" s="236"/>
      <c r="AU52" s="236"/>
      <c r="AV52" s="236"/>
      <c r="AW52" s="236"/>
      <c r="AX52" s="236"/>
      <c r="AY52" s="236"/>
      <c r="AZ52" s="236"/>
      <c r="BA52" s="236"/>
      <c r="BB52" s="236"/>
      <c r="BC52" s="236"/>
      <c r="BD52" s="236"/>
      <c r="BE52" s="236"/>
      <c r="BF52" s="236"/>
      <c r="BG52" s="236"/>
      <c r="BH52" s="236"/>
      <c r="BI52" s="236"/>
      <c r="BJ52" s="236"/>
      <c r="BK52" s="236"/>
      <c r="BL52" s="236"/>
      <c r="BM52" s="236"/>
      <c r="BN52" s="236"/>
      <c r="BO52" s="236"/>
      <c r="BP52" s="236"/>
      <c r="BQ52" s="236"/>
      <c r="BR52" s="236"/>
      <c r="BS52" s="236"/>
      <c r="BT52" s="236"/>
      <c r="BU52" s="236"/>
      <c r="BV52" s="236"/>
      <c r="BW52" s="236"/>
    </row>
    <row r="53" s="0" customFormat="1" ht="0" hidden="1" customHeight="1">
      <c r="B53" s="21"/>
      <c r="C53" s="181"/>
      <c r="D53" s="181"/>
      <c r="E53" s="181"/>
      <c r="F53" s="201"/>
      <c r="G53" s="181"/>
      <c r="H53" s="996"/>
      <c r="I53" s="996"/>
      <c r="J53" s="996"/>
      <c r="K53" s="996"/>
      <c r="L53" s="1072"/>
      <c r="M53" s="1072"/>
      <c r="N53" s="1072"/>
      <c r="O53" s="1072"/>
      <c r="P53" s="80"/>
      <c r="Q53" s="4"/>
      <c r="R53" s="182"/>
      <c r="S53" s="182"/>
      <c r="T53" s="182"/>
      <c r="U53" s="182"/>
      <c r="V53" s="182"/>
      <c r="W53" s="182"/>
      <c r="X53" s="182"/>
      <c r="Y53" s="182"/>
      <c r="Z53" s="182"/>
      <c r="AA53" s="182"/>
      <c r="AB53" s="182"/>
      <c r="AC53" s="182"/>
      <c r="AD53" s="182"/>
      <c r="AE53" s="182"/>
      <c r="AF53" s="182"/>
      <c r="AG53" s="182"/>
      <c r="AH53" s="182"/>
      <c r="AI53" s="182"/>
      <c r="AJ53" s="182"/>
      <c r="AK53" s="182"/>
      <c r="AL53" s="182"/>
      <c r="AM53" s="182"/>
      <c r="AN53" s="182"/>
      <c r="AO53" s="182"/>
      <c r="AP53" s="79"/>
      <c r="AQ53" s="79"/>
      <c r="AR53" s="79"/>
      <c r="AS53" s="236"/>
      <c r="AT53" s="236"/>
      <c r="AU53" s="236"/>
      <c r="AV53" s="236"/>
      <c r="AW53" s="236"/>
      <c r="AX53" s="236"/>
      <c r="AY53" s="236"/>
      <c r="AZ53" s="236"/>
      <c r="BA53" s="236"/>
      <c r="BB53" s="236"/>
      <c r="BC53" s="236"/>
      <c r="BD53" s="236"/>
      <c r="BE53" s="236"/>
      <c r="BF53" s="236"/>
      <c r="BG53" s="236"/>
      <c r="BH53" s="236"/>
      <c r="BI53" s="236"/>
      <c r="BJ53" s="236"/>
      <c r="BK53" s="236"/>
      <c r="BL53" s="236"/>
      <c r="BM53" s="236"/>
      <c r="BN53" s="236"/>
      <c r="BO53" s="236"/>
      <c r="BP53" s="236"/>
      <c r="BQ53" s="236"/>
      <c r="BR53" s="236"/>
      <c r="BS53" s="236"/>
      <c r="BT53" s="236"/>
      <c r="BU53" s="236"/>
      <c r="BV53" s="236"/>
      <c r="BW53" s="236"/>
    </row>
    <row r="54" s="0" customFormat="1" ht="0" hidden="1" customHeight="1">
      <c r="B54" s="21"/>
      <c r="C54" s="181"/>
      <c r="D54" s="181"/>
      <c r="E54" s="181"/>
      <c r="F54" s="201"/>
      <c r="G54" s="181"/>
      <c r="H54" s="996"/>
      <c r="I54" s="996"/>
      <c r="J54" s="996"/>
      <c r="K54" s="996"/>
      <c r="L54" s="1072"/>
      <c r="M54" s="1072"/>
      <c r="N54" s="1072"/>
      <c r="O54" s="1072"/>
      <c r="P54" s="80"/>
      <c r="Q54" s="4"/>
      <c r="R54" s="182"/>
      <c r="S54" s="182"/>
      <c r="T54" s="182"/>
      <c r="U54" s="182"/>
      <c r="V54" s="182"/>
      <c r="W54" s="182"/>
      <c r="X54" s="182"/>
      <c r="Y54" s="182"/>
      <c r="Z54" s="182"/>
      <c r="AA54" s="182"/>
      <c r="AB54" s="182"/>
      <c r="AC54" s="182"/>
      <c r="AD54" s="182"/>
      <c r="AE54" s="182"/>
      <c r="AF54" s="182"/>
      <c r="AG54" s="182"/>
      <c r="AH54" s="182"/>
      <c r="AI54" s="182"/>
      <c r="AJ54" s="182"/>
      <c r="AK54" s="182"/>
      <c r="AL54" s="182"/>
      <c r="AM54" s="182"/>
      <c r="AN54" s="182"/>
      <c r="AO54" s="182"/>
      <c r="AP54" s="48"/>
      <c r="AQ54" s="48"/>
      <c r="AR54" s="48"/>
      <c r="AS54" s="236"/>
      <c r="AT54" s="236"/>
      <c r="AU54" s="236"/>
      <c r="AV54" s="236"/>
      <c r="AW54" s="236"/>
      <c r="AX54" s="236"/>
      <c r="AY54" s="236"/>
      <c r="AZ54" s="236"/>
      <c r="BA54" s="236"/>
      <c r="BB54" s="236"/>
      <c r="BC54" s="236"/>
      <c r="BD54" s="236"/>
      <c r="BE54" s="236"/>
      <c r="BF54" s="236"/>
      <c r="BG54" s="236"/>
      <c r="BH54" s="236"/>
      <c r="BI54" s="236"/>
      <c r="BJ54" s="236"/>
      <c r="BK54" s="236"/>
      <c r="BL54" s="236"/>
      <c r="BM54" s="236"/>
      <c r="BN54" s="236"/>
      <c r="BO54" s="236"/>
      <c r="BP54" s="236"/>
      <c r="BQ54" s="236"/>
      <c r="BR54" s="236"/>
      <c r="BS54" s="236"/>
      <c r="BT54" s="236"/>
      <c r="BU54" s="236"/>
      <c r="BV54" s="236"/>
      <c r="BW54" s="236"/>
    </row>
    <row r="55" s="0" customFormat="1" ht="0" hidden="1" customHeight="1">
      <c r="B55" s="21"/>
      <c r="C55" s="181"/>
      <c r="D55" s="181"/>
      <c r="E55" s="181"/>
      <c r="F55" s="201"/>
      <c r="G55" s="181"/>
      <c r="H55" s="996"/>
      <c r="I55" s="996"/>
      <c r="J55" s="996"/>
      <c r="K55" s="996"/>
      <c r="L55" s="1072"/>
      <c r="M55" s="1072"/>
      <c r="N55" s="1072"/>
      <c r="O55" s="1072"/>
      <c r="P55" s="80"/>
      <c r="Q55" s="4"/>
      <c r="R55" s="182"/>
      <c r="S55" s="182"/>
      <c r="T55" s="182"/>
      <c r="U55" s="182"/>
      <c r="V55" s="182"/>
      <c r="W55" s="182"/>
      <c r="X55" s="182"/>
      <c r="Y55" s="182"/>
      <c r="Z55" s="182"/>
      <c r="AA55" s="182"/>
      <c r="AB55" s="182"/>
      <c r="AC55" s="182"/>
      <c r="AD55" s="182"/>
      <c r="AE55" s="182"/>
      <c r="AF55" s="182"/>
      <c r="AG55" s="182"/>
      <c r="AH55" s="182"/>
      <c r="AI55" s="182"/>
      <c r="AJ55" s="182"/>
      <c r="AK55" s="182"/>
      <c r="AL55" s="182"/>
      <c r="AM55" s="182"/>
      <c r="AN55" s="182"/>
      <c r="AO55" s="182"/>
      <c r="AP55" s="79"/>
      <c r="AQ55" s="79"/>
      <c r="AR55" s="79"/>
      <c r="AS55" s="236"/>
      <c r="AT55" s="236"/>
      <c r="AU55" s="236"/>
      <c r="AV55" s="236"/>
      <c r="AW55" s="236"/>
      <c r="AX55" s="236"/>
      <c r="AY55" s="236"/>
      <c r="AZ55" s="236"/>
      <c r="BA55" s="236"/>
      <c r="BB55" s="236"/>
      <c r="BC55" s="236"/>
      <c r="BD55" s="236"/>
      <c r="BE55" s="236"/>
      <c r="BF55" s="236"/>
      <c r="BG55" s="236"/>
      <c r="BH55" s="236"/>
      <c r="BI55" s="236"/>
      <c r="BJ55" s="236"/>
      <c r="BK55" s="236"/>
      <c r="BL55" s="236"/>
      <c r="BM55" s="236"/>
      <c r="BN55" s="236"/>
      <c r="BO55" s="236"/>
      <c r="BP55" s="236"/>
      <c r="BQ55" s="236"/>
      <c r="BR55" s="236"/>
      <c r="BS55" s="236"/>
      <c r="BT55" s="236"/>
      <c r="BU55" s="236"/>
      <c r="BV55" s="236"/>
      <c r="BW55" s="236"/>
    </row>
    <row r="56" s="0" customFormat="1" ht="0" hidden="1" customHeight="1">
      <c r="B56" s="21"/>
      <c r="C56" s="181"/>
      <c r="D56" s="181"/>
      <c r="E56" s="181"/>
      <c r="F56" s="201"/>
      <c r="G56" s="181"/>
      <c r="H56" s="996"/>
      <c r="I56" s="996"/>
      <c r="J56" s="996"/>
      <c r="K56" s="996"/>
      <c r="L56" s="1072"/>
      <c r="M56" s="1072"/>
      <c r="N56" s="1072"/>
      <c r="O56" s="1072"/>
      <c r="P56" s="80"/>
      <c r="Q56" s="4"/>
      <c r="R56" s="182"/>
      <c r="S56" s="182"/>
      <c r="T56" s="182"/>
      <c r="U56" s="182"/>
      <c r="V56" s="182"/>
      <c r="W56" s="182"/>
      <c r="X56" s="182"/>
      <c r="Y56" s="182"/>
      <c r="Z56" s="182"/>
      <c r="AA56" s="182"/>
      <c r="AB56" s="182"/>
      <c r="AC56" s="182"/>
      <c r="AD56" s="182"/>
      <c r="AE56" s="182"/>
      <c r="AF56" s="182"/>
      <c r="AG56" s="182"/>
      <c r="AH56" s="182"/>
      <c r="AI56" s="182"/>
      <c r="AJ56" s="182"/>
      <c r="AK56" s="182"/>
      <c r="AL56" s="182"/>
      <c r="AM56" s="182"/>
      <c r="AN56" s="182"/>
      <c r="AO56" s="182"/>
      <c r="AP56" s="79"/>
      <c r="AQ56" s="79"/>
      <c r="AR56" s="79"/>
      <c r="AS56" s="236"/>
      <c r="AT56" s="236"/>
      <c r="AU56" s="236"/>
      <c r="AV56" s="236"/>
      <c r="AW56" s="236"/>
      <c r="AX56" s="236"/>
      <c r="AY56" s="236"/>
      <c r="AZ56" s="236"/>
      <c r="BA56" s="236"/>
      <c r="BB56" s="236"/>
      <c r="BC56" s="236"/>
      <c r="BD56" s="236"/>
      <c r="BE56" s="236"/>
      <c r="BF56" s="236"/>
      <c r="BG56" s="236"/>
      <c r="BH56" s="236"/>
      <c r="BI56" s="236"/>
      <c r="BJ56" s="236"/>
      <c r="BK56" s="236"/>
      <c r="BL56" s="236"/>
      <c r="BM56" s="236"/>
      <c r="BN56" s="236"/>
      <c r="BO56" s="236"/>
      <c r="BP56" s="236"/>
      <c r="BQ56" s="236"/>
      <c r="BR56" s="236"/>
      <c r="BS56" s="236"/>
      <c r="BT56" s="236"/>
      <c r="BU56" s="236"/>
      <c r="BV56" s="236"/>
      <c r="BW56" s="236"/>
    </row>
    <row r="57" s="0" customFormat="1" ht="0" hidden="1" customHeight="1">
      <c r="B57" s="21"/>
      <c r="C57" s="181"/>
      <c r="D57" s="181"/>
      <c r="E57" s="181"/>
      <c r="F57" s="201"/>
      <c r="G57" s="181"/>
      <c r="H57" s="996"/>
      <c r="I57" s="996"/>
      <c r="J57" s="996"/>
      <c r="K57" s="996"/>
      <c r="L57" s="1072"/>
      <c r="M57" s="1072"/>
      <c r="N57" s="1072"/>
      <c r="O57" s="1072"/>
      <c r="P57" s="80"/>
      <c r="Q57" s="4"/>
      <c r="R57" s="182"/>
      <c r="S57" s="182"/>
      <c r="T57" s="182"/>
      <c r="U57" s="182"/>
      <c r="V57" s="182"/>
      <c r="W57" s="182"/>
      <c r="X57" s="182"/>
      <c r="Y57" s="182"/>
      <c r="Z57" s="182"/>
      <c r="AA57" s="182"/>
      <c r="AB57" s="182"/>
      <c r="AC57" s="182"/>
      <c r="AD57" s="182"/>
      <c r="AE57" s="182"/>
      <c r="AF57" s="182"/>
      <c r="AG57" s="182"/>
      <c r="AH57" s="182"/>
      <c r="AI57" s="182"/>
      <c r="AJ57" s="182"/>
      <c r="AK57" s="182"/>
      <c r="AL57" s="182"/>
      <c r="AM57" s="182"/>
      <c r="AN57" s="182"/>
      <c r="AO57" s="182"/>
      <c r="AP57" s="79"/>
      <c r="AQ57" s="79"/>
      <c r="AR57" s="79"/>
      <c r="AS57" s="236"/>
      <c r="AT57" s="236"/>
      <c r="AU57" s="236"/>
      <c r="AV57" s="236"/>
      <c r="AW57" s="236"/>
      <c r="AX57" s="236"/>
      <c r="AY57" s="236"/>
      <c r="AZ57" s="236"/>
      <c r="BA57" s="236"/>
      <c r="BB57" s="236"/>
      <c r="BC57" s="236"/>
      <c r="BD57" s="236"/>
      <c r="BE57" s="236"/>
      <c r="BF57" s="236"/>
      <c r="BG57" s="236"/>
      <c r="BH57" s="236"/>
      <c r="BI57" s="236"/>
      <c r="BJ57" s="236"/>
      <c r="BK57" s="236"/>
      <c r="BL57" s="236"/>
      <c r="BM57" s="236"/>
      <c r="BN57" s="236"/>
      <c r="BO57" s="236"/>
      <c r="BP57" s="236"/>
      <c r="BQ57" s="236"/>
      <c r="BR57" s="236"/>
      <c r="BS57" s="236"/>
      <c r="BT57" s="236"/>
      <c r="BU57" s="236"/>
      <c r="BV57" s="236"/>
      <c r="BW57" s="236"/>
    </row>
    <row r="58" s="0" customFormat="1" ht="0" hidden="1" customHeight="1">
      <c r="B58" s="21"/>
      <c r="C58" s="181"/>
      <c r="D58" s="181"/>
      <c r="E58" s="181"/>
      <c r="F58" s="201"/>
      <c r="G58" s="181"/>
      <c r="H58" s="996"/>
      <c r="I58" s="996"/>
      <c r="J58" s="996"/>
      <c r="K58" s="996"/>
      <c r="L58" s="1072"/>
      <c r="M58" s="1072"/>
      <c r="N58" s="1072"/>
      <c r="O58" s="1072"/>
      <c r="P58" s="80"/>
      <c r="Q58" s="4"/>
      <c r="R58" s="182"/>
      <c r="S58" s="182"/>
      <c r="T58" s="182"/>
      <c r="U58" s="182"/>
      <c r="V58" s="182"/>
      <c r="W58" s="182"/>
      <c r="X58" s="182"/>
      <c r="Y58" s="182"/>
      <c r="Z58" s="182"/>
      <c r="AA58" s="182"/>
      <c r="AB58" s="182"/>
      <c r="AC58" s="182"/>
      <c r="AD58" s="182"/>
      <c r="AE58" s="182"/>
      <c r="AF58" s="182"/>
      <c r="AG58" s="182"/>
      <c r="AH58" s="182"/>
      <c r="AI58" s="182"/>
      <c r="AJ58" s="182"/>
      <c r="AK58" s="182"/>
      <c r="AL58" s="182"/>
      <c r="AM58" s="182"/>
      <c r="AN58" s="182"/>
      <c r="AO58" s="182"/>
      <c r="AP58" s="79"/>
      <c r="AQ58" s="79"/>
      <c r="AR58" s="79"/>
      <c r="AS58" s="236"/>
      <c r="AT58" s="236"/>
      <c r="AU58" s="236"/>
      <c r="AV58" s="236"/>
      <c r="AW58" s="236"/>
      <c r="AX58" s="236"/>
      <c r="AY58" s="236"/>
      <c r="AZ58" s="236"/>
      <c r="BA58" s="236"/>
      <c r="BB58" s="236"/>
      <c r="BC58" s="236"/>
      <c r="BD58" s="236"/>
      <c r="BE58" s="236"/>
      <c r="BF58" s="236"/>
      <c r="BG58" s="236"/>
      <c r="BH58" s="236"/>
      <c r="BI58" s="236"/>
      <c r="BJ58" s="236"/>
      <c r="BK58" s="236"/>
      <c r="BL58" s="236"/>
      <c r="BM58" s="236"/>
      <c r="BN58" s="236"/>
      <c r="BO58" s="236"/>
      <c r="BP58" s="236"/>
      <c r="BQ58" s="236"/>
      <c r="BR58" s="236"/>
      <c r="BS58" s="236"/>
      <c r="BT58" s="236"/>
      <c r="BU58" s="236"/>
      <c r="BV58" s="236"/>
      <c r="BW58" s="236"/>
    </row>
    <row r="59" ht="0" hidden="1" customHeight="1">
      <c r="C59" s="181"/>
      <c r="D59" s="181"/>
      <c r="E59" s="181"/>
      <c r="F59" s="201"/>
      <c r="G59" s="181"/>
      <c r="H59" s="996"/>
      <c r="I59" s="996"/>
      <c r="J59" s="996"/>
      <c r="K59" s="996"/>
      <c r="L59" s="1072"/>
      <c r="M59" s="1072"/>
      <c r="N59" s="1072"/>
      <c r="O59" s="1072"/>
      <c r="P59" s="80"/>
      <c r="Q59" s="4"/>
      <c r="R59" s="182"/>
      <c r="S59" s="182"/>
      <c r="T59" s="182"/>
      <c r="U59" s="182"/>
      <c r="V59" s="182"/>
      <c r="W59" s="182"/>
      <c r="X59" s="182"/>
      <c r="Y59" s="182"/>
      <c r="Z59" s="182"/>
      <c r="AA59" s="182"/>
      <c r="AB59" s="182"/>
      <c r="AC59" s="182"/>
      <c r="AD59" s="182"/>
      <c r="AE59" s="182"/>
      <c r="AF59" s="182"/>
      <c r="AG59" s="182"/>
      <c r="AH59" s="182"/>
      <c r="AI59" s="182"/>
      <c r="AJ59" s="182"/>
      <c r="AK59" s="182"/>
      <c r="AL59" s="182"/>
      <c r="AM59" s="182"/>
      <c r="AN59" s="182"/>
      <c r="AO59" s="182"/>
      <c r="AP59" s="4"/>
      <c r="AQ59" s="79"/>
      <c r="AR59" s="79"/>
    </row>
    <row r="60" ht="0" hidden="1" customHeight="1">
      <c r="C60" s="181"/>
      <c r="D60" s="181"/>
      <c r="E60" s="181"/>
      <c r="F60" s="201"/>
      <c r="G60" s="181"/>
      <c r="H60" s="996"/>
      <c r="I60" s="996"/>
      <c r="J60" s="996"/>
      <c r="K60" s="996"/>
      <c r="L60" s="1072"/>
      <c r="M60" s="1072"/>
      <c r="N60" s="1072"/>
      <c r="O60" s="1072"/>
      <c r="P60" s="80"/>
      <c r="Q60" s="4"/>
      <c r="R60" s="182"/>
      <c r="S60" s="182"/>
      <c r="T60" s="182"/>
      <c r="U60" s="182"/>
      <c r="V60" s="182"/>
      <c r="W60" s="182"/>
      <c r="X60" s="182"/>
      <c r="Y60" s="182"/>
      <c r="Z60" s="182"/>
      <c r="AA60" s="182"/>
      <c r="AB60" s="182"/>
      <c r="AC60" s="182"/>
      <c r="AD60" s="182"/>
      <c r="AE60" s="182"/>
      <c r="AF60" s="182"/>
      <c r="AG60" s="182"/>
      <c r="AH60" s="182"/>
      <c r="AI60" s="182"/>
      <c r="AJ60" s="182"/>
      <c r="AK60" s="182"/>
      <c r="AL60" s="182"/>
      <c r="AM60" s="182"/>
      <c r="AN60" s="182"/>
      <c r="AO60" s="182"/>
      <c r="AP60" s="4"/>
      <c r="AQ60" s="79"/>
      <c r="AR60" s="79"/>
    </row>
    <row r="61" ht="0" hidden="1" customHeight="1">
      <c r="C61" s="181"/>
      <c r="D61" s="181"/>
      <c r="E61" s="181"/>
      <c r="F61" s="201"/>
      <c r="G61" s="181"/>
      <c r="H61" s="996"/>
      <c r="I61" s="996"/>
      <c r="J61" s="996"/>
      <c r="K61" s="996"/>
      <c r="L61" s="1072"/>
      <c r="M61" s="1072"/>
      <c r="N61" s="1072"/>
      <c r="O61" s="1072"/>
      <c r="P61" s="80"/>
      <c r="Q61" s="4"/>
      <c r="R61" s="182"/>
      <c r="S61" s="182"/>
      <c r="T61" s="182"/>
      <c r="U61" s="182"/>
      <c r="V61" s="182"/>
      <c r="W61" s="182"/>
      <c r="X61" s="182"/>
      <c r="Y61" s="182"/>
      <c r="Z61" s="182"/>
      <c r="AA61" s="182"/>
      <c r="AB61" s="182"/>
      <c r="AC61" s="182"/>
      <c r="AD61" s="182"/>
      <c r="AE61" s="182"/>
      <c r="AF61" s="182"/>
      <c r="AG61" s="182"/>
      <c r="AH61" s="182"/>
      <c r="AI61" s="182"/>
      <c r="AJ61" s="182"/>
      <c r="AK61" s="182"/>
      <c r="AL61" s="182"/>
      <c r="AM61" s="182"/>
      <c r="AN61" s="182"/>
      <c r="AO61" s="182"/>
      <c r="AP61" s="4"/>
      <c r="AQ61" s="79"/>
      <c r="AR61" s="79"/>
    </row>
    <row r="62" ht="0" hidden="1" customHeight="1">
      <c r="C62" s="181"/>
      <c r="D62" s="181"/>
      <c r="E62" s="181"/>
      <c r="F62" s="201"/>
      <c r="G62" s="181"/>
      <c r="H62" s="996"/>
      <c r="I62" s="996"/>
      <c r="J62" s="996"/>
      <c r="K62" s="996"/>
      <c r="L62" s="1072"/>
      <c r="M62" s="1072"/>
      <c r="N62" s="1072"/>
      <c r="O62" s="1072"/>
      <c r="P62" s="80"/>
      <c r="Q62" s="4"/>
      <c r="R62" s="182"/>
      <c r="S62" s="182"/>
      <c r="T62" s="182"/>
      <c r="U62" s="182"/>
      <c r="V62" s="182"/>
      <c r="W62" s="182"/>
      <c r="X62" s="182"/>
      <c r="Y62" s="182"/>
      <c r="Z62" s="182"/>
      <c r="AA62" s="182"/>
      <c r="AB62" s="182"/>
      <c r="AC62" s="182"/>
      <c r="AD62" s="182"/>
      <c r="AE62" s="182"/>
      <c r="AF62" s="182"/>
      <c r="AG62" s="182"/>
      <c r="AH62" s="182"/>
      <c r="AI62" s="182"/>
      <c r="AJ62" s="182"/>
      <c r="AK62" s="182"/>
      <c r="AL62" s="182"/>
      <c r="AM62" s="182"/>
      <c r="AN62" s="182"/>
      <c r="AO62" s="182"/>
      <c r="AP62" s="4"/>
      <c r="AQ62" s="79"/>
      <c r="AR62" s="79"/>
    </row>
    <row r="63" ht="0" hidden="1" customHeight="1">
      <c r="C63" s="181"/>
      <c r="D63" s="181"/>
      <c r="E63" s="181"/>
      <c r="F63" s="201"/>
      <c r="G63" s="181"/>
      <c r="H63" s="996"/>
      <c r="I63" s="996"/>
      <c r="J63" s="996"/>
      <c r="K63" s="996"/>
      <c r="L63" s="1072"/>
      <c r="M63" s="1072"/>
      <c r="N63" s="1072"/>
      <c r="O63" s="1072"/>
      <c r="P63" s="80"/>
      <c r="Q63" s="4"/>
      <c r="R63" s="182"/>
      <c r="S63" s="182"/>
      <c r="T63" s="182"/>
      <c r="U63" s="182"/>
      <c r="V63" s="182"/>
      <c r="W63" s="182"/>
      <c r="X63" s="182"/>
      <c r="Y63" s="182"/>
      <c r="Z63" s="182"/>
      <c r="AA63" s="182"/>
      <c r="AB63" s="182"/>
      <c r="AC63" s="182"/>
      <c r="AD63" s="182"/>
      <c r="AE63" s="182"/>
      <c r="AF63" s="182"/>
      <c r="AG63" s="182"/>
      <c r="AH63" s="182"/>
      <c r="AI63" s="182"/>
      <c r="AJ63" s="182"/>
      <c r="AK63" s="182"/>
      <c r="AL63" s="182"/>
      <c r="AM63" s="182"/>
      <c r="AN63" s="182"/>
      <c r="AO63" s="182"/>
      <c r="AP63" s="4"/>
      <c r="AQ63" s="79"/>
      <c r="AR63" s="79"/>
    </row>
    <row r="64" ht="0" hidden="1" customHeight="1">
      <c r="C64" s="181"/>
      <c r="D64" s="181"/>
      <c r="E64" s="181"/>
      <c r="F64" s="201"/>
      <c r="G64" s="181"/>
      <c r="H64" s="996"/>
      <c r="I64" s="996"/>
      <c r="J64" s="996"/>
      <c r="K64" s="996"/>
      <c r="L64" s="1072"/>
      <c r="M64" s="1072"/>
      <c r="N64" s="1072"/>
      <c r="O64" s="1072"/>
      <c r="P64" s="80"/>
      <c r="Q64" s="4"/>
      <c r="R64" s="182"/>
      <c r="S64" s="182"/>
      <c r="T64" s="182"/>
      <c r="U64" s="182"/>
      <c r="V64" s="182"/>
      <c r="W64" s="182"/>
      <c r="X64" s="182"/>
      <c r="Y64" s="182"/>
      <c r="Z64" s="182"/>
      <c r="AA64" s="182"/>
      <c r="AB64" s="182"/>
      <c r="AC64" s="182"/>
      <c r="AD64" s="182"/>
      <c r="AE64" s="182"/>
      <c r="AF64" s="182"/>
      <c r="AG64" s="182"/>
      <c r="AH64" s="182"/>
      <c r="AI64" s="182"/>
      <c r="AJ64" s="182"/>
      <c r="AK64" s="182"/>
      <c r="AL64" s="182"/>
      <c r="AM64" s="182"/>
      <c r="AN64" s="182"/>
      <c r="AO64" s="182"/>
      <c r="AP64" s="4"/>
      <c r="AQ64" s="79"/>
      <c r="AR64" s="79"/>
    </row>
    <row r="65" ht="0" hidden="1" customHeight="1">
      <c r="C65" s="181"/>
      <c r="D65" s="181"/>
      <c r="E65" s="181"/>
      <c r="F65" s="201"/>
      <c r="G65" s="181"/>
      <c r="H65" s="996"/>
      <c r="I65" s="996"/>
      <c r="J65" s="996"/>
      <c r="K65" s="996"/>
      <c r="L65" s="1072"/>
      <c r="M65" s="1072"/>
      <c r="N65" s="1072"/>
      <c r="O65" s="1072"/>
      <c r="P65" s="80"/>
      <c r="Q65" s="4"/>
      <c r="R65" s="182"/>
      <c r="S65" s="182"/>
      <c r="T65" s="182"/>
      <c r="U65" s="182"/>
      <c r="V65" s="182"/>
      <c r="W65" s="182"/>
      <c r="X65" s="182"/>
      <c r="Y65" s="182"/>
      <c r="Z65" s="182"/>
      <c r="AA65" s="182"/>
      <c r="AB65" s="182"/>
      <c r="AC65" s="182"/>
      <c r="AD65" s="182"/>
      <c r="AE65" s="182"/>
      <c r="AF65" s="182"/>
      <c r="AG65" s="182"/>
      <c r="AH65" s="182"/>
      <c r="AI65" s="182"/>
      <c r="AJ65" s="182"/>
      <c r="AK65" s="182"/>
      <c r="AL65" s="182"/>
      <c r="AM65" s="182"/>
      <c r="AN65" s="182"/>
      <c r="AO65" s="182"/>
      <c r="AP65" s="4"/>
      <c r="AQ65" s="79"/>
      <c r="AR65" s="79"/>
    </row>
    <row r="66" ht="0" hidden="1" customHeight="1">
      <c r="C66" s="181"/>
      <c r="D66" s="181"/>
      <c r="E66" s="181"/>
      <c r="F66" s="201"/>
      <c r="G66" s="181"/>
      <c r="H66" s="996"/>
      <c r="I66" s="996"/>
      <c r="J66" s="996"/>
      <c r="K66" s="996"/>
      <c r="L66" s="1072"/>
      <c r="M66" s="1072"/>
      <c r="N66" s="1072"/>
      <c r="O66" s="1072"/>
      <c r="P66" s="80"/>
      <c r="Q66" s="4"/>
      <c r="R66" s="182"/>
      <c r="S66" s="182"/>
      <c r="T66" s="182"/>
      <c r="U66" s="182"/>
      <c r="V66" s="182"/>
      <c r="W66" s="182"/>
      <c r="X66" s="182"/>
      <c r="Y66" s="182"/>
      <c r="Z66" s="182"/>
      <c r="AA66" s="182"/>
      <c r="AB66" s="182"/>
      <c r="AC66" s="182"/>
      <c r="AD66" s="182"/>
      <c r="AE66" s="182"/>
      <c r="AF66" s="182"/>
      <c r="AG66" s="182"/>
      <c r="AH66" s="182"/>
      <c r="AI66" s="182"/>
      <c r="AJ66" s="182"/>
      <c r="AK66" s="182"/>
      <c r="AL66" s="182"/>
      <c r="AM66" s="182"/>
      <c r="AN66" s="182"/>
      <c r="AO66" s="182"/>
      <c r="AP66" s="4"/>
      <c r="AQ66" s="79"/>
      <c r="AR66" s="79"/>
    </row>
    <row r="67" ht="0" hidden="1" customHeight="1">
      <c r="C67" s="181"/>
      <c r="D67" s="181"/>
      <c r="E67" s="181"/>
      <c r="F67" s="201"/>
      <c r="G67" s="181"/>
      <c r="H67" s="996"/>
      <c r="I67" s="996"/>
      <c r="J67" s="996"/>
      <c r="K67" s="996"/>
      <c r="L67" s="1072"/>
      <c r="M67" s="1072"/>
      <c r="N67" s="1072"/>
      <c r="O67" s="1072"/>
      <c r="P67" s="80"/>
      <c r="Q67" s="4"/>
      <c r="R67" s="182"/>
      <c r="S67" s="182"/>
      <c r="T67" s="182"/>
      <c r="U67" s="182"/>
      <c r="V67" s="182"/>
      <c r="W67" s="182"/>
      <c r="X67" s="182"/>
      <c r="Y67" s="182"/>
      <c r="Z67" s="182"/>
      <c r="AA67" s="182"/>
      <c r="AB67" s="182"/>
      <c r="AC67" s="182"/>
      <c r="AD67" s="182"/>
      <c r="AE67" s="182"/>
      <c r="AF67" s="182"/>
      <c r="AG67" s="182"/>
      <c r="AH67" s="182"/>
      <c r="AI67" s="182"/>
      <c r="AJ67" s="182"/>
      <c r="AK67" s="182"/>
      <c r="AL67" s="182"/>
      <c r="AM67" s="182"/>
      <c r="AN67" s="182"/>
      <c r="AO67" s="182"/>
      <c r="AP67" s="4"/>
      <c r="AQ67" s="79"/>
      <c r="AR67" s="79"/>
    </row>
    <row r="68" ht="0" hidden="1" customHeight="1">
      <c r="C68" s="181"/>
      <c r="D68" s="181"/>
      <c r="E68" s="181"/>
      <c r="F68" s="201"/>
      <c r="G68" s="181"/>
      <c r="H68" s="996"/>
      <c r="I68" s="996"/>
      <c r="J68" s="996"/>
      <c r="K68" s="996"/>
      <c r="L68" s="1072"/>
      <c r="M68" s="1072"/>
      <c r="N68" s="1072"/>
      <c r="O68" s="1072"/>
      <c r="P68" s="80"/>
      <c r="Q68" s="4"/>
      <c r="R68" s="182"/>
      <c r="S68" s="182"/>
      <c r="T68" s="182"/>
      <c r="U68" s="182"/>
      <c r="V68" s="182"/>
      <c r="W68" s="182"/>
      <c r="X68" s="182"/>
      <c r="Y68" s="182"/>
      <c r="Z68" s="182"/>
      <c r="AA68" s="182"/>
      <c r="AB68" s="182"/>
      <c r="AC68" s="182"/>
      <c r="AD68" s="182"/>
      <c r="AE68" s="182"/>
      <c r="AF68" s="182"/>
      <c r="AG68" s="182"/>
      <c r="AH68" s="182"/>
      <c r="AI68" s="182"/>
      <c r="AJ68" s="182"/>
      <c r="AK68" s="182"/>
      <c r="AL68" s="182"/>
      <c r="AM68" s="182"/>
      <c r="AN68" s="182"/>
      <c r="AO68" s="182"/>
      <c r="AP68" s="4"/>
      <c r="AQ68" s="79"/>
      <c r="AR68" s="79"/>
    </row>
    <row r="69" ht="0" hidden="1" customHeight="1">
      <c r="C69" s="181"/>
      <c r="D69" s="181"/>
      <c r="E69" s="181"/>
      <c r="F69" s="201"/>
      <c r="G69" s="181"/>
      <c r="H69" s="996"/>
      <c r="I69" s="996"/>
      <c r="J69" s="996"/>
      <c r="K69" s="996"/>
      <c r="L69" s="1072"/>
      <c r="M69" s="1072"/>
      <c r="N69" s="1072"/>
      <c r="O69" s="1072"/>
      <c r="P69" s="80"/>
      <c r="Q69" s="4"/>
      <c r="R69" s="182"/>
      <c r="S69" s="182"/>
      <c r="T69" s="182"/>
      <c r="U69" s="182"/>
      <c r="V69" s="182"/>
      <c r="W69" s="182"/>
      <c r="X69" s="182"/>
      <c r="Y69" s="182"/>
      <c r="Z69" s="182"/>
      <c r="AA69" s="182"/>
      <c r="AB69" s="182"/>
      <c r="AC69" s="182"/>
      <c r="AD69" s="182"/>
      <c r="AE69" s="182"/>
      <c r="AF69" s="182"/>
      <c r="AG69" s="182"/>
      <c r="AH69" s="182"/>
      <c r="AI69" s="182"/>
      <c r="AJ69" s="182"/>
      <c r="AK69" s="182"/>
      <c r="AL69" s="182"/>
      <c r="AM69" s="182"/>
      <c r="AN69" s="182"/>
      <c r="AO69" s="182"/>
      <c r="AP69" s="4"/>
      <c r="AQ69" s="79"/>
      <c r="AR69" s="79"/>
    </row>
    <row r="70" ht="0" hidden="1" customHeight="1">
      <c r="C70" s="181"/>
      <c r="D70" s="181"/>
      <c r="E70" s="181"/>
      <c r="F70" s="201"/>
      <c r="G70" s="181"/>
      <c r="H70" s="996"/>
      <c r="I70" s="996"/>
      <c r="J70" s="996"/>
      <c r="K70" s="996"/>
      <c r="L70" s="1072"/>
      <c r="M70" s="1072"/>
      <c r="N70" s="1072"/>
      <c r="O70" s="1072"/>
      <c r="P70" s="80"/>
      <c r="Q70" s="4"/>
      <c r="R70" s="182"/>
      <c r="S70" s="182"/>
      <c r="T70" s="182"/>
      <c r="U70" s="182"/>
      <c r="V70" s="182"/>
      <c r="W70" s="182"/>
      <c r="X70" s="182"/>
      <c r="Y70" s="182"/>
      <c r="Z70" s="182"/>
      <c r="AA70" s="182"/>
      <c r="AB70" s="182"/>
      <c r="AC70" s="182"/>
      <c r="AD70" s="182"/>
      <c r="AE70" s="182"/>
      <c r="AF70" s="182"/>
      <c r="AG70" s="182"/>
      <c r="AH70" s="182"/>
      <c r="AI70" s="182"/>
      <c r="AJ70" s="182"/>
      <c r="AK70" s="182"/>
      <c r="AL70" s="182"/>
      <c r="AM70" s="182"/>
      <c r="AN70" s="182"/>
      <c r="AO70" s="182"/>
      <c r="AP70" s="4"/>
      <c r="AQ70" s="79"/>
      <c r="AR70" s="79"/>
    </row>
    <row r="71" ht="0" hidden="1" customHeight="1">
      <c r="C71" s="181"/>
      <c r="D71" s="181"/>
      <c r="E71" s="181"/>
      <c r="F71" s="201"/>
      <c r="G71" s="181"/>
      <c r="H71" s="996"/>
      <c r="I71" s="996"/>
      <c r="J71" s="996"/>
      <c r="K71" s="996"/>
      <c r="L71" s="1072"/>
      <c r="M71" s="1072"/>
      <c r="N71" s="1072"/>
      <c r="O71" s="1072"/>
      <c r="P71" s="80"/>
      <c r="Q71" s="4"/>
      <c r="R71" s="182"/>
      <c r="S71" s="182"/>
      <c r="T71" s="182"/>
      <c r="U71" s="182"/>
      <c r="V71" s="182"/>
      <c r="W71" s="182"/>
      <c r="X71" s="182"/>
      <c r="Y71" s="182"/>
      <c r="Z71" s="182"/>
      <c r="AA71" s="182"/>
      <c r="AB71" s="182"/>
      <c r="AC71" s="182"/>
      <c r="AD71" s="182"/>
      <c r="AE71" s="182"/>
      <c r="AF71" s="182"/>
      <c r="AG71" s="182"/>
      <c r="AH71" s="182"/>
      <c r="AI71" s="182"/>
      <c r="AJ71" s="182"/>
      <c r="AK71" s="182"/>
      <c r="AL71" s="182"/>
      <c r="AM71" s="182"/>
      <c r="AN71" s="182"/>
      <c r="AO71" s="182"/>
      <c r="AP71" s="4"/>
      <c r="AQ71" s="79"/>
      <c r="AR71" s="79"/>
    </row>
    <row r="72" ht="0" hidden="1" customHeight="1">
      <c r="C72" s="181"/>
      <c r="D72" s="181"/>
      <c r="E72" s="181"/>
      <c r="F72" s="201"/>
      <c r="G72" s="181"/>
      <c r="H72" s="996"/>
      <c r="I72" s="996"/>
      <c r="J72" s="996"/>
      <c r="K72" s="996"/>
      <c r="L72" s="1072"/>
      <c r="M72" s="1072"/>
      <c r="N72" s="1072"/>
      <c r="O72" s="1072"/>
      <c r="P72" s="80"/>
      <c r="Q72" s="4"/>
      <c r="R72" s="182"/>
      <c r="S72" s="182"/>
      <c r="T72" s="182"/>
      <c r="U72" s="182"/>
      <c r="V72" s="182"/>
      <c r="W72" s="182"/>
      <c r="X72" s="182"/>
      <c r="Y72" s="182"/>
      <c r="Z72" s="182"/>
      <c r="AA72" s="182"/>
      <c r="AB72" s="182"/>
      <c r="AC72" s="182"/>
      <c r="AD72" s="182"/>
      <c r="AE72" s="182"/>
      <c r="AF72" s="182"/>
      <c r="AG72" s="182"/>
      <c r="AH72" s="182"/>
      <c r="AI72" s="182"/>
      <c r="AJ72" s="182"/>
      <c r="AK72" s="182"/>
      <c r="AL72" s="182"/>
      <c r="AM72" s="182"/>
      <c r="AN72" s="182"/>
      <c r="AO72" s="182"/>
      <c r="AP72" s="4"/>
      <c r="AQ72" s="79"/>
      <c r="AR72" s="79"/>
    </row>
    <row r="73" ht="0" hidden="1" customHeight="1">
      <c r="C73" s="181"/>
      <c r="D73" s="181"/>
      <c r="E73" s="181"/>
      <c r="F73" s="201"/>
      <c r="G73" s="181"/>
      <c r="H73" s="996"/>
      <c r="I73" s="996"/>
      <c r="J73" s="996"/>
      <c r="K73" s="996"/>
      <c r="L73" s="1072"/>
      <c r="M73" s="1072"/>
      <c r="N73" s="1072"/>
      <c r="O73" s="1072"/>
      <c r="P73" s="80"/>
      <c r="Q73" s="4"/>
      <c r="R73" s="182"/>
      <c r="S73" s="182"/>
      <c r="T73" s="182"/>
      <c r="U73" s="182"/>
      <c r="V73" s="182"/>
      <c r="W73" s="182"/>
      <c r="X73" s="182"/>
      <c r="Y73" s="182"/>
      <c r="Z73" s="182"/>
      <c r="AA73" s="182"/>
      <c r="AB73" s="182"/>
      <c r="AC73" s="182"/>
      <c r="AD73" s="182"/>
      <c r="AE73" s="182"/>
      <c r="AF73" s="182"/>
      <c r="AG73" s="182"/>
      <c r="AH73" s="182"/>
      <c r="AI73" s="182"/>
      <c r="AJ73" s="182"/>
      <c r="AK73" s="182"/>
      <c r="AL73" s="182"/>
      <c r="AM73" s="182"/>
      <c r="AN73" s="182"/>
      <c r="AO73" s="182"/>
      <c r="AP73" s="4"/>
      <c r="AQ73" s="79"/>
      <c r="AR73" s="79"/>
    </row>
    <row r="74" ht="0" hidden="1" customHeight="1">
      <c r="C74" s="181"/>
      <c r="D74" s="181"/>
      <c r="E74" s="181"/>
      <c r="F74" s="201"/>
      <c r="G74" s="181"/>
      <c r="H74" s="996"/>
      <c r="I74" s="996"/>
      <c r="J74" s="996"/>
      <c r="K74" s="996"/>
      <c r="L74" s="1072"/>
      <c r="M74" s="1072"/>
      <c r="N74" s="1072"/>
      <c r="O74" s="1072"/>
      <c r="P74" s="80"/>
      <c r="Q74" s="4"/>
      <c r="R74" s="182"/>
      <c r="S74" s="182"/>
      <c r="T74" s="182"/>
      <c r="U74" s="182"/>
      <c r="V74" s="182"/>
      <c r="W74" s="182"/>
      <c r="X74" s="182"/>
      <c r="Y74" s="182"/>
      <c r="Z74" s="182"/>
      <c r="AA74" s="182"/>
      <c r="AB74" s="182"/>
      <c r="AC74" s="182"/>
      <c r="AD74" s="182"/>
      <c r="AE74" s="182"/>
      <c r="AF74" s="182"/>
      <c r="AG74" s="182"/>
      <c r="AH74" s="182"/>
      <c r="AI74" s="182"/>
      <c r="AJ74" s="182"/>
      <c r="AK74" s="182"/>
      <c r="AL74" s="182"/>
      <c r="AM74" s="182"/>
      <c r="AN74" s="182"/>
      <c r="AO74" s="182"/>
      <c r="AP74" s="4"/>
      <c r="AQ74" s="79"/>
      <c r="AR74" s="79"/>
    </row>
    <row r="75" ht="0" hidden="1" customHeight="1">
      <c r="C75" s="181"/>
      <c r="D75" s="181"/>
      <c r="E75" s="181"/>
      <c r="F75" s="201"/>
      <c r="G75" s="181"/>
      <c r="H75" s="996"/>
      <c r="I75" s="996"/>
      <c r="J75" s="996"/>
      <c r="K75" s="996"/>
      <c r="L75" s="1072"/>
      <c r="M75" s="1072"/>
      <c r="N75" s="1072"/>
      <c r="O75" s="1072"/>
      <c r="P75" s="80"/>
      <c r="Q75" s="4"/>
      <c r="R75" s="182"/>
      <c r="S75" s="182"/>
      <c r="T75" s="182"/>
      <c r="U75" s="182"/>
      <c r="V75" s="182"/>
      <c r="W75" s="182"/>
      <c r="X75" s="182"/>
      <c r="Y75" s="182"/>
      <c r="Z75" s="182"/>
      <c r="AA75" s="182"/>
      <c r="AB75" s="182"/>
      <c r="AC75" s="182"/>
      <c r="AD75" s="182"/>
      <c r="AE75" s="182"/>
      <c r="AF75" s="182"/>
      <c r="AG75" s="182"/>
      <c r="AH75" s="182"/>
      <c r="AI75" s="182"/>
      <c r="AJ75" s="182"/>
      <c r="AK75" s="182"/>
      <c r="AL75" s="182"/>
      <c r="AM75" s="182"/>
      <c r="AN75" s="182"/>
      <c r="AO75" s="182"/>
      <c r="AP75" s="4"/>
      <c r="AQ75" s="79"/>
      <c r="AR75" s="79"/>
    </row>
    <row r="76" ht="0" hidden="1" customHeight="1">
      <c r="C76" s="181"/>
      <c r="D76" s="181"/>
      <c r="E76" s="181"/>
      <c r="F76" s="201"/>
      <c r="G76" s="181"/>
      <c r="H76" s="996"/>
      <c r="I76" s="996"/>
      <c r="J76" s="996"/>
      <c r="K76" s="996"/>
      <c r="L76" s="1072"/>
      <c r="M76" s="1072"/>
      <c r="N76" s="1072"/>
      <c r="O76" s="1072"/>
      <c r="P76" s="80"/>
      <c r="Q76" s="4"/>
      <c r="R76" s="182"/>
      <c r="S76" s="182"/>
      <c r="T76" s="182"/>
      <c r="U76" s="182"/>
      <c r="V76" s="182"/>
      <c r="W76" s="182"/>
      <c r="X76" s="182"/>
      <c r="Y76" s="182"/>
      <c r="Z76" s="182"/>
      <c r="AA76" s="182"/>
      <c r="AB76" s="182"/>
      <c r="AC76" s="182"/>
      <c r="AD76" s="182"/>
      <c r="AE76" s="182"/>
      <c r="AF76" s="182"/>
      <c r="AG76" s="182"/>
      <c r="AH76" s="182"/>
      <c r="AI76" s="182"/>
      <c r="AJ76" s="182"/>
      <c r="AK76" s="182"/>
      <c r="AL76" s="182"/>
      <c r="AM76" s="182"/>
      <c r="AN76" s="182"/>
      <c r="AO76" s="182"/>
      <c r="AP76" s="4"/>
      <c r="AQ76" s="79"/>
      <c r="AR76" s="79"/>
    </row>
    <row r="77" ht="0" hidden="1" customHeight="1">
      <c r="C77" s="181"/>
      <c r="D77" s="181"/>
      <c r="E77" s="181"/>
      <c r="F77" s="201"/>
      <c r="G77" s="181"/>
      <c r="H77" s="996"/>
      <c r="I77" s="996"/>
      <c r="J77" s="996"/>
      <c r="K77" s="996"/>
      <c r="L77" s="1072"/>
      <c r="M77" s="1072"/>
      <c r="N77" s="1072"/>
      <c r="O77" s="1072"/>
      <c r="P77" s="80"/>
      <c r="Q77" s="4"/>
      <c r="R77" s="182"/>
      <c r="S77" s="182"/>
      <c r="T77" s="182"/>
      <c r="U77" s="182"/>
      <c r="V77" s="182"/>
      <c r="W77" s="182"/>
      <c r="X77" s="182"/>
      <c r="Y77" s="182"/>
      <c r="Z77" s="182"/>
      <c r="AA77" s="182"/>
      <c r="AB77" s="182"/>
      <c r="AC77" s="182"/>
      <c r="AD77" s="182"/>
      <c r="AE77" s="182"/>
      <c r="AF77" s="182"/>
      <c r="AG77" s="182"/>
      <c r="AH77" s="182"/>
      <c r="AI77" s="182"/>
      <c r="AJ77" s="182"/>
      <c r="AK77" s="182"/>
      <c r="AL77" s="182"/>
      <c r="AM77" s="182"/>
      <c r="AN77" s="182"/>
      <c r="AO77" s="182"/>
      <c r="AP77" s="4"/>
      <c r="AQ77" s="79"/>
      <c r="AR77" s="79"/>
    </row>
    <row r="78" ht="0" hidden="1" customHeight="1">
      <c r="C78" s="181"/>
      <c r="D78" s="181"/>
      <c r="E78" s="181"/>
      <c r="F78" s="201"/>
      <c r="G78" s="181"/>
      <c r="H78" s="996"/>
      <c r="I78" s="996"/>
      <c r="J78" s="996"/>
      <c r="K78" s="996"/>
      <c r="L78" s="1072"/>
      <c r="M78" s="1072"/>
      <c r="N78" s="1072"/>
      <c r="O78" s="1072"/>
      <c r="P78" s="80"/>
      <c r="Q78" s="4"/>
      <c r="R78" s="182"/>
      <c r="S78" s="182"/>
      <c r="T78" s="182"/>
      <c r="U78" s="182"/>
      <c r="V78" s="182"/>
      <c r="W78" s="182"/>
      <c r="X78" s="182"/>
      <c r="Y78" s="182"/>
      <c r="Z78" s="182"/>
      <c r="AA78" s="182"/>
      <c r="AB78" s="182"/>
      <c r="AC78" s="182"/>
      <c r="AD78" s="182"/>
      <c r="AE78" s="182"/>
      <c r="AF78" s="182"/>
      <c r="AG78" s="182"/>
      <c r="AH78" s="182"/>
      <c r="AI78" s="182"/>
      <c r="AJ78" s="182"/>
      <c r="AK78" s="182"/>
      <c r="AL78" s="182"/>
      <c r="AM78" s="182"/>
      <c r="AN78" s="182"/>
      <c r="AO78" s="182"/>
      <c r="AP78" s="4"/>
      <c r="AQ78" s="79"/>
      <c r="AR78" s="79"/>
    </row>
    <row r="79" ht="0" hidden="1" customHeight="1">
      <c r="C79" s="181"/>
      <c r="D79" s="181"/>
      <c r="E79" s="181"/>
      <c r="F79" s="201"/>
      <c r="G79" s="181"/>
      <c r="H79" s="996"/>
      <c r="I79" s="996"/>
      <c r="J79" s="996"/>
      <c r="K79" s="996"/>
      <c r="L79" s="1072"/>
      <c r="M79" s="1072"/>
      <c r="N79" s="1072"/>
      <c r="O79" s="1072"/>
      <c r="P79" s="80"/>
      <c r="Q79" s="4"/>
      <c r="R79" s="182"/>
      <c r="S79" s="182"/>
      <c r="T79" s="182"/>
      <c r="U79" s="182"/>
      <c r="V79" s="182"/>
      <c r="W79" s="182"/>
      <c r="X79" s="182"/>
      <c r="Y79" s="182"/>
      <c r="Z79" s="182"/>
      <c r="AA79" s="182"/>
      <c r="AB79" s="182"/>
      <c r="AC79" s="182"/>
      <c r="AD79" s="182"/>
      <c r="AE79" s="182"/>
      <c r="AF79" s="182"/>
      <c r="AG79" s="182"/>
      <c r="AH79" s="182"/>
      <c r="AI79" s="182"/>
      <c r="AJ79" s="182"/>
      <c r="AK79" s="182"/>
      <c r="AL79" s="182"/>
      <c r="AM79" s="182"/>
      <c r="AN79" s="182"/>
      <c r="AO79" s="182"/>
      <c r="AP79" s="4"/>
      <c r="AQ79" s="79"/>
      <c r="AR79" s="79"/>
    </row>
    <row r="80" ht="0" hidden="1" customHeight="1">
      <c r="C80" s="181"/>
      <c r="D80" s="181"/>
      <c r="E80" s="181"/>
      <c r="F80" s="201"/>
      <c r="G80" s="181"/>
      <c r="H80" s="996"/>
      <c r="I80" s="996"/>
      <c r="J80" s="996"/>
      <c r="K80" s="996"/>
      <c r="L80" s="1072"/>
      <c r="M80" s="1072"/>
      <c r="N80" s="1072"/>
      <c r="O80" s="1072"/>
      <c r="P80" s="80"/>
      <c r="Q80" s="4"/>
      <c r="R80" s="182"/>
      <c r="S80" s="182"/>
      <c r="T80" s="182"/>
      <c r="U80" s="182"/>
      <c r="V80" s="182"/>
      <c r="W80" s="182"/>
      <c r="X80" s="182"/>
      <c r="Y80" s="182"/>
      <c r="Z80" s="182"/>
      <c r="AA80" s="182"/>
      <c r="AB80" s="182"/>
      <c r="AC80" s="182"/>
      <c r="AD80" s="182"/>
      <c r="AE80" s="182"/>
      <c r="AF80" s="182"/>
      <c r="AG80" s="182"/>
      <c r="AH80" s="182"/>
      <c r="AI80" s="182"/>
      <c r="AJ80" s="182"/>
      <c r="AK80" s="182"/>
      <c r="AL80" s="182"/>
      <c r="AM80" s="182"/>
      <c r="AN80" s="182"/>
      <c r="AO80" s="182"/>
      <c r="AP80" s="4"/>
      <c r="AQ80" s="79"/>
      <c r="AR80" s="79"/>
    </row>
    <row r="81" ht="0" hidden="1" customHeight="1">
      <c r="C81" s="181"/>
      <c r="D81" s="181"/>
      <c r="E81" s="181"/>
      <c r="F81" s="201"/>
      <c r="G81" s="181"/>
      <c r="H81" s="996"/>
      <c r="I81" s="996"/>
      <c r="J81" s="996"/>
      <c r="K81" s="996"/>
      <c r="L81" s="1072"/>
      <c r="M81" s="1072"/>
      <c r="N81" s="1072"/>
      <c r="O81" s="1072"/>
      <c r="P81" s="80"/>
      <c r="Q81" s="4"/>
      <c r="R81" s="182"/>
      <c r="S81" s="182"/>
      <c r="T81" s="182"/>
      <c r="U81" s="182"/>
      <c r="V81" s="182"/>
      <c r="W81" s="182"/>
      <c r="X81" s="182"/>
      <c r="Y81" s="182"/>
      <c r="Z81" s="182"/>
      <c r="AA81" s="182"/>
      <c r="AB81" s="182"/>
      <c r="AC81" s="182"/>
      <c r="AD81" s="182"/>
      <c r="AE81" s="182"/>
      <c r="AF81" s="182"/>
      <c r="AG81" s="182"/>
      <c r="AH81" s="182"/>
      <c r="AI81" s="182"/>
      <c r="AJ81" s="182"/>
      <c r="AK81" s="182"/>
      <c r="AL81" s="182"/>
      <c r="AM81" s="182"/>
      <c r="AN81" s="182"/>
      <c r="AO81" s="182"/>
      <c r="AP81" s="4"/>
      <c r="AQ81" s="79"/>
      <c r="AR81" s="79"/>
    </row>
    <row r="82" ht="0" hidden="1" customHeight="1">
      <c r="C82" s="181"/>
      <c r="D82" s="181"/>
      <c r="E82" s="181"/>
      <c r="F82" s="201"/>
      <c r="G82" s="181"/>
      <c r="H82" s="996"/>
      <c r="I82" s="996"/>
      <c r="J82" s="996"/>
      <c r="K82" s="996"/>
      <c r="L82" s="1072"/>
      <c r="M82" s="1072"/>
      <c r="N82" s="1072"/>
      <c r="O82" s="1072"/>
      <c r="P82" s="80"/>
      <c r="Q82" s="4"/>
      <c r="R82" s="182"/>
      <c r="S82" s="182"/>
      <c r="T82" s="182"/>
      <c r="U82" s="182"/>
      <c r="V82" s="182"/>
      <c r="W82" s="182"/>
      <c r="X82" s="182"/>
      <c r="Y82" s="182"/>
      <c r="Z82" s="182"/>
      <c r="AA82" s="182"/>
      <c r="AB82" s="182"/>
      <c r="AC82" s="182"/>
      <c r="AD82" s="182"/>
      <c r="AE82" s="182"/>
      <c r="AF82" s="182"/>
      <c r="AG82" s="182"/>
      <c r="AH82" s="182"/>
      <c r="AI82" s="182"/>
      <c r="AJ82" s="182"/>
      <c r="AK82" s="182"/>
      <c r="AL82" s="182"/>
      <c r="AM82" s="182"/>
      <c r="AN82" s="182"/>
      <c r="AO82" s="182"/>
      <c r="AP82" s="4"/>
      <c r="AQ82" s="79"/>
      <c r="AR82" s="79"/>
    </row>
    <row r="83" ht="0" hidden="1" customHeight="1">
      <c r="C83" s="181"/>
      <c r="D83" s="181"/>
      <c r="E83" s="181"/>
      <c r="F83" s="201"/>
      <c r="G83" s="181"/>
      <c r="H83" s="996"/>
      <c r="I83" s="996"/>
      <c r="J83" s="996"/>
      <c r="K83" s="996"/>
      <c r="L83" s="1072"/>
      <c r="M83" s="1072"/>
      <c r="N83" s="1072"/>
      <c r="O83" s="1072"/>
      <c r="P83" s="80"/>
      <c r="Q83" s="4"/>
      <c r="R83" s="182"/>
      <c r="S83" s="182"/>
      <c r="T83" s="182"/>
      <c r="U83" s="182"/>
      <c r="V83" s="182"/>
      <c r="W83" s="182"/>
      <c r="X83" s="182"/>
      <c r="Y83" s="182"/>
      <c r="Z83" s="182"/>
      <c r="AA83" s="182"/>
      <c r="AB83" s="182"/>
      <c r="AC83" s="182"/>
      <c r="AD83" s="182"/>
      <c r="AE83" s="182"/>
      <c r="AF83" s="182"/>
      <c r="AG83" s="182"/>
      <c r="AH83" s="182"/>
      <c r="AI83" s="182"/>
      <c r="AJ83" s="182"/>
      <c r="AK83" s="182"/>
      <c r="AL83" s="182"/>
      <c r="AM83" s="182"/>
      <c r="AN83" s="182"/>
      <c r="AO83" s="182"/>
      <c r="AP83" s="4"/>
      <c r="AQ83" s="79"/>
      <c r="AR83" s="79"/>
    </row>
    <row r="84" ht="0" hidden="1" customHeight="1">
      <c r="C84" s="181"/>
      <c r="D84" s="181"/>
      <c r="E84" s="181"/>
      <c r="F84" s="201"/>
      <c r="G84" s="181"/>
      <c r="H84" s="996"/>
      <c r="I84" s="996"/>
      <c r="J84" s="996"/>
      <c r="K84" s="996"/>
      <c r="L84" s="1072"/>
      <c r="M84" s="1072"/>
      <c r="N84" s="1072"/>
      <c r="O84" s="1072"/>
      <c r="P84" s="80"/>
      <c r="Q84" s="4"/>
      <c r="R84" s="182"/>
      <c r="S84" s="182"/>
      <c r="T84" s="182"/>
      <c r="U84" s="182"/>
      <c r="V84" s="182"/>
      <c r="W84" s="182"/>
      <c r="X84" s="182"/>
      <c r="Y84" s="182"/>
      <c r="Z84" s="182"/>
      <c r="AA84" s="182"/>
      <c r="AB84" s="182"/>
      <c r="AC84" s="182"/>
      <c r="AD84" s="182"/>
      <c r="AE84" s="182"/>
      <c r="AF84" s="182"/>
      <c r="AG84" s="182"/>
      <c r="AH84" s="182"/>
      <c r="AI84" s="182"/>
      <c r="AJ84" s="182"/>
      <c r="AK84" s="182"/>
      <c r="AL84" s="182"/>
      <c r="AM84" s="182"/>
      <c r="AN84" s="182"/>
      <c r="AO84" s="182"/>
      <c r="AP84" s="4"/>
      <c r="AQ84" s="79"/>
      <c r="AR84" s="79"/>
    </row>
    <row r="85" ht="0" hidden="1" customHeight="1">
      <c r="C85" s="181"/>
      <c r="D85" s="181"/>
      <c r="E85" s="181"/>
      <c r="F85" s="201"/>
      <c r="G85" s="181"/>
      <c r="H85" s="996"/>
      <c r="I85" s="996"/>
      <c r="J85" s="996"/>
      <c r="K85" s="996"/>
      <c r="L85" s="1072"/>
      <c r="M85" s="1072"/>
      <c r="N85" s="1072"/>
      <c r="O85" s="1072"/>
      <c r="P85" s="80"/>
      <c r="Q85" s="4"/>
      <c r="R85" s="182"/>
      <c r="S85" s="182"/>
      <c r="T85" s="182"/>
      <c r="U85" s="182"/>
      <c r="V85" s="182"/>
      <c r="W85" s="182"/>
      <c r="X85" s="182"/>
      <c r="Y85" s="182"/>
      <c r="Z85" s="182"/>
      <c r="AA85" s="182"/>
      <c r="AB85" s="182"/>
      <c r="AC85" s="182"/>
      <c r="AD85" s="182"/>
      <c r="AE85" s="182"/>
      <c r="AF85" s="182"/>
      <c r="AG85" s="182"/>
      <c r="AH85" s="182"/>
      <c r="AI85" s="182"/>
      <c r="AJ85" s="182"/>
      <c r="AK85" s="182"/>
      <c r="AL85" s="182"/>
      <c r="AM85" s="182"/>
      <c r="AN85" s="182"/>
      <c r="AO85" s="182"/>
      <c r="AP85" s="4"/>
      <c r="AQ85" s="79"/>
      <c r="AR85" s="79"/>
    </row>
    <row r="86" ht="0" hidden="1" customHeight="1">
      <c r="C86" s="181"/>
      <c r="D86" s="181"/>
      <c r="E86" s="181"/>
      <c r="F86" s="201"/>
      <c r="G86" s="181"/>
      <c r="H86" s="996"/>
      <c r="I86" s="996"/>
      <c r="J86" s="996"/>
      <c r="K86" s="996"/>
      <c r="L86" s="1072"/>
      <c r="M86" s="1072"/>
      <c r="N86" s="1072"/>
      <c r="O86" s="1072"/>
      <c r="P86" s="80"/>
      <c r="Q86" s="4"/>
      <c r="R86" s="182"/>
      <c r="S86" s="182"/>
      <c r="T86" s="182"/>
      <c r="U86" s="182"/>
      <c r="V86" s="182"/>
      <c r="W86" s="182"/>
      <c r="X86" s="182"/>
      <c r="Y86" s="182"/>
      <c r="Z86" s="182"/>
      <c r="AA86" s="182"/>
      <c r="AB86" s="182"/>
      <c r="AC86" s="182"/>
      <c r="AD86" s="182"/>
      <c r="AE86" s="182"/>
      <c r="AF86" s="182"/>
      <c r="AG86" s="182"/>
      <c r="AH86" s="182"/>
      <c r="AI86" s="182"/>
      <c r="AJ86" s="182"/>
      <c r="AK86" s="182"/>
      <c r="AL86" s="182"/>
      <c r="AM86" s="182"/>
      <c r="AN86" s="182"/>
      <c r="AO86" s="182"/>
      <c r="AP86" s="4"/>
      <c r="AQ86" s="79"/>
      <c r="AR86" s="79"/>
    </row>
    <row r="87" ht="0" hidden="1" customHeight="1">
      <c r="C87" s="181"/>
      <c r="D87" s="181"/>
      <c r="E87" s="181"/>
      <c r="F87" s="201"/>
      <c r="G87" s="181"/>
      <c r="H87" s="996"/>
      <c r="I87" s="996"/>
      <c r="J87" s="996"/>
      <c r="K87" s="996"/>
      <c r="L87" s="1072"/>
      <c r="M87" s="1072"/>
      <c r="N87" s="1072"/>
      <c r="O87" s="1072"/>
      <c r="P87" s="80"/>
      <c r="Q87" s="4"/>
      <c r="R87" s="182"/>
      <c r="S87" s="182"/>
      <c r="T87" s="182"/>
      <c r="U87" s="182"/>
      <c r="V87" s="182"/>
      <c r="W87" s="182"/>
      <c r="X87" s="182"/>
      <c r="Y87" s="182"/>
      <c r="Z87" s="182"/>
      <c r="AA87" s="182"/>
      <c r="AB87" s="182"/>
      <c r="AC87" s="182"/>
      <c r="AD87" s="182"/>
      <c r="AE87" s="182"/>
      <c r="AF87" s="182"/>
      <c r="AG87" s="182"/>
      <c r="AH87" s="182"/>
      <c r="AI87" s="182"/>
      <c r="AJ87" s="182"/>
      <c r="AK87" s="182"/>
      <c r="AL87" s="182"/>
      <c r="AM87" s="182"/>
      <c r="AN87" s="182"/>
      <c r="AO87" s="182"/>
      <c r="AP87" s="4"/>
      <c r="AQ87" s="79"/>
      <c r="AR87" s="79"/>
    </row>
    <row r="88" ht="0" hidden="1" customHeight="1">
      <c r="C88" s="181"/>
      <c r="D88" s="181"/>
      <c r="E88" s="181"/>
      <c r="F88" s="201"/>
      <c r="G88" s="181"/>
      <c r="H88" s="996"/>
      <c r="I88" s="996"/>
      <c r="J88" s="996"/>
      <c r="K88" s="996"/>
      <c r="L88" s="1072"/>
      <c r="M88" s="1072"/>
      <c r="N88" s="1072"/>
      <c r="O88" s="1072"/>
      <c r="P88" s="80"/>
      <c r="Q88" s="4"/>
      <c r="R88" s="182"/>
      <c r="S88" s="182"/>
      <c r="T88" s="182"/>
      <c r="U88" s="182"/>
      <c r="V88" s="182"/>
      <c r="W88" s="182"/>
      <c r="X88" s="182"/>
      <c r="Y88" s="182"/>
      <c r="Z88" s="182"/>
      <c r="AA88" s="182"/>
      <c r="AB88" s="182"/>
      <c r="AC88" s="182"/>
      <c r="AD88" s="182"/>
      <c r="AE88" s="182"/>
      <c r="AF88" s="182"/>
      <c r="AG88" s="182"/>
      <c r="AH88" s="182"/>
      <c r="AI88" s="182"/>
      <c r="AJ88" s="182"/>
      <c r="AK88" s="182"/>
      <c r="AL88" s="182"/>
      <c r="AM88" s="182"/>
      <c r="AN88" s="182"/>
      <c r="AO88" s="182"/>
      <c r="AP88" s="4"/>
      <c r="AQ88" s="79"/>
      <c r="AR88" s="79"/>
    </row>
    <row r="89" ht="0" hidden="1" customHeight="1">
      <c r="C89" s="181"/>
      <c r="D89" s="181"/>
      <c r="E89" s="181"/>
      <c r="F89" s="201"/>
      <c r="G89" s="181"/>
      <c r="H89" s="996"/>
      <c r="I89" s="996"/>
      <c r="J89" s="996"/>
      <c r="K89" s="996"/>
      <c r="L89" s="1072"/>
      <c r="M89" s="1072"/>
      <c r="N89" s="1072"/>
      <c r="O89" s="1072"/>
      <c r="P89" s="80"/>
      <c r="Q89" s="4"/>
      <c r="R89" s="182"/>
      <c r="S89" s="182"/>
      <c r="T89" s="182"/>
      <c r="U89" s="182"/>
      <c r="V89" s="182"/>
      <c r="W89" s="182"/>
      <c r="X89" s="182"/>
      <c r="Y89" s="182"/>
      <c r="Z89" s="182"/>
      <c r="AA89" s="182"/>
      <c r="AB89" s="182"/>
      <c r="AC89" s="182"/>
      <c r="AD89" s="182"/>
      <c r="AE89" s="182"/>
      <c r="AF89" s="182"/>
      <c r="AG89" s="182"/>
      <c r="AH89" s="182"/>
      <c r="AI89" s="182"/>
      <c r="AJ89" s="182"/>
      <c r="AK89" s="182"/>
      <c r="AL89" s="182"/>
      <c r="AM89" s="182"/>
      <c r="AN89" s="182"/>
      <c r="AO89" s="182"/>
      <c r="AP89" s="4"/>
      <c r="AQ89" s="79"/>
      <c r="AR89" s="79"/>
    </row>
    <row r="90" ht="0" hidden="1" customHeight="1">
      <c r="C90" s="181"/>
      <c r="D90" s="181"/>
      <c r="E90" s="181"/>
      <c r="F90" s="201"/>
      <c r="G90" s="181"/>
      <c r="H90" s="996"/>
      <c r="I90" s="996"/>
      <c r="J90" s="996"/>
      <c r="K90" s="996"/>
      <c r="L90" s="1072"/>
      <c r="M90" s="1072"/>
      <c r="N90" s="1072"/>
      <c r="O90" s="1072"/>
      <c r="P90" s="80"/>
      <c r="Q90" s="4"/>
      <c r="R90" s="182"/>
      <c r="S90" s="182"/>
      <c r="T90" s="182"/>
      <c r="U90" s="182"/>
      <c r="V90" s="182"/>
      <c r="W90" s="182"/>
      <c r="X90" s="182"/>
      <c r="Y90" s="182"/>
      <c r="Z90" s="182"/>
      <c r="AA90" s="182"/>
      <c r="AB90" s="182"/>
      <c r="AC90" s="182"/>
      <c r="AD90" s="182"/>
      <c r="AE90" s="182"/>
      <c r="AF90" s="182"/>
      <c r="AG90" s="182"/>
      <c r="AH90" s="182"/>
      <c r="AI90" s="182"/>
      <c r="AJ90" s="182"/>
      <c r="AK90" s="182"/>
      <c r="AL90" s="182"/>
      <c r="AM90" s="182"/>
      <c r="AN90" s="182"/>
      <c r="AO90" s="182"/>
      <c r="AP90" s="4"/>
      <c r="AQ90" s="79"/>
      <c r="AR90" s="79"/>
    </row>
    <row r="91" ht="0" hidden="1" customHeight="1">
      <c r="C91" s="181"/>
      <c r="D91" s="181"/>
      <c r="E91" s="181"/>
      <c r="F91" s="201"/>
      <c r="G91" s="181"/>
      <c r="H91" s="996"/>
      <c r="I91" s="996"/>
      <c r="J91" s="996"/>
      <c r="K91" s="996"/>
      <c r="L91" s="1072"/>
      <c r="M91" s="1072"/>
      <c r="N91" s="1072"/>
      <c r="O91" s="1072"/>
      <c r="P91" s="80"/>
      <c r="Q91" s="4"/>
      <c r="R91" s="182"/>
      <c r="S91" s="182"/>
      <c r="T91" s="182"/>
      <c r="U91" s="182"/>
      <c r="V91" s="182"/>
      <c r="W91" s="182"/>
      <c r="X91" s="182"/>
      <c r="Y91" s="182"/>
      <c r="Z91" s="182"/>
      <c r="AA91" s="182"/>
      <c r="AB91" s="182"/>
      <c r="AC91" s="182"/>
      <c r="AD91" s="182"/>
      <c r="AE91" s="182"/>
      <c r="AF91" s="182"/>
      <c r="AG91" s="182"/>
      <c r="AH91" s="182"/>
      <c r="AI91" s="182"/>
      <c r="AJ91" s="182"/>
      <c r="AK91" s="182"/>
      <c r="AL91" s="182"/>
      <c r="AM91" s="182"/>
      <c r="AN91" s="182"/>
      <c r="AO91" s="182"/>
      <c r="AP91" s="4"/>
      <c r="AQ91" s="79"/>
      <c r="AR91" s="79"/>
    </row>
    <row r="92" ht="0" hidden="1" customHeight="1">
      <c r="C92" s="181"/>
      <c r="D92" s="181"/>
      <c r="E92" s="181"/>
      <c r="F92" s="201"/>
      <c r="G92" s="181"/>
      <c r="H92" s="996"/>
      <c r="I92" s="996"/>
      <c r="J92" s="996"/>
      <c r="K92" s="996"/>
      <c r="L92" s="1072"/>
      <c r="M92" s="1072"/>
      <c r="N92" s="1072"/>
      <c r="O92" s="1072"/>
      <c r="P92" s="80"/>
      <c r="Q92" s="4"/>
      <c r="R92" s="182"/>
      <c r="S92" s="182"/>
      <c r="T92" s="182"/>
      <c r="U92" s="182"/>
      <c r="V92" s="182"/>
      <c r="W92" s="182"/>
      <c r="X92" s="182"/>
      <c r="Y92" s="182"/>
      <c r="Z92" s="182"/>
      <c r="AA92" s="182"/>
      <c r="AB92" s="182"/>
      <c r="AC92" s="182"/>
      <c r="AD92" s="182"/>
      <c r="AE92" s="182"/>
      <c r="AF92" s="182"/>
      <c r="AG92" s="182"/>
      <c r="AH92" s="182"/>
      <c r="AI92" s="182"/>
      <c r="AJ92" s="182"/>
      <c r="AK92" s="182"/>
      <c r="AL92" s="182"/>
      <c r="AM92" s="182"/>
      <c r="AN92" s="182"/>
      <c r="AO92" s="182"/>
      <c r="AP92" s="4"/>
      <c r="AQ92" s="79"/>
      <c r="AR92" s="79"/>
    </row>
    <row r="93" ht="0" hidden="1" customHeight="1">
      <c r="C93" s="181"/>
      <c r="D93" s="181"/>
      <c r="E93" s="181"/>
      <c r="F93" s="201"/>
      <c r="G93" s="181"/>
      <c r="H93" s="996"/>
      <c r="I93" s="996"/>
      <c r="J93" s="996"/>
      <c r="K93" s="996"/>
      <c r="L93" s="1072"/>
      <c r="M93" s="1072"/>
      <c r="N93" s="1072"/>
      <c r="O93" s="1072"/>
      <c r="P93" s="80"/>
      <c r="Q93" s="4"/>
      <c r="R93" s="182"/>
      <c r="S93" s="182"/>
      <c r="T93" s="182"/>
      <c r="U93" s="182"/>
      <c r="V93" s="182"/>
      <c r="W93" s="182"/>
      <c r="X93" s="182"/>
      <c r="Y93" s="182"/>
      <c r="Z93" s="182"/>
      <c r="AA93" s="182"/>
      <c r="AB93" s="182"/>
      <c r="AC93" s="182"/>
      <c r="AD93" s="182"/>
      <c r="AE93" s="182"/>
      <c r="AF93" s="182"/>
      <c r="AG93" s="182"/>
      <c r="AH93" s="182"/>
      <c r="AI93" s="182"/>
      <c r="AJ93" s="182"/>
      <c r="AK93" s="182"/>
      <c r="AL93" s="182"/>
      <c r="AM93" s="182"/>
      <c r="AN93" s="182"/>
      <c r="AO93" s="182"/>
      <c r="AP93" s="4"/>
      <c r="AQ93" s="79"/>
      <c r="AR93" s="79"/>
    </row>
    <row r="94" ht="0" hidden="1" customHeight="1">
      <c r="C94" s="181"/>
      <c r="D94" s="181"/>
      <c r="E94" s="181"/>
      <c r="F94" s="201"/>
      <c r="G94" s="181"/>
      <c r="H94" s="996"/>
      <c r="I94" s="996"/>
      <c r="J94" s="996"/>
      <c r="K94" s="996"/>
      <c r="L94" s="1072"/>
      <c r="M94" s="1072"/>
      <c r="N94" s="1072"/>
      <c r="O94" s="1072"/>
      <c r="P94" s="80"/>
      <c r="Q94" s="4"/>
      <c r="R94" s="182"/>
      <c r="S94" s="182"/>
      <c r="T94" s="182"/>
      <c r="U94" s="182"/>
      <c r="V94" s="182"/>
      <c r="W94" s="182"/>
      <c r="X94" s="182"/>
      <c r="Y94" s="182"/>
      <c r="Z94" s="182"/>
      <c r="AA94" s="182"/>
      <c r="AB94" s="182"/>
      <c r="AC94" s="182"/>
      <c r="AD94" s="182"/>
      <c r="AE94" s="182"/>
      <c r="AF94" s="182"/>
      <c r="AG94" s="182"/>
      <c r="AH94" s="182"/>
      <c r="AI94" s="182"/>
      <c r="AJ94" s="182"/>
      <c r="AK94" s="182"/>
      <c r="AL94" s="182"/>
      <c r="AM94" s="182"/>
      <c r="AN94" s="182"/>
      <c r="AO94" s="182"/>
      <c r="AP94" s="4"/>
      <c r="AQ94" s="79"/>
      <c r="AR94" s="79"/>
    </row>
    <row r="95" ht="0" hidden="1" customHeight="1">
      <c r="C95" s="181"/>
      <c r="D95" s="181"/>
      <c r="E95" s="181"/>
      <c r="F95" s="201"/>
      <c r="G95" s="181"/>
      <c r="H95" s="996"/>
      <c r="I95" s="996"/>
      <c r="J95" s="996"/>
      <c r="K95" s="996"/>
      <c r="L95" s="1072"/>
      <c r="M95" s="1072"/>
      <c r="N95" s="1072"/>
      <c r="O95" s="1072"/>
      <c r="P95" s="80"/>
      <c r="Q95" s="4"/>
      <c r="R95" s="182"/>
      <c r="S95" s="182"/>
      <c r="T95" s="182"/>
      <c r="U95" s="182"/>
      <c r="V95" s="182"/>
      <c r="W95" s="182"/>
      <c r="X95" s="182"/>
      <c r="Y95" s="182"/>
      <c r="Z95" s="182"/>
      <c r="AA95" s="182"/>
      <c r="AB95" s="182"/>
      <c r="AC95" s="182"/>
      <c r="AD95" s="182"/>
      <c r="AE95" s="182"/>
      <c r="AF95" s="182"/>
      <c r="AG95" s="182"/>
      <c r="AH95" s="182"/>
      <c r="AI95" s="182"/>
      <c r="AJ95" s="182"/>
      <c r="AK95" s="182"/>
      <c r="AL95" s="182"/>
      <c r="AM95" s="182"/>
      <c r="AN95" s="182"/>
      <c r="AO95" s="182"/>
      <c r="AP95" s="4"/>
      <c r="AQ95" s="79"/>
      <c r="AR95" s="79"/>
    </row>
    <row r="96" ht="0" hidden="1" customHeight="1">
      <c r="C96" s="181"/>
      <c r="D96" s="181"/>
      <c r="E96" s="181"/>
      <c r="F96" s="201"/>
      <c r="G96" s="181"/>
      <c r="H96" s="996"/>
      <c r="I96" s="996"/>
      <c r="J96" s="996"/>
      <c r="K96" s="996"/>
      <c r="L96" s="1072"/>
      <c r="M96" s="1072"/>
      <c r="N96" s="1072"/>
      <c r="O96" s="1072"/>
      <c r="P96" s="80"/>
      <c r="Q96" s="4"/>
      <c r="R96" s="182"/>
      <c r="S96" s="182"/>
      <c r="T96" s="182"/>
      <c r="U96" s="182"/>
      <c r="V96" s="182"/>
      <c r="W96" s="182"/>
      <c r="X96" s="182"/>
      <c r="Y96" s="182"/>
      <c r="Z96" s="182"/>
      <c r="AA96" s="182"/>
      <c r="AB96" s="182"/>
      <c r="AC96" s="182"/>
      <c r="AD96" s="182"/>
      <c r="AE96" s="182"/>
      <c r="AF96" s="182"/>
      <c r="AG96" s="182"/>
      <c r="AH96" s="182"/>
      <c r="AI96" s="182"/>
      <c r="AJ96" s="182"/>
      <c r="AK96" s="182"/>
      <c r="AL96" s="182"/>
      <c r="AM96" s="182"/>
      <c r="AN96" s="182"/>
      <c r="AO96" s="182"/>
      <c r="AP96" s="4"/>
      <c r="AQ96" s="79"/>
      <c r="AR96" s="79"/>
    </row>
    <row r="97" ht="0" hidden="1" customHeight="1">
      <c r="C97" s="181"/>
      <c r="D97" s="181"/>
      <c r="E97" s="181"/>
      <c r="F97" s="201"/>
      <c r="G97" s="181"/>
      <c r="H97" s="996"/>
      <c r="I97" s="996"/>
      <c r="J97" s="996"/>
      <c r="K97" s="996"/>
      <c r="L97" s="1072"/>
      <c r="M97" s="1072"/>
      <c r="N97" s="1072"/>
      <c r="O97" s="1072"/>
      <c r="P97" s="80"/>
      <c r="Q97" s="4"/>
      <c r="R97" s="182"/>
      <c r="S97" s="182"/>
      <c r="T97" s="182"/>
      <c r="U97" s="182"/>
      <c r="V97" s="182"/>
      <c r="W97" s="182"/>
      <c r="X97" s="182"/>
      <c r="Y97" s="182"/>
      <c r="Z97" s="182"/>
      <c r="AA97" s="182"/>
      <c r="AB97" s="182"/>
      <c r="AC97" s="182"/>
      <c r="AD97" s="182"/>
      <c r="AE97" s="182"/>
      <c r="AF97" s="182"/>
      <c r="AG97" s="182"/>
      <c r="AH97" s="182"/>
      <c r="AI97" s="182"/>
      <c r="AJ97" s="182"/>
      <c r="AK97" s="182"/>
      <c r="AL97" s="182"/>
      <c r="AM97" s="182"/>
      <c r="AN97" s="182"/>
      <c r="AO97" s="182"/>
      <c r="AP97" s="4"/>
      <c r="AQ97" s="79"/>
      <c r="AR97" s="79"/>
    </row>
    <row r="98" ht="0" hidden="1" customHeight="1">
      <c r="C98" s="181"/>
      <c r="D98" s="181"/>
      <c r="E98" s="181"/>
      <c r="F98" s="201"/>
      <c r="G98" s="181"/>
      <c r="H98" s="996"/>
      <c r="I98" s="996"/>
      <c r="J98" s="996"/>
      <c r="K98" s="996"/>
      <c r="L98" s="1072"/>
      <c r="M98" s="1072"/>
      <c r="N98" s="1072"/>
      <c r="O98" s="1072"/>
      <c r="P98" s="80"/>
      <c r="Q98" s="4"/>
      <c r="R98" s="182"/>
      <c r="S98" s="182"/>
      <c r="T98" s="182"/>
      <c r="U98" s="182"/>
      <c r="V98" s="182"/>
      <c r="W98" s="182"/>
      <c r="X98" s="182"/>
      <c r="Y98" s="182"/>
      <c r="Z98" s="182"/>
      <c r="AA98" s="182"/>
      <c r="AB98" s="182"/>
      <c r="AC98" s="182"/>
      <c r="AD98" s="182"/>
      <c r="AE98" s="182"/>
      <c r="AF98" s="182"/>
      <c r="AG98" s="182"/>
      <c r="AH98" s="182"/>
      <c r="AI98" s="182"/>
      <c r="AJ98" s="182"/>
      <c r="AK98" s="182"/>
      <c r="AL98" s="182"/>
      <c r="AM98" s="182"/>
      <c r="AN98" s="182"/>
      <c r="AO98" s="182"/>
      <c r="AP98" s="4"/>
      <c r="AQ98" s="79"/>
      <c r="AR98" s="79"/>
    </row>
    <row r="99" ht="0" hidden="1" customHeight="1">
      <c r="C99" s="181"/>
      <c r="D99" s="181"/>
      <c r="E99" s="181"/>
      <c r="F99" s="201"/>
      <c r="G99" s="181"/>
      <c r="H99" s="996"/>
      <c r="I99" s="996"/>
      <c r="J99" s="996"/>
      <c r="K99" s="996"/>
      <c r="L99" s="1072"/>
      <c r="M99" s="1072"/>
      <c r="N99" s="1072"/>
      <c r="O99" s="1072"/>
      <c r="P99" s="80"/>
      <c r="Q99" s="4"/>
      <c r="R99" s="182"/>
      <c r="S99" s="182"/>
      <c r="T99" s="182"/>
      <c r="U99" s="182"/>
      <c r="V99" s="182"/>
      <c r="W99" s="182"/>
      <c r="X99" s="182"/>
      <c r="Y99" s="182"/>
      <c r="Z99" s="182"/>
      <c r="AA99" s="182"/>
      <c r="AB99" s="182"/>
      <c r="AC99" s="182"/>
      <c r="AD99" s="182"/>
      <c r="AE99" s="182"/>
      <c r="AF99" s="182"/>
      <c r="AG99" s="182"/>
      <c r="AH99" s="182"/>
      <c r="AI99" s="182"/>
      <c r="AJ99" s="182"/>
      <c r="AK99" s="182"/>
      <c r="AL99" s="182"/>
      <c r="AM99" s="182"/>
      <c r="AN99" s="182"/>
      <c r="AO99" s="182"/>
      <c r="AP99" s="4"/>
      <c r="AQ99" s="79"/>
      <c r="AR99" s="79"/>
    </row>
    <row r="100" ht="0" hidden="1" customHeight="1">
      <c r="C100" s="181"/>
      <c r="D100" s="181"/>
      <c r="E100" s="181"/>
      <c r="F100" s="201"/>
      <c r="G100" s="181"/>
      <c r="H100" s="996"/>
      <c r="I100" s="996"/>
      <c r="J100" s="996"/>
      <c r="K100" s="996"/>
      <c r="L100" s="1072"/>
      <c r="M100" s="1072"/>
      <c r="N100" s="1072"/>
      <c r="O100" s="1072"/>
      <c r="P100" s="80"/>
      <c r="Q100" s="4"/>
      <c r="R100" s="182"/>
      <c r="S100" s="182"/>
      <c r="T100" s="182"/>
      <c r="U100" s="182"/>
      <c r="V100" s="182"/>
      <c r="W100" s="182"/>
      <c r="X100" s="182"/>
      <c r="Y100" s="182"/>
      <c r="Z100" s="182"/>
      <c r="AA100" s="182"/>
      <c r="AB100" s="182"/>
      <c r="AC100" s="182"/>
      <c r="AD100" s="182"/>
      <c r="AE100" s="182"/>
      <c r="AF100" s="182"/>
      <c r="AG100" s="182"/>
      <c r="AH100" s="182"/>
      <c r="AI100" s="182"/>
      <c r="AJ100" s="182"/>
      <c r="AK100" s="182"/>
      <c r="AL100" s="182"/>
      <c r="AM100" s="182"/>
      <c r="AN100" s="182"/>
      <c r="AO100" s="182"/>
      <c r="AP100" s="4"/>
      <c r="AQ100" s="48"/>
      <c r="AR100" s="48"/>
    </row>
    <row r="101" ht="0" hidden="1" customHeight="1">
      <c r="C101" s="181"/>
      <c r="D101" s="181"/>
      <c r="E101" s="181"/>
      <c r="F101" s="201"/>
      <c r="G101" s="181"/>
      <c r="H101" s="996"/>
      <c r="I101" s="996"/>
      <c r="J101" s="996"/>
      <c r="K101" s="996"/>
      <c r="L101" s="1072"/>
      <c r="M101" s="1072"/>
      <c r="N101" s="1072"/>
      <c r="O101" s="1072"/>
      <c r="P101" s="80"/>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79"/>
      <c r="AR101" s="79"/>
    </row>
    <row r="102" ht="18" customHeight="1">
      <c r="C102" s="181"/>
      <c r="D102" s="181"/>
      <c r="E102" s="181"/>
      <c r="F102" s="201"/>
      <c r="G102" s="181"/>
      <c r="H102" s="996"/>
      <c r="I102" s="996"/>
      <c r="J102" s="996"/>
      <c r="K102" s="996"/>
      <c r="L102" s="1072"/>
      <c r="M102" s="1072"/>
      <c r="N102" s="1072"/>
      <c r="O102" s="1072"/>
      <c r="P102" s="80"/>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79"/>
      <c r="AR102" s="79"/>
    </row>
    <row r="103" ht="18" customHeight="1">
      <c r="C103" s="181"/>
      <c r="D103" s="181"/>
      <c r="E103" s="181"/>
      <c r="F103" s="201"/>
      <c r="G103" s="181"/>
      <c r="H103" s="996"/>
      <c r="I103" s="996"/>
      <c r="J103" s="996"/>
      <c r="K103" s="996"/>
      <c r="L103" s="1072"/>
      <c r="M103" s="1072"/>
      <c r="N103" s="1072"/>
      <c r="O103" s="1072"/>
      <c r="P103" s="80"/>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row>
    <row r="104" ht="9" customHeight="1">
      <c r="E104" s="81"/>
      <c r="F104" s="202"/>
      <c r="R104" s="0"/>
      <c r="S104" s="0"/>
      <c r="T104" s="0"/>
      <c r="U104" s="0"/>
      <c r="V104" s="0"/>
      <c r="W104" s="0"/>
      <c r="X104" s="0"/>
      <c r="Y104" s="0"/>
      <c r="Z104" s="87"/>
      <c r="AA104" s="0"/>
      <c r="AB104" s="0"/>
      <c r="AC104" s="5"/>
      <c r="AD104" s="5"/>
      <c r="AE104" s="5"/>
      <c r="AF104" s="67"/>
      <c r="AG104" s="0"/>
      <c r="AH104" s="0"/>
      <c r="AI104" s="0"/>
      <c r="AJ104" s="5"/>
      <c r="AK104" s="0"/>
      <c r="AL104" s="0"/>
      <c r="AM104" s="0"/>
      <c r="AN104" s="0"/>
      <c r="AO104" s="0"/>
      <c r="AP104" s="0"/>
    </row>
    <row r="105" ht="39.95" customHeight="1">
      <c r="B105" s="0"/>
      <c r="C105" s="1075" t="s">
        <v>126</v>
      </c>
      <c r="D105" s="1075"/>
      <c r="E105" s="1075"/>
      <c r="F105" s="1075"/>
      <c r="G105" s="1075"/>
      <c r="H105" s="1075"/>
      <c r="I105" s="1075"/>
      <c r="J105" s="1075"/>
      <c r="K105" s="1075"/>
      <c r="L105" s="1075"/>
      <c r="M105" s="1075"/>
      <c r="N105" s="1075"/>
      <c r="O105" s="1075"/>
      <c r="P105" s="1075"/>
      <c r="Q105" s="1075"/>
      <c r="R105" s="1075"/>
      <c r="S105" s="1075"/>
      <c r="T105" s="1075"/>
      <c r="U105" s="1075"/>
      <c r="V105" s="1075"/>
      <c r="W105" s="1075"/>
      <c r="X105" s="1075"/>
      <c r="Y105" s="1075"/>
      <c r="Z105" s="1075"/>
      <c r="AA105" s="1075"/>
      <c r="AB105" s="1075"/>
      <c r="AC105" s="1075"/>
      <c r="AD105" s="1075"/>
      <c r="AE105" s="1075"/>
      <c r="AF105" s="1075"/>
      <c r="AG105" s="1075"/>
      <c r="AH105" s="1075"/>
      <c r="AI105" s="1075"/>
      <c r="AJ105" s="1075"/>
      <c r="AK105" s="1075"/>
      <c r="AL105" s="1075"/>
      <c r="AM105" s="1075"/>
      <c r="AN105" s="1075"/>
      <c r="AO105" s="1075"/>
      <c r="AP105" s="233"/>
    </row>
    <row r="106" s="84" customFormat="1" ht="12" customHeight="1">
      <c r="B106" s="84"/>
      <c r="E106" s="46"/>
      <c r="F106" s="202"/>
      <c r="G106"/>
      <c r="H106"/>
      <c r="I106"/>
      <c r="J106"/>
      <c r="K106"/>
      <c r="L106"/>
      <c r="M106"/>
      <c r="N106"/>
      <c r="O106"/>
      <c r="P106"/>
      <c r="Q106"/>
      <c r="R106"/>
      <c r="S106"/>
      <c r="T106"/>
      <c r="U106"/>
      <c r="V106"/>
      <c r="W106"/>
      <c r="X106"/>
      <c r="Y106"/>
      <c r="Z106"/>
      <c r="AA106"/>
      <c r="AS106" s="236"/>
      <c r="AT106" s="236"/>
      <c r="AU106" s="236"/>
      <c r="AV106" s="236"/>
      <c r="AW106" s="236"/>
      <c r="AX106" s="236"/>
      <c r="AY106" s="236"/>
      <c r="AZ106" s="236"/>
      <c r="BA106" s="236"/>
      <c r="BB106" s="236"/>
      <c r="BC106" s="236"/>
      <c r="BD106" s="236"/>
      <c r="BE106" s="236"/>
      <c r="BF106" s="236"/>
      <c r="BG106" s="236"/>
      <c r="BH106" s="236"/>
      <c r="BI106" s="236"/>
      <c r="BJ106" s="236"/>
      <c r="BK106" s="236"/>
      <c r="BL106" s="236"/>
      <c r="BM106" s="236"/>
      <c r="BN106" s="236"/>
      <c r="BO106" s="236"/>
      <c r="BP106" s="236"/>
      <c r="BQ106" s="236"/>
      <c r="BR106" s="236"/>
      <c r="BS106" s="236"/>
      <c r="BT106" s="236"/>
      <c r="BU106" s="236"/>
      <c r="BV106" s="236"/>
      <c r="BW106" s="236"/>
    </row>
    <row r="107" s="236" customFormat="1" ht="12.75" customHeight="1">
      <c r="A107" s="236"/>
    </row>
    <row r="108" s="236" customFormat="1" ht="12.75" customHeight="1"/>
    <row r="109" s="236" customFormat="1" ht="12.75" customHeight="1"/>
    <row r="110" s="236" customFormat="1" ht="12.75" customHeight="1"/>
    <row r="111" s="236" customFormat="1" ht="12.75" customHeight="1"/>
    <row r="112" s="236" customFormat="1" ht="12.75" customHeight="1"/>
    <row r="113" s="236" customFormat="1" ht="12.75" customHeight="1"/>
    <row r="114" s="236" customFormat="1" ht="12.75" customHeight="1"/>
    <row r="115" s="236" customFormat="1" ht="12.75" customHeight="1"/>
    <row r="116" s="236" customFormat="1" ht="12.75" customHeight="1"/>
    <row r="117" s="236" customFormat="1" ht="12.75" customHeight="1"/>
    <row r="118" s="236" customFormat="1" ht="12.75" customHeight="1"/>
    <row r="119" s="236" customFormat="1" ht="12.75" customHeight="1"/>
    <row r="120" s="236" customFormat="1" ht="12.75" customHeight="1"/>
    <row r="121" s="236" customFormat="1" ht="12.75" customHeight="1"/>
    <row r="122" s="236" customFormat="1" ht="12.75" customHeight="1"/>
    <row r="123" s="236" customFormat="1" ht="12.75" customHeight="1"/>
    <row r="124" s="236" customFormat="1" ht="12.75" customHeight="1"/>
    <row r="125" s="236" customFormat="1" ht="12.75" customHeight="1"/>
    <row r="126" s="236" customFormat="1" ht="12.75" customHeight="1"/>
    <row r="127" s="236" customFormat="1" ht="12.75" customHeight="1"/>
    <row r="128" s="236" customFormat="1" ht="12.75" customHeight="1"/>
    <row r="129" s="236" customFormat="1" ht="12.75" customHeight="1"/>
    <row r="130" s="236" customFormat="1" ht="12.75" customHeight="1"/>
    <row r="131" s="236" customFormat="1" ht="12.75" customHeight="1"/>
    <row r="132" s="236" customFormat="1" ht="12.75" customHeight="1"/>
    <row r="133" s="236" customFormat="1" ht="12.75" customHeight="1"/>
    <row r="134" s="236" customFormat="1" ht="12.75" customHeight="1"/>
    <row r="135" s="236" customFormat="1" ht="12.75" customHeight="1"/>
    <row r="136" s="236" customFormat="1" ht="12.75" customHeight="1"/>
    <row r="137" s="236" customFormat="1" ht="12.75" customHeight="1"/>
    <row r="138" s="236" customFormat="1" ht="12.75" customHeight="1"/>
    <row r="139" s="236" customFormat="1" ht="12.75" customHeight="1"/>
    <row r="140" s="236" customFormat="1" ht="12.75" customHeight="1"/>
    <row r="141" s="236" customFormat="1" ht="12.75" customHeight="1"/>
    <row r="142" s="236" customFormat="1" ht="12.75" customHeight="1"/>
    <row r="143" s="236" customFormat="1" ht="12.75" customHeight="1"/>
    <row r="144" s="236" customFormat="1" ht="12.75" customHeight="1"/>
    <row r="145" s="236" customFormat="1" ht="12.75" customHeight="1"/>
    <row r="146" s="236" customFormat="1" ht="12.75" customHeight="1"/>
    <row r="147" s="236" customFormat="1" ht="12.75" customHeight="1"/>
    <row r="148" s="236" customFormat="1" ht="12.75" customHeight="1"/>
    <row r="149" s="236" customFormat="1" ht="12.75" customHeight="1"/>
    <row r="150" s="236" customFormat="1" ht="12.75" customHeight="1"/>
    <row r="151" s="236" customFormat="1" ht="12.75" customHeight="1"/>
    <row r="152" s="236" customFormat="1" ht="12.75" customHeight="1"/>
    <row r="153" s="236" customFormat="1" ht="12.75" customHeight="1"/>
  </sheetData>
  <mergeCells count="273">
    <mergeCell ref="C2:AP2"/>
    <mergeCell ref="H55:K55"/>
    <mergeCell ref="L55:O55"/>
    <mergeCell ref="H31:K31"/>
    <mergeCell ref="H52:K52"/>
    <mergeCell ref="C4:AP4"/>
    <mergeCell ref="C3:AP3"/>
    <mergeCell ref="L25:O25"/>
    <mergeCell ref="H25:K25"/>
    <mergeCell ref="L28:O28"/>
    <mergeCell ref="H53:K53"/>
    <mergeCell ref="H54:K54"/>
    <mergeCell ref="H24:K24"/>
    <mergeCell ref="L52:O52"/>
    <mergeCell ref="L53:O53"/>
    <mergeCell ref="L54:O54"/>
    <mergeCell ref="X15:AD15"/>
    <mergeCell ref="P15:V15"/>
    <mergeCell ref="H22:K22"/>
    <mergeCell ref="L24:O24"/>
    <mergeCell ref="L22:O22"/>
    <mergeCell ref="N12:O12"/>
    <mergeCell ref="AF15:AL15"/>
    <mergeCell ref="R12:S12"/>
    <mergeCell ref="H77:K77"/>
    <mergeCell ref="L77:O77"/>
    <mergeCell ref="L61:O61"/>
    <mergeCell ref="H62:K62"/>
    <mergeCell ref="L62:O62"/>
    <mergeCell ref="H61:K61"/>
    <mergeCell ref="H71:K71"/>
    <mergeCell ref="L71:O71"/>
    <mergeCell ref="H73:K73"/>
    <mergeCell ref="H76:K76"/>
    <mergeCell ref="H65:K65"/>
    <mergeCell ref="H74:K74"/>
    <mergeCell ref="L74:O74"/>
    <mergeCell ref="H75:K75"/>
    <mergeCell ref="L76:O76"/>
    <mergeCell ref="L73:O73"/>
    <mergeCell ref="H70:K70"/>
    <mergeCell ref="L66:O66"/>
    <mergeCell ref="H66:K66"/>
    <mergeCell ref="L63:O63"/>
    <mergeCell ref="L75:O75"/>
    <mergeCell ref="L64:O64"/>
    <mergeCell ref="L70:O70"/>
    <mergeCell ref="H64:K64"/>
    <mergeCell ref="AL13:AM13"/>
    <mergeCell ref="AJ12:AK12"/>
    <mergeCell ref="AH13:AI13"/>
    <mergeCell ref="AJ13:AK13"/>
    <mergeCell ref="Z13:AA13"/>
    <mergeCell ref="AF13:AG13"/>
    <mergeCell ref="H56:K56"/>
    <mergeCell ref="H57:K57"/>
    <mergeCell ref="H58:K58"/>
    <mergeCell ref="H29:K29"/>
    <mergeCell ref="L29:O29"/>
    <mergeCell ref="H27:K27"/>
    <mergeCell ref="L27:O27"/>
    <mergeCell ref="H28:K28"/>
    <mergeCell ref="L31:O31"/>
    <mergeCell ref="H37:K37"/>
    <mergeCell ref="L37:O37"/>
    <mergeCell ref="H34:K34"/>
    <mergeCell ref="L34:O34"/>
    <mergeCell ref="H35:K35"/>
    <mergeCell ref="L35:O35"/>
    <mergeCell ref="H36:K36"/>
    <mergeCell ref="L36:O36"/>
    <mergeCell ref="H38:K38"/>
    <mergeCell ref="AB9:AC9"/>
    <mergeCell ref="Z9:AA9"/>
    <mergeCell ref="AF9:AG9"/>
    <mergeCell ref="AD11:AE11"/>
    <mergeCell ref="J12:K12"/>
    <mergeCell ref="AF10:AG10"/>
    <mergeCell ref="R13:S13"/>
    <mergeCell ref="AB12:AC12"/>
    <mergeCell ref="T13:U13"/>
    <mergeCell ref="T12:U12"/>
    <mergeCell ref="AD13:AE13"/>
    <mergeCell ref="AB13:AC13"/>
    <mergeCell ref="J13:K13"/>
    <mergeCell ref="L12:M12"/>
    <mergeCell ref="P12:Q12"/>
    <mergeCell ref="J11:K11"/>
    <mergeCell ref="R11:S11"/>
    <mergeCell ref="R10:S10"/>
    <mergeCell ref="L10:M10"/>
    <mergeCell ref="J10:K10"/>
    <mergeCell ref="P13:Q13"/>
    <mergeCell ref="T7:U7"/>
    <mergeCell ref="J7:K7"/>
    <mergeCell ref="H7:I7"/>
    <mergeCell ref="R9:S9"/>
    <mergeCell ref="T9:U9"/>
    <mergeCell ref="L9:M9"/>
    <mergeCell ref="L7:M7"/>
    <mergeCell ref="J9:K9"/>
    <mergeCell ref="N9:O9"/>
    <mergeCell ref="L8:M8"/>
    <mergeCell ref="J8:K8"/>
    <mergeCell ref="R7:S7"/>
    <mergeCell ref="H8:I8"/>
    <mergeCell ref="H6:U6"/>
    <mergeCell ref="T8:U8"/>
    <mergeCell ref="R8:S8"/>
    <mergeCell ref="P8:Q8"/>
    <mergeCell ref="N8:O8"/>
    <mergeCell ref="AH12:AI12"/>
    <mergeCell ref="AF12:AG12"/>
    <mergeCell ref="H11:I11"/>
    <mergeCell ref="H9:I9"/>
    <mergeCell ref="P7:Q7"/>
    <mergeCell ref="N7:O7"/>
    <mergeCell ref="P9:Q9"/>
    <mergeCell ref="P11:Q11"/>
    <mergeCell ref="AD9:AE9"/>
    <mergeCell ref="Z8:AA8"/>
    <mergeCell ref="AB8:AC8"/>
    <mergeCell ref="Z6:AM6"/>
    <mergeCell ref="Z7:AA7"/>
    <mergeCell ref="AB7:AC7"/>
    <mergeCell ref="AD7:AE7"/>
    <mergeCell ref="AF7:AG7"/>
    <mergeCell ref="AH7:AI7"/>
    <mergeCell ref="AJ7:AK7"/>
    <mergeCell ref="AL7:AM7"/>
    <mergeCell ref="AJ8:AK8"/>
    <mergeCell ref="AL8:AM8"/>
    <mergeCell ref="AD8:AE8"/>
    <mergeCell ref="AH8:AI8"/>
    <mergeCell ref="AH9:AI9"/>
    <mergeCell ref="AJ9:AK9"/>
    <mergeCell ref="AL9:AM9"/>
    <mergeCell ref="AH10:AI10"/>
    <mergeCell ref="AL12:AM12"/>
    <mergeCell ref="AL11:AM11"/>
    <mergeCell ref="AF8:AG8"/>
    <mergeCell ref="AL10:AM10"/>
    <mergeCell ref="AD10:AE10"/>
    <mergeCell ref="AD12:AE12"/>
    <mergeCell ref="AJ10:AK10"/>
    <mergeCell ref="AH11:AI11"/>
    <mergeCell ref="AJ11:AK11"/>
    <mergeCell ref="H26:K26"/>
    <mergeCell ref="L26:O26"/>
    <mergeCell ref="AF11:AG11"/>
    <mergeCell ref="Z10:AA10"/>
    <mergeCell ref="L11:M11"/>
    <mergeCell ref="N13:O13"/>
    <mergeCell ref="H10:I10"/>
    <mergeCell ref="L13:M13"/>
    <mergeCell ref="H23:K23"/>
    <mergeCell ref="L23:O23"/>
    <mergeCell ref="T11:U11"/>
    <mergeCell ref="T10:U10"/>
    <mergeCell ref="N11:O11"/>
    <mergeCell ref="N10:O10"/>
    <mergeCell ref="P10:Q10"/>
    <mergeCell ref="Z12:AA12"/>
    <mergeCell ref="H12:I12"/>
    <mergeCell ref="H13:I13"/>
    <mergeCell ref="AB10:AC10"/>
    <mergeCell ref="AB11:AC11"/>
    <mergeCell ref="Z11:AA11"/>
    <mergeCell ref="L30:O30"/>
    <mergeCell ref="H33:K33"/>
    <mergeCell ref="L33:O33"/>
    <mergeCell ref="H32:K32"/>
    <mergeCell ref="L32:O32"/>
    <mergeCell ref="H44:K44"/>
    <mergeCell ref="L44:O44"/>
    <mergeCell ref="H40:K40"/>
    <mergeCell ref="L40:O40"/>
    <mergeCell ref="H41:K41"/>
    <mergeCell ref="L41:O41"/>
    <mergeCell ref="H42:K42"/>
    <mergeCell ref="L42:O42"/>
    <mergeCell ref="H43:K43"/>
    <mergeCell ref="L43:O43"/>
    <mergeCell ref="L38:O38"/>
    <mergeCell ref="H39:K39"/>
    <mergeCell ref="L39:O39"/>
    <mergeCell ref="H48:K48"/>
    <mergeCell ref="L48:O48"/>
    <mergeCell ref="H45:K45"/>
    <mergeCell ref="L45:O45"/>
    <mergeCell ref="H46:K46"/>
    <mergeCell ref="L46:O46"/>
    <mergeCell ref="H47:K47"/>
    <mergeCell ref="L47:O47"/>
    <mergeCell ref="H49:K49"/>
    <mergeCell ref="L49:O49"/>
    <mergeCell ref="H50:K50"/>
    <mergeCell ref="L50:O50"/>
    <mergeCell ref="H68:K68"/>
    <mergeCell ref="L68:O68"/>
    <mergeCell ref="H72:K72"/>
    <mergeCell ref="L72:O72"/>
    <mergeCell ref="H51:K51"/>
    <mergeCell ref="L51:O51"/>
    <mergeCell ref="H69:K69"/>
    <mergeCell ref="L69:O69"/>
    <mergeCell ref="H67:K67"/>
    <mergeCell ref="L67:O67"/>
    <mergeCell ref="L56:O56"/>
    <mergeCell ref="L57:O57"/>
    <mergeCell ref="L58:O58"/>
    <mergeCell ref="H59:K59"/>
    <mergeCell ref="H63:K63"/>
    <mergeCell ref="L65:O65"/>
    <mergeCell ref="L59:O59"/>
    <mergeCell ref="L60:O60"/>
    <mergeCell ref="H60:K60"/>
    <mergeCell ref="H81:K81"/>
    <mergeCell ref="L81:O81"/>
    <mergeCell ref="H82:K82"/>
    <mergeCell ref="L82:O82"/>
    <mergeCell ref="L78:O78"/>
    <mergeCell ref="H79:K79"/>
    <mergeCell ref="L79:O79"/>
    <mergeCell ref="H80:K80"/>
    <mergeCell ref="L80:O80"/>
    <mergeCell ref="H78:K78"/>
    <mergeCell ref="H85:K85"/>
    <mergeCell ref="L85:O85"/>
    <mergeCell ref="H86:K86"/>
    <mergeCell ref="L86:O86"/>
    <mergeCell ref="H83:K83"/>
    <mergeCell ref="L83:O83"/>
    <mergeCell ref="H84:K84"/>
    <mergeCell ref="L84:O84"/>
    <mergeCell ref="H89:K89"/>
    <mergeCell ref="L89:O89"/>
    <mergeCell ref="H90:K90"/>
    <mergeCell ref="L90:O90"/>
    <mergeCell ref="H87:K87"/>
    <mergeCell ref="L87:O87"/>
    <mergeCell ref="H88:K88"/>
    <mergeCell ref="L88:O88"/>
    <mergeCell ref="H93:K93"/>
    <mergeCell ref="L93:O93"/>
    <mergeCell ref="H94:K94"/>
    <mergeCell ref="L94:O94"/>
    <mergeCell ref="H91:K91"/>
    <mergeCell ref="L91:O91"/>
    <mergeCell ref="H92:K92"/>
    <mergeCell ref="L92:O92"/>
    <mergeCell ref="H95:K95"/>
    <mergeCell ref="L95:O95"/>
    <mergeCell ref="H101:K101"/>
    <mergeCell ref="L101:O101"/>
    <mergeCell ref="L102:O102"/>
    <mergeCell ref="H102:K102"/>
    <mergeCell ref="H99:K99"/>
    <mergeCell ref="C105:AO105"/>
    <mergeCell ref="H98:K98"/>
    <mergeCell ref="L98:O98"/>
    <mergeCell ref="H96:K96"/>
    <mergeCell ref="L96:O96"/>
    <mergeCell ref="H97:K97"/>
    <mergeCell ref="L97:O97"/>
    <mergeCell ref="H103:K103"/>
    <mergeCell ref="H100:K100"/>
    <mergeCell ref="L100:O100"/>
    <mergeCell ref="L103:O103"/>
    <mergeCell ref="L99:O99"/>
    <mergeCell ref="R21:AC21"/>
    <mergeCell ref="AD21:AO21"/>
    <mergeCell ref="H30:K30"/>
  </mergeCells>
  <phoneticPr fontId="0" type="noConversion"/>
  <printOptions horizontalCentered="1" verticalCentered="1"/>
  <pageMargins left="0.25" right="0.25" top="0.25" bottom="0.25" header="0" footer="0"/>
  <pageSetup scale="31" fitToWidth="1" fitToHeight="1" orientation="landscape" r:id="rId1"/>
  <headerFooter alignWithMargins="0">
    <oddHeader/>
    <oddFooter/>
  </headerFooter>
  <rowBreaks count="1" manualBreakCount="1">
    <brk id="107" max="16383" man="1"/>
  </rowBreaks>
  <colBreaks count="1" manualBreakCount="1">
    <brk id="45" max="1048575" man="1"/>
  </colBreaks>
  <drawing r:id="rId87"/>
</worksheet>
</file>

<file path=xl/worksheets/sheet8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9">
    <pageSetUpPr fitToPage="1"/>
  </sheetPr>
  <dimension ref="A1:EI109"/>
  <sheetViews>
    <sheetView showGridLines="0" zoomScale="70" workbookViewId="0"/>
  </sheetViews>
  <sheetFormatPr defaultRowHeight="12.75"/>
  <cols>
    <col min="1" max="1" width="1.5703125" style="34" customWidth="1"/>
    <col min="2" max="2" width="15.7109375" style="34" customWidth="1"/>
    <col min="3" max="3" width="18.7109375" customWidth="1"/>
    <col min="4" max="21" width="11.7109375" customWidth="1"/>
    <col min="22" max="22" width="2.7109375" customWidth="1"/>
    <col min="23" max="37" width="9.140625" style="281" customWidth="1"/>
  </cols>
  <sheetData>
    <row r="1" s="2" customFormat="1" ht="23.25">
      <c r="B1" s="657" t="s">
        <v>173</v>
      </c>
      <c r="C1" s="130"/>
      <c r="P1" s="222"/>
      <c r="Q1" s="222"/>
      <c r="R1" s="222"/>
      <c r="S1" s="222"/>
      <c r="T1" s="222"/>
      <c r="U1" s="222"/>
      <c r="W1" s="281"/>
      <c r="X1" s="281"/>
      <c r="Y1" s="281"/>
      <c r="Z1" s="281"/>
      <c r="AA1" s="281"/>
      <c r="AB1" s="281"/>
      <c r="AC1" s="281"/>
      <c r="AD1" s="281"/>
      <c r="AE1" s="281"/>
      <c r="AF1" s="281"/>
      <c r="AG1" s="281"/>
      <c r="AH1" s="281"/>
      <c r="AI1" s="281"/>
      <c r="AJ1" s="281"/>
      <c r="AK1" s="281"/>
      <c r="AL1" s="0"/>
      <c r="AM1" s="0"/>
      <c r="AN1" s="0"/>
      <c r="AO1" s="0"/>
      <c r="AP1" s="0"/>
      <c r="AQ1" s="0"/>
      <c r="AR1" s="0"/>
      <c r="AS1" s="0"/>
      <c r="AT1" s="0"/>
      <c r="AU1" s="0"/>
      <c r="AV1" s="0"/>
      <c r="AW1" s="0"/>
      <c r="AX1" s="0"/>
      <c r="AY1" s="0"/>
      <c r="AZ1" s="0"/>
      <c r="BA1" s="0"/>
      <c r="BB1" s="0"/>
      <c r="BC1" s="0"/>
      <c r="BD1" s="0"/>
      <c r="BE1" s="0"/>
      <c r="BF1" s="0"/>
      <c r="BG1" s="0"/>
      <c r="BH1" s="0"/>
      <c r="BI1" s="0"/>
      <c r="BJ1" s="0"/>
      <c r="BK1" s="0"/>
      <c r="BL1" s="0"/>
      <c r="BM1" s="0"/>
      <c r="BN1" s="0"/>
      <c r="BO1" s="0"/>
      <c r="BP1" s="0"/>
      <c r="BQ1" s="0"/>
      <c r="BR1" s="0"/>
      <c r="BS1" s="0"/>
      <c r="BT1" s="0"/>
      <c r="BU1" s="0"/>
      <c r="BV1" s="0"/>
      <c r="BW1" s="0"/>
      <c r="BX1" s="0"/>
      <c r="BY1" s="0"/>
      <c r="BZ1" s="0"/>
      <c r="CA1" s="0"/>
      <c r="CB1" s="0"/>
      <c r="CC1" s="0"/>
      <c r="CD1" s="0"/>
      <c r="CE1" s="0"/>
      <c r="CF1" s="0"/>
      <c r="CG1" s="0"/>
      <c r="CH1" s="0"/>
      <c r="CI1" s="0"/>
      <c r="CJ1" s="0"/>
      <c r="CK1" s="0"/>
      <c r="CL1" s="0"/>
      <c r="CM1" s="0"/>
      <c r="CN1" s="0"/>
      <c r="CO1" s="0"/>
      <c r="CP1" s="0"/>
      <c r="CQ1" s="0"/>
      <c r="CR1" s="0"/>
      <c r="CS1" s="0"/>
      <c r="CT1" s="0"/>
      <c r="CU1" s="0"/>
      <c r="CV1" s="0"/>
      <c r="CW1" s="0"/>
      <c r="CX1" s="0"/>
      <c r="CY1" s="0"/>
      <c r="CZ1" s="0"/>
      <c r="DA1" s="0"/>
      <c r="DB1" s="0"/>
      <c r="DC1" s="0"/>
      <c r="DD1" s="0"/>
      <c r="DE1" s="0"/>
      <c r="DF1" s="0"/>
      <c r="DG1" s="0"/>
      <c r="DH1" s="0"/>
      <c r="DI1" s="0"/>
      <c r="DJ1" s="0"/>
      <c r="DK1" s="0"/>
      <c r="DL1" s="0"/>
      <c r="DM1" s="0"/>
      <c r="DN1" s="0"/>
      <c r="DO1" s="0"/>
      <c r="DP1" s="0"/>
      <c r="DQ1" s="0"/>
      <c r="DR1" s="0"/>
      <c r="DS1" s="0"/>
      <c r="DT1" s="0"/>
      <c r="DU1" s="0"/>
      <c r="DV1" s="0"/>
      <c r="DW1" s="0"/>
      <c r="DX1" s="0"/>
      <c r="DY1" s="0"/>
      <c r="DZ1" s="0"/>
      <c r="EA1" s="0"/>
      <c r="EB1" s="0"/>
      <c r="EC1" s="0"/>
      <c r="ED1" s="0"/>
      <c r="EE1" s="0"/>
      <c r="EF1" s="0"/>
      <c r="EG1" s="0"/>
      <c r="EH1" s="0"/>
      <c r="EI1" s="0"/>
    </row>
    <row r="2" s="2" customFormat="1" ht="15" customHeight="1">
      <c r="B2" s="11" t="s">
        <v>208</v>
      </c>
      <c r="C2" s="130"/>
      <c r="W2" s="281"/>
      <c r="X2" s="281"/>
      <c r="Y2" s="281"/>
      <c r="Z2" s="281"/>
      <c r="AA2" s="281"/>
      <c r="AB2" s="281"/>
      <c r="AC2" s="281"/>
      <c r="AD2" s="281"/>
      <c r="AE2" s="281"/>
      <c r="AF2" s="281"/>
      <c r="AG2" s="281"/>
      <c r="AH2" s="281"/>
      <c r="AI2" s="281"/>
      <c r="AJ2" s="281"/>
      <c r="AK2" s="281"/>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s="0"/>
      <c r="BO2" s="0"/>
      <c r="BP2" s="0"/>
      <c r="BQ2" s="0"/>
      <c r="BR2" s="0"/>
      <c r="BS2" s="0"/>
      <c r="BT2" s="0"/>
      <c r="BU2" s="0"/>
      <c r="BV2" s="0"/>
      <c r="BW2" s="0"/>
      <c r="BX2" s="0"/>
      <c r="BY2" s="0"/>
      <c r="BZ2" s="0"/>
      <c r="CA2" s="0"/>
      <c r="CB2" s="0"/>
      <c r="CC2" s="0"/>
      <c r="CD2" s="0"/>
      <c r="CE2" s="0"/>
      <c r="CF2" s="0"/>
      <c r="CG2" s="0"/>
      <c r="CH2" s="0"/>
      <c r="CI2" s="0"/>
      <c r="CJ2" s="0"/>
      <c r="CK2" s="0"/>
      <c r="CL2" s="0"/>
      <c r="CM2" s="0"/>
      <c r="CN2" s="0"/>
      <c r="CO2" s="0"/>
      <c r="CP2" s="0"/>
      <c r="CQ2" s="0"/>
      <c r="CR2" s="0"/>
      <c r="CS2" s="0"/>
      <c r="CT2" s="0"/>
      <c r="CU2" s="0"/>
      <c r="CV2" s="0"/>
      <c r="CW2" s="0"/>
      <c r="CX2" s="0"/>
      <c r="CY2" s="0"/>
      <c r="CZ2" s="0"/>
      <c r="DA2" s="0"/>
      <c r="DB2" s="0"/>
      <c r="DC2" s="0"/>
      <c r="DD2" s="0"/>
      <c r="DE2" s="0"/>
      <c r="DF2" s="0"/>
      <c r="DG2" s="0"/>
      <c r="DH2" s="0"/>
      <c r="DI2" s="0"/>
      <c r="DJ2" s="0"/>
      <c r="DK2" s="0"/>
      <c r="DL2" s="0"/>
      <c r="DM2" s="0"/>
      <c r="DN2" s="0"/>
      <c r="DO2" s="0"/>
      <c r="DP2" s="0"/>
      <c r="DQ2" s="0"/>
      <c r="DR2" s="0"/>
      <c r="DS2" s="0"/>
      <c r="DT2" s="0"/>
      <c r="DU2" s="0"/>
      <c r="DV2" s="0"/>
      <c r="DW2" s="0"/>
      <c r="DX2" s="0"/>
      <c r="DY2" s="0"/>
      <c r="DZ2" s="0"/>
      <c r="EA2" s="0"/>
      <c r="EB2" s="0"/>
      <c r="EC2" s="0"/>
      <c r="ED2" s="0"/>
      <c r="EE2" s="0"/>
      <c r="EF2" s="0"/>
      <c r="EG2" s="0"/>
      <c r="EH2" s="0"/>
      <c r="EI2" s="0"/>
    </row>
    <row r="3" s="2" customFormat="1" ht="17.1" customHeight="1">
      <c r="B3" s="11" t="s">
        <v>209</v>
      </c>
      <c r="C3" s="130"/>
      <c r="O3" s="1113"/>
      <c r="P3" s="1113"/>
      <c r="Q3" s="1113"/>
      <c r="R3" s="1113"/>
      <c r="S3" s="1113"/>
      <c r="T3" s="1113"/>
      <c r="U3" s="1113"/>
      <c r="W3" s="281"/>
      <c r="X3" s="281"/>
      <c r="Y3" s="281"/>
      <c r="Z3" s="281"/>
      <c r="AA3" s="281"/>
      <c r="AB3" s="281"/>
      <c r="AC3" s="281"/>
      <c r="AD3" s="281"/>
      <c r="AE3" s="281"/>
      <c r="AF3" s="281"/>
      <c r="AG3" s="281"/>
      <c r="AH3" s="281"/>
      <c r="AI3" s="281"/>
      <c r="AJ3" s="281"/>
      <c r="AK3" s="281"/>
      <c r="AL3" s="0"/>
      <c r="AM3" s="0"/>
      <c r="AN3" s="0"/>
      <c r="AO3" s="0"/>
      <c r="AP3" s="0"/>
      <c r="AQ3" s="0"/>
      <c r="AR3" s="0"/>
      <c r="AS3" s="0"/>
      <c r="AT3" s="0"/>
      <c r="AU3" s="0"/>
      <c r="AV3" s="0"/>
      <c r="AW3" s="0"/>
      <c r="AX3" s="0"/>
      <c r="AY3" s="0"/>
      <c r="AZ3" s="0"/>
      <c r="BA3" s="0"/>
      <c r="BB3" s="0"/>
      <c r="BC3" s="0"/>
      <c r="BD3" s="0"/>
      <c r="BE3" s="0"/>
      <c r="BF3" s="0"/>
      <c r="BG3" s="0"/>
      <c r="BH3" s="0"/>
      <c r="BI3" s="0"/>
      <c r="BJ3" s="0"/>
      <c r="BK3" s="0"/>
      <c r="BL3" s="0"/>
      <c r="BM3" s="0"/>
      <c r="BN3" s="0"/>
      <c r="BO3" s="0"/>
      <c r="BP3" s="0"/>
      <c r="BQ3" s="0"/>
      <c r="BR3" s="0"/>
      <c r="BS3" s="0"/>
      <c r="BT3" s="0"/>
      <c r="BU3" s="0"/>
      <c r="BV3" s="0"/>
      <c r="BW3" s="0"/>
      <c r="BX3" s="0"/>
      <c r="BY3" s="0"/>
      <c r="BZ3" s="0"/>
      <c r="CA3" s="0"/>
      <c r="CB3" s="0"/>
      <c r="CC3" s="0"/>
      <c r="CD3" s="0"/>
      <c r="CE3" s="0"/>
      <c r="CF3" s="0"/>
      <c r="CG3" s="0"/>
      <c r="CH3" s="0"/>
      <c r="CI3" s="0"/>
      <c r="CJ3" s="0"/>
      <c r="CK3" s="0"/>
      <c r="CL3" s="0"/>
      <c r="CM3" s="0"/>
      <c r="CN3" s="0"/>
      <c r="CO3" s="0"/>
      <c r="CP3" s="0"/>
      <c r="CQ3" s="0"/>
      <c r="CR3" s="0"/>
      <c r="CS3" s="0"/>
      <c r="CT3" s="0"/>
      <c r="CU3" s="0"/>
      <c r="CV3" s="0"/>
      <c r="CW3" s="0"/>
      <c r="CX3" s="0"/>
      <c r="CY3" s="0"/>
      <c r="CZ3" s="0"/>
      <c r="DA3" s="0"/>
      <c r="DB3" s="0"/>
      <c r="DC3" s="0"/>
      <c r="DD3" s="0"/>
      <c r="DE3" s="0"/>
      <c r="DF3" s="0"/>
      <c r="DG3" s="0"/>
      <c r="DH3" s="0"/>
      <c r="DI3" s="0"/>
      <c r="DJ3" s="0"/>
      <c r="DK3" s="0"/>
      <c r="DL3" s="0"/>
      <c r="DM3" s="0"/>
      <c r="DN3" s="0"/>
      <c r="DO3" s="0"/>
      <c r="DP3" s="0"/>
      <c r="DQ3" s="0"/>
      <c r="DR3" s="0"/>
      <c r="DS3" s="0"/>
      <c r="DT3" s="0"/>
      <c r="DU3" s="0"/>
      <c r="DV3" s="0"/>
      <c r="DW3" s="0"/>
      <c r="DX3" s="0"/>
      <c r="DY3" s="0"/>
      <c r="DZ3" s="0"/>
      <c r="EA3" s="0"/>
      <c r="EB3" s="0"/>
      <c r="EC3" s="0"/>
      <c r="ED3" s="0"/>
      <c r="EE3" s="0"/>
      <c r="EF3" s="0"/>
      <c r="EG3" s="0"/>
      <c r="EH3" s="0"/>
      <c r="EI3" s="0"/>
    </row>
    <row r="4" s="2" customFormat="1" ht="15.75" customHeight="1">
      <c r="A4" s="9"/>
      <c r="B4" s="11" t="s">
        <v>210</v>
      </c>
      <c r="C4" s="131"/>
      <c r="D4" s="131"/>
      <c r="E4" s="131"/>
      <c r="G4" s="132"/>
      <c r="H4" s="132"/>
      <c r="I4" s="132"/>
      <c r="J4" s="132"/>
      <c r="K4" s="132"/>
      <c r="L4" s="132"/>
      <c r="M4" s="132"/>
      <c r="N4" s="132"/>
      <c r="O4" s="132"/>
      <c r="P4" s="132"/>
      <c r="Q4" s="132"/>
      <c r="R4" s="132"/>
      <c r="S4" s="132"/>
      <c r="T4" s="132"/>
      <c r="U4" s="132"/>
      <c r="V4" s="132"/>
      <c r="W4" s="281"/>
      <c r="X4" s="281"/>
      <c r="Y4" s="281"/>
      <c r="Z4" s="281"/>
      <c r="AA4" s="281"/>
      <c r="AB4" s="281"/>
      <c r="AC4" s="281"/>
      <c r="AD4" s="281"/>
      <c r="AE4" s="281"/>
      <c r="AF4" s="281"/>
      <c r="AG4" s="281"/>
      <c r="AH4" s="281"/>
      <c r="AI4" s="281"/>
      <c r="AJ4" s="281"/>
      <c r="AK4" s="281"/>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c r="BY4" s="0"/>
      <c r="BZ4" s="0"/>
      <c r="CA4" s="0"/>
      <c r="CB4" s="0"/>
      <c r="CC4" s="0"/>
      <c r="CD4" s="0"/>
      <c r="CE4" s="0"/>
      <c r="CF4" s="0"/>
      <c r="CG4" s="0"/>
      <c r="CH4" s="0"/>
      <c r="CI4" s="0"/>
      <c r="CJ4" s="0"/>
      <c r="CK4" s="0"/>
      <c r="CL4" s="0"/>
      <c r="CM4" s="0"/>
      <c r="CN4" s="0"/>
      <c r="CO4" s="0"/>
      <c r="CP4" s="0"/>
      <c r="CQ4" s="0"/>
      <c r="CR4" s="0"/>
      <c r="CS4" s="0"/>
      <c r="CT4" s="0"/>
      <c r="CU4" s="0"/>
      <c r="CV4" s="0"/>
      <c r="CW4" s="0"/>
      <c r="CX4" s="0"/>
      <c r="CY4" s="0"/>
      <c r="CZ4" s="0"/>
      <c r="DA4" s="0"/>
      <c r="DB4" s="0"/>
      <c r="DC4" s="0"/>
      <c r="DD4" s="0"/>
      <c r="DE4" s="0"/>
      <c r="DF4" s="0"/>
      <c r="DG4" s="0"/>
      <c r="DH4" s="0"/>
      <c r="DI4" s="0"/>
      <c r="DJ4" s="0"/>
      <c r="DK4" s="0"/>
      <c r="DL4" s="0"/>
      <c r="DM4" s="0"/>
      <c r="DN4" s="0"/>
      <c r="DO4" s="0"/>
      <c r="DP4" s="0"/>
      <c r="DQ4" s="0"/>
      <c r="DR4" s="0"/>
      <c r="DS4" s="0"/>
      <c r="DT4" s="0"/>
      <c r="DU4" s="0"/>
      <c r="DV4" s="0"/>
      <c r="DW4" s="0"/>
      <c r="DX4" s="0"/>
      <c r="DY4" s="0"/>
      <c r="DZ4" s="0"/>
      <c r="EA4" s="0"/>
      <c r="EB4" s="0"/>
      <c r="EC4" s="0"/>
      <c r="ED4" s="0"/>
      <c r="EE4" s="0"/>
      <c r="EF4" s="0"/>
      <c r="EG4" s="0"/>
      <c r="EH4" s="0"/>
      <c r="EI4" s="0"/>
    </row>
    <row r="5" s="2" customFormat="1" ht="20.1" customHeight="1">
      <c r="A5" s="9"/>
      <c r="B5" s="11"/>
      <c r="C5" s="131"/>
      <c r="D5" s="131"/>
      <c r="E5" s="131"/>
      <c r="G5" s="132"/>
      <c r="H5" s="132"/>
      <c r="I5" s="132"/>
      <c r="J5" s="132"/>
      <c r="K5" s="132"/>
      <c r="L5" s="132"/>
      <c r="M5" s="132"/>
      <c r="N5" s="132"/>
      <c r="O5" s="132"/>
      <c r="P5" s="132"/>
      <c r="Q5" s="132"/>
      <c r="R5" s="132"/>
      <c r="S5" s="132"/>
      <c r="T5" s="132"/>
      <c r="U5" s="132"/>
      <c r="V5" s="132"/>
      <c r="W5" s="281"/>
      <c r="X5" s="281"/>
      <c r="Y5" s="281"/>
      <c r="Z5" s="281"/>
      <c r="AA5" s="281"/>
      <c r="AB5" s="281"/>
      <c r="AC5" s="281"/>
      <c r="AD5" s="281"/>
      <c r="AE5" s="281"/>
      <c r="AF5" s="281"/>
      <c r="AG5" s="281"/>
      <c r="AH5" s="281"/>
      <c r="AI5" s="281"/>
      <c r="AJ5" s="281"/>
      <c r="AK5" s="281"/>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row>
    <row r="6" s="2" customFormat="1" ht="20.1" customHeight="1">
      <c r="A6" s="9"/>
      <c r="B6" s="11"/>
      <c r="C6" s="131"/>
      <c r="D6" s="131"/>
      <c r="E6" s="131"/>
      <c r="G6" s="132"/>
      <c r="H6" s="132"/>
      <c r="I6" s="132"/>
      <c r="J6" s="132"/>
      <c r="K6" s="132"/>
      <c r="L6" s="132"/>
      <c r="M6" s="132"/>
      <c r="N6" s="132"/>
      <c r="O6" s="132"/>
      <c r="P6" s="132"/>
      <c r="Q6" s="132"/>
      <c r="R6" s="132"/>
      <c r="S6" s="132"/>
      <c r="T6" s="132"/>
      <c r="U6" s="132"/>
      <c r="V6" s="132"/>
      <c r="W6" s="281"/>
      <c r="X6" s="281"/>
      <c r="Y6" s="281"/>
      <c r="Z6" s="281"/>
      <c r="AA6" s="281"/>
      <c r="AB6" s="281"/>
      <c r="AC6" s="281"/>
      <c r="AD6" s="281"/>
      <c r="AE6" s="281"/>
      <c r="AF6" s="281"/>
      <c r="AG6" s="281"/>
      <c r="AH6" s="281"/>
      <c r="AI6" s="281"/>
      <c r="AJ6" s="281"/>
      <c r="AK6" s="281"/>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row>
    <row r="7" s="2" customFormat="1" ht="20.1" customHeight="1">
      <c r="A7" s="9"/>
      <c r="B7" s="11"/>
      <c r="C7" s="131"/>
      <c r="D7" s="131"/>
      <c r="E7" s="131"/>
      <c r="G7" s="132"/>
      <c r="H7" s="132"/>
      <c r="I7" s="132"/>
      <c r="J7" s="132"/>
      <c r="K7" s="132"/>
      <c r="L7" s="132"/>
      <c r="M7" s="132"/>
      <c r="N7" s="132"/>
      <c r="O7" s="132"/>
      <c r="P7" s="132"/>
      <c r="Q7" s="132"/>
      <c r="R7" s="132"/>
      <c r="S7" s="132"/>
      <c r="T7" s="132"/>
      <c r="U7" s="132"/>
      <c r="V7" s="132"/>
      <c r="W7" s="281"/>
      <c r="X7" s="281"/>
      <c r="Y7" s="281"/>
      <c r="Z7" s="281"/>
      <c r="AA7" s="281"/>
      <c r="AB7" s="281"/>
      <c r="AC7" s="281"/>
      <c r="AD7" s="281"/>
      <c r="AE7" s="281"/>
      <c r="AF7" s="281"/>
      <c r="AG7" s="281"/>
      <c r="AH7" s="281"/>
      <c r="AI7" s="281"/>
      <c r="AJ7" s="281"/>
      <c r="AK7" s="281"/>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c r="DM7" s="0"/>
      <c r="DN7" s="0"/>
      <c r="DO7" s="0"/>
      <c r="DP7" s="0"/>
      <c r="DQ7" s="0"/>
      <c r="DR7" s="0"/>
      <c r="DS7" s="0"/>
      <c r="DT7" s="0"/>
      <c r="DU7" s="0"/>
      <c r="DV7" s="0"/>
      <c r="DW7" s="0"/>
      <c r="DX7" s="0"/>
      <c r="DY7" s="0"/>
      <c r="DZ7" s="0"/>
      <c r="EA7" s="0"/>
      <c r="EB7" s="0"/>
      <c r="EC7" s="0"/>
      <c r="ED7" s="0"/>
      <c r="EE7" s="0"/>
      <c r="EF7" s="0"/>
      <c r="EG7" s="0"/>
      <c r="EH7" s="0"/>
      <c r="EI7" s="0"/>
    </row>
    <row r="8" s="2" customFormat="1" ht="20.1" customHeight="1">
      <c r="A8" s="9"/>
      <c r="B8" s="11"/>
      <c r="C8" s="131"/>
      <c r="D8" s="131"/>
      <c r="E8" s="131"/>
      <c r="G8" s="132"/>
      <c r="H8" s="132"/>
      <c r="I8" s="132"/>
      <c r="J8" s="132"/>
      <c r="K8" s="132"/>
      <c r="L8" s="132"/>
      <c r="M8" s="132"/>
      <c r="N8" s="132"/>
      <c r="O8" s="132"/>
      <c r="P8" s="132"/>
      <c r="Q8" s="132"/>
      <c r="R8" s="132"/>
      <c r="S8" s="132"/>
      <c r="T8" s="132"/>
      <c r="U8" s="132"/>
      <c r="V8" s="132"/>
      <c r="W8" s="281"/>
      <c r="X8" s="281"/>
      <c r="Y8" s="281"/>
      <c r="Z8" s="281"/>
      <c r="AA8" s="281"/>
      <c r="AB8" s="281"/>
      <c r="AC8" s="281"/>
      <c r="AD8" s="281"/>
      <c r="AE8" s="281"/>
      <c r="AF8" s="281"/>
      <c r="AG8" s="281"/>
      <c r="AH8" s="281"/>
      <c r="AI8" s="281"/>
      <c r="AJ8" s="281"/>
      <c r="AK8" s="281"/>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row>
    <row r="9" s="2" customFormat="1" ht="20.1" customHeight="1">
      <c r="A9" s="9"/>
      <c r="B9" s="11"/>
      <c r="C9" s="131"/>
      <c r="D9" s="131"/>
      <c r="E9" s="131"/>
      <c r="G9" s="132"/>
      <c r="H9" s="132"/>
      <c r="I9" s="132"/>
      <c r="J9" s="132"/>
      <c r="K9" s="132"/>
      <c r="L9" s="132"/>
      <c r="M9" s="132"/>
      <c r="N9" s="132"/>
      <c r="O9" s="132"/>
      <c r="P9" s="132"/>
      <c r="Q9" s="132"/>
      <c r="R9" s="132"/>
      <c r="S9" s="132"/>
      <c r="T9" s="132"/>
      <c r="U9" s="132"/>
      <c r="V9" s="132"/>
      <c r="W9" s="281"/>
      <c r="X9" s="281"/>
      <c r="Y9" s="281"/>
      <c r="Z9" s="281"/>
      <c r="AA9" s="281"/>
      <c r="AB9" s="281"/>
      <c r="AC9" s="281"/>
      <c r="AD9" s="281"/>
      <c r="AE9" s="281"/>
      <c r="AF9" s="281"/>
      <c r="AG9" s="281"/>
      <c r="AH9" s="281"/>
      <c r="AI9" s="281"/>
      <c r="AJ9" s="281"/>
      <c r="AK9" s="281"/>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c r="DM9" s="0"/>
      <c r="DN9" s="0"/>
      <c r="DO9" s="0"/>
      <c r="DP9" s="0"/>
      <c r="DQ9" s="0"/>
      <c r="DR9" s="0"/>
      <c r="DS9" s="0"/>
      <c r="DT9" s="0"/>
      <c r="DU9" s="0"/>
      <c r="DV9" s="0"/>
      <c r="DW9" s="0"/>
      <c r="DX9" s="0"/>
      <c r="DY9" s="0"/>
      <c r="DZ9" s="0"/>
      <c r="EA9" s="0"/>
      <c r="EB9" s="0"/>
      <c r="EC9" s="0"/>
      <c r="ED9" s="0"/>
      <c r="EE9" s="0"/>
      <c r="EF9" s="0"/>
      <c r="EG9" s="0"/>
      <c r="EH9" s="0"/>
      <c r="EI9" s="0"/>
    </row>
    <row r="10" s="2" customFormat="1" ht="20.1" customHeight="1">
      <c r="A10" s="9"/>
      <c r="B10" s="11"/>
      <c r="C10" s="131"/>
      <c r="D10" s="131"/>
      <c r="E10" s="131"/>
      <c r="G10" s="132"/>
      <c r="H10" s="132"/>
      <c r="I10" s="132"/>
      <c r="J10" s="132"/>
      <c r="K10" s="132"/>
      <c r="L10" s="132"/>
      <c r="M10" s="132"/>
      <c r="N10" s="132"/>
      <c r="O10" s="132"/>
      <c r="P10" s="132"/>
      <c r="Q10" s="132"/>
      <c r="R10" s="132"/>
      <c r="S10" s="132"/>
      <c r="T10" s="132"/>
      <c r="U10" s="132"/>
      <c r="V10" s="132"/>
      <c r="W10" s="281"/>
      <c r="X10" s="281"/>
      <c r="Y10" s="281"/>
      <c r="Z10" s="281"/>
      <c r="AA10" s="281"/>
      <c r="AB10" s="281"/>
      <c r="AC10" s="281"/>
      <c r="AD10" s="281"/>
      <c r="AE10" s="281"/>
      <c r="AF10" s="281"/>
      <c r="AG10" s="281"/>
      <c r="AH10" s="281"/>
      <c r="AI10" s="281"/>
      <c r="AJ10" s="281"/>
      <c r="AK10" s="281"/>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c r="BY10" s="0"/>
      <c r="BZ10" s="0"/>
      <c r="CA10" s="0"/>
      <c r="CB10" s="0"/>
      <c r="CC10" s="0"/>
      <c r="CD10" s="0"/>
      <c r="CE10" s="0"/>
      <c r="CF10" s="0"/>
      <c r="CG10" s="0"/>
      <c r="CH10" s="0"/>
      <c r="CI10" s="0"/>
      <c r="CJ10" s="0"/>
      <c r="CK10" s="0"/>
      <c r="CL10" s="0"/>
      <c r="CM10" s="0"/>
      <c r="CN10" s="0"/>
      <c r="CO10" s="0"/>
      <c r="CP10" s="0"/>
      <c r="CQ10" s="0"/>
      <c r="CR10" s="0"/>
      <c r="CS10" s="0"/>
      <c r="CT10" s="0"/>
      <c r="CU10" s="0"/>
      <c r="CV10" s="0"/>
      <c r="CW10" s="0"/>
      <c r="CX10" s="0"/>
      <c r="CY10" s="0"/>
      <c r="CZ10" s="0"/>
      <c r="DA10" s="0"/>
      <c r="DB10" s="0"/>
      <c r="DC10" s="0"/>
      <c r="DD10" s="0"/>
      <c r="DE10" s="0"/>
      <c r="DF10" s="0"/>
      <c r="DG10" s="0"/>
      <c r="DH10" s="0"/>
      <c r="DI10" s="0"/>
      <c r="DJ10" s="0"/>
      <c r="DK10" s="0"/>
      <c r="DL10" s="0"/>
      <c r="DM10" s="0"/>
      <c r="DN10" s="0"/>
      <c r="DO10" s="0"/>
      <c r="DP10" s="0"/>
      <c r="DQ10" s="0"/>
      <c r="DR10" s="0"/>
      <c r="DS10" s="0"/>
      <c r="DT10" s="0"/>
      <c r="DU10" s="0"/>
      <c r="DV10" s="0"/>
      <c r="DW10" s="0"/>
      <c r="DX10" s="0"/>
      <c r="DY10" s="0"/>
      <c r="DZ10" s="0"/>
      <c r="EA10" s="0"/>
      <c r="EB10" s="0"/>
      <c r="EC10" s="0"/>
      <c r="ED10" s="0"/>
      <c r="EE10" s="0"/>
      <c r="EF10" s="0"/>
      <c r="EG10" s="0"/>
      <c r="EH10" s="0"/>
      <c r="EI10" s="0"/>
    </row>
    <row r="11" s="2" customFormat="1" ht="20.1" customHeight="1">
      <c r="A11" s="9"/>
      <c r="B11" s="11"/>
      <c r="C11" s="131"/>
      <c r="D11" s="131"/>
      <c r="E11" s="131"/>
      <c r="G11" s="132"/>
      <c r="H11" s="132"/>
      <c r="I11" s="132"/>
      <c r="J11" s="132"/>
      <c r="K11" s="132"/>
      <c r="L11" s="132"/>
      <c r="M11" s="132"/>
      <c r="N11" s="132"/>
      <c r="O11" s="132"/>
      <c r="P11" s="132"/>
      <c r="Q11" s="132"/>
      <c r="R11" s="132"/>
      <c r="S11" s="132"/>
      <c r="T11" s="132"/>
      <c r="U11" s="132"/>
      <c r="V11" s="132"/>
      <c r="W11" s="281"/>
      <c r="X11" s="281"/>
      <c r="Y11" s="281"/>
      <c r="Z11" s="281"/>
      <c r="AA11" s="281"/>
      <c r="AB11" s="281"/>
      <c r="AC11" s="281"/>
      <c r="AD11" s="281"/>
      <c r="AE11" s="281"/>
      <c r="AF11" s="281"/>
      <c r="AG11" s="281"/>
      <c r="AH11" s="281"/>
      <c r="AI11" s="281"/>
      <c r="AJ11" s="281"/>
      <c r="AK11" s="281"/>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c r="BY11" s="0"/>
      <c r="BZ11" s="0"/>
      <c r="CA11" s="0"/>
      <c r="CB11" s="0"/>
      <c r="CC11" s="0"/>
      <c r="CD11" s="0"/>
      <c r="CE11" s="0"/>
      <c r="CF11" s="0"/>
      <c r="CG11" s="0"/>
      <c r="CH11" s="0"/>
      <c r="CI11" s="0"/>
      <c r="CJ11" s="0"/>
      <c r="CK11" s="0"/>
      <c r="CL11" s="0"/>
      <c r="CM11" s="0"/>
      <c r="CN11" s="0"/>
      <c r="CO11" s="0"/>
      <c r="CP11" s="0"/>
      <c r="CQ11" s="0"/>
      <c r="CR11" s="0"/>
      <c r="CS11" s="0"/>
      <c r="CT11" s="0"/>
      <c r="CU11" s="0"/>
      <c r="CV11" s="0"/>
      <c r="CW11" s="0"/>
      <c r="CX11" s="0"/>
      <c r="CY11" s="0"/>
      <c r="CZ11" s="0"/>
      <c r="DA11" s="0"/>
      <c r="DB11" s="0"/>
      <c r="DC11" s="0"/>
      <c r="DD11" s="0"/>
      <c r="DE11" s="0"/>
      <c r="DF11" s="0"/>
      <c r="DG11" s="0"/>
      <c r="DH11" s="0"/>
      <c r="DI11" s="0"/>
      <c r="DJ11" s="0"/>
      <c r="DK11" s="0"/>
      <c r="DL11" s="0"/>
      <c r="DM11" s="0"/>
      <c r="DN11" s="0"/>
      <c r="DO11" s="0"/>
      <c r="DP11" s="0"/>
      <c r="DQ11" s="0"/>
      <c r="DR11" s="0"/>
      <c r="DS11" s="0"/>
      <c r="DT11" s="0"/>
      <c r="DU11" s="0"/>
      <c r="DV11" s="0"/>
      <c r="DW11" s="0"/>
      <c r="DX11" s="0"/>
      <c r="DY11" s="0"/>
      <c r="DZ11" s="0"/>
      <c r="EA11" s="0"/>
      <c r="EB11" s="0"/>
      <c r="EC11" s="0"/>
      <c r="ED11" s="0"/>
      <c r="EE11" s="0"/>
      <c r="EF11" s="0"/>
      <c r="EG11" s="0"/>
      <c r="EH11" s="0"/>
      <c r="EI11" s="0"/>
    </row>
    <row r="12" s="2" customFormat="1" ht="20.1" customHeight="1">
      <c r="A12" s="9"/>
      <c r="B12" s="11"/>
      <c r="C12" s="131"/>
      <c r="D12" s="131"/>
      <c r="E12" s="131"/>
      <c r="G12" s="132"/>
      <c r="H12" s="132"/>
      <c r="I12" s="132"/>
      <c r="J12" s="132"/>
      <c r="K12" s="132"/>
      <c r="L12" s="132"/>
      <c r="M12" s="132"/>
      <c r="N12" s="132"/>
      <c r="O12" s="132"/>
      <c r="P12" s="132"/>
      <c r="Q12" s="132"/>
      <c r="R12" s="132"/>
      <c r="S12" s="132"/>
      <c r="T12" s="132"/>
      <c r="U12" s="132"/>
      <c r="V12" s="132"/>
      <c r="W12" s="281"/>
      <c r="X12" s="281"/>
      <c r="Y12" s="281"/>
      <c r="Z12" s="281"/>
      <c r="AA12" s="281"/>
      <c r="AB12" s="281"/>
      <c r="AC12" s="281"/>
      <c r="AD12" s="281"/>
      <c r="AE12" s="281"/>
      <c r="AF12" s="281"/>
      <c r="AG12" s="281"/>
      <c r="AH12" s="281"/>
      <c r="AI12" s="281"/>
      <c r="AJ12" s="281"/>
      <c r="AK12" s="281"/>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c r="BY12" s="0"/>
      <c r="BZ12" s="0"/>
      <c r="CA12" s="0"/>
      <c r="CB12" s="0"/>
      <c r="CC12" s="0"/>
      <c r="CD12" s="0"/>
      <c r="CE12" s="0"/>
      <c r="CF12" s="0"/>
      <c r="CG12" s="0"/>
      <c r="CH12" s="0"/>
      <c r="CI12" s="0"/>
      <c r="CJ12" s="0"/>
      <c r="CK12" s="0"/>
      <c r="CL12" s="0"/>
      <c r="CM12" s="0"/>
      <c r="CN12" s="0"/>
      <c r="CO12" s="0"/>
      <c r="CP12" s="0"/>
      <c r="CQ12" s="0"/>
      <c r="CR12" s="0"/>
      <c r="CS12" s="0"/>
      <c r="CT12" s="0"/>
      <c r="CU12" s="0"/>
      <c r="CV12" s="0"/>
      <c r="CW12" s="0"/>
      <c r="CX12" s="0"/>
      <c r="CY12" s="0"/>
      <c r="CZ12" s="0"/>
      <c r="DA12" s="0"/>
      <c r="DB12" s="0"/>
      <c r="DC12" s="0"/>
      <c r="DD12" s="0"/>
      <c r="DE12" s="0"/>
      <c r="DF12" s="0"/>
      <c r="DG12" s="0"/>
      <c r="DH12" s="0"/>
      <c r="DI12" s="0"/>
      <c r="DJ12" s="0"/>
      <c r="DK12" s="0"/>
      <c r="DL12" s="0"/>
      <c r="DM12" s="0"/>
      <c r="DN12" s="0"/>
      <c r="DO12" s="0"/>
      <c r="DP12" s="0"/>
      <c r="DQ12" s="0"/>
      <c r="DR12" s="0"/>
      <c r="DS12" s="0"/>
      <c r="DT12" s="0"/>
      <c r="DU12" s="0"/>
      <c r="DV12" s="0"/>
      <c r="DW12" s="0"/>
      <c r="DX12" s="0"/>
      <c r="DY12" s="0"/>
      <c r="DZ12" s="0"/>
      <c r="EA12" s="0"/>
      <c r="EB12" s="0"/>
      <c r="EC12" s="0"/>
      <c r="ED12" s="0"/>
      <c r="EE12" s="0"/>
      <c r="EF12" s="0"/>
      <c r="EG12" s="0"/>
      <c r="EH12" s="0"/>
      <c r="EI12" s="0"/>
    </row>
    <row r="13" s="2" customFormat="1" ht="20.1" customHeight="1">
      <c r="A13" s="9"/>
      <c r="B13" s="11"/>
      <c r="C13" s="131"/>
      <c r="D13" s="131"/>
      <c r="E13" s="131"/>
      <c r="G13" s="132"/>
      <c r="H13" s="132"/>
      <c r="I13" s="132"/>
      <c r="J13" s="132"/>
      <c r="K13" s="132"/>
      <c r="L13" s="132"/>
      <c r="M13" s="132"/>
      <c r="N13" s="132"/>
      <c r="O13" s="132"/>
      <c r="P13" s="132"/>
      <c r="Q13" s="132"/>
      <c r="R13" s="132"/>
      <c r="S13" s="132"/>
      <c r="T13" s="132"/>
      <c r="U13" s="132"/>
      <c r="V13" s="132"/>
      <c r="W13" s="281"/>
      <c r="X13" s="1014" t="s">
        <v>43</v>
      </c>
      <c r="Y13" s="1014" t="s">
        <v>46</v>
      </c>
      <c r="Z13" s="1014" t="s">
        <v>47</v>
      </c>
      <c r="AA13" s="1014" t="s">
        <v>48</v>
      </c>
      <c r="AB13" s="1014" t="s">
        <v>49</v>
      </c>
      <c r="AC13" s="1014" t="s">
        <v>50</v>
      </c>
      <c r="AD13" s="1014" t="s">
        <v>51</v>
      </c>
      <c r="AE13" s="1014" t="s">
        <v>40</v>
      </c>
      <c r="AF13" s="1014" t="s">
        <v>52</v>
      </c>
      <c r="AG13" s="281"/>
      <c r="AH13" s="281"/>
      <c r="AI13" s="281"/>
      <c r="AJ13" s="281"/>
      <c r="AK13" s="281"/>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c r="BY13" s="0"/>
      <c r="BZ13" s="0"/>
      <c r="CA13" s="0"/>
      <c r="CB13" s="0"/>
      <c r="CC13" s="0"/>
      <c r="CD13" s="0"/>
      <c r="CE13" s="0"/>
      <c r="CF13" s="0"/>
      <c r="CG13" s="0"/>
      <c r="CH13" s="0"/>
      <c r="CI13" s="0"/>
      <c r="CJ13" s="0"/>
      <c r="CK13" s="0"/>
      <c r="CL13" s="0"/>
      <c r="CM13" s="0"/>
      <c r="CN13" s="0"/>
      <c r="CO13" s="0"/>
      <c r="CP13" s="0"/>
      <c r="CQ13" s="0"/>
      <c r="CR13" s="0"/>
      <c r="CS13" s="0"/>
      <c r="CT13" s="0"/>
      <c r="CU13" s="0"/>
      <c r="CV13" s="0"/>
      <c r="CW13" s="0"/>
      <c r="CX13" s="0"/>
      <c r="CY13" s="0"/>
      <c r="CZ13" s="0"/>
      <c r="DA13" s="0"/>
      <c r="DB13" s="0"/>
      <c r="DC13" s="0"/>
      <c r="DD13" s="0"/>
      <c r="DE13" s="0"/>
      <c r="DF13" s="0"/>
      <c r="DG13" s="0"/>
      <c r="DH13" s="0"/>
      <c r="DI13" s="0"/>
      <c r="DJ13" s="0"/>
      <c r="DK13" s="0"/>
      <c r="DL13" s="0"/>
      <c r="DM13" s="0"/>
      <c r="DN13" s="0"/>
      <c r="DO13" s="0"/>
      <c r="DP13" s="0"/>
      <c r="DQ13" s="0"/>
      <c r="DR13" s="0"/>
      <c r="DS13" s="0"/>
      <c r="DT13" s="0"/>
      <c r="DU13" s="0"/>
      <c r="DV13" s="0"/>
      <c r="DW13" s="0"/>
      <c r="DX13" s="0"/>
      <c r="DY13" s="0"/>
      <c r="DZ13" s="0"/>
      <c r="EA13" s="0"/>
      <c r="EB13" s="0"/>
      <c r="EC13" s="0"/>
      <c r="ED13" s="0"/>
      <c r="EE13" s="0"/>
      <c r="EF13" s="0"/>
      <c r="EG13" s="0"/>
      <c r="EH13" s="0"/>
      <c r="EI13" s="0"/>
    </row>
    <row r="14" s="2" customFormat="1" ht="20.1" customHeight="1">
      <c r="A14" s="9"/>
      <c r="B14" s="11"/>
      <c r="C14" s="131"/>
      <c r="D14" s="131"/>
      <c r="E14" s="131"/>
      <c r="G14" s="132"/>
      <c r="H14" s="132"/>
      <c r="I14" s="132"/>
      <c r="J14" s="132"/>
      <c r="K14" s="132"/>
      <c r="L14" s="132"/>
      <c r="M14" s="132"/>
      <c r="N14" s="132"/>
      <c r="O14" s="132"/>
      <c r="P14" s="132"/>
      <c r="Q14" s="132"/>
      <c r="R14" s="132"/>
      <c r="S14" s="132"/>
      <c r="T14" s="132"/>
      <c r="U14" s="132"/>
      <c r="V14" s="132"/>
      <c r="W14" s="281"/>
      <c r="X14" s="1014" t="str">
        <f>D18</f>
      </c>
      <c r="Y14" s="1014" t="str">
        <f>D24</f>
      </c>
      <c r="Z14" s="1014" t="str">
        <f>D30</f>
      </c>
      <c r="AA14" s="1014" t="str">
        <f>D36</f>
      </c>
      <c r="AB14" s="1014" t="str">
        <f>D42</f>
      </c>
      <c r="AC14" s="1014" t="str">
        <f>D48</f>
      </c>
      <c r="AD14" s="1014" t="str">
        <f>D54</f>
      </c>
      <c r="AE14" s="1014" t="str">
        <f>D60</f>
      </c>
      <c r="AF14" s="1014" t="str">
        <f>D66</f>
      </c>
      <c r="AG14" s="281"/>
      <c r="AH14" s="281"/>
      <c r="AI14" s="281"/>
      <c r="AJ14" s="281"/>
      <c r="AK14" s="281"/>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c r="BY14" s="0"/>
      <c r="BZ14" s="0"/>
      <c r="CA14" s="0"/>
      <c r="CB14" s="0"/>
      <c r="CC14" s="0"/>
      <c r="CD14" s="0"/>
      <c r="CE14" s="0"/>
      <c r="CF14" s="0"/>
      <c r="CG14" s="0"/>
      <c r="CH14" s="0"/>
      <c r="CI14" s="0"/>
      <c r="CJ14" s="0"/>
      <c r="CK14" s="0"/>
      <c r="CL14" s="0"/>
      <c r="CM14" s="0"/>
      <c r="CN14" s="0"/>
      <c r="CO14" s="0"/>
      <c r="CP14" s="0"/>
      <c r="CQ14" s="0"/>
      <c r="CR14" s="0"/>
      <c r="CS14" s="0"/>
      <c r="CT14" s="0"/>
      <c r="CU14" s="0"/>
      <c r="CV14" s="0"/>
      <c r="CW14" s="0"/>
      <c r="CX14" s="0"/>
      <c r="CY14" s="0"/>
      <c r="CZ14" s="0"/>
      <c r="DA14" s="0"/>
      <c r="DB14" s="0"/>
      <c r="DC14" s="0"/>
      <c r="DD14" s="0"/>
      <c r="DE14" s="0"/>
      <c r="DF14" s="0"/>
      <c r="DG14" s="0"/>
      <c r="DH14" s="0"/>
      <c r="DI14" s="0"/>
      <c r="DJ14" s="0"/>
      <c r="DK14" s="0"/>
      <c r="DL14" s="0"/>
      <c r="DM14" s="0"/>
      <c r="DN14" s="0"/>
      <c r="DO14" s="0"/>
      <c r="DP14" s="0"/>
      <c r="DQ14" s="0"/>
      <c r="DR14" s="0"/>
      <c r="DS14" s="0"/>
      <c r="DT14" s="0"/>
      <c r="DU14" s="0"/>
      <c r="DV14" s="0"/>
      <c r="DW14" s="0"/>
      <c r="DX14" s="0"/>
      <c r="DY14" s="0"/>
      <c r="DZ14" s="0"/>
      <c r="EA14" s="0"/>
      <c r="EB14" s="0"/>
      <c r="EC14" s="0"/>
      <c r="ED14" s="0"/>
      <c r="EE14" s="0"/>
      <c r="EF14" s="0"/>
      <c r="EG14" s="0"/>
      <c r="EH14" s="0"/>
      <c r="EI14" s="0"/>
    </row>
    <row r="15" s="2" customFormat="1" ht="15.95" customHeight="1">
      <c r="D15" s="962" t="s">
        <v>22</v>
      </c>
      <c r="E15" s="962"/>
      <c r="F15" s="962"/>
      <c r="G15" s="962"/>
      <c r="H15" s="962"/>
      <c r="I15" s="962"/>
      <c r="J15" s="962" t="s">
        <v>90</v>
      </c>
      <c r="K15" s="962"/>
      <c r="L15" s="962"/>
      <c r="M15" s="962"/>
      <c r="N15" s="962"/>
      <c r="O15" s="962"/>
      <c r="P15" s="962" t="s">
        <v>10</v>
      </c>
      <c r="Q15" s="962"/>
      <c r="R15" s="962"/>
      <c r="S15" s="962"/>
      <c r="T15" s="962"/>
      <c r="U15" s="962"/>
      <c r="W15" s="281"/>
      <c r="X15" s="1014" t="str">
        <f>F18</f>
      </c>
      <c r="Y15" s="1014" t="str">
        <f>F24</f>
      </c>
      <c r="Z15" s="1014" t="str">
        <f>F30</f>
      </c>
      <c r="AA15" s="1014" t="str">
        <f>F36</f>
      </c>
      <c r="AB15" s="1014" t="str">
        <f>F42</f>
      </c>
      <c r="AC15" s="1014" t="str">
        <f>F48</f>
      </c>
      <c r="AD15" s="1014" t="str">
        <f>F54</f>
      </c>
      <c r="AE15" s="1014" t="str">
        <f>F60</f>
      </c>
      <c r="AF15" s="1014" t="str">
        <f>F66</f>
      </c>
      <c r="AG15" s="281"/>
      <c r="AH15" s="281"/>
      <c r="AI15" s="281"/>
      <c r="AJ15" s="281"/>
      <c r="AK15" s="281"/>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c r="BY15" s="0"/>
      <c r="BZ15" s="0"/>
      <c r="CA15" s="0"/>
      <c r="CB15" s="0"/>
      <c r="CC15" s="0"/>
      <c r="CD15" s="0"/>
      <c r="CE15" s="0"/>
      <c r="CF15" s="0"/>
      <c r="CG15" s="0"/>
      <c r="CH15" s="0"/>
      <c r="CI15" s="0"/>
      <c r="CJ15" s="0"/>
      <c r="CK15" s="0"/>
      <c r="CL15" s="0"/>
      <c r="CM15" s="0"/>
      <c r="CN15" s="0"/>
      <c r="CO15" s="0"/>
      <c r="CP15" s="0"/>
      <c r="CQ15" s="0"/>
      <c r="CR15" s="0"/>
      <c r="CS15" s="0"/>
      <c r="CT15" s="0"/>
      <c r="CU15" s="0"/>
      <c r="CV15" s="0"/>
      <c r="CW15" s="0"/>
      <c r="CX15" s="0"/>
      <c r="CY15" s="0"/>
      <c r="CZ15" s="0"/>
      <c r="DA15" s="0"/>
      <c r="DB15" s="0"/>
      <c r="DC15" s="0"/>
      <c r="DD15" s="0"/>
      <c r="DE15" s="0"/>
      <c r="DF15" s="0"/>
      <c r="DG15" s="0"/>
      <c r="DH15" s="0"/>
      <c r="DI15" s="0"/>
      <c r="DJ15" s="0"/>
      <c r="DK15" s="0"/>
      <c r="DL15" s="0"/>
      <c r="DM15" s="0"/>
      <c r="DN15" s="0"/>
      <c r="DO15" s="0"/>
      <c r="DP15" s="0"/>
      <c r="DQ15" s="0"/>
      <c r="DR15" s="0"/>
      <c r="DS15" s="0"/>
      <c r="DT15" s="0"/>
      <c r="DU15" s="0"/>
      <c r="DV15" s="0"/>
      <c r="DW15" s="0"/>
      <c r="DX15" s="0"/>
      <c r="DY15" s="0"/>
      <c r="DZ15" s="0"/>
      <c r="EA15" s="0"/>
      <c r="EB15" s="0"/>
      <c r="EC15" s="0"/>
      <c r="ED15" s="0"/>
      <c r="EE15" s="0"/>
      <c r="EF15" s="0"/>
      <c r="EG15" s="0"/>
      <c r="EH15" s="0"/>
      <c r="EI15" s="0"/>
    </row>
    <row r="16" s="2" customFormat="1" ht="15.95" customHeight="1">
      <c r="D16" s="963" t="s">
        <v>19</v>
      </c>
      <c r="E16" s="963"/>
      <c r="F16" s="963" t="s">
        <v>35</v>
      </c>
      <c r="G16" s="963"/>
      <c r="H16" s="963" t="s">
        <v>97</v>
      </c>
      <c r="I16" s="963"/>
      <c r="J16" s="963" t="s">
        <v>19</v>
      </c>
      <c r="K16" s="963"/>
      <c r="L16" s="963" t="s">
        <v>35</v>
      </c>
      <c r="M16" s="963"/>
      <c r="N16" s="963" t="s">
        <v>98</v>
      </c>
      <c r="O16" s="963"/>
      <c r="P16" s="963" t="s">
        <v>19</v>
      </c>
      <c r="Q16" s="963"/>
      <c r="R16" s="963" t="s">
        <v>35</v>
      </c>
      <c r="S16" s="963"/>
      <c r="T16" s="963" t="s">
        <v>99</v>
      </c>
      <c r="U16" s="963"/>
      <c r="W16" s="281"/>
      <c r="X16" s="1014" t="str">
        <f>J18</f>
      </c>
      <c r="Y16" s="1014" t="str">
        <f>J24</f>
      </c>
      <c r="Z16" s="1014" t="str">
        <f>J30</f>
      </c>
      <c r="AA16" s="1014" t="str">
        <f>J36</f>
      </c>
      <c r="AB16" s="1014" t="str">
        <f>J42</f>
      </c>
      <c r="AC16" s="1014" t="str">
        <f>J48</f>
      </c>
      <c r="AD16" s="1014" t="str">
        <f>J54</f>
      </c>
      <c r="AE16" s="1014" t="str">
        <f>J60</f>
      </c>
      <c r="AF16" s="1014" t="str">
        <f>J66</f>
      </c>
      <c r="AG16" s="281"/>
      <c r="AH16" s="281"/>
      <c r="AI16" s="281"/>
      <c r="AJ16" s="281"/>
      <c r="AK16" s="281"/>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c r="BY16" s="0"/>
      <c r="BZ16" s="0"/>
      <c r="CA16" s="0"/>
      <c r="CB16" s="0"/>
      <c r="CC16" s="0"/>
      <c r="CD16" s="0"/>
      <c r="CE16" s="0"/>
      <c r="CF16" s="0"/>
      <c r="CG16" s="0"/>
      <c r="CH16" s="0"/>
      <c r="CI16" s="0"/>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c r="DL16" s="0"/>
      <c r="DM16" s="0"/>
      <c r="DN16" s="0"/>
      <c r="DO16" s="0"/>
      <c r="DP16" s="0"/>
      <c r="DQ16" s="0"/>
      <c r="DR16" s="0"/>
      <c r="DS16" s="0"/>
      <c r="DT16" s="0"/>
      <c r="DU16" s="0"/>
      <c r="DV16" s="0"/>
      <c r="DW16" s="0"/>
      <c r="DX16" s="0"/>
      <c r="DY16" s="0"/>
      <c r="DZ16" s="0"/>
      <c r="EA16" s="0"/>
      <c r="EB16" s="0"/>
      <c r="EC16" s="0"/>
      <c r="ED16" s="0"/>
      <c r="EE16" s="0"/>
      <c r="EF16" s="0"/>
      <c r="EG16" s="0"/>
      <c r="EH16" s="0"/>
      <c r="EI16" s="0"/>
    </row>
    <row r="17" s="2" customFormat="1" ht="15.95" customHeight="1">
      <c r="B17" s="611" t="s">
        <v>39</v>
      </c>
      <c r="C17" s="611" t="s">
        <v>41</v>
      </c>
      <c r="D17" s="298"/>
      <c r="E17" s="298" t="s">
        <v>24</v>
      </c>
      <c r="F17" s="299"/>
      <c r="G17" s="298" t="s">
        <v>24</v>
      </c>
      <c r="H17" s="299"/>
      <c r="I17" s="298" t="s">
        <v>24</v>
      </c>
      <c r="J17" s="299"/>
      <c r="K17" s="298" t="s">
        <v>24</v>
      </c>
      <c r="L17" s="299"/>
      <c r="M17" s="298" t="s">
        <v>24</v>
      </c>
      <c r="N17" s="299"/>
      <c r="O17" s="298" t="s">
        <v>24</v>
      </c>
      <c r="P17" s="299"/>
      <c r="Q17" s="298" t="s">
        <v>24</v>
      </c>
      <c r="R17" s="299"/>
      <c r="S17" s="298" t="s">
        <v>24</v>
      </c>
      <c r="T17" s="299"/>
      <c r="U17" s="298" t="s">
        <v>24</v>
      </c>
      <c r="W17" s="281"/>
      <c r="X17" s="1014" t="str">
        <f>L18</f>
      </c>
      <c r="Y17" s="1014" t="str">
        <f>L24</f>
      </c>
      <c r="Z17" s="1014" t="str">
        <f>L30</f>
      </c>
      <c r="AA17" s="1014" t="str">
        <f>L36</f>
      </c>
      <c r="AB17" s="1014" t="str">
        <f>L42</f>
      </c>
      <c r="AC17" s="1014" t="str">
        <f>L48</f>
      </c>
      <c r="AD17" s="1014" t="str">
        <f>L54</f>
      </c>
      <c r="AE17" s="1014" t="str">
        <f>L60</f>
      </c>
      <c r="AF17" s="1014" t="str">
        <f>L66</f>
      </c>
      <c r="AG17" s="281"/>
      <c r="AH17" s="281"/>
      <c r="AI17" s="281"/>
      <c r="AJ17" s="281"/>
      <c r="AK17" s="281"/>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c r="BY17" s="0"/>
      <c r="BZ17" s="0"/>
      <c r="CA17" s="0"/>
      <c r="CB17" s="0"/>
      <c r="CC17" s="0"/>
      <c r="CD17" s="0"/>
      <c r="CE17" s="0"/>
      <c r="CF17" s="0"/>
      <c r="CG17" s="0"/>
      <c r="CH17" s="0"/>
      <c r="CI17" s="0"/>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c r="DM17" s="0"/>
      <c r="DN17" s="0"/>
      <c r="DO17" s="0"/>
      <c r="DP17" s="0"/>
      <c r="DQ17" s="0"/>
      <c r="DR17" s="0"/>
      <c r="DS17" s="0"/>
      <c r="DT17" s="0"/>
      <c r="DU17" s="0"/>
      <c r="DV17" s="0"/>
      <c r="DW17" s="0"/>
      <c r="DX17" s="0"/>
      <c r="DY17" s="0"/>
      <c r="DZ17" s="0"/>
      <c r="EA17" s="0"/>
      <c r="EB17" s="0"/>
      <c r="EC17" s="0"/>
      <c r="ED17" s="0"/>
      <c r="EE17" s="0"/>
      <c r="EF17" s="0"/>
      <c r="EG17" s="0"/>
      <c r="EH17" s="0"/>
      <c r="EI17" s="0"/>
    </row>
    <row r="18" s="2" customFormat="1" ht="15.95" customHeight="1">
      <c r="B18" s="300" t="s">
        <v>43</v>
      </c>
      <c r="C18" s="303" t="s">
        <v>42</v>
      </c>
      <c r="D18" s="307">
        <v>82.95454545454545454545454545</v>
      </c>
      <c r="E18" s="308">
        <v>-11.693548387102471383975025650</v>
      </c>
      <c r="F18" s="308">
        <v>77.764612954186413902053712480</v>
      </c>
      <c r="G18" s="308">
        <v>10.516826067762982954614664420</v>
      </c>
      <c r="H18" s="308">
        <v>106.67389999536434488953402933</v>
      </c>
      <c r="I18" s="309">
        <v>-20.096826198417089549241870740</v>
      </c>
      <c r="J18" s="317">
        <v>218.97925149242665964648907498</v>
      </c>
      <c r="K18" s="308">
        <v>-17.477831926846862943711572610</v>
      </c>
      <c r="L18" s="318">
        <v>237.34543303615748037437925459</v>
      </c>
      <c r="M18" s="308">
        <v>-16.665868525383110667579465830</v>
      </c>
      <c r="N18" s="308">
        <v>92.26183486708500324276486239</v>
      </c>
      <c r="O18" s="309">
        <v>-0.9743467497384566006918177400</v>
      </c>
      <c r="P18" s="317">
        <v>181.6532427153084790249284372</v>
      </c>
      <c r="Q18" s="308">
        <v>-27.127601580569437688945349510</v>
      </c>
      <c r="R18" s="318">
        <v>184.57075736500556037012351986</v>
      </c>
      <c r="S18" s="308">
        <v>-7.9017628631030098002733566200</v>
      </c>
      <c r="T18" s="308">
        <v>98.41929746004023990419108567</v>
      </c>
      <c r="U18" s="309">
        <v>-20.875360175328803677103623220</v>
      </c>
      <c r="W18" s="281"/>
      <c r="X18" s="1014"/>
      <c r="Y18" s="1014"/>
      <c r="Z18" s="1014"/>
      <c r="AA18" s="1014"/>
      <c r="AB18" s="1014"/>
      <c r="AC18" s="1014"/>
      <c r="AD18" s="1014"/>
      <c r="AE18" s="1014"/>
      <c r="AF18" s="1014"/>
      <c r="AG18" s="281"/>
      <c r="AH18" s="281"/>
      <c r="AI18" s="281"/>
      <c r="AJ18" s="281"/>
      <c r="AK18" s="281"/>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c r="BY18" s="0"/>
      <c r="BZ18" s="0"/>
      <c r="CA18" s="0"/>
      <c r="CB18" s="0"/>
      <c r="CC18" s="0"/>
      <c r="CD18" s="0"/>
      <c r="CE18" s="0"/>
      <c r="CF18" s="0"/>
      <c r="CG18" s="0"/>
      <c r="CH18" s="0"/>
      <c r="CI18" s="0"/>
      <c r="CJ18" s="0"/>
      <c r="CK18" s="0"/>
      <c r="CL18" s="0"/>
      <c r="CM18" s="0"/>
      <c r="CN18" s="0"/>
      <c r="CO18" s="0"/>
      <c r="CP18" s="0"/>
      <c r="CQ18" s="0"/>
      <c r="CR18" s="0"/>
      <c r="CS18" s="0"/>
      <c r="CT18" s="0"/>
      <c r="CU18" s="0"/>
      <c r="CV18" s="0"/>
      <c r="CW18" s="0"/>
      <c r="CX18" s="0"/>
      <c r="CY18" s="0"/>
      <c r="CZ18" s="0"/>
      <c r="DA18" s="0"/>
      <c r="DB18" s="0"/>
      <c r="DC18" s="0"/>
      <c r="DD18" s="0"/>
      <c r="DE18" s="0"/>
      <c r="DF18" s="0"/>
      <c r="DG18" s="0"/>
      <c r="DH18" s="0"/>
      <c r="DI18" s="0"/>
      <c r="DJ18" s="0"/>
      <c r="DK18" s="0"/>
      <c r="DL18" s="0"/>
      <c r="DM18" s="0"/>
      <c r="DN18" s="0"/>
      <c r="DO18" s="0"/>
      <c r="DP18" s="0"/>
      <c r="DQ18" s="0"/>
      <c r="DR18" s="0"/>
      <c r="DS18" s="0"/>
      <c r="DT18" s="0"/>
      <c r="DU18" s="0"/>
      <c r="DV18" s="0"/>
      <c r="DW18" s="0"/>
      <c r="DX18" s="0"/>
      <c r="DY18" s="0"/>
      <c r="DZ18" s="0"/>
      <c r="EA18" s="0"/>
      <c r="EB18" s="0"/>
      <c r="EC18" s="0"/>
      <c r="ED18" s="0"/>
      <c r="EE18" s="0"/>
      <c r="EF18" s="0"/>
      <c r="EG18" s="0"/>
      <c r="EH18" s="0"/>
      <c r="EI18" s="0"/>
    </row>
    <row r="19" s="2" customFormat="1" ht="15.95" customHeight="1">
      <c r="B19" s="301"/>
      <c r="C19" s="304" t="s">
        <v>58</v>
      </c>
      <c r="D19" s="310">
        <v>84.76107226107226107226107226</v>
      </c>
      <c r="E19" s="134">
        <v>-1.7395710184602986327807793600</v>
      </c>
      <c r="F19" s="134">
        <v>76.694219899106545918677444840</v>
      </c>
      <c r="G19" s="134">
        <v>4.5037651437869680304634077700</v>
      </c>
      <c r="H19" s="134">
        <v>110.51820120549518084753415542</v>
      </c>
      <c r="I19" s="311">
        <v>-5.9742691122797014733783235700</v>
      </c>
      <c r="J19" s="319">
        <v>244.80677985651442459363509754</v>
      </c>
      <c r="K19" s="134">
        <v>18.382639103900401890263109880</v>
      </c>
      <c r="L19" s="135">
        <v>260.81487595786275812266702175</v>
      </c>
      <c r="M19" s="134">
        <v>20.290949585634404549446374070</v>
      </c>
      <c r="N19" s="134">
        <v>93.86227643550149454396198886</v>
      </c>
      <c r="O19" s="311">
        <v>-1.5864123512780473971382609900</v>
      </c>
      <c r="P19" s="319">
        <v>207.50085157418428354979152061</v>
      </c>
      <c r="Q19" s="134">
        <v>16.323289023254951395885015510</v>
      </c>
      <c r="R19" s="135">
        <v>200.02993449670523390086147292</v>
      </c>
      <c r="S19" s="134">
        <v>25.708571444169897326563175610</v>
      </c>
      <c r="T19" s="134">
        <v>103.73489952705430458168965339</v>
      </c>
      <c r="U19" s="311">
        <v>-7.4659049204772548431306794600</v>
      </c>
      <c r="W19" s="281"/>
      <c r="X19" s="281"/>
      <c r="Y19" s="281"/>
      <c r="Z19" s="281"/>
      <c r="AA19" s="281"/>
      <c r="AB19" s="281"/>
      <c r="AC19" s="281"/>
      <c r="AD19" s="281"/>
      <c r="AE19" s="281"/>
      <c r="AF19" s="281"/>
      <c r="AG19" s="281"/>
      <c r="AH19" s="281"/>
      <c r="AI19" s="281"/>
      <c r="AJ19" s="281"/>
      <c r="AK19" s="281"/>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c r="CC19" s="0"/>
      <c r="CD19" s="0"/>
      <c r="CE19" s="0"/>
      <c r="CF19" s="0"/>
      <c r="CG19" s="0"/>
      <c r="CH19" s="0"/>
      <c r="CI19" s="0"/>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c r="DM19" s="0"/>
      <c r="DN19" s="0"/>
      <c r="DO19" s="0"/>
      <c r="DP19" s="0"/>
      <c r="DQ19" s="0"/>
      <c r="DR19" s="0"/>
      <c r="DS19" s="0"/>
      <c r="DT19" s="0"/>
      <c r="DU19" s="0"/>
      <c r="DV19" s="0"/>
      <c r="DW19" s="0"/>
      <c r="DX19" s="0"/>
      <c r="DY19" s="0"/>
      <c r="DZ19" s="0"/>
      <c r="EA19" s="0"/>
      <c r="EB19" s="0"/>
      <c r="EC19" s="0"/>
      <c r="ED19" s="0"/>
      <c r="EE19" s="0"/>
      <c r="EF19" s="0"/>
      <c r="EG19" s="0"/>
      <c r="EH19" s="0"/>
      <c r="EI19" s="0"/>
    </row>
    <row r="20" s="2" customFormat="1" ht="15.95" customHeight="1">
      <c r="B20" s="301"/>
      <c r="C20" s="305" t="s">
        <v>44</v>
      </c>
      <c r="D20" s="312">
        <v>81.00233100233100233100233100</v>
      </c>
      <c r="E20" s="159">
        <v>-4.0055248618962199719178258400</v>
      </c>
      <c r="F20" s="159">
        <v>78.320573581237088346093085430</v>
      </c>
      <c r="G20" s="159">
        <v>15.240119298033819354512868030</v>
      </c>
      <c r="H20" s="159">
        <v>103.42407786167532482039596818</v>
      </c>
      <c r="I20" s="313">
        <v>-16.700472263592214547925229040</v>
      </c>
      <c r="J20" s="320">
        <v>210.10013753606301474410789927</v>
      </c>
      <c r="K20" s="159">
        <v>0.9324603463528598134438877300</v>
      </c>
      <c r="L20" s="160">
        <v>229.59099294499377363403355103</v>
      </c>
      <c r="M20" s="159">
        <v>3.631855833994266318081636100</v>
      </c>
      <c r="N20" s="159">
        <v>91.51061844416250897455601806</v>
      </c>
      <c r="O20" s="313">
        <v>-2.6047931554277740188404933900</v>
      </c>
      <c r="P20" s="320">
        <v>170.18600884331444667500581584</v>
      </c>
      <c r="Q20" s="159">
        <v>-3.1104144465526595752645676800</v>
      </c>
      <c r="R20" s="160">
        <v>179.81698256537670082286380318</v>
      </c>
      <c r="S20" s="159">
        <v>19.425474293948000874714056940</v>
      </c>
      <c r="T20" s="159">
        <v>94.64401327133673928465104143</v>
      </c>
      <c r="U20" s="313">
        <v>-18.870252660663437303410223390</v>
      </c>
      <c r="W20" s="281"/>
      <c r="X20" s="281"/>
      <c r="Y20" s="281"/>
      <c r="Z20" s="281"/>
      <c r="AA20" s="281"/>
      <c r="AB20" s="281"/>
      <c r="AC20" s="281"/>
      <c r="AD20" s="281"/>
      <c r="AE20" s="281"/>
      <c r="AF20" s="281"/>
      <c r="AG20" s="281"/>
      <c r="AH20" s="281"/>
      <c r="AI20" s="281"/>
      <c r="AJ20" s="281"/>
      <c r="AK20" s="281"/>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c r="BY20" s="0"/>
      <c r="BZ20" s="0"/>
      <c r="CA20" s="0"/>
      <c r="CB20" s="0"/>
      <c r="CC20" s="0"/>
      <c r="CD20" s="0"/>
      <c r="CE20" s="0"/>
      <c r="CF20" s="0"/>
      <c r="CG20" s="0"/>
      <c r="CH20" s="0"/>
      <c r="CI20" s="0"/>
      <c r="CJ20" s="0"/>
      <c r="CK20" s="0"/>
      <c r="CL20" s="0"/>
      <c r="CM20" s="0"/>
      <c r="CN20" s="0"/>
      <c r="CO20" s="0"/>
      <c r="CP20" s="0"/>
      <c r="CQ20" s="0"/>
      <c r="CR20" s="0"/>
      <c r="CS20" s="0"/>
      <c r="CT20" s="0"/>
      <c r="CU20" s="0"/>
      <c r="CV20" s="0"/>
      <c r="CW20" s="0"/>
      <c r="CX20" s="0"/>
      <c r="CY20" s="0"/>
      <c r="CZ20" s="0"/>
      <c r="DA20" s="0"/>
      <c r="DB20" s="0"/>
      <c r="DC20" s="0"/>
      <c r="DD20" s="0"/>
      <c r="DE20" s="0"/>
      <c r="DF20" s="0"/>
      <c r="DG20" s="0"/>
      <c r="DH20" s="0"/>
      <c r="DI20" s="0"/>
      <c r="DJ20" s="0"/>
      <c r="DK20" s="0"/>
      <c r="DL20" s="0"/>
      <c r="DM20" s="0"/>
      <c r="DN20" s="0"/>
      <c r="DO20" s="0"/>
      <c r="DP20" s="0"/>
      <c r="DQ20" s="0"/>
      <c r="DR20" s="0"/>
      <c r="DS20" s="0"/>
      <c r="DT20" s="0"/>
      <c r="DU20" s="0"/>
      <c r="DV20" s="0"/>
      <c r="DW20" s="0"/>
      <c r="DX20" s="0"/>
      <c r="DY20" s="0"/>
      <c r="DZ20" s="0"/>
      <c r="EA20" s="0"/>
      <c r="EB20" s="0"/>
      <c r="EC20" s="0"/>
      <c r="ED20" s="0"/>
      <c r="EE20" s="0"/>
      <c r="EF20" s="0"/>
      <c r="EG20" s="0"/>
      <c r="EH20" s="0"/>
      <c r="EI20" s="0"/>
    </row>
    <row r="21" s="2" customFormat="1" ht="15.95" customHeight="1">
      <c r="B21" s="302"/>
      <c r="C21" s="306" t="s">
        <v>45</v>
      </c>
      <c r="D21" s="314">
        <v>84.76107226107226107226107226</v>
      </c>
      <c r="E21" s="315">
        <v>-1.7395710184602986327807793600</v>
      </c>
      <c r="F21" s="315">
        <v>76.694219899106545918677444840</v>
      </c>
      <c r="G21" s="315">
        <v>4.5037651437869680304634077700</v>
      </c>
      <c r="H21" s="315">
        <v>110.51820120549518084753415542</v>
      </c>
      <c r="I21" s="316">
        <v>-5.9742691122797014733783235700</v>
      </c>
      <c r="J21" s="321">
        <v>244.80677985651442459363509754</v>
      </c>
      <c r="K21" s="315">
        <v>18.382639103900401890263109880</v>
      </c>
      <c r="L21" s="322">
        <v>260.81487595786275812266702175</v>
      </c>
      <c r="M21" s="315">
        <v>20.290949585634404549446374070</v>
      </c>
      <c r="N21" s="315">
        <v>93.86227643550149454396198886</v>
      </c>
      <c r="O21" s="316">
        <v>-1.5864123512780473971382609900</v>
      </c>
      <c r="P21" s="321">
        <v>207.50085157418428354979152061</v>
      </c>
      <c r="Q21" s="315">
        <v>16.323289023254951395885015510</v>
      </c>
      <c r="R21" s="322">
        <v>200.02993449670523390086147292</v>
      </c>
      <c r="S21" s="315">
        <v>25.708571444169897326563175610</v>
      </c>
      <c r="T21" s="315">
        <v>103.73489952705430458168965339</v>
      </c>
      <c r="U21" s="316">
        <v>-7.4659049204772548431306794600</v>
      </c>
      <c r="W21" s="281"/>
      <c r="X21" s="281"/>
      <c r="Y21" s="281"/>
      <c r="Z21" s="281"/>
      <c r="AA21" s="281"/>
      <c r="AB21" s="281"/>
      <c r="AC21" s="281"/>
      <c r="AD21" s="281"/>
      <c r="AE21" s="281"/>
      <c r="AF21" s="281"/>
      <c r="AG21" s="281"/>
      <c r="AH21" s="281"/>
      <c r="AI21" s="281"/>
      <c r="AJ21" s="281"/>
      <c r="AK21" s="281"/>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c r="BY21" s="0"/>
      <c r="BZ21" s="0"/>
      <c r="CA21" s="0"/>
      <c r="CB21" s="0"/>
      <c r="CC21" s="0"/>
      <c r="CD21" s="0"/>
      <c r="CE21" s="0"/>
      <c r="CF21" s="0"/>
      <c r="CG21" s="0"/>
      <c r="CH21" s="0"/>
      <c r="CI21" s="0"/>
      <c r="CJ21" s="0"/>
      <c r="CK21" s="0"/>
      <c r="CL21" s="0"/>
      <c r="CM21" s="0"/>
      <c r="CN21" s="0"/>
      <c r="CO21" s="0"/>
      <c r="CP21" s="0"/>
      <c r="CQ21" s="0"/>
      <c r="CR21" s="0"/>
      <c r="CS21" s="0"/>
      <c r="CT21" s="0"/>
      <c r="CU21" s="0"/>
      <c r="CV21" s="0"/>
      <c r="CW21" s="0"/>
      <c r="CX21" s="0"/>
      <c r="CY21" s="0"/>
      <c r="CZ21" s="0"/>
      <c r="DA21" s="0"/>
      <c r="DB21" s="0"/>
      <c r="DC21" s="0"/>
      <c r="DD21" s="0"/>
      <c r="DE21" s="0"/>
      <c r="DF21" s="0"/>
      <c r="DG21" s="0"/>
      <c r="DH21" s="0"/>
      <c r="DI21" s="0"/>
      <c r="DJ21" s="0"/>
      <c r="DK21" s="0"/>
      <c r="DL21" s="0"/>
      <c r="DM21" s="0"/>
      <c r="DN21" s="0"/>
      <c r="DO21" s="0"/>
      <c r="DP21" s="0"/>
      <c r="DQ21" s="0"/>
      <c r="DR21" s="0"/>
      <c r="DS21" s="0"/>
      <c r="DT21" s="0"/>
      <c r="DU21" s="0"/>
      <c r="DV21" s="0"/>
      <c r="DW21" s="0"/>
      <c r="DX21" s="0"/>
      <c r="DY21" s="0"/>
      <c r="DZ21" s="0"/>
      <c r="EA21" s="0"/>
      <c r="EB21" s="0"/>
      <c r="EC21" s="0"/>
      <c r="ED21" s="0"/>
      <c r="EE21" s="0"/>
      <c r="EF21" s="0"/>
      <c r="EG21" s="0"/>
      <c r="EH21" s="0"/>
      <c r="EI21" s="0"/>
    </row>
    <row r="22" s="2" customFormat="1" ht="5.1" customHeight="1">
      <c r="B22" s="297"/>
      <c r="C22" s="297"/>
      <c r="D22" s="159"/>
      <c r="E22" s="159"/>
      <c r="F22" s="159"/>
      <c r="G22" s="159"/>
      <c r="H22" s="159"/>
      <c r="I22" s="159"/>
      <c r="J22" s="160"/>
      <c r="K22" s="159"/>
      <c r="L22" s="160"/>
      <c r="M22" s="159"/>
      <c r="N22" s="159"/>
      <c r="O22" s="159"/>
      <c r="P22" s="160"/>
      <c r="Q22" s="159"/>
      <c r="R22" s="160"/>
      <c r="S22" s="159"/>
      <c r="T22" s="159"/>
      <c r="U22" s="159"/>
      <c r="W22" s="281"/>
      <c r="X22" s="281"/>
      <c r="Y22" s="281"/>
      <c r="Z22" s="281"/>
      <c r="AA22" s="281"/>
      <c r="AB22" s="281"/>
      <c r="AC22" s="281"/>
      <c r="AD22" s="281"/>
      <c r="AE22" s="281"/>
      <c r="AF22" s="281"/>
      <c r="AG22" s="281"/>
      <c r="AH22" s="281"/>
      <c r="AI22" s="281"/>
      <c r="AJ22" s="281"/>
      <c r="AK22" s="281"/>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row>
    <row r="23" s="9" customFormat="1" ht="5.1" customHeight="1">
      <c r="B23" s="297"/>
      <c r="C23" s="297"/>
      <c r="D23" s="159"/>
      <c r="E23" s="159"/>
      <c r="F23" s="159"/>
      <c r="G23" s="159"/>
      <c r="H23" s="159"/>
      <c r="I23" s="159"/>
      <c r="J23" s="160"/>
      <c r="K23" s="159"/>
      <c r="L23" s="160"/>
      <c r="M23" s="159"/>
      <c r="N23" s="159"/>
      <c r="O23" s="159"/>
      <c r="P23" s="160"/>
      <c r="Q23" s="159"/>
      <c r="R23" s="160"/>
      <c r="S23" s="159"/>
      <c r="T23" s="159"/>
      <c r="U23" s="159"/>
      <c r="W23" s="281"/>
      <c r="X23" s="281"/>
      <c r="Y23" s="281"/>
      <c r="Z23" s="281"/>
      <c r="AA23" s="281"/>
      <c r="AB23" s="281"/>
      <c r="AC23" s="281"/>
      <c r="AD23" s="281"/>
      <c r="AE23" s="281"/>
      <c r="AF23" s="281"/>
      <c r="AG23" s="281"/>
      <c r="AH23" s="281"/>
      <c r="AI23" s="281"/>
      <c r="AJ23" s="281"/>
      <c r="AK23" s="281"/>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row>
    <row r="24" s="2" customFormat="1" ht="15.95" customHeight="1">
      <c r="B24" s="323" t="s">
        <v>46</v>
      </c>
      <c r="C24" s="303" t="s">
        <v>42</v>
      </c>
      <c r="D24" s="307">
        <v>78.219696969696969696969696970</v>
      </c>
      <c r="E24" s="308">
        <v>-16.227180527372491966640470260</v>
      </c>
      <c r="F24" s="308">
        <v>71.366508688783570300157977880</v>
      </c>
      <c r="G24" s="308">
        <v>3.5819827086618442155050799700</v>
      </c>
      <c r="H24" s="308">
        <v>109.60280726465253597393756352</v>
      </c>
      <c r="I24" s="309">
        <v>-19.124139853319714693930922810</v>
      </c>
      <c r="J24" s="317">
        <v>215.78625468328092256303749131</v>
      </c>
      <c r="K24" s="308">
        <v>-13.744296215102948212448698530</v>
      </c>
      <c r="L24" s="318">
        <v>244.93743358101700311662947159</v>
      </c>
      <c r="M24" s="308">
        <v>-8.454652369354096170307578650</v>
      </c>
      <c r="N24" s="308">
        <v>88.09852031536091077217690925</v>
      </c>
      <c r="O24" s="309">
        <v>-5.7781678508111723561627782400</v>
      </c>
      <c r="P24" s="317">
        <v>168.78735451552087314116379528</v>
      </c>
      <c r="Q24" s="308">
        <v>-27.741164983453845005339384350</v>
      </c>
      <c r="R24" s="318">
        <v>174.80329481867998603149662526</v>
      </c>
      <c r="S24" s="308">
        <v>-5.1755138465642953437817186600</v>
      </c>
      <c r="T24" s="308">
        <v>96.55845142426024954126158074</v>
      </c>
      <c r="U24" s="309">
        <v>-23.797282803491734361934990540</v>
      </c>
      <c r="W24" s="281"/>
      <c r="X24" s="281"/>
      <c r="Y24" s="281"/>
      <c r="Z24" s="281"/>
      <c r="AA24" s="281"/>
      <c r="AB24" s="281"/>
      <c r="AC24" s="281"/>
      <c r="AD24" s="281"/>
      <c r="AE24" s="281"/>
      <c r="AF24" s="281"/>
      <c r="AG24" s="281"/>
      <c r="AH24" s="281"/>
      <c r="AI24" s="281"/>
      <c r="AJ24" s="281"/>
      <c r="AK24" s="281"/>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c r="DQ24" s="0"/>
      <c r="DR24" s="0"/>
      <c r="DS24" s="0"/>
      <c r="DT24" s="0"/>
      <c r="DU24" s="0"/>
      <c r="DV24" s="0"/>
      <c r="DW24" s="0"/>
      <c r="DX24" s="0"/>
      <c r="DY24" s="0"/>
      <c r="DZ24" s="0"/>
      <c r="EA24" s="0"/>
      <c r="EB24" s="0"/>
      <c r="EC24" s="0"/>
      <c r="ED24" s="0"/>
      <c r="EE24" s="0"/>
      <c r="EF24" s="0"/>
      <c r="EG24" s="0"/>
      <c r="EH24" s="0"/>
      <c r="EI24" s="0"/>
    </row>
    <row r="25" s="2" customFormat="1" ht="15.95" customHeight="1">
      <c r="B25" s="324"/>
      <c r="C25" s="304" t="s">
        <v>58</v>
      </c>
      <c r="D25" s="310">
        <v>82.10955710955710955710955711</v>
      </c>
      <c r="E25" s="134">
        <v>4.6222387228976089506432871500</v>
      </c>
      <c r="F25" s="134">
        <v>70.950586519175834194371847080</v>
      </c>
      <c r="G25" s="134">
        <v>10.800204557300949585991145300</v>
      </c>
      <c r="H25" s="134">
        <v>115.72780598133233304377793856</v>
      </c>
      <c r="I25" s="311">
        <v>-5.5757711451390686241441049400</v>
      </c>
      <c r="J25" s="319">
        <v>216.16234738402327969311316636</v>
      </c>
      <c r="K25" s="134">
        <v>20.300738127088237633932373270</v>
      </c>
      <c r="L25" s="135">
        <v>242.94954938079756601524214175</v>
      </c>
      <c r="M25" s="134">
        <v>28.527739457032089665342560660</v>
      </c>
      <c r="N25" s="134">
        <v>88.97417094822828286965038375</v>
      </c>
      <c r="O25" s="311">
        <v>-6.4009538833460088855995885400</v>
      </c>
      <c r="P25" s="319">
        <v>177.48994607464382347762030967</v>
      </c>
      <c r="Q25" s="134">
        <v>25.861325428626309381093816470</v>
      </c>
      <c r="R25" s="135">
        <v>172.37413023137059423077427471</v>
      </c>
      <c r="S25" s="134">
        <v>42.408998231377790002864350050</v>
      </c>
      <c r="T25" s="134">
        <v>102.96785592848312264671639756</v>
      </c>
      <c r="U25" s="311">
        <v>-11.619822488955700267250234860</v>
      </c>
      <c r="W25" s="281"/>
      <c r="X25" s="281"/>
      <c r="Y25" s="281"/>
      <c r="Z25" s="281"/>
      <c r="AA25" s="281"/>
      <c r="AB25" s="281"/>
      <c r="AC25" s="281"/>
      <c r="AD25" s="281"/>
      <c r="AE25" s="281"/>
      <c r="AF25" s="281"/>
      <c r="AG25" s="281"/>
      <c r="AH25" s="281"/>
      <c r="AI25" s="281"/>
      <c r="AJ25" s="281"/>
      <c r="AK25" s="281"/>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c r="DM25" s="0"/>
      <c r="DN25" s="0"/>
      <c r="DO25" s="0"/>
      <c r="DP25" s="0"/>
      <c r="DQ25" s="0"/>
      <c r="DR25" s="0"/>
      <c r="DS25" s="0"/>
      <c r="DT25" s="0"/>
      <c r="DU25" s="0"/>
      <c r="DV25" s="0"/>
      <c r="DW25" s="0"/>
      <c r="DX25" s="0"/>
      <c r="DY25" s="0"/>
      <c r="DZ25" s="0"/>
      <c r="EA25" s="0"/>
      <c r="EB25" s="0"/>
      <c r="EC25" s="0"/>
      <c r="ED25" s="0"/>
      <c r="EE25" s="0"/>
      <c r="EF25" s="0"/>
      <c r="EG25" s="0"/>
      <c r="EH25" s="0"/>
      <c r="EI25" s="0"/>
    </row>
    <row r="26" s="2" customFormat="1" ht="15.95" customHeight="1">
      <c r="B26" s="324"/>
      <c r="C26" s="305" t="s">
        <v>44</v>
      </c>
      <c r="D26" s="312">
        <v>75.874125874125874125874125870</v>
      </c>
      <c r="E26" s="159">
        <v>-0.6106870228664702523162867600</v>
      </c>
      <c r="F26" s="159">
        <v>72.925021266253493741645400410</v>
      </c>
      <c r="G26" s="159">
        <v>21.020422708294835364437277350</v>
      </c>
      <c r="H26" s="159">
        <v>104.04402296580297312213431991</v>
      </c>
      <c r="I26" s="313">
        <v>-17.873933380139747589868480310</v>
      </c>
      <c r="J26" s="320">
        <v>209.6465839313997166582106033</v>
      </c>
      <c r="K26" s="159">
        <v>3.3504699357218871402992491600</v>
      </c>
      <c r="L26" s="160">
        <v>238.51422784487109261347078067</v>
      </c>
      <c r="M26" s="159">
        <v>8.050067504752142024887856410</v>
      </c>
      <c r="N26" s="159">
        <v>87.89688809161011144722900395</v>
      </c>
      <c r="O26" s="313">
        <v>-4.3494628718237796207184038800</v>
      </c>
      <c r="P26" s="320">
        <v>159.06751298291516963227867453</v>
      </c>
      <c r="Q26" s="159">
        <v>2.7193220277045679040736832900</v>
      </c>
      <c r="R26" s="160">
        <v>173.93655137891255641918072121</v>
      </c>
      <c r="S26" s="159">
        <v>30.762648430797188071857286200</v>
      </c>
      <c r="T26" s="159">
        <v>91.45145843233696960689642322</v>
      </c>
      <c r="U26" s="313">
        <v>-21.445976155730935092115390640</v>
      </c>
      <c r="W26" s="281"/>
      <c r="X26" s="281"/>
      <c r="Y26" s="281"/>
      <c r="Z26" s="281"/>
      <c r="AA26" s="281"/>
      <c r="AB26" s="281"/>
      <c r="AC26" s="281"/>
      <c r="AD26" s="281"/>
      <c r="AE26" s="281"/>
      <c r="AF26" s="281"/>
      <c r="AG26" s="281"/>
      <c r="AH26" s="281"/>
      <c r="AI26" s="281"/>
      <c r="AJ26" s="281"/>
      <c r="AK26" s="281"/>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c r="DQ26" s="0"/>
      <c r="DR26" s="0"/>
      <c r="DS26" s="0"/>
      <c r="DT26" s="0"/>
      <c r="DU26" s="0"/>
      <c r="DV26" s="0"/>
      <c r="DW26" s="0"/>
      <c r="DX26" s="0"/>
      <c r="DY26" s="0"/>
      <c r="DZ26" s="0"/>
      <c r="EA26" s="0"/>
      <c r="EB26" s="0"/>
      <c r="EC26" s="0"/>
      <c r="ED26" s="0"/>
      <c r="EE26" s="0"/>
      <c r="EF26" s="0"/>
      <c r="EG26" s="0"/>
      <c r="EH26" s="0"/>
      <c r="EI26" s="0"/>
    </row>
    <row r="27" s="2" customFormat="1" ht="15.95" customHeight="1">
      <c r="B27" s="325"/>
      <c r="C27" s="306" t="s">
        <v>45</v>
      </c>
      <c r="D27" s="314">
        <v>82.10955710955710955710955711</v>
      </c>
      <c r="E27" s="315">
        <v>4.6222387228976089506432871500</v>
      </c>
      <c r="F27" s="315">
        <v>70.950586519175834194371847080</v>
      </c>
      <c r="G27" s="315">
        <v>10.800204557300949585991145300</v>
      </c>
      <c r="H27" s="315">
        <v>115.72780598133233304377793856</v>
      </c>
      <c r="I27" s="316">
        <v>-5.5757711451390686241441049400</v>
      </c>
      <c r="J27" s="321">
        <v>216.16234738402327969311316636</v>
      </c>
      <c r="K27" s="315">
        <v>20.300738127088237633932373270</v>
      </c>
      <c r="L27" s="322">
        <v>242.94954938079756601524214175</v>
      </c>
      <c r="M27" s="315">
        <v>28.527739457032089665342560660</v>
      </c>
      <c r="N27" s="315">
        <v>88.97417094822828286965038375</v>
      </c>
      <c r="O27" s="316">
        <v>-6.4009538833460088855995885400</v>
      </c>
      <c r="P27" s="321">
        <v>177.48994607464382347762030967</v>
      </c>
      <c r="Q27" s="315">
        <v>25.861325428626309381093816470</v>
      </c>
      <c r="R27" s="322">
        <v>172.37413023137059423077427471</v>
      </c>
      <c r="S27" s="315">
        <v>42.408998231377790002864350050</v>
      </c>
      <c r="T27" s="315">
        <v>102.96785592848312264671639756</v>
      </c>
      <c r="U27" s="316">
        <v>-11.619822488955700267250234860</v>
      </c>
      <c r="W27" s="281"/>
      <c r="X27" s="281"/>
      <c r="Y27" s="281"/>
      <c r="Z27" s="281"/>
      <c r="AA27" s="281"/>
      <c r="AB27" s="281"/>
      <c r="AC27" s="281"/>
      <c r="AD27" s="281"/>
      <c r="AE27" s="281"/>
      <c r="AF27" s="281"/>
      <c r="AG27" s="281"/>
      <c r="AH27" s="281"/>
      <c r="AI27" s="281"/>
      <c r="AJ27" s="281"/>
      <c r="AK27" s="281"/>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c r="BY27" s="0"/>
      <c r="BZ27" s="0"/>
      <c r="CA27" s="0"/>
      <c r="CB27" s="0"/>
      <c r="CC27" s="0"/>
      <c r="CD27" s="0"/>
      <c r="CE27" s="0"/>
      <c r="CF27" s="0"/>
      <c r="CG27" s="0"/>
      <c r="CH27" s="0"/>
      <c r="CI27" s="0"/>
      <c r="CJ27" s="0"/>
      <c r="CK27" s="0"/>
      <c r="CL27" s="0"/>
      <c r="CM27" s="0"/>
      <c r="CN27" s="0"/>
      <c r="CO27" s="0"/>
      <c r="CP27" s="0"/>
      <c r="CQ27" s="0"/>
      <c r="CR27" s="0"/>
      <c r="CS27" s="0"/>
      <c r="CT27" s="0"/>
      <c r="CU27" s="0"/>
      <c r="CV27" s="0"/>
      <c r="CW27" s="0"/>
      <c r="CX27" s="0"/>
      <c r="CY27" s="0"/>
      <c r="CZ27" s="0"/>
      <c r="DA27" s="0"/>
      <c r="DB27" s="0"/>
      <c r="DC27" s="0"/>
      <c r="DD27" s="0"/>
      <c r="DE27" s="0"/>
      <c r="DF27" s="0"/>
      <c r="DG27" s="0"/>
      <c r="DH27" s="0"/>
      <c r="DI27" s="0"/>
      <c r="DJ27" s="0"/>
      <c r="DK27" s="0"/>
      <c r="DL27" s="0"/>
      <c r="DM27" s="0"/>
      <c r="DN27" s="0"/>
      <c r="DO27" s="0"/>
      <c r="DP27" s="0"/>
      <c r="DQ27" s="0"/>
      <c r="DR27" s="0"/>
      <c r="DS27" s="0"/>
      <c r="DT27" s="0"/>
      <c r="DU27" s="0"/>
      <c r="DV27" s="0"/>
      <c r="DW27" s="0"/>
      <c r="DX27" s="0"/>
      <c r="DY27" s="0"/>
      <c r="DZ27" s="0"/>
      <c r="EA27" s="0"/>
      <c r="EB27" s="0"/>
      <c r="EC27" s="0"/>
      <c r="ED27" s="0"/>
      <c r="EE27" s="0"/>
      <c r="EF27" s="0"/>
      <c r="EG27" s="0"/>
      <c r="EH27" s="0"/>
      <c r="EI27" s="0"/>
    </row>
    <row r="28" s="2" customFormat="1" ht="5.1" customHeight="1">
      <c r="B28" s="4"/>
      <c r="C28" s="297"/>
      <c r="D28" s="159"/>
      <c r="E28" s="159"/>
      <c r="F28" s="159"/>
      <c r="G28" s="159"/>
      <c r="H28" s="159"/>
      <c r="I28" s="159"/>
      <c r="J28" s="160"/>
      <c r="K28" s="159"/>
      <c r="L28" s="160"/>
      <c r="M28" s="159"/>
      <c r="N28" s="159"/>
      <c r="O28" s="159"/>
      <c r="P28" s="160"/>
      <c r="Q28" s="159"/>
      <c r="R28" s="160"/>
      <c r="S28" s="159"/>
      <c r="T28" s="159"/>
      <c r="U28" s="159"/>
      <c r="W28" s="281"/>
      <c r="X28" s="281"/>
      <c r="Y28" s="281"/>
      <c r="Z28" s="281"/>
      <c r="AA28" s="281"/>
      <c r="AB28" s="281"/>
      <c r="AC28" s="281"/>
      <c r="AD28" s="281"/>
      <c r="AE28" s="281"/>
      <c r="AF28" s="281"/>
      <c r="AG28" s="281"/>
      <c r="AH28" s="281"/>
      <c r="AI28" s="281"/>
      <c r="AJ28" s="281"/>
      <c r="AK28" s="281"/>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c r="BY28" s="0"/>
      <c r="BZ28" s="0"/>
      <c r="CA28" s="0"/>
      <c r="CB28" s="0"/>
      <c r="CC28" s="0"/>
      <c r="CD28" s="0"/>
      <c r="CE28" s="0"/>
      <c r="CF28" s="0"/>
      <c r="CG28" s="0"/>
      <c r="CH28" s="0"/>
      <c r="CI28" s="0"/>
      <c r="CJ28" s="0"/>
      <c r="CK28" s="0"/>
      <c r="CL28" s="0"/>
      <c r="CM28" s="0"/>
      <c r="CN28" s="0"/>
      <c r="CO28" s="0"/>
      <c r="CP28" s="0"/>
      <c r="CQ28" s="0"/>
      <c r="CR28" s="0"/>
      <c r="CS28" s="0"/>
      <c r="CT28" s="0"/>
      <c r="CU28" s="0"/>
      <c r="CV28" s="0"/>
      <c r="CW28" s="0"/>
      <c r="CX28" s="0"/>
      <c r="CY28" s="0"/>
      <c r="CZ28" s="0"/>
      <c r="DA28" s="0"/>
      <c r="DB28" s="0"/>
      <c r="DC28" s="0"/>
      <c r="DD28" s="0"/>
      <c r="DE28" s="0"/>
      <c r="DF28" s="0"/>
      <c r="DG28" s="0"/>
      <c r="DH28" s="0"/>
      <c r="DI28" s="0"/>
      <c r="DJ28" s="0"/>
      <c r="DK28" s="0"/>
      <c r="DL28" s="0"/>
      <c r="DM28" s="0"/>
      <c r="DN28" s="0"/>
      <c r="DO28" s="0"/>
      <c r="DP28" s="0"/>
      <c r="DQ28" s="0"/>
      <c r="DR28" s="0"/>
      <c r="DS28" s="0"/>
      <c r="DT28" s="0"/>
      <c r="DU28" s="0"/>
      <c r="DV28" s="0"/>
      <c r="DW28" s="0"/>
      <c r="DX28" s="0"/>
      <c r="DY28" s="0"/>
      <c r="DZ28" s="0"/>
      <c r="EA28" s="0"/>
      <c r="EB28" s="0"/>
      <c r="EC28" s="0"/>
      <c r="ED28" s="0"/>
      <c r="EE28" s="0"/>
      <c r="EF28" s="0"/>
      <c r="EG28" s="0"/>
      <c r="EH28" s="0"/>
      <c r="EI28" s="0"/>
    </row>
    <row r="29" s="9" customFormat="1" ht="5.1" customHeight="1">
      <c r="B29" s="4"/>
      <c r="C29" s="297"/>
      <c r="D29" s="159"/>
      <c r="E29" s="159"/>
      <c r="F29" s="159"/>
      <c r="G29" s="159"/>
      <c r="H29" s="159"/>
      <c r="I29" s="159"/>
      <c r="J29" s="160"/>
      <c r="K29" s="159"/>
      <c r="L29" s="160"/>
      <c r="M29" s="159"/>
      <c r="N29" s="159"/>
      <c r="O29" s="159"/>
      <c r="P29" s="160"/>
      <c r="Q29" s="159"/>
      <c r="R29" s="160"/>
      <c r="S29" s="159"/>
      <c r="T29" s="159"/>
      <c r="U29" s="159"/>
      <c r="W29" s="281"/>
      <c r="X29" s="281"/>
      <c r="Y29" s="281"/>
      <c r="Z29" s="281"/>
      <c r="AA29" s="281"/>
      <c r="AB29" s="281"/>
      <c r="AC29" s="281"/>
      <c r="AD29" s="281"/>
      <c r="AE29" s="281"/>
      <c r="AF29" s="281"/>
      <c r="AG29" s="281"/>
      <c r="AH29" s="281"/>
      <c r="AI29" s="281"/>
      <c r="AJ29" s="281"/>
      <c r="AK29" s="281"/>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row>
    <row r="30" s="2" customFormat="1" ht="15.95" customHeight="1">
      <c r="B30" s="323" t="s">
        <v>47</v>
      </c>
      <c r="C30" s="303" t="s">
        <v>42</v>
      </c>
      <c r="D30" s="307">
        <v>83.90151515151515151515151515</v>
      </c>
      <c r="E30" s="308">
        <v>-10.685483870973504162330904940</v>
      </c>
      <c r="F30" s="308">
        <v>74.526066350710900473933649290</v>
      </c>
      <c r="G30" s="308">
        <v>9.172252738937867618165393670</v>
      </c>
      <c r="H30" s="308">
        <v>112.58009346246287002764137579</v>
      </c>
      <c r="I30" s="308">
        <v>-18.189362325757789796175800610</v>
      </c>
      <c r="J30" s="317">
        <v>231.01459308347568682272159034</v>
      </c>
      <c r="K30" s="308">
        <v>-7.949155130413145487352615690</v>
      </c>
      <c r="L30" s="318">
        <v>259.9800247480571123246496063</v>
      </c>
      <c r="M30" s="308">
        <v>-6.7237305647421792385977826900</v>
      </c>
      <c r="N30" s="308">
        <v>88.85859338897689680949695785</v>
      </c>
      <c r="O30" s="309">
        <v>-1.3137581220657112383566838600</v>
      </c>
      <c r="P30" s="317">
        <v>193.82474381814342663345769795</v>
      </c>
      <c r="Q30" s="308">
        <v>-17.785233312034988667452834430</v>
      </c>
      <c r="R30" s="318">
        <v>193.75288574233166309502914972</v>
      </c>
      <c r="S30" s="308">
        <v>1.8318046132885825296880435500</v>
      </c>
      <c r="T30" s="308">
        <v>100.03708748675826231916552714</v>
      </c>
      <c r="U30" s="309">
        <v>-19.264156222888884922871088190</v>
      </c>
      <c r="W30" s="281"/>
      <c r="X30" s="281"/>
      <c r="Y30" s="281"/>
      <c r="Z30" s="281"/>
      <c r="AA30" s="281"/>
      <c r="AB30" s="281"/>
      <c r="AC30" s="281"/>
      <c r="AD30" s="281"/>
      <c r="AE30" s="281"/>
      <c r="AF30" s="281"/>
      <c r="AG30" s="281"/>
      <c r="AH30" s="281"/>
      <c r="AI30" s="281"/>
      <c r="AJ30" s="281"/>
      <c r="AK30" s="281"/>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c r="BY30" s="0"/>
      <c r="BZ30" s="0"/>
      <c r="CA30" s="0"/>
      <c r="CB30" s="0"/>
      <c r="CC30" s="0"/>
      <c r="CD30" s="0"/>
      <c r="CE30" s="0"/>
      <c r="CF30" s="0"/>
      <c r="CG30" s="0"/>
      <c r="CH30" s="0"/>
      <c r="CI30" s="0"/>
      <c r="CJ30" s="0"/>
      <c r="CK30" s="0"/>
      <c r="CL30" s="0"/>
      <c r="CM30" s="0"/>
      <c r="CN30" s="0"/>
      <c r="CO30" s="0"/>
      <c r="CP30" s="0"/>
      <c r="CQ30" s="0"/>
      <c r="CR30" s="0"/>
      <c r="CS30" s="0"/>
      <c r="CT30" s="0"/>
      <c r="CU30" s="0"/>
      <c r="CV30" s="0"/>
      <c r="CW30" s="0"/>
      <c r="CX30" s="0"/>
      <c r="CY30" s="0"/>
      <c r="CZ30" s="0"/>
      <c r="DA30" s="0"/>
      <c r="DB30" s="0"/>
      <c r="DC30" s="0"/>
      <c r="DD30" s="0"/>
      <c r="DE30" s="0"/>
      <c r="DF30" s="0"/>
      <c r="DG30" s="0"/>
      <c r="DH30" s="0"/>
      <c r="DI30" s="0"/>
      <c r="DJ30" s="0"/>
      <c r="DK30" s="0"/>
      <c r="DL30" s="0"/>
      <c r="DM30" s="0"/>
      <c r="DN30" s="0"/>
      <c r="DO30" s="0"/>
      <c r="DP30" s="0"/>
      <c r="DQ30" s="0"/>
      <c r="DR30" s="0"/>
      <c r="DS30" s="0"/>
      <c r="DT30" s="0"/>
      <c r="DU30" s="0"/>
      <c r="DV30" s="0"/>
      <c r="DW30" s="0"/>
      <c r="DX30" s="0"/>
      <c r="DY30" s="0"/>
      <c r="DZ30" s="0"/>
      <c r="EA30" s="0"/>
      <c r="EB30" s="0"/>
      <c r="EC30" s="0"/>
      <c r="ED30" s="0"/>
      <c r="EE30" s="0"/>
      <c r="EF30" s="0"/>
      <c r="EG30" s="0"/>
      <c r="EH30" s="0"/>
      <c r="EI30" s="0"/>
    </row>
    <row r="31" s="2" customFormat="1" ht="15.95" customHeight="1">
      <c r="B31" s="324"/>
      <c r="C31" s="304" t="s">
        <v>58</v>
      </c>
      <c r="D31" s="310">
        <v>82.61946386946386946386946387</v>
      </c>
      <c r="E31" s="134">
        <v>9.626908950346767930512827170</v>
      </c>
      <c r="F31" s="134">
        <v>70.719625600194493405457971190</v>
      </c>
      <c r="G31" s="134">
        <v>15.627957718593561384848063650</v>
      </c>
      <c r="H31" s="134">
        <v>116.82678346819502378266701941</v>
      </c>
      <c r="I31" s="134">
        <v>-5.1899634713526755638173314500</v>
      </c>
      <c r="J31" s="319">
        <v>224.65726361000478672943208584</v>
      </c>
      <c r="K31" s="134">
        <v>27.424909444701285379463758640</v>
      </c>
      <c r="L31" s="135">
        <v>249.00393019838117837202491426</v>
      </c>
      <c r="M31" s="134">
        <v>29.956511782270249381531299880</v>
      </c>
      <c r="N31" s="134">
        <v>90.22237658297344607726182025</v>
      </c>
      <c r="O31" s="311">
        <v>-1.9480380804394773714466756300</v>
      </c>
      <c r="P31" s="319">
        <v>185.61062673839410628534518631</v>
      </c>
      <c r="Q31" s="134">
        <v>39.691989456958331170909380580</v>
      </c>
      <c r="R31" s="135">
        <v>176.09464716606480282913121558</v>
      </c>
      <c r="S31" s="134">
        <v>50.266060496292450383271588100</v>
      </c>
      <c r="T31" s="134">
        <v>105.40390053044498706668582765</v>
      </c>
      <c r="U31" s="311">
        <v>-7.0368990871754720773994622800</v>
      </c>
      <c r="W31" s="281"/>
      <c r="X31" s="281"/>
      <c r="Y31" s="281"/>
      <c r="Z31" s="281"/>
      <c r="AA31" s="281"/>
      <c r="AB31" s="281"/>
      <c r="AC31" s="281"/>
      <c r="AD31" s="281"/>
      <c r="AE31" s="281"/>
      <c r="AF31" s="281"/>
      <c r="AG31" s="281"/>
      <c r="AH31" s="281"/>
      <c r="AI31" s="281"/>
      <c r="AJ31" s="281"/>
      <c r="AK31" s="281"/>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c r="BY31" s="0"/>
      <c r="BZ31" s="0"/>
      <c r="CA31" s="0"/>
      <c r="CB31" s="0"/>
      <c r="CC31" s="0"/>
      <c r="CD31" s="0"/>
      <c r="CE31" s="0"/>
      <c r="CF31" s="0"/>
      <c r="CG31" s="0"/>
      <c r="CH31" s="0"/>
      <c r="CI31" s="0"/>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c r="DL31" s="0"/>
      <c r="DM31" s="0"/>
      <c r="DN31" s="0"/>
      <c r="DO31" s="0"/>
      <c r="DP31" s="0"/>
      <c r="DQ31" s="0"/>
      <c r="DR31" s="0"/>
      <c r="DS31" s="0"/>
      <c r="DT31" s="0"/>
      <c r="DU31" s="0"/>
      <c r="DV31" s="0"/>
      <c r="DW31" s="0"/>
      <c r="DX31" s="0"/>
      <c r="DY31" s="0"/>
      <c r="DZ31" s="0"/>
      <c r="EA31" s="0"/>
      <c r="EB31" s="0"/>
      <c r="EC31" s="0"/>
      <c r="ED31" s="0"/>
      <c r="EE31" s="0"/>
      <c r="EF31" s="0"/>
      <c r="EG31" s="0"/>
      <c r="EH31" s="0"/>
      <c r="EI31" s="0"/>
    </row>
    <row r="32" s="2" customFormat="1" ht="15.95" customHeight="1">
      <c r="B32" s="324"/>
      <c r="C32" s="305" t="s">
        <v>44</v>
      </c>
      <c r="D32" s="312">
        <v>80.47785547785547785547785548</v>
      </c>
      <c r="E32" s="159">
        <v>6.9713400464759317469869759200</v>
      </c>
      <c r="F32" s="159">
        <v>73.47186778466399319479888200</v>
      </c>
      <c r="G32" s="159">
        <v>22.797418793418106300539643920</v>
      </c>
      <c r="H32" s="159">
        <v>109.53560580994842429254257287</v>
      </c>
      <c r="I32" s="159">
        <v>-12.887957175745362044213681620</v>
      </c>
      <c r="J32" s="320">
        <v>234.24824007234282904891471338</v>
      </c>
      <c r="K32" s="159">
        <v>11.063044878581509028897226640</v>
      </c>
      <c r="L32" s="160">
        <v>258.63763434419371731316861308</v>
      </c>
      <c r="M32" s="159">
        <v>8.207804042497780317334510740</v>
      </c>
      <c r="N32" s="159">
        <v>90.57005206001873256323178239</v>
      </c>
      <c r="O32" s="313">
        <v>2.6386644303131219534124317200</v>
      </c>
      <c r="P32" s="320">
        <v>188.5179601048400040306242536</v>
      </c>
      <c r="Q32" s="159">
        <v>18.805627403057300698765198110</v>
      </c>
      <c r="R32" s="160">
        <v>190.02590074674871975640022296</v>
      </c>
      <c r="S32" s="159">
        <v>32.876390297137755071546397450</v>
      </c>
      <c r="T32" s="159">
        <v>99.20645520640365497777311508</v>
      </c>
      <c r="U32" s="313">
        <v>-10.589362687111239153159267950</v>
      </c>
      <c r="W32" s="281"/>
      <c r="X32" s="281"/>
      <c r="Y32" s="281"/>
      <c r="Z32" s="281"/>
      <c r="AA32" s="281"/>
      <c r="AB32" s="281"/>
      <c r="AC32" s="281"/>
      <c r="AD32" s="281"/>
      <c r="AE32" s="281"/>
      <c r="AF32" s="281"/>
      <c r="AG32" s="281"/>
      <c r="AH32" s="281"/>
      <c r="AI32" s="281"/>
      <c r="AJ32" s="281"/>
      <c r="AK32" s="281"/>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c r="BY32" s="0"/>
      <c r="BZ32" s="0"/>
      <c r="CA32" s="0"/>
      <c r="CB32" s="0"/>
      <c r="CC32" s="0"/>
      <c r="CD32" s="0"/>
      <c r="CE32" s="0"/>
      <c r="CF32" s="0"/>
      <c r="CG32" s="0"/>
      <c r="CH32" s="0"/>
      <c r="CI32" s="0"/>
      <c r="CJ32" s="0"/>
      <c r="CK32" s="0"/>
      <c r="CL32" s="0"/>
      <c r="CM32" s="0"/>
      <c r="CN32" s="0"/>
      <c r="CO32" s="0"/>
      <c r="CP32" s="0"/>
      <c r="CQ32" s="0"/>
      <c r="CR32" s="0"/>
      <c r="CS32" s="0"/>
      <c r="CT32" s="0"/>
      <c r="CU32" s="0"/>
      <c r="CV32" s="0"/>
      <c r="CW32" s="0"/>
      <c r="CX32" s="0"/>
      <c r="CY32" s="0"/>
      <c r="CZ32" s="0"/>
      <c r="DA32" s="0"/>
      <c r="DB32" s="0"/>
      <c r="DC32" s="0"/>
      <c r="DD32" s="0"/>
      <c r="DE32" s="0"/>
      <c r="DF32" s="0"/>
      <c r="DG32" s="0"/>
      <c r="DH32" s="0"/>
      <c r="DI32" s="0"/>
      <c r="DJ32" s="0"/>
      <c r="DK32" s="0"/>
      <c r="DL32" s="0"/>
      <c r="DM32" s="0"/>
      <c r="DN32" s="0"/>
      <c r="DO32" s="0"/>
      <c r="DP32" s="0"/>
      <c r="DQ32" s="0"/>
      <c r="DR32" s="0"/>
      <c r="DS32" s="0"/>
      <c r="DT32" s="0"/>
      <c r="DU32" s="0"/>
      <c r="DV32" s="0"/>
      <c r="DW32" s="0"/>
      <c r="DX32" s="0"/>
      <c r="DY32" s="0"/>
      <c r="DZ32" s="0"/>
      <c r="EA32" s="0"/>
      <c r="EB32" s="0"/>
      <c r="EC32" s="0"/>
      <c r="ED32" s="0"/>
      <c r="EE32" s="0"/>
      <c r="EF32" s="0"/>
      <c r="EG32" s="0"/>
      <c r="EH32" s="0"/>
      <c r="EI32" s="0"/>
    </row>
    <row r="33" s="2" customFormat="1" ht="15.95" customHeight="1">
      <c r="B33" s="325"/>
      <c r="C33" s="306" t="s">
        <v>45</v>
      </c>
      <c r="D33" s="314">
        <v>82.61946386946386946386946387</v>
      </c>
      <c r="E33" s="315">
        <v>9.626908950346767930512827170</v>
      </c>
      <c r="F33" s="315">
        <v>70.719625600194493405457971190</v>
      </c>
      <c r="G33" s="315">
        <v>15.627957718593561384848063650</v>
      </c>
      <c r="H33" s="315">
        <v>116.82678346819502378266701941</v>
      </c>
      <c r="I33" s="315">
        <v>-5.1899634713526755638173314500</v>
      </c>
      <c r="J33" s="321">
        <v>224.65726361000478672943208584</v>
      </c>
      <c r="K33" s="315">
        <v>27.424909444701285379463758640</v>
      </c>
      <c r="L33" s="322">
        <v>249.00393019838117837202491426</v>
      </c>
      <c r="M33" s="315">
        <v>29.956511782270249381531299880</v>
      </c>
      <c r="N33" s="315">
        <v>90.22237658297344607726182025</v>
      </c>
      <c r="O33" s="316">
        <v>-1.9480380804394773714466756300</v>
      </c>
      <c r="P33" s="321">
        <v>185.61062673839410628534518631</v>
      </c>
      <c r="Q33" s="315">
        <v>39.691989456958331170909380580</v>
      </c>
      <c r="R33" s="322">
        <v>176.09464716606480282913121558</v>
      </c>
      <c r="S33" s="315">
        <v>50.266060496292450383271588100</v>
      </c>
      <c r="T33" s="315">
        <v>105.40390053044498706668582765</v>
      </c>
      <c r="U33" s="316">
        <v>-7.0368990871754720773994622800</v>
      </c>
      <c r="W33" s="281"/>
      <c r="X33" s="281"/>
      <c r="Y33" s="281"/>
      <c r="Z33" s="281"/>
      <c r="AA33" s="281"/>
      <c r="AB33" s="281"/>
      <c r="AC33" s="281"/>
      <c r="AD33" s="281"/>
      <c r="AE33" s="281"/>
      <c r="AF33" s="281"/>
      <c r="AG33" s="281"/>
      <c r="AH33" s="281"/>
      <c r="AI33" s="281"/>
      <c r="AJ33" s="281"/>
      <c r="AK33" s="281"/>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c r="BY33" s="0"/>
      <c r="BZ33" s="0"/>
      <c r="CA33" s="0"/>
      <c r="CB33" s="0"/>
      <c r="CC33" s="0"/>
      <c r="CD33" s="0"/>
      <c r="CE33" s="0"/>
      <c r="CF33" s="0"/>
      <c r="CG33" s="0"/>
      <c r="CH33" s="0"/>
      <c r="CI33" s="0"/>
      <c r="CJ33" s="0"/>
      <c r="CK33" s="0"/>
      <c r="CL33" s="0"/>
      <c r="CM33" s="0"/>
      <c r="CN33" s="0"/>
      <c r="CO33" s="0"/>
      <c r="CP33" s="0"/>
      <c r="CQ33" s="0"/>
      <c r="CR33" s="0"/>
      <c r="CS33" s="0"/>
      <c r="CT33" s="0"/>
      <c r="CU33" s="0"/>
      <c r="CV33" s="0"/>
      <c r="CW33" s="0"/>
      <c r="CX33" s="0"/>
      <c r="CY33" s="0"/>
      <c r="CZ33" s="0"/>
      <c r="DA33" s="0"/>
      <c r="DB33" s="0"/>
      <c r="DC33" s="0"/>
      <c r="DD33" s="0"/>
      <c r="DE33" s="0"/>
      <c r="DF33" s="0"/>
      <c r="DG33" s="0"/>
      <c r="DH33" s="0"/>
      <c r="DI33" s="0"/>
      <c r="DJ33" s="0"/>
      <c r="DK33" s="0"/>
      <c r="DL33" s="0"/>
      <c r="DM33" s="0"/>
      <c r="DN33" s="0"/>
      <c r="DO33" s="0"/>
      <c r="DP33" s="0"/>
      <c r="DQ33" s="0"/>
      <c r="DR33" s="0"/>
      <c r="DS33" s="0"/>
      <c r="DT33" s="0"/>
      <c r="DU33" s="0"/>
      <c r="DV33" s="0"/>
      <c r="DW33" s="0"/>
      <c r="DX33" s="0"/>
      <c r="DY33" s="0"/>
      <c r="DZ33" s="0"/>
      <c r="EA33" s="0"/>
      <c r="EB33" s="0"/>
      <c r="EC33" s="0"/>
      <c r="ED33" s="0"/>
      <c r="EE33" s="0"/>
      <c r="EF33" s="0"/>
      <c r="EG33" s="0"/>
      <c r="EH33" s="0"/>
      <c r="EI33" s="0"/>
    </row>
    <row r="34" s="2" customFormat="1" ht="5.1" customHeight="1">
      <c r="B34" s="4"/>
      <c r="C34" s="297"/>
      <c r="D34" s="159"/>
      <c r="E34" s="159"/>
      <c r="F34" s="159"/>
      <c r="G34" s="159"/>
      <c r="H34" s="159"/>
      <c r="I34" s="159"/>
      <c r="J34" s="160"/>
      <c r="K34" s="159"/>
      <c r="L34" s="160"/>
      <c r="M34" s="159"/>
      <c r="N34" s="159"/>
      <c r="O34" s="159"/>
      <c r="P34" s="160"/>
      <c r="Q34" s="159"/>
      <c r="R34" s="160"/>
      <c r="S34" s="159"/>
      <c r="T34" s="159"/>
      <c r="U34" s="159"/>
      <c r="W34" s="281"/>
      <c r="X34" s="281"/>
      <c r="Y34" s="281"/>
      <c r="Z34" s="281"/>
      <c r="AA34" s="281"/>
      <c r="AB34" s="281"/>
      <c r="AC34" s="281"/>
      <c r="AD34" s="281"/>
      <c r="AE34" s="281"/>
      <c r="AF34" s="281"/>
      <c r="AG34" s="281"/>
      <c r="AH34" s="281"/>
      <c r="AI34" s="281"/>
      <c r="AJ34" s="281"/>
      <c r="AK34" s="281"/>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c r="BY34" s="0"/>
      <c r="BZ34" s="0"/>
      <c r="CA34" s="0"/>
      <c r="CB34" s="0"/>
      <c r="CC34" s="0"/>
      <c r="CD34" s="0"/>
      <c r="CE34" s="0"/>
      <c r="CF34" s="0"/>
      <c r="CG34" s="0"/>
      <c r="CH34" s="0"/>
      <c r="CI34" s="0"/>
      <c r="CJ34" s="0"/>
      <c r="CK34" s="0"/>
      <c r="CL34" s="0"/>
      <c r="CM34" s="0"/>
      <c r="CN34" s="0"/>
      <c r="CO34" s="0"/>
      <c r="CP34" s="0"/>
      <c r="CQ34" s="0"/>
      <c r="CR34" s="0"/>
      <c r="CS34" s="0"/>
      <c r="CT34" s="0"/>
      <c r="CU34" s="0"/>
      <c r="CV34" s="0"/>
      <c r="CW34" s="0"/>
      <c r="CX34" s="0"/>
      <c r="CY34" s="0"/>
      <c r="CZ34" s="0"/>
      <c r="DA34" s="0"/>
      <c r="DB34" s="0"/>
      <c r="DC34" s="0"/>
      <c r="DD34" s="0"/>
      <c r="DE34" s="0"/>
      <c r="DF34" s="0"/>
      <c r="DG34" s="0"/>
      <c r="DH34" s="0"/>
      <c r="DI34" s="0"/>
      <c r="DJ34" s="0"/>
      <c r="DK34" s="0"/>
      <c r="DL34" s="0"/>
      <c r="DM34" s="0"/>
      <c r="DN34" s="0"/>
      <c r="DO34" s="0"/>
      <c r="DP34" s="0"/>
      <c r="DQ34" s="0"/>
      <c r="DR34" s="0"/>
      <c r="DS34" s="0"/>
      <c r="DT34" s="0"/>
      <c r="DU34" s="0"/>
      <c r="DV34" s="0"/>
      <c r="DW34" s="0"/>
      <c r="DX34" s="0"/>
      <c r="DY34" s="0"/>
      <c r="DZ34" s="0"/>
      <c r="EA34" s="0"/>
      <c r="EB34" s="0"/>
      <c r="EC34" s="0"/>
      <c r="ED34" s="0"/>
      <c r="EE34" s="0"/>
      <c r="EF34" s="0"/>
      <c r="EG34" s="0"/>
      <c r="EH34" s="0"/>
      <c r="EI34" s="0"/>
    </row>
    <row r="35" s="9" customFormat="1" ht="5.1" customHeight="1">
      <c r="B35" s="4"/>
      <c r="C35" s="297"/>
      <c r="D35" s="159"/>
      <c r="E35" s="159"/>
      <c r="F35" s="159"/>
      <c r="G35" s="159"/>
      <c r="H35" s="159"/>
      <c r="I35" s="159"/>
      <c r="J35" s="160"/>
      <c r="K35" s="159"/>
      <c r="L35" s="160"/>
      <c r="M35" s="159"/>
      <c r="N35" s="159"/>
      <c r="O35" s="159"/>
      <c r="P35" s="160"/>
      <c r="Q35" s="159"/>
      <c r="R35" s="160"/>
      <c r="S35" s="159"/>
      <c r="T35" s="159"/>
      <c r="U35" s="159"/>
      <c r="W35" s="281"/>
      <c r="X35" s="281"/>
      <c r="Y35" s="281"/>
      <c r="Z35" s="281"/>
      <c r="AA35" s="281"/>
      <c r="AB35" s="281"/>
      <c r="AC35" s="281"/>
      <c r="AD35" s="281"/>
      <c r="AE35" s="281"/>
      <c r="AF35" s="281"/>
      <c r="AG35" s="281"/>
      <c r="AH35" s="281"/>
      <c r="AI35" s="281"/>
      <c r="AJ35" s="281"/>
      <c r="AK35" s="281"/>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row>
    <row r="36" s="2" customFormat="1" ht="15.95" customHeight="1">
      <c r="B36" s="323" t="s">
        <v>48</v>
      </c>
      <c r="C36" s="303" t="s">
        <v>42</v>
      </c>
      <c r="D36" s="307">
        <v>89.20454545454545454545454545</v>
      </c>
      <c r="E36" s="308">
        <v>-5.0403225806512877211238289500</v>
      </c>
      <c r="F36" s="308">
        <v>75.868878357030015797788309640</v>
      </c>
      <c r="G36" s="308">
        <v>0.5740803430613534987454753200</v>
      </c>
      <c r="H36" s="308">
        <v>117.57725616397628819561453985</v>
      </c>
      <c r="I36" s="308">
        <v>-5.5823557168126782163782828900</v>
      </c>
      <c r="J36" s="317">
        <v>244.85106293533527672718663272</v>
      </c>
      <c r="K36" s="308">
        <v>-22.820061992499175407465797300</v>
      </c>
      <c r="L36" s="318">
        <v>270.58804278020887053593019053</v>
      </c>
      <c r="M36" s="308">
        <v>-22.698124498350123845933506180</v>
      </c>
      <c r="N36" s="308">
        <v>90.48850068154305001023946082</v>
      </c>
      <c r="O36" s="309">
        <v>-0.1577419608047550261451139100</v>
      </c>
      <c r="P36" s="317">
        <v>218.41827773208885480777443941</v>
      </c>
      <c r="Q36" s="308">
        <v>-26.710179835619176647008851870</v>
      </c>
      <c r="R36" s="318">
        <v>205.2921130255850080171887425</v>
      </c>
      <c r="S36" s="308">
        <v>-22.254349626310709677393124130</v>
      </c>
      <c r="T36" s="308">
        <v>106.39389624522595145630197485</v>
      </c>
      <c r="U36" s="309">
        <v>-5.7312919602284078326373345800</v>
      </c>
      <c r="W36" s="281"/>
      <c r="X36" s="281"/>
      <c r="Y36" s="281"/>
      <c r="Z36" s="281"/>
      <c r="AA36" s="281"/>
      <c r="AB36" s="281"/>
      <c r="AC36" s="281"/>
      <c r="AD36" s="281"/>
      <c r="AE36" s="281"/>
      <c r="AF36" s="281"/>
      <c r="AG36" s="281"/>
      <c r="AH36" s="281"/>
      <c r="AI36" s="281"/>
      <c r="AJ36" s="281"/>
      <c r="AK36" s="281"/>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c r="BY36" s="0"/>
      <c r="BZ36" s="0"/>
      <c r="CA36" s="0"/>
      <c r="CB36" s="0"/>
      <c r="CC36" s="0"/>
      <c r="CD36" s="0"/>
      <c r="CE36" s="0"/>
      <c r="CF36" s="0"/>
      <c r="CG36" s="0"/>
      <c r="CH36" s="0"/>
      <c r="CI36" s="0"/>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c r="DL36" s="0"/>
      <c r="DM36" s="0"/>
      <c r="DN36" s="0"/>
      <c r="DO36" s="0"/>
      <c r="DP36" s="0"/>
      <c r="DQ36" s="0"/>
      <c r="DR36" s="0"/>
      <c r="DS36" s="0"/>
      <c r="DT36" s="0"/>
      <c r="DU36" s="0"/>
      <c r="DV36" s="0"/>
      <c r="DW36" s="0"/>
      <c r="DX36" s="0"/>
      <c r="DY36" s="0"/>
      <c r="DZ36" s="0"/>
      <c r="EA36" s="0"/>
      <c r="EB36" s="0"/>
      <c r="EC36" s="0"/>
      <c r="ED36" s="0"/>
      <c r="EE36" s="0"/>
      <c r="EF36" s="0"/>
      <c r="EG36" s="0"/>
      <c r="EH36" s="0"/>
      <c r="EI36" s="0"/>
    </row>
    <row r="37" s="2" customFormat="1" ht="15.95" customHeight="1">
      <c r="B37" s="324"/>
      <c r="C37" s="304" t="s">
        <v>58</v>
      </c>
      <c r="D37" s="310">
        <v>83.94522144522144522144522145</v>
      </c>
      <c r="E37" s="134">
        <v>7.2000000000130833860465132300</v>
      </c>
      <c r="F37" s="134">
        <v>72.268141485353105627810866660</v>
      </c>
      <c r="G37" s="134">
        <v>13.699194560961013597568877210</v>
      </c>
      <c r="H37" s="134">
        <v>116.15799122519362413702515177</v>
      </c>
      <c r="I37" s="134">
        <v>-5.7161306956504067341309459400</v>
      </c>
      <c r="J37" s="319">
        <v>232.15608003786744266306637709</v>
      </c>
      <c r="K37" s="134">
        <v>27.014060100053927370693989960</v>
      </c>
      <c r="L37" s="135">
        <v>256.11776250311119625900564469</v>
      </c>
      <c r="M37" s="134">
        <v>30.343982176501444869796737290</v>
      </c>
      <c r="N37" s="134">
        <v>90.64427151360010426693649327</v>
      </c>
      <c r="O37" s="311">
        <v>-2.5547186918899054954215468700</v>
      </c>
      <c r="P37" s="319">
        <v>194.88393548633336314460787657</v>
      </c>
      <c r="Q37" s="134">
        <v>36.159072427249619322306111790</v>
      </c>
      <c r="R37" s="135">
        <v>185.09154697486904307255598159</v>
      </c>
      <c r="S37" s="134">
        <v>48.200057893384281282386470180</v>
      </c>
      <c r="T37" s="134">
        <v>105.29056495095440255156408175</v>
      </c>
      <c r="U37" s="311">
        <v>-8.124818328200485794660488400</v>
      </c>
      <c r="W37" s="281"/>
      <c r="X37" s="281"/>
      <c r="Y37" s="281"/>
      <c r="Z37" s="281"/>
      <c r="AA37" s="281"/>
      <c r="AB37" s="281"/>
      <c r="AC37" s="281"/>
      <c r="AD37" s="281"/>
      <c r="AE37" s="281"/>
      <c r="AF37" s="281"/>
      <c r="AG37" s="281"/>
      <c r="AH37" s="281"/>
      <c r="AI37" s="281"/>
      <c r="AJ37" s="281"/>
      <c r="AK37" s="281"/>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c r="BY37" s="0"/>
      <c r="BZ37" s="0"/>
      <c r="CA37" s="0"/>
      <c r="CB37" s="0"/>
      <c r="CC37" s="0"/>
      <c r="CD37" s="0"/>
      <c r="CE37" s="0"/>
      <c r="CF37" s="0"/>
      <c r="CG37" s="0"/>
      <c r="CH37" s="0"/>
      <c r="CI37" s="0"/>
      <c r="CJ37" s="0"/>
      <c r="CK37" s="0"/>
      <c r="CL37" s="0"/>
      <c r="CM37" s="0"/>
      <c r="CN37" s="0"/>
      <c r="CO37" s="0"/>
      <c r="CP37" s="0"/>
      <c r="CQ37" s="0"/>
      <c r="CR37" s="0"/>
      <c r="CS37" s="0"/>
      <c r="CT37" s="0"/>
      <c r="CU37" s="0"/>
      <c r="CV37" s="0"/>
      <c r="CW37" s="0"/>
      <c r="CX37" s="0"/>
      <c r="CY37" s="0"/>
      <c r="CZ37" s="0"/>
      <c r="DA37" s="0"/>
      <c r="DB37" s="0"/>
      <c r="DC37" s="0"/>
      <c r="DD37" s="0"/>
      <c r="DE37" s="0"/>
      <c r="DF37" s="0"/>
      <c r="DG37" s="0"/>
      <c r="DH37" s="0"/>
      <c r="DI37" s="0"/>
      <c r="DJ37" s="0"/>
      <c r="DK37" s="0"/>
      <c r="DL37" s="0"/>
      <c r="DM37" s="0"/>
      <c r="DN37" s="0"/>
      <c r="DO37" s="0"/>
      <c r="DP37" s="0"/>
      <c r="DQ37" s="0"/>
      <c r="DR37" s="0"/>
      <c r="DS37" s="0"/>
      <c r="DT37" s="0"/>
      <c r="DU37" s="0"/>
      <c r="DV37" s="0"/>
      <c r="DW37" s="0"/>
      <c r="DX37" s="0"/>
      <c r="DY37" s="0"/>
      <c r="DZ37" s="0"/>
      <c r="EA37" s="0"/>
      <c r="EB37" s="0"/>
      <c r="EC37" s="0"/>
      <c r="ED37" s="0"/>
      <c r="EE37" s="0"/>
      <c r="EF37" s="0"/>
      <c r="EG37" s="0"/>
      <c r="EH37" s="0"/>
      <c r="EI37" s="0"/>
    </row>
    <row r="38" s="2" customFormat="1" ht="15.95" customHeight="1">
      <c r="B38" s="324"/>
      <c r="C38" s="305" t="s">
        <v>44</v>
      </c>
      <c r="D38" s="312">
        <v>82.28438228438228438228438228</v>
      </c>
      <c r="E38" s="159">
        <v>2.7656477438522758910013302500</v>
      </c>
      <c r="F38" s="159">
        <v>75.598493134038157734840199300</v>
      </c>
      <c r="G38" s="159">
        <v>17.717243579841328749484452310</v>
      </c>
      <c r="H38" s="159">
        <v>108.84394499574402638950406977</v>
      </c>
      <c r="I38" s="159">
        <v>-12.701279252951806225206811370</v>
      </c>
      <c r="J38" s="320">
        <v>246.36729298025376956862545432</v>
      </c>
      <c r="K38" s="159">
        <v>8.530691971070142219303946750</v>
      </c>
      <c r="L38" s="160">
        <v>274.95875583469872215312505232</v>
      </c>
      <c r="M38" s="159">
        <v>8.141636016640208220404066500</v>
      </c>
      <c r="N38" s="159">
        <v>89.60154486892031299303330122</v>
      </c>
      <c r="O38" s="313">
        <v>0.3597651827434031047955945800</v>
      </c>
      <c r="P38" s="320">
        <v>202.721805179556132069288544</v>
      </c>
      <c r="Q38" s="159">
        <v>11.532268604900548082275949230</v>
      </c>
      <c r="R38" s="160">
        <v>207.86467615113145588948729499</v>
      </c>
      <c r="S38" s="159">
        <v>27.301353080950484365017047220</v>
      </c>
      <c r="T38" s="159">
        <v>97.52585621243051577089800225</v>
      </c>
      <c r="U38" s="313">
        <v>-12.387208850832130752751526190</v>
      </c>
      <c r="W38" s="281"/>
      <c r="X38" s="281"/>
      <c r="Y38" s="281"/>
      <c r="Z38" s="281"/>
      <c r="AA38" s="281"/>
      <c r="AB38" s="281"/>
      <c r="AC38" s="281"/>
      <c r="AD38" s="281"/>
      <c r="AE38" s="281"/>
      <c r="AF38" s="281"/>
      <c r="AG38" s="281"/>
      <c r="AH38" s="281"/>
      <c r="AI38" s="281"/>
      <c r="AJ38" s="281"/>
      <c r="AK38" s="281"/>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c r="BY38" s="0"/>
      <c r="BZ38" s="0"/>
      <c r="CA38" s="0"/>
      <c r="CB38" s="0"/>
      <c r="CC38" s="0"/>
      <c r="CD38" s="0"/>
      <c r="CE38" s="0"/>
      <c r="CF38" s="0"/>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c r="DQ38" s="0"/>
      <c r="DR38" s="0"/>
      <c r="DS38" s="0"/>
      <c r="DT38" s="0"/>
      <c r="DU38" s="0"/>
      <c r="DV38" s="0"/>
      <c r="DW38" s="0"/>
      <c r="DX38" s="0"/>
      <c r="DY38" s="0"/>
      <c r="DZ38" s="0"/>
      <c r="EA38" s="0"/>
      <c r="EB38" s="0"/>
      <c r="EC38" s="0"/>
      <c r="ED38" s="0"/>
      <c r="EE38" s="0"/>
      <c r="EF38" s="0"/>
      <c r="EG38" s="0"/>
      <c r="EH38" s="0"/>
      <c r="EI38" s="0"/>
    </row>
    <row r="39" s="2" customFormat="1" ht="15.95" customHeight="1">
      <c r="B39" s="325"/>
      <c r="C39" s="306" t="s">
        <v>45</v>
      </c>
      <c r="D39" s="314">
        <v>83.94522144522144522144522145</v>
      </c>
      <c r="E39" s="315">
        <v>7.2000000000130833860465132300</v>
      </c>
      <c r="F39" s="315">
        <v>72.268141485353105627810866660</v>
      </c>
      <c r="G39" s="315">
        <v>13.699194560961013597568877210</v>
      </c>
      <c r="H39" s="315">
        <v>116.15799122519362413702515177</v>
      </c>
      <c r="I39" s="315">
        <v>-5.7161306956504067341309459400</v>
      </c>
      <c r="J39" s="321">
        <v>232.15608003786744266306637709</v>
      </c>
      <c r="K39" s="315">
        <v>27.014060100053927370693989960</v>
      </c>
      <c r="L39" s="322">
        <v>256.11776250311119625900564469</v>
      </c>
      <c r="M39" s="315">
        <v>30.343982176501444869796737290</v>
      </c>
      <c r="N39" s="315">
        <v>90.64427151360010426693649327</v>
      </c>
      <c r="O39" s="316">
        <v>-2.5547186918899054954215468700</v>
      </c>
      <c r="P39" s="321">
        <v>194.88393548633336314460787657</v>
      </c>
      <c r="Q39" s="315">
        <v>36.159072427249619322306111790</v>
      </c>
      <c r="R39" s="322">
        <v>185.09154697486904307255598159</v>
      </c>
      <c r="S39" s="315">
        <v>48.200057893384281282386470180</v>
      </c>
      <c r="T39" s="315">
        <v>105.29056495095440255156408175</v>
      </c>
      <c r="U39" s="316">
        <v>-8.124818328200485794660488400</v>
      </c>
      <c r="W39" s="281"/>
      <c r="X39" s="281"/>
      <c r="Y39" s="281"/>
      <c r="Z39" s="281"/>
      <c r="AA39" s="281"/>
      <c r="AB39" s="281"/>
      <c r="AC39" s="281"/>
      <c r="AD39" s="281"/>
      <c r="AE39" s="281"/>
      <c r="AF39" s="281"/>
      <c r="AG39" s="281"/>
      <c r="AH39" s="281"/>
      <c r="AI39" s="281"/>
      <c r="AJ39" s="281"/>
      <c r="AK39" s="281"/>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c r="DS39" s="0"/>
      <c r="DT39" s="0"/>
      <c r="DU39" s="0"/>
      <c r="DV39" s="0"/>
      <c r="DW39" s="0"/>
      <c r="DX39" s="0"/>
      <c r="DY39" s="0"/>
      <c r="DZ39" s="0"/>
      <c r="EA39" s="0"/>
      <c r="EB39" s="0"/>
      <c r="EC39" s="0"/>
      <c r="ED39" s="0"/>
      <c r="EE39" s="0"/>
      <c r="EF39" s="0"/>
      <c r="EG39" s="0"/>
      <c r="EH39" s="0"/>
      <c r="EI39" s="0"/>
    </row>
    <row r="40" s="2" customFormat="1" ht="5.1" customHeight="1">
      <c r="B40" s="4"/>
      <c r="C40" s="297"/>
      <c r="D40" s="159"/>
      <c r="E40" s="159"/>
      <c r="F40" s="159"/>
      <c r="G40" s="159"/>
      <c r="H40" s="159"/>
      <c r="I40" s="159"/>
      <c r="J40" s="160"/>
      <c r="K40" s="159"/>
      <c r="L40" s="160"/>
      <c r="M40" s="159"/>
      <c r="N40" s="159"/>
      <c r="O40" s="159"/>
      <c r="P40" s="160"/>
      <c r="Q40" s="159"/>
      <c r="R40" s="160"/>
      <c r="S40" s="159"/>
      <c r="T40" s="159"/>
      <c r="U40" s="159"/>
      <c r="W40" s="281"/>
      <c r="X40" s="281"/>
      <c r="Y40" s="281"/>
      <c r="Z40" s="281"/>
      <c r="AA40" s="281"/>
      <c r="AB40" s="281"/>
      <c r="AC40" s="281"/>
      <c r="AD40" s="281"/>
      <c r="AE40" s="281"/>
      <c r="AF40" s="281"/>
      <c r="AG40" s="281"/>
      <c r="AH40" s="281"/>
      <c r="AI40" s="281"/>
      <c r="AJ40" s="281"/>
      <c r="AK40" s="281"/>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c r="BY40" s="0"/>
      <c r="BZ40" s="0"/>
      <c r="CA40" s="0"/>
      <c r="CB40" s="0"/>
      <c r="CC40" s="0"/>
      <c r="CD40" s="0"/>
      <c r="CE40" s="0"/>
      <c r="CF40" s="0"/>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c r="DQ40" s="0"/>
      <c r="DR40" s="0"/>
      <c r="DS40" s="0"/>
      <c r="DT40" s="0"/>
      <c r="DU40" s="0"/>
      <c r="DV40" s="0"/>
      <c r="DW40" s="0"/>
      <c r="DX40" s="0"/>
      <c r="DY40" s="0"/>
      <c r="DZ40" s="0"/>
      <c r="EA40" s="0"/>
      <c r="EB40" s="0"/>
      <c r="EC40" s="0"/>
      <c r="ED40" s="0"/>
      <c r="EE40" s="0"/>
      <c r="EF40" s="0"/>
      <c r="EG40" s="0"/>
      <c r="EH40" s="0"/>
      <c r="EI40" s="0"/>
    </row>
    <row r="41" s="9" customFormat="1" ht="5.1" customHeight="1">
      <c r="B41" s="4"/>
      <c r="C41" s="297"/>
      <c r="D41" s="159"/>
      <c r="E41" s="159"/>
      <c r="F41" s="159"/>
      <c r="G41" s="159"/>
      <c r="H41" s="159"/>
      <c r="I41" s="159"/>
      <c r="J41" s="160"/>
      <c r="K41" s="159"/>
      <c r="L41" s="160"/>
      <c r="M41" s="159"/>
      <c r="N41" s="159"/>
      <c r="O41" s="159"/>
      <c r="P41" s="160"/>
      <c r="Q41" s="159"/>
      <c r="R41" s="160"/>
      <c r="S41" s="159"/>
      <c r="T41" s="159"/>
      <c r="U41" s="159"/>
      <c r="W41" s="281"/>
      <c r="X41" s="281"/>
      <c r="Y41" s="281"/>
      <c r="Z41" s="281"/>
      <c r="AA41" s="281"/>
      <c r="AB41" s="281"/>
      <c r="AC41" s="281"/>
      <c r="AD41" s="281"/>
      <c r="AE41" s="281"/>
      <c r="AF41" s="281"/>
      <c r="AG41" s="281"/>
      <c r="AH41" s="281"/>
      <c r="AI41" s="281"/>
      <c r="AJ41" s="281"/>
      <c r="AK41" s="281"/>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row>
    <row r="42" s="2" customFormat="1" ht="15.95" customHeight="1">
      <c r="B42" s="323" t="s">
        <v>49</v>
      </c>
      <c r="C42" s="303" t="s">
        <v>42</v>
      </c>
      <c r="D42" s="307">
        <v>92.87878787878787878787878788</v>
      </c>
      <c r="E42" s="308">
        <v>-1.9200000000313855999999899600</v>
      </c>
      <c r="F42" s="308">
        <v>83.66508688783570300157977883</v>
      </c>
      <c r="G42" s="308">
        <v>9.984728804591857091451657380</v>
      </c>
      <c r="H42" s="308">
        <v>111.01259956060765883728846310</v>
      </c>
      <c r="I42" s="308">
        <v>-10.823983414763133500659100670</v>
      </c>
      <c r="J42" s="317">
        <v>387.49858484936752928351438069</v>
      </c>
      <c r="K42" s="308">
        <v>4.4959248430129363287603234500</v>
      </c>
      <c r="L42" s="318">
        <v>386.03980148005590819581585015</v>
      </c>
      <c r="M42" s="308">
        <v>-0.1709242114663309659569748900</v>
      </c>
      <c r="N42" s="308">
        <v>100.37788418802270268935751137</v>
      </c>
      <c r="O42" s="309">
        <v>4.6748394870434260883943080600</v>
      </c>
      <c r="P42" s="317">
        <v>359.90398865554893250120350812</v>
      </c>
      <c r="Q42" s="308">
        <v>2.4896030860228869517230677900</v>
      </c>
      <c r="R42" s="318">
        <v>322.98053532991723377646773182</v>
      </c>
      <c r="S42" s="308">
        <v>9.796738274198708692969530180</v>
      </c>
      <c r="T42" s="308">
        <v>111.43209862103127643603083609</v>
      </c>
      <c r="U42" s="309">
        <v>-6.6551477785253313716912542100</v>
      </c>
      <c r="W42" s="281"/>
      <c r="X42" s="281"/>
      <c r="Y42" s="281"/>
      <c r="Z42" s="281"/>
      <c r="AA42" s="281"/>
      <c r="AB42" s="281"/>
      <c r="AC42" s="281"/>
      <c r="AD42" s="281"/>
      <c r="AE42" s="281"/>
      <c r="AF42" s="281"/>
      <c r="AG42" s="281"/>
      <c r="AH42" s="281"/>
      <c r="AI42" s="281"/>
      <c r="AJ42" s="281"/>
      <c r="AK42" s="281"/>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c r="BY42" s="0"/>
      <c r="BZ42" s="0"/>
      <c r="CA42" s="0"/>
      <c r="CB42" s="0"/>
      <c r="CC42" s="0"/>
      <c r="CD42" s="0"/>
      <c r="CE42" s="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c r="DS42" s="0"/>
      <c r="DT42" s="0"/>
      <c r="DU42" s="0"/>
      <c r="DV42" s="0"/>
      <c r="DW42" s="0"/>
      <c r="DX42" s="0"/>
      <c r="DY42" s="0"/>
      <c r="DZ42" s="0"/>
      <c r="EA42" s="0"/>
      <c r="EB42" s="0"/>
      <c r="EC42" s="0"/>
      <c r="ED42" s="0"/>
      <c r="EE42" s="0"/>
      <c r="EF42" s="0"/>
      <c r="EG42" s="0"/>
      <c r="EH42" s="0"/>
      <c r="EI42" s="0"/>
    </row>
    <row r="43" s="2" customFormat="1" ht="15.95" customHeight="1">
      <c r="B43" s="324"/>
      <c r="C43" s="304" t="s">
        <v>58</v>
      </c>
      <c r="D43" s="310">
        <v>86.97552447552447552447552448</v>
      </c>
      <c r="E43" s="134">
        <v>2.6302217638000053727390943800</v>
      </c>
      <c r="F43" s="134">
        <v>77.974960495928041813540780360</v>
      </c>
      <c r="G43" s="134">
        <v>8.877898008453822650822092350</v>
      </c>
      <c r="H43" s="134">
        <v>111.54289007956308489279402836</v>
      </c>
      <c r="I43" s="134">
        <v>-5.7382410562034668638016222100</v>
      </c>
      <c r="J43" s="319">
        <v>265.8904740386776050266619367</v>
      </c>
      <c r="K43" s="134">
        <v>24.809488475657247619919783290</v>
      </c>
      <c r="L43" s="135">
        <v>288.03770249376135799261738786</v>
      </c>
      <c r="M43" s="134">
        <v>24.105532635738908462783074930</v>
      </c>
      <c r="N43" s="134">
        <v>92.31099669821900722248383965</v>
      </c>
      <c r="O43" s="311">
        <v>0.567223575718017311110775600</v>
      </c>
      <c r="P43" s="319">
        <v>231.25963432559809178455299564</v>
      </c>
      <c r="Q43" s="134">
        <v>28.092254804832950242832674720</v>
      </c>
      <c r="R43" s="135">
        <v>224.59728473288915905222323364</v>
      </c>
      <c r="S43" s="134">
        <v>35.123495245967911766730303110</v>
      </c>
      <c r="T43" s="134">
        <v>102.96635357841535003083425322</v>
      </c>
      <c r="U43" s="311">
        <v>-5.2035661365855689383448434900</v>
      </c>
      <c r="W43" s="281"/>
      <c r="X43" s="281"/>
      <c r="Y43" s="281"/>
      <c r="Z43" s="281"/>
      <c r="AA43" s="281"/>
      <c r="AB43" s="281"/>
      <c r="AC43" s="281"/>
      <c r="AD43" s="281"/>
      <c r="AE43" s="281"/>
      <c r="AF43" s="281"/>
      <c r="AG43" s="281"/>
      <c r="AH43" s="281"/>
      <c r="AI43" s="281"/>
      <c r="AJ43" s="281"/>
      <c r="AK43" s="281"/>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c r="BY43" s="0"/>
      <c r="BZ43" s="0"/>
      <c r="CA43" s="0"/>
      <c r="CB43" s="0"/>
      <c r="CC43" s="0"/>
      <c r="CD43" s="0"/>
      <c r="CE43" s="0"/>
      <c r="CF43" s="0"/>
      <c r="CG43" s="0"/>
      <c r="CH43" s="0"/>
      <c r="CI43" s="0"/>
      <c r="CJ43" s="0"/>
      <c r="CK43" s="0"/>
      <c r="CL43" s="0"/>
      <c r="CM43" s="0"/>
      <c r="CN43" s="0"/>
      <c r="CO43" s="0"/>
      <c r="CP43" s="0"/>
      <c r="CQ43" s="0"/>
      <c r="CR43" s="0"/>
      <c r="CS43" s="0"/>
      <c r="CT43" s="0"/>
      <c r="CU43" s="0"/>
      <c r="CV43" s="0"/>
      <c r="CW43" s="0"/>
      <c r="CX43" s="0"/>
      <c r="CY43" s="0"/>
      <c r="CZ43" s="0"/>
      <c r="DA43" s="0"/>
      <c r="DB43" s="0"/>
      <c r="DC43" s="0"/>
      <c r="DD43" s="0"/>
      <c r="DE43" s="0"/>
      <c r="DF43" s="0"/>
      <c r="DG43" s="0"/>
      <c r="DH43" s="0"/>
      <c r="DI43" s="0"/>
      <c r="DJ43" s="0"/>
      <c r="DK43" s="0"/>
      <c r="DL43" s="0"/>
      <c r="DM43" s="0"/>
      <c r="DN43" s="0"/>
      <c r="DO43" s="0"/>
      <c r="DP43" s="0"/>
      <c r="DQ43" s="0"/>
      <c r="DR43" s="0"/>
      <c r="DS43" s="0"/>
      <c r="DT43" s="0"/>
      <c r="DU43" s="0"/>
      <c r="DV43" s="0"/>
      <c r="DW43" s="0"/>
      <c r="DX43" s="0"/>
      <c r="DY43" s="0"/>
      <c r="DZ43" s="0"/>
      <c r="EA43" s="0"/>
      <c r="EB43" s="0"/>
      <c r="EC43" s="0"/>
      <c r="ED43" s="0"/>
      <c r="EE43" s="0"/>
      <c r="EF43" s="0"/>
      <c r="EG43" s="0"/>
      <c r="EH43" s="0"/>
      <c r="EI43" s="0"/>
    </row>
    <row r="44" s="2" customFormat="1" ht="15.95" customHeight="1">
      <c r="B44" s="324"/>
      <c r="C44" s="305" t="s">
        <v>44</v>
      </c>
      <c r="D44" s="312">
        <v>87.06293706293706293706293706</v>
      </c>
      <c r="E44" s="159">
        <v>-0.5326231690652083950205579200</v>
      </c>
      <c r="F44" s="159">
        <v>81.01834973872888564831692794</v>
      </c>
      <c r="G44" s="159">
        <v>16.228318101979306517244244160</v>
      </c>
      <c r="H44" s="159">
        <v>107.46076332550840335135977839</v>
      </c>
      <c r="I44" s="159">
        <v>-14.42070361575810060927799800</v>
      </c>
      <c r="J44" s="320">
        <v>275.21901905414952341747431474</v>
      </c>
      <c r="K44" s="159">
        <v>6.0215859067478079513468092900</v>
      </c>
      <c r="L44" s="160">
        <v>297.91017693977262803927223882</v>
      </c>
      <c r="M44" s="159">
        <v>6.5863815638055502491322982400</v>
      </c>
      <c r="N44" s="159">
        <v>92.38322164125471378089565985</v>
      </c>
      <c r="O44" s="313">
        <v>-0.5298947659504856119958698700</v>
      </c>
      <c r="P44" s="320">
        <v>239.61376134434696269563323206</v>
      </c>
      <c r="Q44" s="159">
        <v>5.4568903759411411006727405400</v>
      </c>
      <c r="R44" s="160">
        <v>241.36190906033103793144100331</v>
      </c>
      <c r="S44" s="159">
        <v>23.883558617289225201910416730</v>
      </c>
      <c r="T44" s="159">
        <v>99.27571516037508074810887345</v>
      </c>
      <c r="U44" s="313">
        <v>-14.874183827968868621114336260</v>
      </c>
      <c r="W44" s="281"/>
      <c r="X44" s="281"/>
      <c r="Y44" s="281"/>
      <c r="Z44" s="281"/>
      <c r="AA44" s="281"/>
      <c r="AB44" s="281"/>
      <c r="AC44" s="281"/>
      <c r="AD44" s="281"/>
      <c r="AE44" s="281"/>
      <c r="AF44" s="281"/>
      <c r="AG44" s="281"/>
      <c r="AH44" s="281"/>
      <c r="AI44" s="281"/>
      <c r="AJ44" s="281"/>
      <c r="AK44" s="281"/>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c r="BY44" s="0"/>
      <c r="BZ44" s="0"/>
      <c r="CA44" s="0"/>
      <c r="CB44" s="0"/>
      <c r="CC44" s="0"/>
      <c r="CD44" s="0"/>
      <c r="CE44" s="0"/>
      <c r="CF44" s="0"/>
      <c r="CG44" s="0"/>
      <c r="CH44" s="0"/>
      <c r="CI44" s="0"/>
      <c r="CJ44" s="0"/>
      <c r="CK44" s="0"/>
      <c r="CL44" s="0"/>
      <c r="CM44" s="0"/>
      <c r="CN44" s="0"/>
      <c r="CO44" s="0"/>
      <c r="CP44" s="0"/>
      <c r="CQ44" s="0"/>
      <c r="CR44" s="0"/>
      <c r="CS44" s="0"/>
      <c r="CT44" s="0"/>
      <c r="CU44" s="0"/>
      <c r="CV44" s="0"/>
      <c r="CW44" s="0"/>
      <c r="CX44" s="0"/>
      <c r="CY44" s="0"/>
      <c r="CZ44" s="0"/>
      <c r="DA44" s="0"/>
      <c r="DB44" s="0"/>
      <c r="DC44" s="0"/>
      <c r="DD44" s="0"/>
      <c r="DE44" s="0"/>
      <c r="DF44" s="0"/>
      <c r="DG44" s="0"/>
      <c r="DH44" s="0"/>
      <c r="DI44" s="0"/>
      <c r="DJ44" s="0"/>
      <c r="DK44" s="0"/>
      <c r="DL44" s="0"/>
      <c r="DM44" s="0"/>
      <c r="DN44" s="0"/>
      <c r="DO44" s="0"/>
      <c r="DP44" s="0"/>
      <c r="DQ44" s="0"/>
      <c r="DR44" s="0"/>
      <c r="DS44" s="0"/>
      <c r="DT44" s="0"/>
      <c r="DU44" s="0"/>
      <c r="DV44" s="0"/>
      <c r="DW44" s="0"/>
      <c r="DX44" s="0"/>
      <c r="DY44" s="0"/>
      <c r="DZ44" s="0"/>
      <c r="EA44" s="0"/>
      <c r="EB44" s="0"/>
      <c r="EC44" s="0"/>
      <c r="ED44" s="0"/>
      <c r="EE44" s="0"/>
      <c r="EF44" s="0"/>
      <c r="EG44" s="0"/>
      <c r="EH44" s="0"/>
      <c r="EI44" s="0"/>
    </row>
    <row r="45" s="2" customFormat="1" ht="15.95" customHeight="1">
      <c r="B45" s="325"/>
      <c r="C45" s="306" t="s">
        <v>45</v>
      </c>
      <c r="D45" s="314">
        <v>86.97552447552447552447552448</v>
      </c>
      <c r="E45" s="315">
        <v>2.6302217638000053727390943800</v>
      </c>
      <c r="F45" s="315">
        <v>77.974960495928041813540780360</v>
      </c>
      <c r="G45" s="315">
        <v>8.877898008453822650822092350</v>
      </c>
      <c r="H45" s="315">
        <v>111.54289007956308489279402836</v>
      </c>
      <c r="I45" s="315">
        <v>-5.7382410562034668638016222100</v>
      </c>
      <c r="J45" s="321">
        <v>265.8904740386776050266619367</v>
      </c>
      <c r="K45" s="315">
        <v>24.809488475657247619919783290</v>
      </c>
      <c r="L45" s="322">
        <v>288.03770249376135799261738786</v>
      </c>
      <c r="M45" s="315">
        <v>24.105532635738908462783074930</v>
      </c>
      <c r="N45" s="315">
        <v>92.31099669821900722248383965</v>
      </c>
      <c r="O45" s="316">
        <v>0.567223575718017311110775600</v>
      </c>
      <c r="P45" s="321">
        <v>231.25963432559809178455299564</v>
      </c>
      <c r="Q45" s="315">
        <v>28.092254804832950242832674720</v>
      </c>
      <c r="R45" s="322">
        <v>224.59728473288915905222323364</v>
      </c>
      <c r="S45" s="315">
        <v>35.123495245967911766730303110</v>
      </c>
      <c r="T45" s="315">
        <v>102.96635357841535003083425322</v>
      </c>
      <c r="U45" s="316">
        <v>-5.2035661365855689383448434900</v>
      </c>
      <c r="W45" s="281"/>
      <c r="X45" s="281"/>
      <c r="Y45" s="281"/>
      <c r="Z45" s="281"/>
      <c r="AA45" s="281"/>
      <c r="AB45" s="281"/>
      <c r="AC45" s="281"/>
      <c r="AD45" s="281"/>
      <c r="AE45" s="281"/>
      <c r="AF45" s="281"/>
      <c r="AG45" s="281"/>
      <c r="AH45" s="281"/>
      <c r="AI45" s="281"/>
      <c r="AJ45" s="281"/>
      <c r="AK45" s="281"/>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c r="BY45" s="0"/>
      <c r="BZ45" s="0"/>
      <c r="CA45" s="0"/>
      <c r="CB45" s="0"/>
      <c r="CC45" s="0"/>
      <c r="CD45" s="0"/>
      <c r="CE45" s="0"/>
      <c r="CF45" s="0"/>
      <c r="CG45" s="0"/>
      <c r="CH45" s="0"/>
      <c r="CI45" s="0"/>
      <c r="CJ45" s="0"/>
      <c r="CK45" s="0"/>
      <c r="CL45" s="0"/>
      <c r="CM45" s="0"/>
      <c r="CN45" s="0"/>
      <c r="CO45" s="0"/>
      <c r="CP45" s="0"/>
      <c r="CQ45" s="0"/>
      <c r="CR45" s="0"/>
      <c r="CS45" s="0"/>
      <c r="CT45" s="0"/>
      <c r="CU45" s="0"/>
      <c r="CV45" s="0"/>
      <c r="CW45" s="0"/>
      <c r="CX45" s="0"/>
      <c r="CY45" s="0"/>
      <c r="CZ45" s="0"/>
      <c r="DA45" s="0"/>
      <c r="DB45" s="0"/>
      <c r="DC45" s="0"/>
      <c r="DD45" s="0"/>
      <c r="DE45" s="0"/>
      <c r="DF45" s="0"/>
      <c r="DG45" s="0"/>
      <c r="DH45" s="0"/>
      <c r="DI45" s="0"/>
      <c r="DJ45" s="0"/>
      <c r="DK45" s="0"/>
      <c r="DL45" s="0"/>
      <c r="DM45" s="0"/>
      <c r="DN45" s="0"/>
      <c r="DO45" s="0"/>
      <c r="DP45" s="0"/>
      <c r="DQ45" s="0"/>
      <c r="DR45" s="0"/>
      <c r="DS45" s="0"/>
      <c r="DT45" s="0"/>
      <c r="DU45" s="0"/>
      <c r="DV45" s="0"/>
      <c r="DW45" s="0"/>
      <c r="DX45" s="0"/>
      <c r="DY45" s="0"/>
      <c r="DZ45" s="0"/>
      <c r="EA45" s="0"/>
      <c r="EB45" s="0"/>
      <c r="EC45" s="0"/>
      <c r="ED45" s="0"/>
      <c r="EE45" s="0"/>
      <c r="EF45" s="0"/>
      <c r="EG45" s="0"/>
      <c r="EH45" s="0"/>
      <c r="EI45" s="0"/>
    </row>
    <row r="46" s="2" customFormat="1" ht="5.1" customHeight="1">
      <c r="A46" s="4"/>
      <c r="B46" s="4"/>
      <c r="C46" s="297"/>
      <c r="D46" s="159"/>
      <c r="E46" s="159"/>
      <c r="F46" s="159"/>
      <c r="G46" s="159"/>
      <c r="H46" s="159"/>
      <c r="I46" s="159"/>
      <c r="J46" s="160"/>
      <c r="K46" s="159"/>
      <c r="L46" s="160"/>
      <c r="M46" s="159"/>
      <c r="N46" s="159"/>
      <c r="O46" s="159"/>
      <c r="P46" s="160"/>
      <c r="Q46" s="159"/>
      <c r="R46" s="160"/>
      <c r="S46" s="159"/>
      <c r="T46" s="159"/>
      <c r="U46" s="159"/>
      <c r="W46" s="281"/>
      <c r="X46" s="281"/>
      <c r="Y46" s="281"/>
      <c r="Z46" s="281"/>
      <c r="AA46" s="281"/>
      <c r="AB46" s="281"/>
      <c r="AC46" s="281"/>
      <c r="AD46" s="281"/>
      <c r="AE46" s="281"/>
      <c r="AF46" s="281"/>
      <c r="AG46" s="281"/>
      <c r="AH46" s="281"/>
      <c r="AI46" s="281"/>
      <c r="AJ46" s="281"/>
      <c r="AK46" s="281"/>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c r="BY46" s="0"/>
      <c r="BZ46" s="0"/>
      <c r="CA46" s="0"/>
      <c r="CB46" s="0"/>
      <c r="CC46" s="0"/>
      <c r="CD46" s="0"/>
      <c r="CE46" s="0"/>
      <c r="CF46" s="0"/>
      <c r="CG46" s="0"/>
      <c r="CH46" s="0"/>
      <c r="CI46" s="0"/>
      <c r="CJ46" s="0"/>
      <c r="CK46" s="0"/>
      <c r="CL46" s="0"/>
      <c r="CM46" s="0"/>
      <c r="CN46" s="0"/>
      <c r="CO46" s="0"/>
      <c r="CP46" s="0"/>
      <c r="CQ46" s="0"/>
      <c r="CR46" s="0"/>
      <c r="CS46" s="0"/>
      <c r="CT46" s="0"/>
      <c r="CU46" s="0"/>
      <c r="CV46" s="0"/>
      <c r="CW46" s="0"/>
      <c r="CX46" s="0"/>
      <c r="CY46" s="0"/>
      <c r="CZ46" s="0"/>
      <c r="DA46" s="0"/>
      <c r="DB46" s="0"/>
      <c r="DC46" s="0"/>
      <c r="DD46" s="0"/>
      <c r="DE46" s="0"/>
      <c r="DF46" s="0"/>
      <c r="DG46" s="0"/>
      <c r="DH46" s="0"/>
      <c r="DI46" s="0"/>
      <c r="DJ46" s="0"/>
      <c r="DK46" s="0"/>
      <c r="DL46" s="0"/>
      <c r="DM46" s="0"/>
      <c r="DN46" s="0"/>
      <c r="DO46" s="0"/>
      <c r="DP46" s="0"/>
      <c r="DQ46" s="0"/>
      <c r="DR46" s="0"/>
      <c r="DS46" s="0"/>
      <c r="DT46" s="0"/>
      <c r="DU46" s="0"/>
      <c r="DV46" s="0"/>
      <c r="DW46" s="0"/>
      <c r="DX46" s="0"/>
      <c r="DY46" s="0"/>
      <c r="DZ46" s="0"/>
      <c r="EA46" s="0"/>
      <c r="EB46" s="0"/>
      <c r="EC46" s="0"/>
      <c r="ED46" s="0"/>
      <c r="EE46" s="0"/>
      <c r="EF46" s="0"/>
      <c r="EG46" s="0"/>
      <c r="EH46" s="0"/>
      <c r="EI46" s="0"/>
    </row>
    <row r="47" s="9" customFormat="1" ht="5.1" customHeight="1">
      <c r="A47" s="4"/>
      <c r="B47" s="4"/>
      <c r="C47" s="297"/>
      <c r="D47" s="159"/>
      <c r="E47" s="159"/>
      <c r="F47" s="159"/>
      <c r="G47" s="159"/>
      <c r="H47" s="159"/>
      <c r="I47" s="159"/>
      <c r="J47" s="160"/>
      <c r="K47" s="159"/>
      <c r="L47" s="160"/>
      <c r="M47" s="159"/>
      <c r="N47" s="159"/>
      <c r="O47" s="159"/>
      <c r="P47" s="160"/>
      <c r="Q47" s="159"/>
      <c r="R47" s="160"/>
      <c r="S47" s="159"/>
      <c r="T47" s="159"/>
      <c r="U47" s="159"/>
      <c r="W47" s="281"/>
      <c r="X47" s="281"/>
      <c r="Y47" s="281"/>
      <c r="Z47" s="281"/>
      <c r="AA47" s="281"/>
      <c r="AB47" s="281"/>
      <c r="AC47" s="281"/>
      <c r="AD47" s="281"/>
      <c r="AE47" s="281"/>
      <c r="AF47" s="281"/>
      <c r="AG47" s="281"/>
      <c r="AH47" s="281"/>
      <c r="AI47" s="281"/>
      <c r="AJ47" s="281"/>
      <c r="AK47" s="281"/>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row>
    <row r="48" s="2" customFormat="1" ht="15.95" customHeight="1">
      <c r="B48" s="323" t="s">
        <v>50</v>
      </c>
      <c r="C48" s="303" t="s">
        <v>42</v>
      </c>
      <c r="D48" s="307">
        <v>87.12121212121212121212121212</v>
      </c>
      <c r="E48" s="308">
        <v>-4.9586776859849737039819558800</v>
      </c>
      <c r="F48" s="308">
        <v>85.37124802527646129541864139</v>
      </c>
      <c r="G48" s="308">
        <v>12.886122179249412839112950600</v>
      </c>
      <c r="H48" s="308">
        <v>102.04982840990389952412962915</v>
      </c>
      <c r="I48" s="308">
        <v>-15.807788876735014477677500230</v>
      </c>
      <c r="J48" s="317">
        <v>429.69639663217558639600476882</v>
      </c>
      <c r="K48" s="308">
        <v>-10.301640386357677913066496310</v>
      </c>
      <c r="L48" s="318">
        <v>404.99904228350100167295878038</v>
      </c>
      <c r="M48" s="308">
        <v>-10.891333995208084531578112320</v>
      </c>
      <c r="N48" s="308">
        <v>106.09812660529389535444791879</v>
      </c>
      <c r="O48" s="309">
        <v>0.6617690907575133725556883200</v>
      </c>
      <c r="P48" s="317">
        <v>374.35670918712266996621627586</v>
      </c>
      <c r="Q48" s="308">
        <v>-14.749492929195859491679041950</v>
      </c>
      <c r="R48" s="318">
        <v>345.75273688784192939031109782</v>
      </c>
      <c r="S48" s="308">
        <v>0.5913175785013270258203482500</v>
      </c>
      <c r="T48" s="308">
        <v>108.27295614686773304212538232</v>
      </c>
      <c r="U48" s="309">
        <v>-15.250630846631609991636000010</v>
      </c>
      <c r="W48" s="281"/>
      <c r="X48" s="281"/>
      <c r="Y48" s="281"/>
      <c r="Z48" s="281"/>
      <c r="AA48" s="281"/>
      <c r="AB48" s="281"/>
      <c r="AC48" s="281"/>
      <c r="AD48" s="281"/>
      <c r="AE48" s="281"/>
      <c r="AF48" s="281"/>
      <c r="AG48" s="281"/>
      <c r="AH48" s="281"/>
      <c r="AI48" s="281"/>
      <c r="AJ48" s="281"/>
      <c r="AK48" s="281"/>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c r="BY48" s="0"/>
      <c r="BZ48" s="0"/>
      <c r="CA48" s="0"/>
      <c r="CB48" s="0"/>
      <c r="CC48" s="0"/>
      <c r="CD48" s="0"/>
      <c r="CE48" s="0"/>
      <c r="CF48" s="0"/>
      <c r="CG48" s="0"/>
      <c r="CH48" s="0"/>
      <c r="CI48" s="0"/>
      <c r="CJ48" s="0"/>
      <c r="CK48" s="0"/>
      <c r="CL48" s="0"/>
      <c r="CM48" s="0"/>
      <c r="CN48" s="0"/>
      <c r="CO48" s="0"/>
      <c r="CP48" s="0"/>
      <c r="CQ48" s="0"/>
      <c r="CR48" s="0"/>
      <c r="CS48" s="0"/>
      <c r="CT48" s="0"/>
      <c r="CU48" s="0"/>
      <c r="CV48" s="0"/>
      <c r="CW48" s="0"/>
      <c r="CX48" s="0"/>
      <c r="CY48" s="0"/>
      <c r="CZ48" s="0"/>
      <c r="DA48" s="0"/>
      <c r="DB48" s="0"/>
      <c r="DC48" s="0"/>
      <c r="DD48" s="0"/>
      <c r="DE48" s="0"/>
      <c r="DF48" s="0"/>
      <c r="DG48" s="0"/>
      <c r="DH48" s="0"/>
      <c r="DI48" s="0"/>
      <c r="DJ48" s="0"/>
      <c r="DK48" s="0"/>
      <c r="DL48" s="0"/>
      <c r="DM48" s="0"/>
      <c r="DN48" s="0"/>
      <c r="DO48" s="0"/>
      <c r="DP48" s="0"/>
      <c r="DQ48" s="0"/>
      <c r="DR48" s="0"/>
      <c r="DS48" s="0"/>
      <c r="DT48" s="0"/>
      <c r="DU48" s="0"/>
      <c r="DV48" s="0"/>
      <c r="DW48" s="0"/>
      <c r="DX48" s="0"/>
      <c r="DY48" s="0"/>
      <c r="DZ48" s="0"/>
      <c r="EA48" s="0"/>
      <c r="EB48" s="0"/>
      <c r="EC48" s="0"/>
      <c r="ED48" s="0"/>
      <c r="EE48" s="0"/>
      <c r="EF48" s="0"/>
      <c r="EG48" s="0"/>
      <c r="EH48" s="0"/>
      <c r="EI48" s="0"/>
    </row>
    <row r="49" s="2" customFormat="1" ht="15.95" customHeight="1">
      <c r="B49" s="324"/>
      <c r="C49" s="304" t="s">
        <v>58</v>
      </c>
      <c r="D49" s="310">
        <v>85.94114219114219114219114219</v>
      </c>
      <c r="E49" s="134">
        <v>-3.0563961997566900895846299300</v>
      </c>
      <c r="F49" s="134">
        <v>82.01045338519508933997812082</v>
      </c>
      <c r="G49" s="134">
        <v>3.908888180138541057274449500</v>
      </c>
      <c r="H49" s="134">
        <v>104.79291193218978363574713534</v>
      </c>
      <c r="I49" s="134">
        <v>-6.7032613878070390848411363600</v>
      </c>
      <c r="J49" s="319">
        <v>364.36465468760626826739930612</v>
      </c>
      <c r="K49" s="134">
        <v>12.520008966144228330386044890</v>
      </c>
      <c r="L49" s="135">
        <v>346.88798463911200011266882822</v>
      </c>
      <c r="M49" s="134">
        <v>7.2047860969480611250253254200</v>
      </c>
      <c r="N49" s="134">
        <v>105.03813069994017866127113365</v>
      </c>
      <c r="O49" s="311">
        <v>4.9580089311118540558806832300</v>
      </c>
      <c r="P49" s="319">
        <v>313.13914597933994413015566824</v>
      </c>
      <c r="Q49" s="134">
        <v>9.080951688178644107855212440</v>
      </c>
      <c r="R49" s="135">
        <v>284.48440894130164881003726559</v>
      </c>
      <c r="S49" s="134">
        <v>11.395301309187340010464605190</v>
      </c>
      <c r="T49" s="134">
        <v>110.07251579961013290697657047</v>
      </c>
      <c r="U49" s="311">
        <v>-2.0776007549726211288149454500</v>
      </c>
      <c r="W49" s="281"/>
      <c r="X49" s="281"/>
      <c r="Y49" s="281"/>
      <c r="Z49" s="281"/>
      <c r="AA49" s="281"/>
      <c r="AB49" s="281"/>
      <c r="AC49" s="281"/>
      <c r="AD49" s="281"/>
      <c r="AE49" s="281"/>
      <c r="AF49" s="281"/>
      <c r="AG49" s="281"/>
      <c r="AH49" s="281"/>
      <c r="AI49" s="281"/>
      <c r="AJ49" s="281"/>
      <c r="AK49" s="281"/>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c r="BY49" s="0"/>
      <c r="BZ49" s="0"/>
      <c r="CA49" s="0"/>
      <c r="CB49" s="0"/>
      <c r="CC49" s="0"/>
      <c r="CD49" s="0"/>
      <c r="CE49" s="0"/>
      <c r="CF49" s="0"/>
      <c r="CG49" s="0"/>
      <c r="CH49" s="0"/>
      <c r="CI49" s="0"/>
      <c r="CJ49" s="0"/>
      <c r="CK49" s="0"/>
      <c r="CL49" s="0"/>
      <c r="CM49" s="0"/>
      <c r="CN49" s="0"/>
      <c r="CO49" s="0"/>
      <c r="CP49" s="0"/>
      <c r="CQ49" s="0"/>
      <c r="CR49" s="0"/>
      <c r="CS49" s="0"/>
      <c r="CT49" s="0"/>
      <c r="CU49" s="0"/>
      <c r="CV49" s="0"/>
      <c r="CW49" s="0"/>
      <c r="CX49" s="0"/>
      <c r="CY49" s="0"/>
      <c r="CZ49" s="0"/>
      <c r="DA49" s="0"/>
      <c r="DB49" s="0"/>
      <c r="DC49" s="0"/>
      <c r="DD49" s="0"/>
      <c r="DE49" s="0"/>
      <c r="DF49" s="0"/>
      <c r="DG49" s="0"/>
      <c r="DH49" s="0"/>
      <c r="DI49" s="0"/>
      <c r="DJ49" s="0"/>
      <c r="DK49" s="0"/>
      <c r="DL49" s="0"/>
      <c r="DM49" s="0"/>
      <c r="DN49" s="0"/>
      <c r="DO49" s="0"/>
      <c r="DP49" s="0"/>
      <c r="DQ49" s="0"/>
      <c r="DR49" s="0"/>
      <c r="DS49" s="0"/>
      <c r="DT49" s="0"/>
      <c r="DU49" s="0"/>
      <c r="DV49" s="0"/>
      <c r="DW49" s="0"/>
      <c r="DX49" s="0"/>
      <c r="DY49" s="0"/>
      <c r="DZ49" s="0"/>
      <c r="EA49" s="0"/>
      <c r="EB49" s="0"/>
      <c r="EC49" s="0"/>
      <c r="ED49" s="0"/>
      <c r="EE49" s="0"/>
      <c r="EF49" s="0"/>
      <c r="EG49" s="0"/>
      <c r="EH49" s="0"/>
      <c r="EI49" s="0"/>
    </row>
    <row r="50" s="2" customFormat="1" ht="15.95" customHeight="1">
      <c r="B50" s="324"/>
      <c r="C50" s="305" t="s">
        <v>44</v>
      </c>
      <c r="D50" s="312">
        <v>84.14918414918414918414918415</v>
      </c>
      <c r="E50" s="159">
        <v>-6.4333981301855135172707265200</v>
      </c>
      <c r="F50" s="159">
        <v>84.71260177421314862073155912</v>
      </c>
      <c r="G50" s="159">
        <v>15.130942165135147939667261420</v>
      </c>
      <c r="H50" s="159">
        <v>99.33490695219392397155155791</v>
      </c>
      <c r="I50" s="159">
        <v>-18.730273451913477151370518210</v>
      </c>
      <c r="J50" s="320">
        <v>347.94799653130237921481677537</v>
      </c>
      <c r="K50" s="159">
        <v>-1.0377360146175360097254234800</v>
      </c>
      <c r="L50" s="160">
        <v>332.32102099941547338612438215</v>
      </c>
      <c r="M50" s="159">
        <v>-0.8248708004057930581753245100</v>
      </c>
      <c r="N50" s="159">
        <v>104.70237347156278550782562506</v>
      </c>
      <c r="O50" s="313">
        <v>-0.2146356813067136351564388500</v>
      </c>
      <c r="P50" s="320">
        <v>292.79540034452251491037029349</v>
      </c>
      <c r="Q50" s="159">
        <v>-7.4043724554097037290850695700</v>
      </c>
      <c r="R50" s="160">
        <v>281.51778313123408250998579025</v>
      </c>
      <c r="S50" s="159">
        <v>14.181260641012100691149629230</v>
      </c>
      <c r="T50" s="159">
        <v>104.00600526470707394107128660</v>
      </c>
      <c r="U50" s="313">
        <v>-18.904707283148582252347682600</v>
      </c>
      <c r="W50" s="281"/>
      <c r="X50" s="281"/>
      <c r="Y50" s="281"/>
      <c r="Z50" s="281"/>
      <c r="AA50" s="281"/>
      <c r="AB50" s="281"/>
      <c r="AC50" s="281"/>
      <c r="AD50" s="281"/>
      <c r="AE50" s="281"/>
      <c r="AF50" s="281"/>
      <c r="AG50" s="281"/>
      <c r="AH50" s="281"/>
      <c r="AI50" s="281"/>
      <c r="AJ50" s="281"/>
      <c r="AK50" s="281"/>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c r="BY50" s="0"/>
      <c r="BZ50" s="0"/>
      <c r="CA50" s="0"/>
      <c r="CB50" s="0"/>
      <c r="CC50" s="0"/>
      <c r="CD50" s="0"/>
      <c r="CE50" s="0"/>
      <c r="CF50" s="0"/>
      <c r="CG50" s="0"/>
      <c r="CH50" s="0"/>
      <c r="CI50" s="0"/>
      <c r="CJ50" s="0"/>
      <c r="CK50" s="0"/>
      <c r="CL50" s="0"/>
      <c r="CM50" s="0"/>
      <c r="CN50" s="0"/>
      <c r="CO50" s="0"/>
      <c r="CP50" s="0"/>
      <c r="CQ50" s="0"/>
      <c r="CR50" s="0"/>
      <c r="CS50" s="0"/>
      <c r="CT50" s="0"/>
      <c r="CU50" s="0"/>
      <c r="CV50" s="0"/>
      <c r="CW50" s="0"/>
      <c r="CX50" s="0"/>
      <c r="CY50" s="0"/>
      <c r="CZ50" s="0"/>
      <c r="DA50" s="0"/>
      <c r="DB50" s="0"/>
      <c r="DC50" s="0"/>
      <c r="DD50" s="0"/>
      <c r="DE50" s="0"/>
      <c r="DF50" s="0"/>
      <c r="DG50" s="0"/>
      <c r="DH50" s="0"/>
      <c r="DI50" s="0"/>
      <c r="DJ50" s="0"/>
      <c r="DK50" s="0"/>
      <c r="DL50" s="0"/>
      <c r="DM50" s="0"/>
      <c r="DN50" s="0"/>
      <c r="DO50" s="0"/>
      <c r="DP50" s="0"/>
      <c r="DQ50" s="0"/>
      <c r="DR50" s="0"/>
      <c r="DS50" s="0"/>
      <c r="DT50" s="0"/>
      <c r="DU50" s="0"/>
      <c r="DV50" s="0"/>
      <c r="DW50" s="0"/>
      <c r="DX50" s="0"/>
      <c r="DY50" s="0"/>
      <c r="DZ50" s="0"/>
      <c r="EA50" s="0"/>
      <c r="EB50" s="0"/>
      <c r="EC50" s="0"/>
      <c r="ED50" s="0"/>
      <c r="EE50" s="0"/>
      <c r="EF50" s="0"/>
      <c r="EG50" s="0"/>
      <c r="EH50" s="0"/>
      <c r="EI50" s="0"/>
    </row>
    <row r="51" s="2" customFormat="1" ht="15.95" customHeight="1">
      <c r="B51" s="325"/>
      <c r="C51" s="306" t="s">
        <v>45</v>
      </c>
      <c r="D51" s="314">
        <v>85.94114219114219114219114219</v>
      </c>
      <c r="E51" s="315">
        <v>-3.0563961997566900895846299300</v>
      </c>
      <c r="F51" s="315">
        <v>82.01045338519508933997812082</v>
      </c>
      <c r="G51" s="315">
        <v>3.908888180138541057274449500</v>
      </c>
      <c r="H51" s="315">
        <v>104.79291193218978363574713534</v>
      </c>
      <c r="I51" s="315">
        <v>-6.7032613878070390848411363600</v>
      </c>
      <c r="J51" s="321">
        <v>364.36465468760626826739930612</v>
      </c>
      <c r="K51" s="315">
        <v>12.520008966144228330386044890</v>
      </c>
      <c r="L51" s="322">
        <v>346.88798463911200011266882822</v>
      </c>
      <c r="M51" s="315">
        <v>7.2047860969480611250253254200</v>
      </c>
      <c r="N51" s="315">
        <v>105.03813069994017866127113365</v>
      </c>
      <c r="O51" s="316">
        <v>4.9580089311118540558806832300</v>
      </c>
      <c r="P51" s="321">
        <v>313.13914597933994413015566824</v>
      </c>
      <c r="Q51" s="315">
        <v>9.080951688178644107855212440</v>
      </c>
      <c r="R51" s="322">
        <v>284.48440894130164881003726559</v>
      </c>
      <c r="S51" s="315">
        <v>11.395301309187340010464605190</v>
      </c>
      <c r="T51" s="315">
        <v>110.07251579961013290697657047</v>
      </c>
      <c r="U51" s="316">
        <v>-2.0776007549726211288149454500</v>
      </c>
      <c r="W51" s="281"/>
      <c r="X51" s="281"/>
      <c r="Y51" s="281"/>
      <c r="Z51" s="281"/>
      <c r="AA51" s="281"/>
      <c r="AB51" s="281"/>
      <c r="AC51" s="281"/>
      <c r="AD51" s="281"/>
      <c r="AE51" s="281"/>
      <c r="AF51" s="281"/>
      <c r="AG51" s="281"/>
      <c r="AH51" s="281"/>
      <c r="AI51" s="281"/>
      <c r="AJ51" s="281"/>
      <c r="AK51" s="281"/>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c r="BY51" s="0"/>
      <c r="BZ51" s="0"/>
      <c r="CA51" s="0"/>
      <c r="CB51" s="0"/>
      <c r="CC51" s="0"/>
      <c r="CD51" s="0"/>
      <c r="CE51" s="0"/>
      <c r="CF51" s="0"/>
      <c r="CG51" s="0"/>
      <c r="CH51" s="0"/>
      <c r="CI51" s="0"/>
      <c r="CJ51" s="0"/>
      <c r="CK51" s="0"/>
      <c r="CL51" s="0"/>
      <c r="CM51" s="0"/>
      <c r="CN51" s="0"/>
      <c r="CO51" s="0"/>
      <c r="CP51" s="0"/>
      <c r="CQ51" s="0"/>
      <c r="CR51" s="0"/>
      <c r="CS51" s="0"/>
      <c r="CT51" s="0"/>
      <c r="CU51" s="0"/>
      <c r="CV51" s="0"/>
      <c r="CW51" s="0"/>
      <c r="CX51" s="0"/>
      <c r="CY51" s="0"/>
      <c r="CZ51" s="0"/>
      <c r="DA51" s="0"/>
      <c r="DB51" s="0"/>
      <c r="DC51" s="0"/>
      <c r="DD51" s="0"/>
      <c r="DE51" s="0"/>
      <c r="DF51" s="0"/>
      <c r="DG51" s="0"/>
      <c r="DH51" s="0"/>
      <c r="DI51" s="0"/>
      <c r="DJ51" s="0"/>
      <c r="DK51" s="0"/>
      <c r="DL51" s="0"/>
      <c r="DM51" s="0"/>
      <c r="DN51" s="0"/>
      <c r="DO51" s="0"/>
      <c r="DP51" s="0"/>
      <c r="DQ51" s="0"/>
      <c r="DR51" s="0"/>
      <c r="DS51" s="0"/>
      <c r="DT51" s="0"/>
      <c r="DU51" s="0"/>
      <c r="DV51" s="0"/>
      <c r="DW51" s="0"/>
      <c r="DX51" s="0"/>
      <c r="DY51" s="0"/>
      <c r="DZ51" s="0"/>
      <c r="EA51" s="0"/>
      <c r="EB51" s="0"/>
      <c r="EC51" s="0"/>
      <c r="ED51" s="0"/>
      <c r="EE51" s="0"/>
      <c r="EF51" s="0"/>
      <c r="EG51" s="0"/>
      <c r="EH51" s="0"/>
      <c r="EI51" s="0"/>
    </row>
    <row r="52" s="2" customFormat="1" ht="5.1" customHeight="1">
      <c r="B52" s="4"/>
      <c r="C52" s="297"/>
      <c r="D52" s="159"/>
      <c r="E52" s="159"/>
      <c r="F52" s="159"/>
      <c r="G52" s="159"/>
      <c r="H52" s="159"/>
      <c r="I52" s="159"/>
      <c r="J52" s="160"/>
      <c r="K52" s="159"/>
      <c r="L52" s="160"/>
      <c r="M52" s="159"/>
      <c r="N52" s="159"/>
      <c r="O52" s="159"/>
      <c r="P52" s="160"/>
      <c r="Q52" s="159"/>
      <c r="R52" s="160"/>
      <c r="S52" s="159"/>
      <c r="T52" s="159"/>
      <c r="U52" s="159"/>
      <c r="W52" s="281"/>
      <c r="X52" s="281"/>
      <c r="Y52" s="281"/>
      <c r="Z52" s="281"/>
      <c r="AA52" s="281"/>
      <c r="AB52" s="281"/>
      <c r="AC52" s="281"/>
      <c r="AD52" s="281"/>
      <c r="AE52" s="281"/>
      <c r="AF52" s="281"/>
      <c r="AG52" s="281"/>
      <c r="AH52" s="281"/>
      <c r="AI52" s="281"/>
      <c r="AJ52" s="281"/>
      <c r="AK52" s="281"/>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c r="BY52" s="0"/>
      <c r="BZ52" s="0"/>
      <c r="CA52" s="0"/>
      <c r="CB52" s="0"/>
      <c r="CC52" s="0"/>
      <c r="CD52" s="0"/>
      <c r="CE52" s="0"/>
      <c r="CF52" s="0"/>
      <c r="CG52" s="0"/>
      <c r="CH52" s="0"/>
      <c r="CI52" s="0"/>
      <c r="CJ52" s="0"/>
      <c r="CK52" s="0"/>
      <c r="CL52" s="0"/>
      <c r="CM52" s="0"/>
      <c r="CN52" s="0"/>
      <c r="CO52" s="0"/>
      <c r="CP52" s="0"/>
      <c r="CQ52" s="0"/>
      <c r="CR52" s="0"/>
      <c r="CS52" s="0"/>
      <c r="CT52" s="0"/>
      <c r="CU52" s="0"/>
      <c r="CV52" s="0"/>
      <c r="CW52" s="0"/>
      <c r="CX52" s="0"/>
      <c r="CY52" s="0"/>
      <c r="CZ52" s="0"/>
      <c r="DA52" s="0"/>
      <c r="DB52" s="0"/>
      <c r="DC52" s="0"/>
      <c r="DD52" s="0"/>
      <c r="DE52" s="0"/>
      <c r="DF52" s="0"/>
      <c r="DG52" s="0"/>
      <c r="DH52" s="0"/>
      <c r="DI52" s="0"/>
      <c r="DJ52" s="0"/>
      <c r="DK52" s="0"/>
      <c r="DL52" s="0"/>
      <c r="DM52" s="0"/>
      <c r="DN52" s="0"/>
      <c r="DO52" s="0"/>
      <c r="DP52" s="0"/>
      <c r="DQ52" s="0"/>
      <c r="DR52" s="0"/>
      <c r="DS52" s="0"/>
      <c r="DT52" s="0"/>
      <c r="DU52" s="0"/>
      <c r="DV52" s="0"/>
      <c r="DW52" s="0"/>
      <c r="DX52" s="0"/>
      <c r="DY52" s="0"/>
      <c r="DZ52" s="0"/>
      <c r="EA52" s="0"/>
      <c r="EB52" s="0"/>
      <c r="EC52" s="0"/>
      <c r="ED52" s="0"/>
      <c r="EE52" s="0"/>
      <c r="EF52" s="0"/>
      <c r="EG52" s="0"/>
      <c r="EH52" s="0"/>
      <c r="EI52" s="0"/>
    </row>
    <row r="53" s="9" customFormat="1" ht="5.1" customHeight="1">
      <c r="B53" s="4"/>
      <c r="C53" s="297"/>
      <c r="D53" s="159"/>
      <c r="E53" s="159"/>
      <c r="F53" s="159"/>
      <c r="G53" s="159"/>
      <c r="H53" s="159"/>
      <c r="I53" s="159"/>
      <c r="J53" s="160"/>
      <c r="K53" s="159"/>
      <c r="L53" s="160"/>
      <c r="M53" s="159"/>
      <c r="N53" s="159"/>
      <c r="O53" s="159"/>
      <c r="P53" s="160"/>
      <c r="Q53" s="159"/>
      <c r="R53" s="160"/>
      <c r="S53" s="159"/>
      <c r="T53" s="159"/>
      <c r="U53" s="159"/>
      <c r="W53" s="281"/>
      <c r="X53" s="281"/>
      <c r="Y53" s="281"/>
      <c r="Z53" s="281"/>
      <c r="AA53" s="281"/>
      <c r="AB53" s="281"/>
      <c r="AC53" s="281"/>
      <c r="AD53" s="281"/>
      <c r="AE53" s="281"/>
      <c r="AF53" s="281"/>
      <c r="AG53" s="281"/>
      <c r="AH53" s="281"/>
      <c r="AI53" s="281"/>
      <c r="AJ53" s="281"/>
      <c r="AK53" s="281"/>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row>
    <row r="54" s="2" customFormat="1" ht="15.95" customHeight="1">
      <c r="B54" s="323" t="s">
        <v>51</v>
      </c>
      <c r="C54" s="303" t="s">
        <v>42</v>
      </c>
      <c r="D54" s="307">
        <v>87.87878787878787878787878788</v>
      </c>
      <c r="E54" s="308">
        <v>-6.4516129032318418314255979400</v>
      </c>
      <c r="F54" s="308">
        <v>87.48815165876777251184834123</v>
      </c>
      <c r="G54" s="308">
        <v>14.001081459290866818934957330</v>
      </c>
      <c r="H54" s="308">
        <v>100.44650185491555829965487532</v>
      </c>
      <c r="I54" s="308">
        <v>-17.940789772134257886396787700</v>
      </c>
      <c r="J54" s="317">
        <v>417.76722190937275832213047524</v>
      </c>
      <c r="K54" s="308">
        <v>7.2092435483608943302332610600</v>
      </c>
      <c r="L54" s="318">
        <v>388.13981813699365613293863962</v>
      </c>
      <c r="M54" s="308">
        <v>6.3701577001978516259745371100</v>
      </c>
      <c r="N54" s="308">
        <v>107.63317814559167548810204260</v>
      </c>
      <c r="O54" s="309">
        <v>0.7888357658527197570755551100</v>
      </c>
      <c r="P54" s="317">
        <v>367.1287707688427270103570843</v>
      </c>
      <c r="Q54" s="308">
        <v>0.2925181581374205017773833800</v>
      </c>
      <c r="R54" s="318">
        <v>339.57635273975843091061835485</v>
      </c>
      <c r="S54" s="308">
        <v>21.263130128229664967097707010</v>
      </c>
      <c r="T54" s="308">
        <v>108.11376228254466719876054159</v>
      </c>
      <c r="U54" s="309">
        <v>-17.293477372624128237182392110</v>
      </c>
      <c r="W54" s="281"/>
      <c r="X54" s="281"/>
      <c r="Y54" s="281"/>
      <c r="Z54" s="281"/>
      <c r="AA54" s="281"/>
      <c r="AB54" s="281"/>
      <c r="AC54" s="281"/>
      <c r="AD54" s="281"/>
      <c r="AE54" s="281"/>
      <c r="AF54" s="281"/>
      <c r="AG54" s="281"/>
      <c r="AH54" s="281"/>
      <c r="AI54" s="281"/>
      <c r="AJ54" s="281"/>
      <c r="AK54" s="281"/>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c r="BY54" s="0"/>
      <c r="BZ54" s="0"/>
      <c r="CA54" s="0"/>
      <c r="CB54" s="0"/>
      <c r="CC54" s="0"/>
      <c r="CD54" s="0"/>
      <c r="CE54" s="0"/>
      <c r="CF54" s="0"/>
      <c r="CG54" s="0"/>
      <c r="CH54" s="0"/>
      <c r="CI54" s="0"/>
      <c r="CJ54" s="0"/>
      <c r="CK54" s="0"/>
      <c r="CL54" s="0"/>
      <c r="CM54" s="0"/>
      <c r="CN54" s="0"/>
      <c r="CO54" s="0"/>
      <c r="CP54" s="0"/>
      <c r="CQ54" s="0"/>
      <c r="CR54" s="0"/>
      <c r="CS54" s="0"/>
      <c r="CT54" s="0"/>
      <c r="CU54" s="0"/>
      <c r="CV54" s="0"/>
      <c r="CW54" s="0"/>
      <c r="CX54" s="0"/>
      <c r="CY54" s="0"/>
      <c r="CZ54" s="0"/>
      <c r="DA54" s="0"/>
      <c r="DB54" s="0"/>
      <c r="DC54" s="0"/>
      <c r="DD54" s="0"/>
      <c r="DE54" s="0"/>
      <c r="DF54" s="0"/>
      <c r="DG54" s="0"/>
      <c r="DH54" s="0"/>
      <c r="DI54" s="0"/>
      <c r="DJ54" s="0"/>
      <c r="DK54" s="0"/>
      <c r="DL54" s="0"/>
      <c r="DM54" s="0"/>
      <c r="DN54" s="0"/>
      <c r="DO54" s="0"/>
      <c r="DP54" s="0"/>
      <c r="DQ54" s="0"/>
      <c r="DR54" s="0"/>
      <c r="DS54" s="0"/>
      <c r="DT54" s="0"/>
      <c r="DU54" s="0"/>
      <c r="DV54" s="0"/>
      <c r="DW54" s="0"/>
      <c r="DX54" s="0"/>
      <c r="DY54" s="0"/>
      <c r="DZ54" s="0"/>
      <c r="EA54" s="0"/>
      <c r="EB54" s="0"/>
      <c r="EC54" s="0"/>
      <c r="ED54" s="0"/>
      <c r="EE54" s="0"/>
      <c r="EF54" s="0"/>
      <c r="EG54" s="0"/>
      <c r="EH54" s="0"/>
      <c r="EI54" s="0"/>
    </row>
    <row r="55" s="2" customFormat="1" ht="15.95" customHeight="1">
      <c r="B55" s="324"/>
      <c r="C55" s="304" t="s">
        <v>58</v>
      </c>
      <c r="D55" s="310">
        <v>88.70783304745568896512292739</v>
      </c>
      <c r="E55" s="134">
        <v>-3.381376382508274666306042600</v>
      </c>
      <c r="F55" s="134">
        <v>85.30069471361698321357225916</v>
      </c>
      <c r="G55" s="134">
        <v>2.9745917771636849748469832200</v>
      </c>
      <c r="H55" s="134">
        <v>103.99426797788139059567478325</v>
      </c>
      <c r="I55" s="134">
        <v>-6.1723654834873996911731837500</v>
      </c>
      <c r="J55" s="319">
        <v>370.52469574844019411506398717</v>
      </c>
      <c r="K55" s="134">
        <v>13.637522107285963826348108350</v>
      </c>
      <c r="L55" s="135">
        <v>352.75919756482739129581773638</v>
      </c>
      <c r="M55" s="134">
        <v>10.528185791027365125426556760</v>
      </c>
      <c r="N55" s="134">
        <v>105.03615449470364723870765234</v>
      </c>
      <c r="O55" s="311">
        <v>2.8131614520028614735996646600</v>
      </c>
      <c r="P55" s="319">
        <v>328.68442850411947465381462327</v>
      </c>
      <c r="Q55" s="134">
        <v>9.795009773131378105798375880</v>
      </c>
      <c r="R55" s="135">
        <v>300.90604618897840834795460866</v>
      </c>
      <c r="S55" s="134">
        <v>13.815948117041761943438784880</v>
      </c>
      <c r="T55" s="134">
        <v>109.23157997884555250637819655</v>
      </c>
      <c r="U55" s="311">
        <v>-3.5328426379950421707679007400</v>
      </c>
      <c r="W55" s="281"/>
      <c r="X55" s="281"/>
      <c r="Y55" s="281"/>
      <c r="Z55" s="281"/>
      <c r="AA55" s="281"/>
      <c r="AB55" s="281"/>
      <c r="AC55" s="281"/>
      <c r="AD55" s="281"/>
      <c r="AE55" s="281"/>
      <c r="AF55" s="281"/>
      <c r="AG55" s="281"/>
      <c r="AH55" s="281"/>
      <c r="AI55" s="281"/>
      <c r="AJ55" s="281"/>
      <c r="AK55" s="281"/>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c r="BY55" s="0"/>
      <c r="BZ55" s="0"/>
      <c r="CA55" s="0"/>
      <c r="CB55" s="0"/>
      <c r="CC55" s="0"/>
      <c r="CD55" s="0"/>
      <c r="CE55" s="0"/>
      <c r="CF55" s="0"/>
      <c r="CG55" s="0"/>
      <c r="CH55" s="0"/>
      <c r="CI55" s="0"/>
      <c r="CJ55" s="0"/>
      <c r="CK55" s="0"/>
      <c r="CL55" s="0"/>
      <c r="CM55" s="0"/>
      <c r="CN55" s="0"/>
      <c r="CO55" s="0"/>
      <c r="CP55" s="0"/>
      <c r="CQ55" s="0"/>
      <c r="CR55" s="0"/>
      <c r="CS55" s="0"/>
      <c r="CT55" s="0"/>
      <c r="CU55" s="0"/>
      <c r="CV55" s="0"/>
      <c r="CW55" s="0"/>
      <c r="CX55" s="0"/>
      <c r="CY55" s="0"/>
      <c r="CZ55" s="0"/>
      <c r="DA55" s="0"/>
      <c r="DB55" s="0"/>
      <c r="DC55" s="0"/>
      <c r="DD55" s="0"/>
      <c r="DE55" s="0"/>
      <c r="DF55" s="0"/>
      <c r="DG55" s="0"/>
      <c r="DH55" s="0"/>
      <c r="DI55" s="0"/>
      <c r="DJ55" s="0"/>
      <c r="DK55" s="0"/>
      <c r="DL55" s="0"/>
      <c r="DM55" s="0"/>
      <c r="DN55" s="0"/>
      <c r="DO55" s="0"/>
      <c r="DP55" s="0"/>
      <c r="DQ55" s="0"/>
      <c r="DR55" s="0"/>
      <c r="DS55" s="0"/>
      <c r="DT55" s="0"/>
      <c r="DU55" s="0"/>
      <c r="DV55" s="0"/>
      <c r="DW55" s="0"/>
      <c r="DX55" s="0"/>
      <c r="DY55" s="0"/>
      <c r="DZ55" s="0"/>
      <c r="EA55" s="0"/>
      <c r="EB55" s="0"/>
      <c r="EC55" s="0"/>
      <c r="ED55" s="0"/>
      <c r="EE55" s="0"/>
      <c r="EF55" s="0"/>
      <c r="EG55" s="0"/>
      <c r="EH55" s="0"/>
      <c r="EI55" s="0"/>
    </row>
    <row r="56" s="2" customFormat="1" ht="15.95" customHeight="1">
      <c r="B56" s="324"/>
      <c r="C56" s="305" t="s">
        <v>44</v>
      </c>
      <c r="D56" s="312">
        <v>85.01082251082251082251082251</v>
      </c>
      <c r="E56" s="159">
        <v>-8.079035016635787737288228930</v>
      </c>
      <c r="F56" s="159">
        <v>86.77499435793274655833897540</v>
      </c>
      <c r="G56" s="159">
        <v>13.581502906993040803994431790</v>
      </c>
      <c r="H56" s="159">
        <v>97.96695826933594161534311079</v>
      </c>
      <c r="I56" s="159">
        <v>-19.070480112702251644629940810</v>
      </c>
      <c r="J56" s="320">
        <v>333.86148813498802374115048017</v>
      </c>
      <c r="K56" s="159">
        <v>6.130577330164524840749786700</v>
      </c>
      <c r="L56" s="160">
        <v>323.18902793698288174937661104</v>
      </c>
      <c r="M56" s="159">
        <v>8.070000079110324203384279660</v>
      </c>
      <c r="N56" s="159">
        <v>103.30223469098351680319732134</v>
      </c>
      <c r="O56" s="313">
        <v>-1.7945986374692848744603478300</v>
      </c>
      <c r="P56" s="320">
        <v>283.81839711042542494445205863</v>
      </c>
      <c r="Q56" s="159">
        <v>-2.4437491757275325052715614700</v>
      </c>
      <c r="R56" s="160">
        <v>280.44726075777458368908893465</v>
      </c>
      <c r="S56" s="159">
        <v>22.747530281469478747941066120</v>
      </c>
      <c r="T56" s="159">
        <v>101.20205715096529588288259491</v>
      </c>
      <c r="U56" s="313">
        <v>-20.522840173982236301858920820</v>
      </c>
      <c r="W56" s="281"/>
      <c r="X56" s="281"/>
      <c r="Y56" s="281"/>
      <c r="Z56" s="281"/>
      <c r="AA56" s="281"/>
      <c r="AB56" s="281"/>
      <c r="AC56" s="281"/>
      <c r="AD56" s="281"/>
      <c r="AE56" s="281"/>
      <c r="AF56" s="281"/>
      <c r="AG56" s="281"/>
      <c r="AH56" s="281"/>
      <c r="AI56" s="281"/>
      <c r="AJ56" s="281"/>
      <c r="AK56" s="281"/>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c r="BY56" s="0"/>
      <c r="BZ56" s="0"/>
      <c r="CA56" s="0"/>
      <c r="CB56" s="0"/>
      <c r="CC56" s="0"/>
      <c r="CD56" s="0"/>
      <c r="CE56" s="0"/>
      <c r="CF56" s="0"/>
      <c r="CG56" s="0"/>
      <c r="CH56" s="0"/>
      <c r="CI56" s="0"/>
      <c r="CJ56" s="0"/>
      <c r="CK56" s="0"/>
      <c r="CL56" s="0"/>
      <c r="CM56" s="0"/>
      <c r="CN56" s="0"/>
      <c r="CO56" s="0"/>
      <c r="CP56" s="0"/>
      <c r="CQ56" s="0"/>
      <c r="CR56" s="0"/>
      <c r="CS56" s="0"/>
      <c r="CT56" s="0"/>
      <c r="CU56" s="0"/>
      <c r="CV56" s="0"/>
      <c r="CW56" s="0"/>
      <c r="CX56" s="0"/>
      <c r="CY56" s="0"/>
      <c r="CZ56" s="0"/>
      <c r="DA56" s="0"/>
      <c r="DB56" s="0"/>
      <c r="DC56" s="0"/>
      <c r="DD56" s="0"/>
      <c r="DE56" s="0"/>
      <c r="DF56" s="0"/>
      <c r="DG56" s="0"/>
      <c r="DH56" s="0"/>
      <c r="DI56" s="0"/>
      <c r="DJ56" s="0"/>
      <c r="DK56" s="0"/>
      <c r="DL56" s="0"/>
      <c r="DM56" s="0"/>
      <c r="DN56" s="0"/>
      <c r="DO56" s="0"/>
      <c r="DP56" s="0"/>
      <c r="DQ56" s="0"/>
      <c r="DR56" s="0"/>
      <c r="DS56" s="0"/>
      <c r="DT56" s="0"/>
      <c r="DU56" s="0"/>
      <c r="DV56" s="0"/>
      <c r="DW56" s="0"/>
      <c r="DX56" s="0"/>
      <c r="DY56" s="0"/>
      <c r="DZ56" s="0"/>
      <c r="EA56" s="0"/>
      <c r="EB56" s="0"/>
      <c r="EC56" s="0"/>
      <c r="ED56" s="0"/>
      <c r="EE56" s="0"/>
      <c r="EF56" s="0"/>
      <c r="EG56" s="0"/>
      <c r="EH56" s="0"/>
      <c r="EI56" s="0"/>
    </row>
    <row r="57" s="2" customFormat="1" ht="15.95" customHeight="1">
      <c r="B57" s="325"/>
      <c r="C57" s="306" t="s">
        <v>45</v>
      </c>
      <c r="D57" s="314">
        <v>88.70783304745568896512292739</v>
      </c>
      <c r="E57" s="315">
        <v>-3.381376382508274666306042600</v>
      </c>
      <c r="F57" s="315">
        <v>85.30069471361698321357225916</v>
      </c>
      <c r="G57" s="315">
        <v>2.9745917771636849748469832200</v>
      </c>
      <c r="H57" s="315">
        <v>103.99426797788139059567478325</v>
      </c>
      <c r="I57" s="315">
        <v>-6.1723654834873996911731837500</v>
      </c>
      <c r="J57" s="321">
        <v>370.52469574844019411506398717</v>
      </c>
      <c r="K57" s="315">
        <v>13.637522107285963826348108350</v>
      </c>
      <c r="L57" s="322">
        <v>352.75919756482739129581773638</v>
      </c>
      <c r="M57" s="315">
        <v>10.528185791027365125426556760</v>
      </c>
      <c r="N57" s="315">
        <v>105.03615449470364723870765234</v>
      </c>
      <c r="O57" s="316">
        <v>2.8131614520028614735996646600</v>
      </c>
      <c r="P57" s="321">
        <v>328.68442850411947465381462327</v>
      </c>
      <c r="Q57" s="315">
        <v>9.795009773131378105798375880</v>
      </c>
      <c r="R57" s="322">
        <v>300.90604618897840834795460866</v>
      </c>
      <c r="S57" s="315">
        <v>13.815948117041761943438784880</v>
      </c>
      <c r="T57" s="315">
        <v>109.23157997884555250637819655</v>
      </c>
      <c r="U57" s="316">
        <v>-3.5328426379950421707679007400</v>
      </c>
      <c r="W57" s="281"/>
      <c r="X57" s="281"/>
      <c r="Y57" s="281"/>
      <c r="Z57" s="281"/>
      <c r="AA57" s="281"/>
      <c r="AB57" s="281"/>
      <c r="AC57" s="281"/>
      <c r="AD57" s="281"/>
      <c r="AE57" s="281"/>
      <c r="AF57" s="281"/>
      <c r="AG57" s="281"/>
      <c r="AH57" s="281"/>
      <c r="AI57" s="281"/>
      <c r="AJ57" s="281"/>
      <c r="AK57" s="281"/>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c r="BY57" s="0"/>
      <c r="BZ57" s="0"/>
      <c r="CA57" s="0"/>
      <c r="CB57" s="0"/>
      <c r="CC57" s="0"/>
      <c r="CD57" s="0"/>
      <c r="CE57" s="0"/>
      <c r="CF57" s="0"/>
      <c r="CG57" s="0"/>
      <c r="CH57" s="0"/>
      <c r="CI57" s="0"/>
      <c r="CJ57" s="0"/>
      <c r="CK57" s="0"/>
      <c r="CL57" s="0"/>
      <c r="CM57" s="0"/>
      <c r="CN57" s="0"/>
      <c r="CO57" s="0"/>
      <c r="CP57" s="0"/>
      <c r="CQ57" s="0"/>
      <c r="CR57" s="0"/>
      <c r="CS57" s="0"/>
      <c r="CT57" s="0"/>
      <c r="CU57" s="0"/>
      <c r="CV57" s="0"/>
      <c r="CW57" s="0"/>
      <c r="CX57" s="0"/>
      <c r="CY57" s="0"/>
      <c r="CZ57" s="0"/>
      <c r="DA57" s="0"/>
      <c r="DB57" s="0"/>
      <c r="DC57" s="0"/>
      <c r="DD57" s="0"/>
      <c r="DE57" s="0"/>
      <c r="DF57" s="0"/>
      <c r="DG57" s="0"/>
      <c r="DH57" s="0"/>
      <c r="DI57" s="0"/>
      <c r="DJ57" s="0"/>
      <c r="DK57" s="0"/>
      <c r="DL57" s="0"/>
      <c r="DM57" s="0"/>
      <c r="DN57" s="0"/>
      <c r="DO57" s="0"/>
      <c r="DP57" s="0"/>
      <c r="DQ57" s="0"/>
      <c r="DR57" s="0"/>
      <c r="DS57" s="0"/>
      <c r="DT57" s="0"/>
      <c r="DU57" s="0"/>
      <c r="DV57" s="0"/>
      <c r="DW57" s="0"/>
      <c r="DX57" s="0"/>
      <c r="DY57" s="0"/>
      <c r="DZ57" s="0"/>
      <c r="EA57" s="0"/>
      <c r="EB57" s="0"/>
      <c r="EC57" s="0"/>
      <c r="ED57" s="0"/>
      <c r="EE57" s="0"/>
      <c r="EF57" s="0"/>
      <c r="EG57" s="0"/>
      <c r="EH57" s="0"/>
      <c r="EI57" s="0"/>
    </row>
    <row r="58" s="2" customFormat="1" ht="5.1" customHeight="1">
      <c r="B58" s="4"/>
      <c r="C58" s="297"/>
      <c r="D58" s="159"/>
      <c r="E58" s="159"/>
      <c r="F58" s="159"/>
      <c r="G58" s="159"/>
      <c r="H58" s="159"/>
      <c r="I58" s="159"/>
      <c r="J58" s="160"/>
      <c r="K58" s="159"/>
      <c r="L58" s="160"/>
      <c r="M58" s="159"/>
      <c r="N58" s="159"/>
      <c r="O58" s="159"/>
      <c r="P58" s="160"/>
      <c r="Q58" s="159"/>
      <c r="R58" s="160"/>
      <c r="S58" s="159"/>
      <c r="T58" s="159"/>
      <c r="U58" s="159"/>
      <c r="W58" s="281"/>
      <c r="X58" s="281"/>
      <c r="Y58" s="281"/>
      <c r="Z58" s="281"/>
      <c r="AA58" s="281"/>
      <c r="AB58" s="281"/>
      <c r="AC58" s="281"/>
      <c r="AD58" s="281"/>
      <c r="AE58" s="281"/>
      <c r="AF58" s="281"/>
      <c r="AG58" s="281"/>
      <c r="AH58" s="281"/>
      <c r="AI58" s="281"/>
      <c r="AJ58" s="281"/>
      <c r="AK58" s="281"/>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c r="BY58" s="0"/>
      <c r="BZ58" s="0"/>
      <c r="CA58" s="0"/>
      <c r="CB58" s="0"/>
      <c r="CC58" s="0"/>
      <c r="CD58" s="0"/>
      <c r="CE58" s="0"/>
      <c r="CF58" s="0"/>
      <c r="CG58" s="0"/>
      <c r="CH58" s="0"/>
      <c r="CI58" s="0"/>
      <c r="CJ58" s="0"/>
      <c r="CK58" s="0"/>
      <c r="CL58" s="0"/>
      <c r="CM58" s="0"/>
      <c r="CN58" s="0"/>
      <c r="CO58" s="0"/>
      <c r="CP58" s="0"/>
      <c r="CQ58" s="0"/>
      <c r="CR58" s="0"/>
      <c r="CS58" s="0"/>
      <c r="CT58" s="0"/>
      <c r="CU58" s="0"/>
      <c r="CV58" s="0"/>
      <c r="CW58" s="0"/>
      <c r="CX58" s="0"/>
      <c r="CY58" s="0"/>
      <c r="CZ58" s="0"/>
      <c r="DA58" s="0"/>
      <c r="DB58" s="0"/>
      <c r="DC58" s="0"/>
      <c r="DD58" s="0"/>
      <c r="DE58" s="0"/>
      <c r="DF58" s="0"/>
      <c r="DG58" s="0"/>
      <c r="DH58" s="0"/>
      <c r="DI58" s="0"/>
      <c r="DJ58" s="0"/>
      <c r="DK58" s="0"/>
      <c r="DL58" s="0"/>
      <c r="DM58" s="0"/>
      <c r="DN58" s="0"/>
      <c r="DO58" s="0"/>
      <c r="DP58" s="0"/>
      <c r="DQ58" s="0"/>
      <c r="DR58" s="0"/>
      <c r="DS58" s="0"/>
      <c r="DT58" s="0"/>
      <c r="DU58" s="0"/>
      <c r="DV58" s="0"/>
      <c r="DW58" s="0"/>
      <c r="DX58" s="0"/>
      <c r="DY58" s="0"/>
      <c r="DZ58" s="0"/>
      <c r="EA58" s="0"/>
      <c r="EB58" s="0"/>
      <c r="EC58" s="0"/>
      <c r="ED58" s="0"/>
      <c r="EE58" s="0"/>
      <c r="EF58" s="0"/>
      <c r="EG58" s="0"/>
      <c r="EH58" s="0"/>
      <c r="EI58" s="0"/>
    </row>
    <row r="59" s="2" customFormat="1" ht="15.95" customHeight="1">
      <c r="B59" s="1114" t="s">
        <v>57</v>
      </c>
      <c r="C59" s="1114"/>
      <c r="D59" s="526"/>
      <c r="E59" s="527"/>
      <c r="F59" s="527"/>
      <c r="G59" s="527"/>
      <c r="H59" s="527"/>
      <c r="I59" s="527"/>
      <c r="J59" s="527"/>
      <c r="K59" s="527"/>
      <c r="L59" s="527"/>
      <c r="M59" s="527"/>
      <c r="N59" s="527"/>
      <c r="O59" s="527"/>
      <c r="P59" s="527"/>
      <c r="Q59" s="527"/>
      <c r="R59" s="527"/>
      <c r="S59" s="527"/>
      <c r="T59" s="527"/>
      <c r="U59" s="528"/>
      <c r="W59" s="281"/>
      <c r="X59" s="281"/>
      <c r="Y59" s="281"/>
      <c r="Z59" s="281"/>
      <c r="AA59" s="281"/>
      <c r="AB59" s="281"/>
      <c r="AC59" s="281"/>
      <c r="AD59" s="281"/>
      <c r="AE59" s="281"/>
      <c r="AF59" s="281"/>
      <c r="AG59" s="281"/>
      <c r="AH59" s="281"/>
      <c r="AI59" s="281"/>
      <c r="AJ59" s="281"/>
      <c r="AK59" s="281"/>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c r="BY59" s="0"/>
      <c r="BZ59" s="0"/>
      <c r="CA59" s="0"/>
      <c r="CB59" s="0"/>
      <c r="CC59" s="0"/>
      <c r="CD59" s="0"/>
      <c r="CE59" s="0"/>
      <c r="CF59" s="0"/>
      <c r="CG59" s="0"/>
      <c r="CH59" s="0"/>
      <c r="CI59" s="0"/>
      <c r="CJ59" s="0"/>
      <c r="CK59" s="0"/>
      <c r="CL59" s="0"/>
      <c r="CM59" s="0"/>
      <c r="CN59" s="0"/>
      <c r="CO59" s="0"/>
      <c r="CP59" s="0"/>
      <c r="CQ59" s="0"/>
      <c r="CR59" s="0"/>
      <c r="CS59" s="0"/>
      <c r="CT59" s="0"/>
      <c r="CU59" s="0"/>
      <c r="CV59" s="0"/>
      <c r="CW59" s="0"/>
      <c r="CX59" s="0"/>
      <c r="CY59" s="0"/>
      <c r="CZ59" s="0"/>
      <c r="DA59" s="0"/>
      <c r="DB59" s="0"/>
      <c r="DC59" s="0"/>
      <c r="DD59" s="0"/>
      <c r="DE59" s="0"/>
      <c r="DF59" s="0"/>
      <c r="DG59" s="0"/>
      <c r="DH59" s="0"/>
      <c r="DI59" s="0"/>
      <c r="DJ59" s="0"/>
      <c r="DK59" s="0"/>
      <c r="DL59" s="0"/>
      <c r="DM59" s="0"/>
      <c r="DN59" s="0"/>
      <c r="DO59" s="0"/>
      <c r="DP59" s="0"/>
      <c r="DQ59" s="0"/>
      <c r="DR59" s="0"/>
      <c r="DS59" s="0"/>
      <c r="DT59" s="0"/>
      <c r="DU59" s="0"/>
      <c r="DV59" s="0"/>
      <c r="DW59" s="0"/>
      <c r="DX59" s="0"/>
      <c r="DY59" s="0"/>
      <c r="DZ59" s="0"/>
      <c r="EA59" s="0"/>
      <c r="EB59" s="0"/>
      <c r="EC59" s="0"/>
      <c r="ED59" s="0"/>
      <c r="EE59" s="0"/>
      <c r="EF59" s="0"/>
      <c r="EG59" s="0"/>
      <c r="EH59" s="0"/>
      <c r="EI59" s="0"/>
    </row>
    <row r="60" ht="15.95" customHeight="1">
      <c r="B60" s="344" t="s">
        <v>40</v>
      </c>
      <c r="C60" s="348" t="s">
        <v>42</v>
      </c>
      <c r="D60" s="238">
        <v>85.78643578643578643578643579</v>
      </c>
      <c r="E60" s="246">
        <v>-8.745857317276261903803504040</v>
      </c>
      <c r="F60" s="246">
        <v>76.972842849620100804934928160</v>
      </c>
      <c r="G60" s="246">
        <v>6.6617093670435107566952732900</v>
      </c>
      <c r="H60" s="246">
        <v>111.45026298958060048803921524</v>
      </c>
      <c r="I60" s="239">
        <v>-14.445265105679836821419211690</v>
      </c>
      <c r="J60" s="326">
        <v>269.23195257740237089800739388</v>
      </c>
      <c r="K60" s="246">
        <v>-9.021818337933264787146503950</v>
      </c>
      <c r="L60" s="328">
        <v>287.58311486792854374976136452</v>
      </c>
      <c r="M60" s="246">
        <v>-10.319503301612708945199523420</v>
      </c>
      <c r="N60" s="246">
        <v>93.61883179444413754905885194</v>
      </c>
      <c r="O60" s="239">
        <v>1.4470091173609843034626624700</v>
      </c>
      <c r="P60" s="326">
        <v>230.96449611438053318739595333</v>
      </c>
      <c r="Q60" s="246">
        <v>-16.978640295944903876926272160</v>
      </c>
      <c r="R60" s="328">
        <v>221.36089906933309709227099088</v>
      </c>
      <c r="S60" s="246">
        <v>-4.3452492526954152282065970100</v>
      </c>
      <c r="T60" s="246">
        <v>104.33843424265908779907566489</v>
      </c>
      <c r="U60" s="239">
        <v>-13.207280291420464985757832440</v>
      </c>
    </row>
    <row r="61" ht="15.95" customHeight="1">
      <c r="B61" s="345" t="s">
        <v>67</v>
      </c>
      <c r="C61" s="304" t="s">
        <v>58</v>
      </c>
      <c r="D61" s="240">
        <v>84.08216783216783216783216783</v>
      </c>
      <c r="E61" s="121">
        <v>4.2785386477592262144634846400</v>
      </c>
      <c r="F61" s="121">
        <v>73.721540836544422429406687980</v>
      </c>
      <c r="G61" s="121">
        <v>10.440045752875533426314881110</v>
      </c>
      <c r="H61" s="121">
        <v>114.05373094228413138904234605</v>
      </c>
      <c r="I61" s="241">
        <v>-5.5790515687018903667310112700</v>
      </c>
      <c r="J61" s="329">
        <v>237.0883196514880541571377617</v>
      </c>
      <c r="K61" s="121">
        <v>23.185014837771049900304362480</v>
      </c>
      <c r="L61" s="136">
        <v>259.94821543341961069043119041</v>
      </c>
      <c r="M61" s="121">
        <v>26.021613129725025912351791730</v>
      </c>
      <c r="N61" s="121">
        <v>91.20598087438351251904523308</v>
      </c>
      <c r="O61" s="241">
        <v>-2.2508823855300128792971074700</v>
      </c>
      <c r="P61" s="329">
        <v>199.34899883983073364838357778</v>
      </c>
      <c r="Q61" s="121">
        <v>28.455533305861634474518829700</v>
      </c>
      <c r="R61" s="136">
        <v>191.63782979461690907604040565</v>
      </c>
      <c r="S61" s="121">
        <v>39.178327198920703715663479250</v>
      </c>
      <c r="T61" s="121">
        <v>104.02382402967914435544617693</v>
      </c>
      <c r="U61" s="241">
        <v>-7.7043560651975730751939883100</v>
      </c>
    </row>
    <row r="62" ht="15.95" customHeight="1">
      <c r="B62" s="345"/>
      <c r="C62" s="305" t="s">
        <v>44</v>
      </c>
      <c r="D62" s="242">
        <v>81.34032634032634032634032634</v>
      </c>
      <c r="E62" s="156">
        <v>0.7797833934465035123617188900</v>
      </c>
      <c r="F62" s="156">
        <v>76.266861100984323733138899020</v>
      </c>
      <c r="G62" s="156">
        <v>18.434246102468882708111501010</v>
      </c>
      <c r="H62" s="156">
        <v>106.65225389649583702006502005</v>
      </c>
      <c r="I62" s="243">
        <v>-14.906552192464741318729238920</v>
      </c>
      <c r="J62" s="330">
        <v>236.07159982070972619522240612</v>
      </c>
      <c r="K62" s="156">
        <v>6.0700955531102223761453605400</v>
      </c>
      <c r="L62" s="186">
        <v>260.40301267615284813169600997</v>
      </c>
      <c r="M62" s="156">
        <v>6.8477440962106723831049692300</v>
      </c>
      <c r="N62" s="156">
        <v>90.65624755818576330705816668</v>
      </c>
      <c r="O62" s="243">
        <v>-0.7278099783336619326565288600</v>
      </c>
      <c r="P62" s="330">
        <v>192.021409690994543020566104</v>
      </c>
      <c r="Q62" s="156">
        <v>6.8972125436814295216768649300</v>
      </c>
      <c r="R62" s="186">
        <v>198.60120398050009416387460914</v>
      </c>
      <c r="S62" s="156">
        <v>26.544320197800861636327192430</v>
      </c>
      <c r="T62" s="156">
        <v>96.68693131882951456212614871</v>
      </c>
      <c r="U62" s="243">
        <v>-15.525870796437602476147275020</v>
      </c>
    </row>
    <row r="63" ht="15.95" customHeight="1">
      <c r="B63" s="346"/>
      <c r="C63" s="349" t="s">
        <v>45</v>
      </c>
      <c r="D63" s="244">
        <v>84.08216783216783216783216783</v>
      </c>
      <c r="E63" s="250">
        <v>4.2785386477592262144634846400</v>
      </c>
      <c r="F63" s="250">
        <v>73.721540836544422429406687980</v>
      </c>
      <c r="G63" s="250">
        <v>10.440045752875533426314881110</v>
      </c>
      <c r="H63" s="250">
        <v>114.05373094228413138904234605</v>
      </c>
      <c r="I63" s="245">
        <v>-5.5790515687018903667310112700</v>
      </c>
      <c r="J63" s="332">
        <v>237.0883196514880541571377617</v>
      </c>
      <c r="K63" s="250">
        <v>23.185014837771049900304362480</v>
      </c>
      <c r="L63" s="334">
        <v>259.94821543341961069043119041</v>
      </c>
      <c r="M63" s="250">
        <v>26.021613129725025912351791730</v>
      </c>
      <c r="N63" s="250">
        <v>91.20598087438351251904523308</v>
      </c>
      <c r="O63" s="245">
        <v>-2.2508823855300128792971074700</v>
      </c>
      <c r="P63" s="332">
        <v>199.34899883983073364838357778</v>
      </c>
      <c r="Q63" s="250">
        <v>28.455533305861634474518829700</v>
      </c>
      <c r="R63" s="334">
        <v>191.63782979461690907604040565</v>
      </c>
      <c r="S63" s="250">
        <v>39.178327198920703715663479250</v>
      </c>
      <c r="T63" s="250">
        <v>104.02382402967914435544617693</v>
      </c>
      <c r="U63" s="245">
        <v>-7.7043560651975730751939883100</v>
      </c>
    </row>
    <row r="64" ht="5.1" customHeight="1">
      <c r="B64" s="4"/>
      <c r="C64" s="4"/>
      <c r="D64" s="156"/>
      <c r="E64" s="156"/>
      <c r="F64" s="156"/>
      <c r="G64" s="156"/>
      <c r="H64" s="156"/>
      <c r="I64" s="156"/>
      <c r="J64" s="156"/>
      <c r="K64" s="156"/>
      <c r="L64" s="156"/>
      <c r="M64" s="156"/>
      <c r="N64" s="156"/>
      <c r="O64" s="156"/>
      <c r="P64" s="156"/>
      <c r="Q64" s="156"/>
      <c r="R64" s="156"/>
      <c r="S64" s="156"/>
      <c r="T64" s="156"/>
      <c r="U64" s="156"/>
    </row>
    <row r="65" s="4" customFormat="1" ht="5.1" customHeight="1">
      <c r="A65" s="4"/>
      <c r="B65" s="4"/>
      <c r="C65" s="4"/>
      <c r="D65" s="156"/>
      <c r="E65" s="156"/>
      <c r="F65" s="156"/>
      <c r="G65" s="156"/>
      <c r="H65" s="156"/>
      <c r="I65" s="156"/>
      <c r="J65" s="156"/>
      <c r="K65" s="156"/>
      <c r="L65" s="156"/>
      <c r="M65" s="156"/>
      <c r="N65" s="156"/>
      <c r="O65" s="156"/>
      <c r="P65" s="156"/>
      <c r="Q65" s="156"/>
      <c r="R65" s="156"/>
      <c r="S65" s="156"/>
      <c r="T65" s="156"/>
      <c r="U65" s="156"/>
      <c r="W65" s="281"/>
      <c r="X65" s="281"/>
      <c r="Y65" s="281"/>
      <c r="Z65" s="281"/>
      <c r="AA65" s="281"/>
      <c r="AB65" s="281"/>
      <c r="AC65" s="281"/>
      <c r="AD65" s="281"/>
      <c r="AE65" s="281"/>
      <c r="AF65" s="281"/>
      <c r="AG65" s="281"/>
      <c r="AH65" s="281"/>
      <c r="AI65" s="281"/>
      <c r="AJ65" s="281"/>
      <c r="AK65" s="281"/>
    </row>
    <row r="66" ht="15.95" customHeight="1">
      <c r="B66" s="347" t="s">
        <v>52</v>
      </c>
      <c r="C66" s="348" t="s">
        <v>42</v>
      </c>
      <c r="D66" s="238">
        <v>87.500</v>
      </c>
      <c r="E66" s="246">
        <v>-5.5858310627032289199563323900</v>
      </c>
      <c r="F66" s="246">
        <v>86.42969984202211690363349131</v>
      </c>
      <c r="G66" s="246">
        <v>13.540195559248293640637133670</v>
      </c>
      <c r="H66" s="246">
        <v>101.23834765127796265522057926</v>
      </c>
      <c r="I66" s="239">
        <v>-16.845159133004801904072642850</v>
      </c>
      <c r="J66" s="326">
        <v>423.70598854626594112947049152</v>
      </c>
      <c r="K66" s="246">
        <v>-3.4363689043778992622048089600</v>
      </c>
      <c r="L66" s="328">
        <v>396.46619789277191379134376121</v>
      </c>
      <c r="M66" s="246">
        <v>-4.3163646676852015093944484600</v>
      </c>
      <c r="N66" s="246">
        <v>106.87064642540630263201052210</v>
      </c>
      <c r="O66" s="239">
        <v>0.919693070050234295726144800</v>
      </c>
      <c r="P66" s="326">
        <v>370.74273997798269848828668008</v>
      </c>
      <c r="Q66" s="246">
        <v>-8.830250205357307247423519630</v>
      </c>
      <c r="R66" s="328">
        <v>342.66454481380018015046472632</v>
      </c>
      <c r="S66" s="246">
        <v>8.639386674534143200104232240</v>
      </c>
      <c r="T66" s="246">
        <v>108.19407656530093273959143244</v>
      </c>
      <c r="U66" s="239">
        <v>-16.080389824208867439493003830</v>
      </c>
    </row>
    <row r="67" ht="15.95" customHeight="1">
      <c r="B67" s="345" t="s">
        <v>55</v>
      </c>
      <c r="C67" s="304" t="s">
        <v>58</v>
      </c>
      <c r="D67" s="240">
        <v>87.33766233766233766233766234</v>
      </c>
      <c r="E67" s="121">
        <v>-3.1909788868096594886181232700</v>
      </c>
      <c r="F67" s="121">
        <v>83.67119659277318765331768176</v>
      </c>
      <c r="G67" s="121">
        <v>3.4758288105637610096923536100</v>
      </c>
      <c r="H67" s="121">
        <v>104.38199272170782022531828521</v>
      </c>
      <c r="I67" s="241">
        <v>-6.4428647481789011307100153900</v>
      </c>
      <c r="J67" s="329">
        <v>367.52278891507717647149736564</v>
      </c>
      <c r="K67" s="121">
        <v>13.101615118271394050371725530</v>
      </c>
      <c r="L67" s="136">
        <v>349.90918237625234269156170216</v>
      </c>
      <c r="M67" s="121">
        <v>8.891999481291063683896865280</v>
      </c>
      <c r="N67" s="121">
        <v>105.03376516705272345436135691</v>
      </c>
      <c r="O67" s="241">
        <v>3.8658631093781816717963273400</v>
      </c>
      <c r="P67" s="329">
        <v>320.98581239660961191828828363</v>
      </c>
      <c r="Q67" s="121">
        <v>9.492566459252921216493442980</v>
      </c>
      <c r="R67" s="136">
        <v>292.77319988219936937142016878</v>
      </c>
      <c r="S67" s="121">
        <v>12.676898971670486786199535010</v>
      </c>
      <c r="T67" s="121">
        <v>109.63633711205848658152220928</v>
      </c>
      <c r="U67" s="241">
        <v>-2.8260739703212684421595392800</v>
      </c>
    </row>
    <row r="68" ht="15.95" customHeight="1">
      <c r="B68" s="345"/>
      <c r="C68" s="305" t="s">
        <v>44</v>
      </c>
      <c r="D68" s="342">
        <v>84.59595959595959595959595960</v>
      </c>
      <c r="E68" s="161">
        <v>-7.2022160664655427751475174300</v>
      </c>
      <c r="F68" s="161">
        <v>85.78199052132701421800947867</v>
      </c>
      <c r="G68" s="161">
        <v>14.472293609516553624430462160</v>
      </c>
      <c r="H68" s="161">
        <v>98.61738936327677314181466437</v>
      </c>
      <c r="I68" s="336">
        <v>-18.934284439112006941110154710</v>
      </c>
      <c r="J68" s="335">
        <v>340.60806131053625899951669254</v>
      </c>
      <c r="K68" s="161">
        <v>2.1271608839350338130051066900</v>
      </c>
      <c r="L68" s="162">
        <v>327.53110034938432751022298663</v>
      </c>
      <c r="M68" s="161">
        <v>3.1922514442914662131958710600</v>
      </c>
      <c r="N68" s="161">
        <v>103.99258603142912639615087694</v>
      </c>
      <c r="O68" s="336">
        <v>-1.0321419926499045454244370400</v>
      </c>
      <c r="P68" s="335">
        <v>288.14065792684254233544972727</v>
      </c>
      <c r="Q68" s="161">
        <v>-5.2282579054713881617576500600</v>
      </c>
      <c r="R68" s="162">
        <v>280.96269745610693497322445773</v>
      </c>
      <c r="S68" s="161">
        <v>18.126537055542025551065748660</v>
      </c>
      <c r="T68" s="161">
        <v>102.55477347553017705889853047</v>
      </c>
      <c r="U68" s="336">
        <v>-19.770997731027351366826884990</v>
      </c>
    </row>
    <row r="69" ht="15.95" customHeight="1">
      <c r="B69" s="346"/>
      <c r="C69" s="349" t="s">
        <v>45</v>
      </c>
      <c r="D69" s="343">
        <v>87.33766233766233766233766234</v>
      </c>
      <c r="E69" s="338">
        <v>-3.1909788868096594886181232700</v>
      </c>
      <c r="F69" s="338">
        <v>83.67119659277318765331768176</v>
      </c>
      <c r="G69" s="338">
        <v>3.4758288105637610096923536100</v>
      </c>
      <c r="H69" s="338">
        <v>104.38199272170782022531828521</v>
      </c>
      <c r="I69" s="340">
        <v>-6.4428647481789011307100153900</v>
      </c>
      <c r="J69" s="337">
        <v>367.52278891507717647149736564</v>
      </c>
      <c r="K69" s="338">
        <v>13.101615118271394050371725530</v>
      </c>
      <c r="L69" s="339">
        <v>349.90918237625234269156170216</v>
      </c>
      <c r="M69" s="338">
        <v>8.891999481291063683896865280</v>
      </c>
      <c r="N69" s="338">
        <v>105.03376516705272345436135691</v>
      </c>
      <c r="O69" s="340">
        <v>3.8658631093781816717963273400</v>
      </c>
      <c r="P69" s="337">
        <v>320.98581239660961191828828363</v>
      </c>
      <c r="Q69" s="338">
        <v>9.492566459252921216493442980</v>
      </c>
      <c r="R69" s="339">
        <v>292.77319988219936937142016878</v>
      </c>
      <c r="S69" s="338">
        <v>12.676898971670486786199535010</v>
      </c>
      <c r="T69" s="338">
        <v>109.63633711205848658152220928</v>
      </c>
      <c r="U69" s="340">
        <v>-2.8260739703212684421595392800</v>
      </c>
    </row>
    <row r="70" ht="5.1" customHeight="1">
      <c r="B70" s="4"/>
      <c r="C70" s="4"/>
      <c r="D70" s="161"/>
      <c r="E70" s="161"/>
      <c r="F70" s="161"/>
      <c r="G70" s="161"/>
      <c r="H70" s="161"/>
      <c r="I70" s="161"/>
      <c r="J70" s="162"/>
      <c r="K70" s="161"/>
      <c r="L70" s="162"/>
      <c r="M70" s="161"/>
      <c r="N70" s="161"/>
      <c r="O70" s="161"/>
      <c r="P70" s="162"/>
      <c r="Q70" s="161"/>
      <c r="R70" s="162"/>
      <c r="S70" s="161"/>
      <c r="T70" s="161"/>
      <c r="U70" s="161"/>
    </row>
    <row r="71" s="4" customFormat="1" ht="5.1" customHeight="1">
      <c r="A71" s="4"/>
      <c r="B71" s="4"/>
      <c r="C71" s="4"/>
      <c r="D71" s="161"/>
      <c r="E71" s="161"/>
      <c r="F71" s="161"/>
      <c r="G71" s="161"/>
      <c r="H71" s="161"/>
      <c r="I71" s="161"/>
      <c r="J71" s="162"/>
      <c r="K71" s="161"/>
      <c r="L71" s="162"/>
      <c r="M71" s="161"/>
      <c r="N71" s="161"/>
      <c r="O71" s="161"/>
      <c r="P71" s="162"/>
      <c r="Q71" s="161"/>
      <c r="R71" s="162"/>
      <c r="S71" s="161"/>
      <c r="T71" s="161"/>
      <c r="U71" s="161"/>
      <c r="W71" s="281"/>
      <c r="X71" s="281"/>
      <c r="Y71" s="281"/>
      <c r="Z71" s="281"/>
      <c r="AA71" s="281"/>
      <c r="AB71" s="281"/>
      <c r="AC71" s="281"/>
      <c r="AD71" s="281"/>
      <c r="AE71" s="281"/>
      <c r="AF71" s="281"/>
      <c r="AG71" s="281"/>
      <c r="AH71" s="281"/>
      <c r="AI71" s="281"/>
      <c r="AJ71" s="281"/>
      <c r="AK71" s="281"/>
    </row>
    <row r="72" ht="15.95" customHeight="1">
      <c r="B72" s="347" t="s">
        <v>12</v>
      </c>
      <c r="C72" s="348" t="s">
        <v>42</v>
      </c>
      <c r="D72" s="238">
        <v>86.33919843597262952101661779</v>
      </c>
      <c r="E72" s="246">
        <v>-7.7786478726522018884396566100</v>
      </c>
      <c r="F72" s="246">
        <v>80.03363400091729093410793457</v>
      </c>
      <c r="G72" s="246">
        <v>9.165184763469721988999390170</v>
      </c>
      <c r="H72" s="246">
        <v>107.87864316519942319816419055</v>
      </c>
      <c r="I72" s="239">
        <v>-15.521278760059032291546026350</v>
      </c>
      <c r="J72" s="326">
        <v>319.73223889046136427964902349</v>
      </c>
      <c r="K72" s="246">
        <v>-5.1198492329308838951420960200</v>
      </c>
      <c r="L72" s="328">
        <v>325.47704552690226042661572745</v>
      </c>
      <c r="M72" s="246">
        <v>-6.7168973216714882417544129600</v>
      </c>
      <c r="N72" s="246">
        <v>98.23495797464345625703116866</v>
      </c>
      <c r="O72" s="239">
        <v>1.7120443498190594325484706900</v>
      </c>
      <c r="P72" s="326">
        <v>276.05425219941348973607038123</v>
      </c>
      <c r="Q72" s="246">
        <v>-12.500242062100870585097259470</v>
      </c>
      <c r="R72" s="328">
        <v>260.49110737399989807878509912</v>
      </c>
      <c r="S72" s="246">
        <v>1.8326713918214728831252895300</v>
      </c>
      <c r="T72" s="246">
        <v>105.97453977692555583879061268</v>
      </c>
      <c r="U72" s="239">
        <v>-14.074965586198334566670999050</v>
      </c>
    </row>
    <row r="73" ht="15.95" customHeight="1">
      <c r="B73" s="345"/>
      <c r="C73" s="304" t="s">
        <v>58</v>
      </c>
      <c r="D73" s="240">
        <v>85.02905770029057700290577003</v>
      </c>
      <c r="E73" s="121">
        <v>1.989145588536662112782954400</v>
      </c>
      <c r="F73" s="121">
        <v>76.586155691111467077663724170</v>
      </c>
      <c r="G73" s="121">
        <v>8.170566819870315525329626950</v>
      </c>
      <c r="H73" s="121">
        <v>111.02405772035861324740404304</v>
      </c>
      <c r="I73" s="241">
        <v>-5.7145131185369497087318742800</v>
      </c>
      <c r="J73" s="329">
        <v>275.60038567627602704615910367</v>
      </c>
      <c r="K73" s="121">
        <v>17.904096670558583726120748430</v>
      </c>
      <c r="L73" s="136">
        <v>288.21114352095239710346464972</v>
      </c>
      <c r="M73" s="121">
        <v>18.053361450747817297656364760</v>
      </c>
      <c r="N73" s="121">
        <v>95.62447249934140309231221971</v>
      </c>
      <c r="O73" s="241">
        <v>-0.1264383990714420922833431300</v>
      </c>
      <c r="P73" s="329">
        <v>234.34041095890410958904109589</v>
      </c>
      <c r="Q73" s="121">
        <v>20.249380808160366492609650750</v>
      </c>
      <c r="R73" s="136">
        <v>220.72983509608932259084001853</v>
      </c>
      <c r="S73" s="121">
        <v>27.698990231218930414849968600</v>
      </c>
      <c r="T73" s="121">
        <v>106.16616954245375150973271950</v>
      </c>
      <c r="U73" s="241">
        <v>-5.833726178701026370453974200</v>
      </c>
    </row>
    <row r="74" ht="15.95" customHeight="1">
      <c r="B74" s="345"/>
      <c r="C74" s="305" t="s">
        <v>44</v>
      </c>
      <c r="D74" s="242">
        <v>82.29578392621870882740447958</v>
      </c>
      <c r="E74" s="156">
        <v>-1.7692156477835750336517015900</v>
      </c>
      <c r="F74" s="156">
        <v>79.062779037021773473452847040</v>
      </c>
      <c r="G74" s="156">
        <v>17.163231956399399334669779050</v>
      </c>
      <c r="H74" s="156">
        <v>104.08916171249902434340164108</v>
      </c>
      <c r="I74" s="243">
        <v>-16.159034953141038344120207220</v>
      </c>
      <c r="J74" s="330">
        <v>267.60826495897538523113868321</v>
      </c>
      <c r="K74" s="156">
        <v>3.7267022814375971313477932500</v>
      </c>
      <c r="L74" s="186">
        <v>281.76660947375279629911169993</v>
      </c>
      <c r="M74" s="156">
        <v>5.2312464170371224898378230600</v>
      </c>
      <c r="N74" s="156">
        <v>94.97515176079047613073038307</v>
      </c>
      <c r="O74" s="243">
        <v>-1.4297503706404821957292686400</v>
      </c>
      <c r="P74" s="330">
        <v>220.23031949934123847167325428</v>
      </c>
      <c r="Q74" s="156">
        <v>1.8915532337768083904659682600</v>
      </c>
      <c r="R74" s="186">
        <v>222.77251184834123222748815166</v>
      </c>
      <c r="S74" s="156">
        <v>23.292329330122466557728664720</v>
      </c>
      <c r="T74" s="156">
        <v>98.85883930298819707806066722</v>
      </c>
      <c r="U74" s="243">
        <v>-17.357751461568354992251254850</v>
      </c>
    </row>
    <row r="75" ht="15.95" customHeight="1">
      <c r="B75" s="346"/>
      <c r="C75" s="349" t="s">
        <v>45</v>
      </c>
      <c r="D75" s="244">
        <v>85.02905770029057700290577003</v>
      </c>
      <c r="E75" s="250">
        <v>1.989145588536662112782954400</v>
      </c>
      <c r="F75" s="250">
        <v>76.586155691111467077663724170</v>
      </c>
      <c r="G75" s="250">
        <v>8.170566819870315525329626950</v>
      </c>
      <c r="H75" s="250">
        <v>111.02405772035861324740404304</v>
      </c>
      <c r="I75" s="245">
        <v>-5.7145131185369497087318742800</v>
      </c>
      <c r="J75" s="332">
        <v>275.60038567627602704615910367</v>
      </c>
      <c r="K75" s="250">
        <v>17.904096670558583726120748430</v>
      </c>
      <c r="L75" s="334">
        <v>288.21114352095239710346464972</v>
      </c>
      <c r="M75" s="250">
        <v>18.053361450747817297656364760</v>
      </c>
      <c r="N75" s="250">
        <v>95.62447249934140309231221971</v>
      </c>
      <c r="O75" s="245">
        <v>-0.1264383990714420922833431300</v>
      </c>
      <c r="P75" s="332">
        <v>234.34041095890410958904109589</v>
      </c>
      <c r="Q75" s="250">
        <v>20.249380808160366492609650750</v>
      </c>
      <c r="R75" s="334">
        <v>220.72983509608932259084001853</v>
      </c>
      <c r="S75" s="250">
        <v>27.698990231218930414849968600</v>
      </c>
      <c r="T75" s="250">
        <v>106.16616954245375150973271950</v>
      </c>
      <c r="U75" s="245">
        <v>-5.833726178701026370453974200</v>
      </c>
    </row>
    <row r="76" ht="9.95" customHeight="1"/>
    <row r="77" ht="24" customHeight="1">
      <c r="B77" s="1048" t="s">
        <v>126</v>
      </c>
      <c r="C77" s="1048"/>
      <c r="D77" s="1048"/>
      <c r="E77" s="1048"/>
      <c r="F77" s="1048"/>
      <c r="G77" s="1048"/>
      <c r="H77" s="1048"/>
      <c r="I77" s="1048"/>
      <c r="J77" s="1048"/>
      <c r="K77" s="1048"/>
      <c r="L77" s="1048"/>
      <c r="M77" s="1048"/>
      <c r="N77" s="1048"/>
      <c r="O77" s="1048"/>
      <c r="P77" s="1048"/>
      <c r="Q77" s="1048"/>
      <c r="R77" s="1048"/>
      <c r="S77" s="1048"/>
      <c r="T77" s="1048"/>
      <c r="U77" s="1048"/>
    </row>
    <row r="78" ht="9.95" customHeight="1">
      <c r="S78" s="55"/>
    </row>
    <row r="79" s="235" customFormat="1">
      <c r="A79" s="235"/>
    </row>
    <row r="80" s="235" customFormat="1"/>
    <row r="81" s="235" customFormat="1"/>
    <row r="82" s="235" customFormat="1"/>
    <row r="83" s="235" customFormat="1"/>
    <row r="84" s="235" customFormat="1"/>
    <row r="85" s="235" customFormat="1"/>
    <row r="86" s="235" customFormat="1"/>
    <row r="87" s="235" customFormat="1"/>
    <row r="88" s="235" customFormat="1"/>
    <row r="89" s="235" customFormat="1"/>
    <row r="90" s="235" customFormat="1"/>
    <row r="91" s="235" customFormat="1"/>
    <row r="92" s="235" customFormat="1"/>
    <row r="93" s="235" customFormat="1"/>
    <row r="94" s="235" customFormat="1"/>
    <row r="95" s="235" customFormat="1"/>
    <row r="96" s="235" customFormat="1"/>
    <row r="97" s="235" customFormat="1"/>
    <row r="98" s="235" customFormat="1"/>
    <row r="99" s="235" customFormat="1"/>
    <row r="100" s="235" customFormat="1"/>
    <row r="101" s="235" customFormat="1"/>
    <row r="102" s="235" customFormat="1"/>
    <row r="103" s="235" customFormat="1"/>
    <row r="104" s="235" customFormat="1"/>
    <row r="105" s="235" customFormat="1"/>
    <row r="106" s="235" customFormat="1"/>
    <row r="107" s="235" customFormat="1"/>
    <row r="108" s="235" customFormat="1"/>
    <row r="109" s="235" customFormat="1"/>
  </sheetData>
  <mergeCells count="15">
    <mergeCell ref="B77:U77"/>
    <mergeCell ref="J16:K16"/>
    <mergeCell ref="T16:U16"/>
    <mergeCell ref="L16:M16"/>
    <mergeCell ref="N16:O16"/>
    <mergeCell ref="O3:U3"/>
    <mergeCell ref="B59:C59"/>
    <mergeCell ref="P16:Q16"/>
    <mergeCell ref="R16:S16"/>
    <mergeCell ref="D15:I15"/>
    <mergeCell ref="J15:O15"/>
    <mergeCell ref="P15:U15"/>
    <mergeCell ref="D16:E16"/>
    <mergeCell ref="F16:G16"/>
    <mergeCell ref="H16:I16"/>
  </mergeCells>
  <phoneticPr fontId="12" type="noConversion"/>
  <printOptions horizontalCentered="1" verticalCentered="1"/>
  <pageMargins left="0.25" right="0.25" top="0.25" bottom="0.25" header="0" footer="0"/>
  <pageSetup scale="53" fitToWidth="1" fitToHeight="1" orientation="landscape" r:id="rId1"/>
  <headerFooter alignWithMargins="0">
    <oddHeader/>
    <oddFooter/>
  </headerFooter>
  <rowBreaks count="1" manualBreakCount="1">
    <brk id="79" max="16383" man="1"/>
  </rowBreaks>
  <colBreaks count="1" manualBreakCount="1">
    <brk id="23" max="1048575" man="1"/>
  </colBreaks>
  <drawing r:id="rId91"/>
</worksheet>
</file>

<file path=xl/worksheets/sheet9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8">
    <pageSetUpPr fitToPage="1"/>
  </sheetPr>
  <dimension ref="A1:AW94"/>
  <sheetViews>
    <sheetView showGridLines="0" zoomScale="55" zoomScaleNormal="75" workbookViewId="0"/>
  </sheetViews>
  <sheetFormatPr defaultRowHeight="12.75"/>
  <cols>
    <col min="1" max="1" width="2.140625" customWidth="1"/>
    <col min="2" max="2" width="23" customWidth="1"/>
    <col min="3" max="33" width="10.28515625" customWidth="1"/>
    <col min="34" max="34" width="2.7109375" customWidth="1"/>
    <col min="35" max="38" width="9.28515625" style="236" customWidth="1"/>
    <col min="39" max="49" width="9.140625" style="236" customWidth="1"/>
  </cols>
  <sheetData>
    <row r="1" ht="39.95" customHeight="1">
      <c r="A1" s="7"/>
      <c r="B1" s="656" t="s">
        <v>175</v>
      </c>
      <c r="AA1" s="998"/>
      <c r="AB1" s="998"/>
      <c r="AC1" s="998"/>
      <c r="AD1" s="998"/>
      <c r="AE1" s="998"/>
      <c r="AF1" s="998"/>
      <c r="AG1" s="998"/>
      <c r="AH1"/>
    </row>
    <row r="2" ht="21.95" customHeight="1">
      <c r="A2" s="6"/>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c r="AC2" s="999"/>
      <c r="AD2" s="999"/>
      <c r="AE2" s="999"/>
      <c r="AF2" s="999"/>
      <c r="AG2" s="999"/>
    </row>
    <row r="3" ht="21.95" customHeight="1">
      <c r="A3" s="6"/>
      <c r="B3" s="999" t="s">
        <v>209</v>
      </c>
      <c r="C3" s="999"/>
      <c r="D3" s="999"/>
      <c r="E3" s="999"/>
      <c r="F3" s="999"/>
      <c r="G3" s="999"/>
      <c r="H3" s="999"/>
      <c r="I3" s="999"/>
      <c r="J3" s="999"/>
      <c r="K3" s="999"/>
      <c r="L3" s="999"/>
      <c r="M3" s="999"/>
      <c r="N3" s="999"/>
      <c r="O3" s="999"/>
      <c r="P3" s="999"/>
      <c r="Q3" s="999"/>
      <c r="R3" s="999"/>
      <c r="S3" s="999"/>
      <c r="T3" s="999"/>
      <c r="U3" s="1000"/>
      <c r="V3" s="1000"/>
      <c r="W3" s="1000"/>
      <c r="X3" s="1000"/>
      <c r="Y3" s="1000"/>
      <c r="Z3" s="1000"/>
      <c r="AA3" s="1000"/>
      <c r="AB3" s="1000"/>
      <c r="AC3" s="1000"/>
      <c r="AD3" s="1000"/>
      <c r="AE3" s="1000"/>
      <c r="AF3" s="1000"/>
      <c r="AG3" s="1000"/>
    </row>
    <row r="4" ht="21.95" customHeight="1">
      <c r="A4" s="6"/>
      <c r="B4" s="999" t="s">
        <v>292</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c r="AC4" s="999"/>
      <c r="AD4" s="999"/>
      <c r="AE4" s="999"/>
      <c r="AF4" s="999"/>
      <c r="AG4" s="999"/>
      <c r="AH4" s="4"/>
    </row>
    <row r="5" ht="21.95" customHeight="1">
      <c r="A5" s="6"/>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row>
    <row r="6" ht="21.95" customHeight="1">
      <c r="A6" s="6"/>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row>
    <row r="7" ht="21.95" customHeight="1">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row>
    <row r="8" ht="21.95" customHeight="1">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row>
    <row r="9" ht="21.95" customHeight="1">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row>
    <row r="10" ht="21.95" customHeight="1">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row>
    <row r="11" ht="21.95" customHeight="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row>
    <row r="12" ht="21.95" customHeight="1">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row>
    <row r="13" ht="21.95" customHeight="1">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row>
    <row r="14" ht="21.95" customHeight="1">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row>
    <row r="15" ht="21.95" customHeight="1">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row>
    <row r="16" ht="21.95" customHeight="1">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row>
    <row r="17" ht="21.95" customHeight="1">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row>
    <row r="18" ht="21.95" customHeight="1">
      <c r="AE18"/>
      <c r="AF18"/>
      <c r="AG18"/>
    </row>
    <row r="19" ht="21.95" customHeight="1">
      <c r="AE19"/>
      <c r="AF19"/>
      <c r="AG19"/>
    </row>
    <row r="20" ht="30" customHeight="1">
      <c r="AE20"/>
      <c r="AF20"/>
      <c r="AG20"/>
    </row>
    <row r="21" ht="31.5" customHeight="1">
      <c r="AE21"/>
      <c r="AF21"/>
      <c r="AG21"/>
    </row>
    <row r="22" ht="30" customHeight="1">
      <c r="A22" s="8"/>
      <c r="B22" s="25"/>
      <c r="X22" s="1001"/>
      <c r="Y22" s="1001"/>
      <c r="Z22" s="1001"/>
      <c r="AA22" s="1001"/>
      <c r="AB22" s="1001"/>
      <c r="AC22" s="1001"/>
      <c r="AD22" s="1001"/>
      <c r="AE22"/>
      <c r="AF22"/>
      <c r="AG22"/>
    </row>
    <row r="23" s="82" customFormat="1" ht="21.95" customHeight="1">
      <c r="B23" s="25"/>
      <c r="C23" s="41" t="s">
        <v>293</v>
      </c>
      <c r="D23" s="41" t="s">
        <v>295</v>
      </c>
      <c r="E23" s="41" t="s">
        <v>296</v>
      </c>
      <c r="F23" s="41" t="s">
        <v>297</v>
      </c>
      <c r="G23" s="41" t="s">
        <v>298</v>
      </c>
      <c r="H23" s="41" t="s">
        <v>299</v>
      </c>
      <c r="I23" s="41" t="s">
        <v>300</v>
      </c>
      <c r="J23" s="41" t="s">
        <v>293</v>
      </c>
      <c r="K23" s="41" t="s">
        <v>295</v>
      </c>
      <c r="L23" s="41" t="s">
        <v>296</v>
      </c>
      <c r="M23" s="41" t="s">
        <v>297</v>
      </c>
      <c r="N23" s="41" t="s">
        <v>298</v>
      </c>
      <c r="O23" s="41" t="s">
        <v>299</v>
      </c>
      <c r="P23" s="41" t="s">
        <v>300</v>
      </c>
      <c r="Q23" s="41" t="s">
        <v>293</v>
      </c>
      <c r="R23" s="41" t="s">
        <v>295</v>
      </c>
      <c r="S23" s="41" t="s">
        <v>296</v>
      </c>
      <c r="T23" s="41" t="s">
        <v>297</v>
      </c>
      <c r="U23" s="41" t="s">
        <v>298</v>
      </c>
      <c r="V23" s="41" t="s">
        <v>299</v>
      </c>
      <c r="W23" s="41" t="s">
        <v>300</v>
      </c>
      <c r="X23" s="41" t="s">
        <v>293</v>
      </c>
      <c r="Y23" s="41" t="s">
        <v>295</v>
      </c>
      <c r="Z23" s="41" t="s">
        <v>296</v>
      </c>
      <c r="AA23" s="41" t="s">
        <v>297</v>
      </c>
      <c r="AB23" s="41" t="s">
        <v>298</v>
      </c>
      <c r="AC23" s="41" t="s">
        <v>299</v>
      </c>
      <c r="AD23" s="41" t="s">
        <v>300</v>
      </c>
      <c r="AE23" s="41" t="s">
        <v>293</v>
      </c>
      <c r="AF23" s="41" t="s">
        <v>295</v>
      </c>
      <c r="AG23" s="41" t="s">
        <v>296</v>
      </c>
      <c r="AH23" s="93"/>
      <c r="AI23" s="236"/>
      <c r="AJ23" s="236"/>
      <c r="AK23" s="236"/>
      <c r="AL23" s="236"/>
      <c r="AM23" s="236"/>
      <c r="AN23" s="236"/>
      <c r="AO23" s="236"/>
      <c r="AP23" s="236"/>
      <c r="AQ23" s="236"/>
      <c r="AR23" s="236"/>
      <c r="AS23" s="236"/>
      <c r="AT23" s="236"/>
      <c r="AU23" s="236"/>
      <c r="AV23" s="236"/>
      <c r="AW23" s="236"/>
    </row>
    <row r="24" s="35" customFormat="1" ht="20.1" customHeight="1">
      <c r="B24" s="964" t="s">
        <v>22</v>
      </c>
      <c r="C24" s="350" t="s">
        <v>294</v>
      </c>
      <c r="D24" s="351"/>
      <c r="E24" s="351"/>
      <c r="F24" s="351"/>
      <c r="G24" s="351"/>
      <c r="H24" s="351"/>
      <c r="I24" s="351"/>
      <c r="J24" s="351"/>
      <c r="K24" s="351"/>
      <c r="L24" s="351"/>
      <c r="M24" s="351"/>
      <c r="N24" s="351"/>
      <c r="O24" s="351"/>
      <c r="P24" s="351"/>
      <c r="Q24" s="351"/>
      <c r="R24" s="351"/>
      <c r="S24" s="352"/>
      <c r="T24" s="352"/>
      <c r="U24" s="352"/>
      <c r="V24" s="352"/>
      <c r="W24" s="352"/>
      <c r="X24" s="352"/>
      <c r="Y24" s="352"/>
      <c r="Z24" s="352"/>
      <c r="AA24" s="352"/>
      <c r="AB24" s="352"/>
      <c r="AC24" s="352"/>
      <c r="AD24" s="352"/>
      <c r="AE24" s="352"/>
      <c r="AF24" s="352"/>
      <c r="AG24" s="353"/>
      <c r="AH24" s="529"/>
      <c r="AI24" s="236"/>
      <c r="AJ24" s="236"/>
      <c r="AK24" s="236"/>
      <c r="AL24" s="236"/>
      <c r="AM24" s="236"/>
      <c r="AN24" s="236"/>
      <c r="AO24" s="236"/>
      <c r="AP24" s="236"/>
      <c r="AQ24" s="236"/>
      <c r="AR24" s="236"/>
      <c r="AS24" s="236"/>
      <c r="AT24" s="236"/>
      <c r="AU24" s="236"/>
      <c r="AV24" s="236"/>
      <c r="AW24" s="236"/>
    </row>
    <row r="25" s="36" customFormat="1" ht="20.1" customHeight="1">
      <c r="B25" s="964"/>
      <c r="C25" s="354">
        <v>1</v>
      </c>
      <c r="D25" s="355">
        <v>2</v>
      </c>
      <c r="E25" s="355">
        <v>3</v>
      </c>
      <c r="F25" s="355">
        <v>4</v>
      </c>
      <c r="G25" s="355">
        <v>5</v>
      </c>
      <c r="H25" s="355">
        <v>6</v>
      </c>
      <c r="I25" s="355">
        <v>7</v>
      </c>
      <c r="J25" s="355">
        <v>8</v>
      </c>
      <c r="K25" s="355">
        <v>9</v>
      </c>
      <c r="L25" s="355">
        <v>10</v>
      </c>
      <c r="M25" s="355">
        <v>11</v>
      </c>
      <c r="N25" s="355">
        <v>12</v>
      </c>
      <c r="O25" s="355">
        <v>13</v>
      </c>
      <c r="P25" s="355">
        <v>14</v>
      </c>
      <c r="Q25" s="355">
        <v>15</v>
      </c>
      <c r="R25" s="355">
        <v>16</v>
      </c>
      <c r="S25" s="355">
        <v>17</v>
      </c>
      <c r="T25" s="355">
        <v>18</v>
      </c>
      <c r="U25" s="355">
        <v>19</v>
      </c>
      <c r="V25" s="355">
        <v>20</v>
      </c>
      <c r="W25" s="355">
        <v>21</v>
      </c>
      <c r="X25" s="355">
        <v>22</v>
      </c>
      <c r="Y25" s="355">
        <v>23</v>
      </c>
      <c r="Z25" s="355">
        <v>24</v>
      </c>
      <c r="AA25" s="355">
        <v>25</v>
      </c>
      <c r="AB25" s="355">
        <v>26</v>
      </c>
      <c r="AC25" s="355">
        <v>27</v>
      </c>
      <c r="AD25" s="355">
        <v>28</v>
      </c>
      <c r="AE25" s="355">
        <v>29</v>
      </c>
      <c r="AF25" s="355">
        <v>30</v>
      </c>
      <c r="AG25" s="356">
        <v>31</v>
      </c>
      <c r="AH25" s="529"/>
      <c r="AI25" s="236"/>
      <c r="AJ25" s="236"/>
      <c r="AK25" s="236"/>
      <c r="AL25" s="236"/>
      <c r="AM25" s="236"/>
      <c r="AN25" s="236"/>
      <c r="AO25" s="236"/>
      <c r="AP25" s="236"/>
      <c r="AQ25" s="236"/>
      <c r="AR25" s="236"/>
      <c r="AS25" s="236"/>
      <c r="AT25" s="236"/>
      <c r="AU25" s="236"/>
      <c r="AV25" s="236"/>
      <c r="AW25" s="236"/>
    </row>
    <row r="26" ht="24.95" customHeight="1">
      <c r="B26" s="263" t="s">
        <v>19</v>
      </c>
      <c r="C26" s="573">
        <v>99.24242424242424242424242424</v>
      </c>
      <c r="D26" s="574">
        <v>99.24242424242424242424242424</v>
      </c>
      <c r="E26" s="574">
        <v>94.69696969696969696969696970</v>
      </c>
      <c r="F26" s="574">
        <v>93.18181818181818181818181818</v>
      </c>
      <c r="G26" s="574">
        <v>84.84848484848484848484848485</v>
      </c>
      <c r="H26" s="574">
        <v>87.87878787878787878787878788</v>
      </c>
      <c r="I26" s="574">
        <v>88.63636363636363636363636364</v>
      </c>
      <c r="J26" s="574">
        <v>93.18181818181818181818181818</v>
      </c>
      <c r="K26" s="574">
        <v>87.12121212121212121212121212</v>
      </c>
      <c r="L26" s="574">
        <v>91.66666666666666666666666667</v>
      </c>
      <c r="M26" s="574">
        <v>84.09090909090909090909090909</v>
      </c>
      <c r="N26" s="574">
        <v>80.30303030303030303030303030</v>
      </c>
      <c r="O26" s="574">
        <v>78.030303030303030303030303030</v>
      </c>
      <c r="P26" s="574">
        <v>75.757575757575757575757575760</v>
      </c>
      <c r="Q26" s="574">
        <v>80.30303030303030303030303030</v>
      </c>
      <c r="R26" s="574">
        <v>75.00</v>
      </c>
      <c r="S26" s="574">
        <v>78.030303030303030303030303030</v>
      </c>
      <c r="T26" s="574">
        <v>74.242424242424242424242424240</v>
      </c>
      <c r="U26" s="574">
        <v>67.424242424242424242424242420</v>
      </c>
      <c r="V26" s="574">
        <v>80.30303030303030303030303030</v>
      </c>
      <c r="W26" s="574">
        <v>96.21212121212121212121212121</v>
      </c>
      <c r="X26" s="574">
        <v>96.21212121212121212121212121</v>
      </c>
      <c r="Y26" s="574">
        <v>81.06060606060606060606060606</v>
      </c>
      <c r="Z26" s="574">
        <v>78.030303030303030303030303030</v>
      </c>
      <c r="AA26" s="574">
        <v>80.30303030303030303030303030</v>
      </c>
      <c r="AB26" s="574">
        <v>80.30303030303030303030303030</v>
      </c>
      <c r="AC26" s="574">
        <v>89.39393939393939393939393939</v>
      </c>
      <c r="AD26" s="574">
        <v>96.21212121212121212121212121</v>
      </c>
      <c r="AE26" s="574">
        <v>95.45454545454545454545454545</v>
      </c>
      <c r="AF26" s="574">
        <v>93.18181818181818181818181818</v>
      </c>
      <c r="AG26" s="575">
        <v>96.96969696969696969696969697</v>
      </c>
      <c r="AH26" s="342"/>
    </row>
    <row r="27" ht="24.95" customHeight="1">
      <c r="B27" s="38" t="s">
        <v>35</v>
      </c>
      <c r="C27" s="271">
        <v>96.20853080568720379146919431</v>
      </c>
      <c r="D27" s="92">
        <v>95.57661927330173775671406003</v>
      </c>
      <c r="E27" s="92">
        <v>87.83570300157977883096366509</v>
      </c>
      <c r="F27" s="92">
        <v>79.30489731437598736176935229</v>
      </c>
      <c r="G27" s="92">
        <v>76.777251184834123222748815170</v>
      </c>
      <c r="H27" s="92">
        <v>83.25434439178515007898894155</v>
      </c>
      <c r="I27" s="92">
        <v>76.461295418641390205371248030</v>
      </c>
      <c r="J27" s="92">
        <v>84.36018957345971563981042654</v>
      </c>
      <c r="K27" s="92">
        <v>86.25592417061611374407582938</v>
      </c>
      <c r="L27" s="92">
        <v>91.15323854660347551342812006</v>
      </c>
      <c r="M27" s="92">
        <v>76.935229067930489731437598740</v>
      </c>
      <c r="N27" s="92">
        <v>66.350710900473933649289099530</v>
      </c>
      <c r="O27" s="92">
        <v>64.612954186413902053712480250</v>
      </c>
      <c r="P27" s="92">
        <v>65.718799368088467614533965240</v>
      </c>
      <c r="Q27" s="92">
        <v>69.036334913112164296998420220</v>
      </c>
      <c r="R27" s="92">
        <v>78.515007898894154818325434440</v>
      </c>
      <c r="S27" s="92">
        <v>88.30963665086887835703001580</v>
      </c>
      <c r="T27" s="92">
        <v>84.51816745655608214849921011</v>
      </c>
      <c r="U27" s="92">
        <v>73.459715639810426540284360190</v>
      </c>
      <c r="V27" s="92">
        <v>75.355450236966824644549763030</v>
      </c>
      <c r="W27" s="92">
        <v>78.357030015797788309636650870</v>
      </c>
      <c r="X27" s="92">
        <v>81.83254344391785150078988942</v>
      </c>
      <c r="Y27" s="92">
        <v>73.933649289099526066350710900</v>
      </c>
      <c r="Z27" s="92">
        <v>72.511848341232227488151658770</v>
      </c>
      <c r="AA27" s="92">
        <v>70.142180094786729857819905210</v>
      </c>
      <c r="AB27" s="92">
        <v>68.878357030015797788309636650</v>
      </c>
      <c r="AC27" s="92">
        <v>74.723538704581358609794628750</v>
      </c>
      <c r="AD27" s="92">
        <v>82.78041074249605055292259084</v>
      </c>
      <c r="AE27" s="92">
        <v>86.41390205371248025276461295</v>
      </c>
      <c r="AF27" s="92">
        <v>92.10110584518167456556082148</v>
      </c>
      <c r="AG27" s="272">
        <v>96.99842022116903633491311216</v>
      </c>
      <c r="AH27" s="342"/>
    </row>
    <row r="28" ht="24.95" customHeight="1">
      <c r="A28" s="23"/>
      <c r="B28" s="40" t="s">
        <v>97</v>
      </c>
      <c r="C28" s="581">
        <v>103.15345573964891629660187682</v>
      </c>
      <c r="D28" s="582">
        <v>103.83546205860444238781503999</v>
      </c>
      <c r="E28" s="582">
        <v>107.81147809023024876370977041</v>
      </c>
      <c r="F28" s="582">
        <v>117.49818906189850471348940704</v>
      </c>
      <c r="G28" s="582">
        <v>110.51253273480407365839466788</v>
      </c>
      <c r="H28" s="582">
        <v>105.55459720543226781895628481</v>
      </c>
      <c r="I28" s="582">
        <v>115.92317806167056547692970222</v>
      </c>
      <c r="J28" s="582">
        <v>110.45709908064183994502533191</v>
      </c>
      <c r="K28" s="582">
        <v>101.00316350318237188635540636</v>
      </c>
      <c r="L28" s="582">
        <v>100.56325823223953620741960012</v>
      </c>
      <c r="M28" s="582">
        <v>109.30091469110174460367541702</v>
      </c>
      <c r="N28" s="582">
        <v>121.02813852809098136982067421</v>
      </c>
      <c r="O28" s="582">
        <v>120.76572571685194514836495058</v>
      </c>
      <c r="P28" s="582">
        <v>115.27534965032942174262036396</v>
      </c>
      <c r="Q28" s="582">
        <v>116.31995007283098044470806903</v>
      </c>
      <c r="R28" s="582">
        <v>95.52313883299087654700840913</v>
      </c>
      <c r="S28" s="582">
        <v>88.35989591800431356408288903</v>
      </c>
      <c r="T28" s="582">
        <v>87.84197111295350539546925882</v>
      </c>
      <c r="U28" s="582">
        <v>91.78396871946561782234415093</v>
      </c>
      <c r="V28" s="582">
        <v>106.56565656560964995870658313</v>
      </c>
      <c r="W28" s="582">
        <v>122.78684017594961342130001901</v>
      </c>
      <c r="X28" s="582">
        <v>117.57195507198071989121700106</v>
      </c>
      <c r="Y28" s="582">
        <v>109.63966588966518684751857829</v>
      </c>
      <c r="Z28" s="582">
        <v>107.61041790458337844677716084</v>
      </c>
      <c r="AA28" s="582">
        <v>114.48607698605532654890763408</v>
      </c>
      <c r="AB28" s="582">
        <v>116.58673894915101030292828734</v>
      </c>
      <c r="AC28" s="582">
        <v>119.63290409376219805698372028</v>
      </c>
      <c r="AD28" s="582">
        <v>116.22571131158362906477954797</v>
      </c>
      <c r="AE28" s="582">
        <v>110.46202426459963295647098837</v>
      </c>
      <c r="AF28" s="582">
        <v>101.17339778572756942841500259</v>
      </c>
      <c r="AG28" s="583">
        <v>99.97038791823874205561863744</v>
      </c>
      <c r="AH28" s="342"/>
    </row>
    <row r="29" ht="24.95" customHeight="1">
      <c r="B29" s="25" t="s">
        <v>68</v>
      </c>
      <c r="R29" s="4"/>
      <c r="S29" s="4"/>
      <c r="T29" s="4"/>
      <c r="U29" s="4"/>
      <c r="V29" s="4"/>
      <c r="W29" s="4"/>
      <c r="X29" s="4"/>
      <c r="Y29" s="4"/>
      <c r="Z29" s="4"/>
      <c r="AA29" s="4"/>
      <c r="AB29" s="4"/>
      <c r="AC29" s="4"/>
      <c r="AD29" s="4"/>
      <c r="AE29" s="4"/>
      <c r="AF29" s="4"/>
      <c r="AG29" s="4"/>
      <c r="AH29" s="4"/>
    </row>
    <row r="30" ht="24.95" customHeight="1">
      <c r="B30" s="37" t="s">
        <v>19</v>
      </c>
      <c r="C30" s="573">
        <v>1.5503875968708851631512608400</v>
      </c>
      <c r="D30" s="574">
        <v>0.000000000024427480916036500</v>
      </c>
      <c r="E30" s="574">
        <v>-3.8461538461065088757396216600</v>
      </c>
      <c r="F30" s="574">
        <v>-2.3809523809058956916099551900</v>
      </c>
      <c r="G30" s="574">
        <v>-14.503816793872245207155755050</v>
      </c>
      <c r="H30" s="574">
        <v>-10.077519379870055886064532390</v>
      </c>
      <c r="I30" s="574">
        <v>-10.687022900741541868189494110</v>
      </c>
      <c r="J30" s="574">
        <v>-3.1496062991912455824911602800</v>
      </c>
      <c r="K30" s="574">
        <v>-4.1666666666762499999999990400</v>
      </c>
      <c r="L30" s="574">
        <v>-5.468750000002954101562499900</v>
      </c>
      <c r="M30" s="574">
        <v>-4.3103448275994054696789518100</v>
      </c>
      <c r="N30" s="574">
        <v>-7.8260869565089149338374273300</v>
      </c>
      <c r="O30" s="574">
        <v>-10.434782608683190926275990710</v>
      </c>
      <c r="P30" s="574">
        <v>-13.793103448287752675386443070</v>
      </c>
      <c r="Q30" s="574">
        <v>-5.3571428571597576530612214800</v>
      </c>
      <c r="R30" s="574">
        <v>-13.913043478248892249527408540</v>
      </c>
      <c r="S30" s="574">
        <v>-19.531250000002514648437499920</v>
      </c>
      <c r="T30" s="574">
        <v>-22.834645669274325748651493550</v>
      </c>
      <c r="U30" s="574">
        <v>-24.576271186407440390692315150</v>
      </c>
      <c r="V30" s="574">
        <v>-17.829457364364016585541727870</v>
      </c>
      <c r="W30" s="574">
        <v>8.547008546964014902476459210</v>
      </c>
      <c r="X30" s="574">
        <v>0.0000000000220472440944930500</v>
      </c>
      <c r="Y30" s="574">
        <v>-4.4642857143027742346938745100</v>
      </c>
      <c r="Z30" s="574">
        <v>-6.3636363635989090909090759300</v>
      </c>
      <c r="AA30" s="574">
        <v>-16.535433070847740095480186910</v>
      </c>
      <c r="AB30" s="574">
        <v>-17.829457364364016585541727870</v>
      </c>
      <c r="AC30" s="574">
        <v>-4.0650406503877850485821894900</v>
      </c>
      <c r="AD30" s="574">
        <v>0.7936507936987906273620787900</v>
      </c>
      <c r="AE30" s="574">
        <v>-3.0769230768753609467455386400</v>
      </c>
      <c r="AF30" s="574">
        <v>-3.1496062991912455824911602800</v>
      </c>
      <c r="AG30" s="575">
        <v>4.918032786933404998656297300</v>
      </c>
      <c r="AH30" s="342"/>
    </row>
    <row r="31" ht="24.95" customHeight="1">
      <c r="B31" s="38" t="s">
        <v>35</v>
      </c>
      <c r="C31" s="271">
        <v>9.778630991679629303977012320</v>
      </c>
      <c r="D31" s="92">
        <v>7.120509345384871396691022600</v>
      </c>
      <c r="E31" s="92">
        <v>0.5886181379692963689824378800</v>
      </c>
      <c r="F31" s="92">
        <v>0.6869018216360651568381625800</v>
      </c>
      <c r="G31" s="92">
        <v>13.724050463927907462128085680</v>
      </c>
      <c r="H31" s="92">
        <v>22.455690702080252644439194380</v>
      </c>
      <c r="I31" s="92">
        <v>0.7245874930096816596347107300</v>
      </c>
      <c r="J31" s="92">
        <v>6.2500591234921144269152104300</v>
      </c>
      <c r="K31" s="92">
        <v>7.1407247080462233990818990700</v>
      </c>
      <c r="L31" s="92">
        <v>11.252792113989777465252811170</v>
      </c>
      <c r="M31" s="92">
        <v>7.8802878708434797815614564900</v>
      </c>
      <c r="N31" s="92">
        <v>-1.4887092277437570311090648800</v>
      </c>
      <c r="O31" s="92">
        <v>3.4791220599332992640222936800</v>
      </c>
      <c r="P31" s="92">
        <v>-1.0296840065508051377577518200</v>
      </c>
      <c r="Q31" s="92">
        <v>0.3731044474200459059794595900</v>
      </c>
      <c r="R31" s="92">
        <v>15.484778517901111127677949920</v>
      </c>
      <c r="S31" s="92">
        <v>13.489573781523876763267336610</v>
      </c>
      <c r="T31" s="92">
        <v>20.931890397071232907468662720</v>
      </c>
      <c r="U31" s="92">
        <v>2.3246811671353101481395752500</v>
      </c>
      <c r="V31" s="92">
        <v>4.7341169592732203321941226200</v>
      </c>
      <c r="W31" s="92">
        <v>9.146326578277664158015546940</v>
      </c>
      <c r="X31" s="92">
        <v>28.129863307918170892190108500</v>
      </c>
      <c r="Y31" s="92">
        <v>37.212155004214052706669516770</v>
      </c>
      <c r="Z31" s="92">
        <v>21.044910855270788898322223170</v>
      </c>
      <c r="AA31" s="92">
        <v>14.071432061459394252452727930</v>
      </c>
      <c r="AB31" s="92">
        <v>-0.086797043818231757248792900</v>
      </c>
      <c r="AC31" s="92">
        <v>5.7187285259429131993350441700</v>
      </c>
      <c r="AD31" s="92">
        <v>8.595507647582100328318250810</v>
      </c>
      <c r="AE31" s="92">
        <v>7.1260750410871463615961526100</v>
      </c>
      <c r="AF31" s="92">
        <v>6.4391900884752891338225436800</v>
      </c>
      <c r="AG31" s="272">
        <v>23.399199918436656476086329610</v>
      </c>
      <c r="AH31" s="342"/>
    </row>
    <row r="32" ht="24.95" customHeight="1">
      <c r="A32" s="23"/>
      <c r="B32" s="40" t="s">
        <v>97</v>
      </c>
      <c r="C32" s="581">
        <v>-7.49530516139253490689815400</v>
      </c>
      <c r="D32" s="582">
        <v>-6.6471951906209058460747842300</v>
      </c>
      <c r="E32" s="582">
        <v>-4.4088208648544615518380404100</v>
      </c>
      <c r="F32" s="582">
        <v>-3.0469248205282873794393465900</v>
      </c>
      <c r="G32" s="582">
        <v>-24.821369923608426143741208700</v>
      </c>
      <c r="H32" s="582">
        <v>-26.567332147166020323416204180</v>
      </c>
      <c r="I32" s="582">
        <v>-11.329518122401750722188838810</v>
      </c>
      <c r="J32" s="582">
        <v>-8.846739004497441785897535300</v>
      </c>
      <c r="K32" s="582">
        <v>-10.55377533196285326724350300</v>
      </c>
      <c r="L32" s="582">
        <v>-15.030222429713582686567904370</v>
      </c>
      <c r="M32" s="582">
        <v>-11.300148469166676452148717990</v>
      </c>
      <c r="N32" s="582">
        <v>-6.4331486057333558926774928700</v>
      </c>
      <c r="O32" s="582">
        <v>-13.446098489833698274709873040</v>
      </c>
      <c r="P32" s="582">
        <v>-12.896209649927306386991657850</v>
      </c>
      <c r="Q32" s="582">
        <v>-5.7089469694652521663148433300</v>
      </c>
      <c r="R32" s="582">
        <v>-25.456014527164954797119955100</v>
      </c>
      <c r="S32" s="582">
        <v>-29.095909590029235325050423210</v>
      </c>
      <c r="T32" s="582">
        <v>-36.191062525132276294648000060</v>
      </c>
      <c r="U32" s="582">
        <v>-26.289798362154121185919489780</v>
      </c>
      <c r="V32" s="582">
        <v>-21.543671707706954424737120140</v>
      </c>
      <c r="W32" s="582">
        <v>-0.5490959247343834257603339900</v>
      </c>
      <c r="X32" s="582">
        <v>-21.954181938262821434966003700</v>
      </c>
      <c r="Y32" s="582">
        <v>-30.373723608668666294791112650</v>
      </c>
      <c r="Z32" s="582">
        <v>-22.643287541129375653085498650</v>
      </c>
      <c r="AA32" s="582">
        <v>-26.831314886839582667235169620</v>
      </c>
      <c r="AB32" s="582">
        <v>-17.758073803598173974118093220</v>
      </c>
      <c r="AC32" s="582">
        <v>-9.254527852147721157374211850</v>
      </c>
      <c r="AD32" s="582">
        <v>-7.1843274394448135599517624400</v>
      </c>
      <c r="AE32" s="582">
        <v>-9.524290061104588924785248230</v>
      </c>
      <c r="AF32" s="582">
        <v>-9.008708521496044423105801830</v>
      </c>
      <c r="AG32" s="583">
        <v>-14.976731732315915662021450240</v>
      </c>
      <c r="AH32" s="342"/>
    </row>
    <row r="33" ht="30" customHeight="1">
      <c r="A33" s="8"/>
      <c r="B33" s="25"/>
      <c r="X33" s="1001"/>
      <c r="Y33" s="1001"/>
      <c r="Z33" s="1001"/>
      <c r="AA33" s="1001"/>
      <c r="AB33" s="1001"/>
      <c r="AC33" s="1001"/>
      <c r="AD33" s="1001"/>
      <c r="AE33"/>
      <c r="AF33"/>
      <c r="AG33" s="4"/>
      <c r="AH33" s="4"/>
    </row>
    <row r="34" s="35" customFormat="1" ht="20.1" customHeight="1">
      <c r="B34" s="964" t="s">
        <v>9</v>
      </c>
      <c r="C34" s="350" t="s">
        <v>294</v>
      </c>
      <c r="D34" s="351"/>
      <c r="E34" s="351"/>
      <c r="F34" s="351"/>
      <c r="G34" s="351"/>
      <c r="H34" s="351"/>
      <c r="I34" s="351"/>
      <c r="J34" s="351"/>
      <c r="K34" s="351"/>
      <c r="L34" s="351"/>
      <c r="M34" s="351"/>
      <c r="N34" s="351"/>
      <c r="O34" s="351"/>
      <c r="P34" s="351"/>
      <c r="Q34" s="351"/>
      <c r="R34" s="351"/>
      <c r="S34" s="352"/>
      <c r="T34" s="352"/>
      <c r="U34" s="352"/>
      <c r="V34" s="352"/>
      <c r="W34" s="352"/>
      <c r="X34" s="352"/>
      <c r="Y34" s="352"/>
      <c r="Z34" s="352"/>
      <c r="AA34" s="352"/>
      <c r="AB34" s="352"/>
      <c r="AC34" s="352"/>
      <c r="AD34" s="352"/>
      <c r="AE34" s="352"/>
      <c r="AF34" s="352"/>
      <c r="AG34" s="353"/>
      <c r="AH34" s="529"/>
      <c r="AI34" s="236"/>
      <c r="AJ34" s="236"/>
      <c r="AK34" s="236"/>
      <c r="AL34" s="236"/>
      <c r="AM34" s="236"/>
      <c r="AN34" s="236"/>
      <c r="AO34" s="236"/>
      <c r="AP34" s="236"/>
      <c r="AQ34" s="236"/>
      <c r="AR34" s="236"/>
      <c r="AS34" s="236"/>
      <c r="AT34" s="236"/>
      <c r="AU34" s="236"/>
      <c r="AV34" s="236"/>
      <c r="AW34" s="236"/>
    </row>
    <row r="35" s="36" customFormat="1" ht="20.1" customHeight="1">
      <c r="B35" s="964"/>
      <c r="C35" s="354">
        <v>1</v>
      </c>
      <c r="D35" s="355">
        <v>2</v>
      </c>
      <c r="E35" s="355">
        <v>3</v>
      </c>
      <c r="F35" s="355">
        <v>4</v>
      </c>
      <c r="G35" s="355">
        <v>5</v>
      </c>
      <c r="H35" s="355">
        <v>6</v>
      </c>
      <c r="I35" s="355">
        <v>7</v>
      </c>
      <c r="J35" s="355">
        <v>8</v>
      </c>
      <c r="K35" s="355">
        <v>9</v>
      </c>
      <c r="L35" s="355">
        <v>10</v>
      </c>
      <c r="M35" s="355">
        <v>11</v>
      </c>
      <c r="N35" s="355">
        <v>12</v>
      </c>
      <c r="O35" s="355">
        <v>13</v>
      </c>
      <c r="P35" s="355">
        <v>14</v>
      </c>
      <c r="Q35" s="355">
        <v>15</v>
      </c>
      <c r="R35" s="355">
        <v>16</v>
      </c>
      <c r="S35" s="355">
        <v>17</v>
      </c>
      <c r="T35" s="355">
        <v>18</v>
      </c>
      <c r="U35" s="355">
        <v>19</v>
      </c>
      <c r="V35" s="355">
        <v>20</v>
      </c>
      <c r="W35" s="355">
        <v>21</v>
      </c>
      <c r="X35" s="355">
        <v>22</v>
      </c>
      <c r="Y35" s="355">
        <v>23</v>
      </c>
      <c r="Z35" s="355">
        <v>24</v>
      </c>
      <c r="AA35" s="355">
        <v>25</v>
      </c>
      <c r="AB35" s="355">
        <v>26</v>
      </c>
      <c r="AC35" s="355">
        <v>27</v>
      </c>
      <c r="AD35" s="355">
        <v>28</v>
      </c>
      <c r="AE35" s="355">
        <v>29</v>
      </c>
      <c r="AF35" s="355">
        <v>30</v>
      </c>
      <c r="AG35" s="356">
        <v>31</v>
      </c>
      <c r="AH35" s="529"/>
      <c r="AI35" s="236"/>
      <c r="AJ35" s="236"/>
      <c r="AK35" s="236"/>
      <c r="AL35" s="236"/>
      <c r="AM35" s="236"/>
      <c r="AN35" s="236"/>
      <c r="AO35" s="236"/>
      <c r="AP35" s="236"/>
      <c r="AQ35" s="236"/>
      <c r="AR35" s="236"/>
      <c r="AS35" s="236"/>
      <c r="AT35" s="236"/>
      <c r="AU35" s="236"/>
      <c r="AV35" s="236"/>
      <c r="AW35" s="236"/>
    </row>
    <row r="36" ht="24.95" customHeight="1">
      <c r="B36" s="263" t="s">
        <v>19</v>
      </c>
      <c r="C36" s="578">
        <v>761.48854961832061068702290076</v>
      </c>
      <c r="D36" s="579">
        <v>642.60305343511450381679389313</v>
      </c>
      <c r="E36" s="579">
        <v>478.944000000</v>
      </c>
      <c r="F36" s="579">
        <v>221.44715447154471544715447154</v>
      </c>
      <c r="G36" s="579">
        <v>157.32142857142857142857142857</v>
      </c>
      <c r="H36" s="579">
        <v>163.46551724137931034482758621</v>
      </c>
      <c r="I36" s="579">
        <v>163.17948717948717948717948718</v>
      </c>
      <c r="J36" s="579">
        <v>210.9918699186991869918699187</v>
      </c>
      <c r="K36" s="579">
        <v>263.18260869565217391304347826</v>
      </c>
      <c r="L36" s="579">
        <v>273.8760330578512396694214876</v>
      </c>
      <c r="M36" s="579">
        <v>153.45045045045045045045045045</v>
      </c>
      <c r="N36" s="579">
        <v>151.000000000</v>
      </c>
      <c r="O36" s="579">
        <v>152.79611650485436893203883495</v>
      </c>
      <c r="P36" s="579">
        <v>166.190000000</v>
      </c>
      <c r="Q36" s="579">
        <v>173.1226415094339622641509434</v>
      </c>
      <c r="R36" s="579">
        <v>230.84848484848484848484848485</v>
      </c>
      <c r="S36" s="579">
        <v>259.04854368932038834951456311</v>
      </c>
      <c r="T36" s="579">
        <v>174.71428571428571428571428571</v>
      </c>
      <c r="U36" s="579">
        <v>190.20224719101123595505617978</v>
      </c>
      <c r="V36" s="579">
        <v>170.63207547169811320754716981</v>
      </c>
      <c r="W36" s="579">
        <v>181.77165354330708661417322835</v>
      </c>
      <c r="X36" s="579">
        <v>224.70078740157480314960629921</v>
      </c>
      <c r="Y36" s="579">
        <v>280.85981308411214953271028037</v>
      </c>
      <c r="Z36" s="579">
        <v>269.21359223300970873786407767</v>
      </c>
      <c r="AA36" s="579">
        <v>289.53773584905660377358490566</v>
      </c>
      <c r="AB36" s="579">
        <v>330.26415094339622641509433962</v>
      </c>
      <c r="AC36" s="579">
        <v>385.31355932203389830508474576</v>
      </c>
      <c r="AD36" s="579">
        <v>408.85826771653543307086614173</v>
      </c>
      <c r="AE36" s="579">
        <v>440.15079365079365079365079365</v>
      </c>
      <c r="AF36" s="579">
        <v>567.9593495934959349593495935</v>
      </c>
      <c r="AG36" s="580">
        <v>665.734375000</v>
      </c>
      <c r="AH36" s="342"/>
    </row>
    <row r="37" ht="24.95" customHeight="1">
      <c r="B37" s="38" t="s">
        <v>35</v>
      </c>
      <c r="C37" s="276">
        <v>689.99392446633825944170771759</v>
      </c>
      <c r="D37" s="94">
        <v>624.48000000000000000000000001</v>
      </c>
      <c r="E37" s="94">
        <v>535.76690647482014388489208631</v>
      </c>
      <c r="F37" s="94">
        <v>259.1821912350597609561752988</v>
      </c>
      <c r="G37" s="94">
        <v>211.2098148148148148148148148</v>
      </c>
      <c r="H37" s="94">
        <v>234.8105692599620493358633776</v>
      </c>
      <c r="I37" s="94">
        <v>239.507665289256198347107438</v>
      </c>
      <c r="J37" s="94">
        <v>242.47204119850187265917602996</v>
      </c>
      <c r="K37" s="94">
        <v>262.52875457875457875457875459</v>
      </c>
      <c r="L37" s="94">
        <v>269.00918544194107452339688043</v>
      </c>
      <c r="M37" s="94">
        <v>193.5602874743326488706365503</v>
      </c>
      <c r="N37" s="94">
        <v>192.38999999999999999999999999</v>
      </c>
      <c r="O37" s="94">
        <v>193.98400977995110024449877752</v>
      </c>
      <c r="P37" s="94">
        <v>168.4188701923076923076923077</v>
      </c>
      <c r="Q37" s="94">
        <v>184.01038901601830663615560641</v>
      </c>
      <c r="R37" s="94">
        <v>240.67517102615694164989939637</v>
      </c>
      <c r="S37" s="94">
        <v>237.96416815742397137745974955</v>
      </c>
      <c r="T37" s="94">
        <v>191.97375700934579439252336449</v>
      </c>
      <c r="U37" s="94">
        <v>195.03750537634408602150537634</v>
      </c>
      <c r="V37" s="94">
        <v>199.48174004192872117400419288</v>
      </c>
      <c r="W37" s="94">
        <v>191.72844758064516129032258064</v>
      </c>
      <c r="X37" s="94">
        <v>203.99023166023166023166023165</v>
      </c>
      <c r="Y37" s="94">
        <v>259.72288461538461538461538462</v>
      </c>
      <c r="Z37" s="94">
        <v>267.03919389978213507625272331</v>
      </c>
      <c r="AA37" s="94">
        <v>296.89932432432432432432432434</v>
      </c>
      <c r="AB37" s="94">
        <v>368.05802752293577981651376148</v>
      </c>
      <c r="AC37" s="94">
        <v>387.93847780126849894291754758</v>
      </c>
      <c r="AD37" s="94">
        <v>437.6742366412213740458015267</v>
      </c>
      <c r="AE37" s="94">
        <v>489.99396709323583180987202928</v>
      </c>
      <c r="AF37" s="94">
        <v>535.59073756432246998284734137</v>
      </c>
      <c r="AG37" s="277">
        <v>564.61416938110749185667752446</v>
      </c>
      <c r="AH37" s="342"/>
    </row>
    <row r="38" ht="24.95" customHeight="1">
      <c r="A38" s="23"/>
      <c r="B38" s="40" t="s">
        <v>98</v>
      </c>
      <c r="C38" s="581">
        <v>110.36163111252329300356662061</v>
      </c>
      <c r="D38" s="582">
        <v>102.90210309939701893043714661</v>
      </c>
      <c r="E38" s="582">
        <v>89.39409922709127108156446022</v>
      </c>
      <c r="F38" s="582">
        <v>85.44072932490703452857917748</v>
      </c>
      <c r="G38" s="582">
        <v>74.485851289333484817652552010</v>
      </c>
      <c r="H38" s="582">
        <v>69.615911139152318728477489240</v>
      </c>
      <c r="I38" s="582">
        <v>68.131217004008439017842319620</v>
      </c>
      <c r="J38" s="582">
        <v>87.01698920659081820356646586</v>
      </c>
      <c r="K38" s="582">
        <v>100.24906000026595739356768397</v>
      </c>
      <c r="L38" s="582">
        <v>101.80917525472466459418223759</v>
      </c>
      <c r="M38" s="582">
        <v>79.27785831110881153057050249</v>
      </c>
      <c r="N38" s="582">
        <v>78.486407817454129632517282600</v>
      </c>
      <c r="O38" s="582">
        <v>78.767377103990477648553551280</v>
      </c>
      <c r="P38" s="582">
        <v>98.67659117428166758977563098</v>
      </c>
      <c r="Q38" s="582">
        <v>94.08308000173874392704682798</v>
      </c>
      <c r="R38" s="582">
        <v>95.91703367829105465188855253</v>
      </c>
      <c r="S38" s="582">
        <v>108.86031527148837471706742895</v>
      </c>
      <c r="T38" s="582">
        <v>91.00946318710730561433628988</v>
      </c>
      <c r="U38" s="582">
        <v>97.52085724437474225507244090</v>
      </c>
      <c r="V38" s="582">
        <v>85.53769153801135906129574083</v>
      </c>
      <c r="W38" s="582">
        <v>94.80682488022169258983570715</v>
      </c>
      <c r="X38" s="582">
        <v>110.15271935955920846905477787</v>
      </c>
      <c r="Y38" s="582">
        <v>108.13826186322083425904406111</v>
      </c>
      <c r="Z38" s="582">
        <v>100.81426186974845315454031356</v>
      </c>
      <c r="AA38" s="582">
        <v>97.52051019583917584415869482</v>
      </c>
      <c r="AB38" s="582">
        <v>89.73154400846418241405046976</v>
      </c>
      <c r="AC38" s="582">
        <v>99.32336733026761763764163193</v>
      </c>
      <c r="AD38" s="582">
        <v>93.41611488357091790009074607</v>
      </c>
      <c r="AE38" s="582">
        <v>89.82779854656335851340262390</v>
      </c>
      <c r="AF38" s="582">
        <v>106.04353469150686015228384759</v>
      </c>
      <c r="AG38" s="583">
        <v>117.90961174951428992966009698</v>
      </c>
      <c r="AH38" s="342"/>
    </row>
    <row r="39" ht="24.95" customHeight="1">
      <c r="B39" s="25" t="s">
        <v>68</v>
      </c>
      <c r="S39" s="4"/>
      <c r="T39" s="4"/>
      <c r="U39" s="4"/>
      <c r="V39" s="4"/>
      <c r="W39" s="4"/>
      <c r="X39" s="4"/>
      <c r="Y39" s="4"/>
      <c r="Z39" s="4"/>
      <c r="AA39" s="4"/>
      <c r="AB39" s="4"/>
      <c r="AC39" s="4"/>
      <c r="AD39" s="4"/>
      <c r="AE39" s="4"/>
      <c r="AF39" s="4"/>
      <c r="AG39" s="4"/>
      <c r="AH39" s="4"/>
    </row>
    <row r="40" ht="24.95" customHeight="1">
      <c r="B40" s="37" t="s">
        <v>19</v>
      </c>
      <c r="C40" s="573">
        <v>19.046030952494813999604981840</v>
      </c>
      <c r="D40" s="574">
        <v>-1.8514848022020625629381065300</v>
      </c>
      <c r="E40" s="574">
        <v>-15.609157077221669626474892770</v>
      </c>
      <c r="F40" s="574">
        <v>-18.488091310756448266260931940</v>
      </c>
      <c r="G40" s="574">
        <v>-17.039259548938306344501445640</v>
      </c>
      <c r="H40" s="574">
        <v>-4.6611279313856605664460848700</v>
      </c>
      <c r="I40" s="574">
        <v>-3.2299102738368784079669664500</v>
      </c>
      <c r="J40" s="574">
        <v>1.2735457865767440642234033700</v>
      </c>
      <c r="K40" s="574">
        <v>-12.713744283138661712076328180</v>
      </c>
      <c r="L40" s="574">
        <v>-9.590890441250912501132300680</v>
      </c>
      <c r="M40" s="574">
        <v>-2.8900586347331283603456876500</v>
      </c>
      <c r="N40" s="574">
        <v>-7.4902775557918451704165723500</v>
      </c>
      <c r="O40" s="574">
        <v>-3.8755284569933436340893257500</v>
      </c>
      <c r="P40" s="574">
        <v>1.5061078348992220109172070800</v>
      </c>
      <c r="Q40" s="574">
        <v>-6.878609888300385573784012800</v>
      </c>
      <c r="R40" s="574">
        <v>-21.426655939930276213462054170</v>
      </c>
      <c r="S40" s="574">
        <v>-13.955227340063811218762030110</v>
      </c>
      <c r="T40" s="574">
        <v>-19.745680390220928906039491630</v>
      </c>
      <c r="U40" s="574">
        <v>-9.961627277508146864675714860</v>
      </c>
      <c r="V40" s="574">
        <v>-19.057373921277629176449491260</v>
      </c>
      <c r="W40" s="574">
        <v>-18.120876782294105128750798040</v>
      </c>
      <c r="X40" s="574">
        <v>2.9176283900831801349703614700</v>
      </c>
      <c r="Y40" s="574">
        <v>-26.264506070135765735072610640</v>
      </c>
      <c r="Z40" s="574">
        <v>-29.471527232470318480429233960</v>
      </c>
      <c r="AA40" s="574">
        <v>-28.281922973889188815737016460</v>
      </c>
      <c r="AB40" s="574">
        <v>-22.064765170865609113562618880</v>
      </c>
      <c r="AC40" s="574">
        <v>-16.497405083752350138924007430</v>
      </c>
      <c r="AD40" s="574">
        <v>-14.028000179756083643865921300</v>
      </c>
      <c r="AE40" s="574">
        <v>-22.677256828151905425580720840</v>
      </c>
      <c r="AF40" s="574">
        <v>-20.842336843199443019925568780</v>
      </c>
      <c r="AG40" s="575">
        <v>21.049829721582838335423261240</v>
      </c>
      <c r="AH40" s="342"/>
    </row>
    <row r="41" ht="24.95" customHeight="1">
      <c r="B41" s="38" t="s">
        <v>35</v>
      </c>
      <c r="C41" s="271">
        <v>14.663033018196008562695078380</v>
      </c>
      <c r="D41" s="92">
        <v>5.974815904661018283930630100</v>
      </c>
      <c r="E41" s="92">
        <v>0.9596963173378010452785033500</v>
      </c>
      <c r="F41" s="92">
        <v>-1.0339336895679983190046113800</v>
      </c>
      <c r="G41" s="92">
        <v>3.6761417764110620960693395100</v>
      </c>
      <c r="H41" s="92">
        <v>22.799787704981831742478337920</v>
      </c>
      <c r="I41" s="92">
        <v>25.123225507066665908456153120</v>
      </c>
      <c r="J41" s="92">
        <v>10.440856714976338546640892250</v>
      </c>
      <c r="K41" s="92">
        <v>-4.3886040788331559179987014400</v>
      </c>
      <c r="L41" s="92">
        <v>-3.4458350529325380871629154300</v>
      </c>
      <c r="M41" s="92">
        <v>-6.3141540219555020325485870100</v>
      </c>
      <c r="N41" s="92">
        <v>6.1128018116984045269013403300</v>
      </c>
      <c r="O41" s="92">
        <v>4.1561078377584534420753894400</v>
      </c>
      <c r="P41" s="92">
        <v>-5.842310638801303571356374300</v>
      </c>
      <c r="Q41" s="92">
        <v>-8.286260766547236438760224330</v>
      </c>
      <c r="R41" s="92">
        <v>-16.170196296204446254008091470</v>
      </c>
      <c r="S41" s="92">
        <v>-17.178124067443925205978128720</v>
      </c>
      <c r="T41" s="92">
        <v>-22.526112904942665818696107890</v>
      </c>
      <c r="U41" s="92">
        <v>-3.9882294116875488516016559300</v>
      </c>
      <c r="V41" s="92">
        <v>-6.3821401184165395492063005700</v>
      </c>
      <c r="W41" s="92">
        <v>-13.179883342126512207346303170</v>
      </c>
      <c r="X41" s="92">
        <v>-12.590224612503174875009903540</v>
      </c>
      <c r="Y41" s="92">
        <v>-24.180864993141347151745127970</v>
      </c>
      <c r="Z41" s="92">
        <v>-23.774634440535721773461091540</v>
      </c>
      <c r="AA41" s="92">
        <v>-34.422000046766963595368941050</v>
      </c>
      <c r="AB41" s="92">
        <v>-24.295815987793314717397856940</v>
      </c>
      <c r="AC41" s="92">
        <v>-24.845017306671012867512139620</v>
      </c>
      <c r="AD41" s="92">
        <v>-20.237103389522475193267650810</v>
      </c>
      <c r="AE41" s="92">
        <v>-19.105656056975188955471834380</v>
      </c>
      <c r="AF41" s="92">
        <v>-22.712949645449631755611234390</v>
      </c>
      <c r="AG41" s="272">
        <v>5.1659107913855700495482410500</v>
      </c>
      <c r="AH41" s="342"/>
    </row>
    <row r="42" ht="24.95" customHeight="1">
      <c r="A42" s="23"/>
      <c r="B42" s="40" t="s">
        <v>98</v>
      </c>
      <c r="C42" s="581">
        <v>3.8225030500055921423088817200</v>
      </c>
      <c r="D42" s="582">
        <v>-7.3850571383924849173579504700</v>
      </c>
      <c r="E42" s="582">
        <v>-16.411354232331354739336735320</v>
      </c>
      <c r="F42" s="582">
        <v>-17.636507413014029879462188120</v>
      </c>
      <c r="G42" s="582">
        <v>-19.980875995559763352558434830</v>
      </c>
      <c r="H42" s="582">
        <v>-22.362347809872165829564303880</v>
      </c>
      <c r="I42" s="582">
        <v>-22.660170137078850192916054140</v>
      </c>
      <c r="J42" s="582">
        <v>-8.300651770627216631995884940</v>
      </c>
      <c r="K42" s="582">
        <v>-8.707267710193481162633964020</v>
      </c>
      <c r="L42" s="582">
        <v>-6.3643607623783404909208909300</v>
      </c>
      <c r="M42" s="582">
        <v>3.6548694751383944447437990900</v>
      </c>
      <c r="N42" s="582">
        <v>-12.819451692178387875363783880</v>
      </c>
      <c r="O42" s="582">
        <v>-7.7111524820788810811958529200</v>
      </c>
      <c r="P42" s="582">
        <v>7.8043742615043302114452153100</v>
      </c>
      <c r="Q42" s="582">
        <v>1.5348309751922649900731067300</v>
      </c>
      <c r="R42" s="582">
        <v>-6.2703947897673274170001115200</v>
      </c>
      <c r="S42" s="582">
        <v>3.8913592466474465832353869900</v>
      </c>
      <c r="T42" s="582">
        <v>3.588864092206103902573560300</v>
      </c>
      <c r="U42" s="582">
        <v>-6.221526620314597499168863700</v>
      </c>
      <c r="V42" s="582">
        <v>-13.539333006420696244988689940</v>
      </c>
      <c r="W42" s="582">
        <v>-5.691069800834368358634622200</v>
      </c>
      <c r="X42" s="582">
        <v>17.741554573127412301625704690</v>
      </c>
      <c r="Y42" s="582">
        <v>-2.7481731054004335751929721100</v>
      </c>
      <c r="Z42" s="582">
        <v>-7.4737493879077107968314058600</v>
      </c>
      <c r="AA42" s="582">
        <v>9.363013628484072795330395020</v>
      </c>
      <c r="AB42" s="582">
        <v>2.9470640837650872481054771900</v>
      </c>
      <c r="AC42" s="582">
        <v>11.107197319185096765304144260</v>
      </c>
      <c r="AD42" s="582">
        <v>7.7844505072402906952943656600</v>
      </c>
      <c r="AE42" s="582">
        <v>-4.4151427616318122109693616300</v>
      </c>
      <c r="AF42" s="582">
        <v>2.4203444091767303486347793100</v>
      </c>
      <c r="AG42" s="583">
        <v>15.103676477229878393434086560</v>
      </c>
      <c r="AH42" s="342"/>
    </row>
    <row r="43" ht="30" customHeight="1">
      <c r="A43" s="8"/>
      <c r="B43" s="25"/>
      <c r="X43" s="1001"/>
      <c r="Y43" s="1001"/>
      <c r="Z43" s="1001"/>
      <c r="AA43" s="1001"/>
      <c r="AB43" s="1001"/>
      <c r="AC43" s="1001"/>
      <c r="AD43" s="1001"/>
      <c r="AE43"/>
      <c r="AF43"/>
      <c r="AG43" s="4"/>
      <c r="AH43" s="4"/>
    </row>
    <row r="44" s="35" customFormat="1" ht="20.1" customHeight="1">
      <c r="B44" s="964" t="s">
        <v>10</v>
      </c>
      <c r="C44" s="350" t="s">
        <v>294</v>
      </c>
      <c r="D44" s="351"/>
      <c r="E44" s="351"/>
      <c r="F44" s="351"/>
      <c r="G44" s="351"/>
      <c r="H44" s="351"/>
      <c r="I44" s="351"/>
      <c r="J44" s="351"/>
      <c r="K44" s="351"/>
      <c r="L44" s="351"/>
      <c r="M44" s="351"/>
      <c r="N44" s="351"/>
      <c r="O44" s="351"/>
      <c r="P44" s="351"/>
      <c r="Q44" s="351"/>
      <c r="R44" s="351"/>
      <c r="S44" s="352"/>
      <c r="T44" s="352"/>
      <c r="U44" s="352"/>
      <c r="V44" s="352"/>
      <c r="W44" s="352"/>
      <c r="X44" s="352"/>
      <c r="Y44" s="352"/>
      <c r="Z44" s="352"/>
      <c r="AA44" s="352"/>
      <c r="AB44" s="352"/>
      <c r="AC44" s="352"/>
      <c r="AD44" s="352"/>
      <c r="AE44" s="352"/>
      <c r="AF44" s="352"/>
      <c r="AG44" s="353"/>
      <c r="AH44" s="529"/>
      <c r="AI44" s="236"/>
      <c r="AJ44" s="236"/>
      <c r="AK44" s="236"/>
      <c r="AL44" s="236"/>
      <c r="AM44" s="236"/>
      <c r="AN44" s="236"/>
      <c r="AO44" s="236"/>
      <c r="AP44" s="236"/>
      <c r="AQ44" s="236"/>
      <c r="AR44" s="236"/>
      <c r="AS44" s="236"/>
      <c r="AT44" s="236"/>
      <c r="AU44" s="236"/>
      <c r="AV44" s="236"/>
      <c r="AW44" s="236"/>
    </row>
    <row r="45" s="36" customFormat="1" ht="20.1" customHeight="1">
      <c r="B45" s="964"/>
      <c r="C45" s="354">
        <v>1</v>
      </c>
      <c r="D45" s="355">
        <v>2</v>
      </c>
      <c r="E45" s="355">
        <v>3</v>
      </c>
      <c r="F45" s="355">
        <v>4</v>
      </c>
      <c r="G45" s="355">
        <v>5</v>
      </c>
      <c r="H45" s="355">
        <v>6</v>
      </c>
      <c r="I45" s="355">
        <v>7</v>
      </c>
      <c r="J45" s="355">
        <v>8</v>
      </c>
      <c r="K45" s="355">
        <v>9</v>
      </c>
      <c r="L45" s="355">
        <v>10</v>
      </c>
      <c r="M45" s="355">
        <v>11</v>
      </c>
      <c r="N45" s="355">
        <v>12</v>
      </c>
      <c r="O45" s="355">
        <v>13</v>
      </c>
      <c r="P45" s="355">
        <v>14</v>
      </c>
      <c r="Q45" s="355">
        <v>15</v>
      </c>
      <c r="R45" s="355">
        <v>16</v>
      </c>
      <c r="S45" s="355">
        <v>17</v>
      </c>
      <c r="T45" s="355">
        <v>18</v>
      </c>
      <c r="U45" s="355">
        <v>19</v>
      </c>
      <c r="V45" s="355">
        <v>20</v>
      </c>
      <c r="W45" s="355">
        <v>21</v>
      </c>
      <c r="X45" s="355">
        <v>22</v>
      </c>
      <c r="Y45" s="355">
        <v>23</v>
      </c>
      <c r="Z45" s="355">
        <v>24</v>
      </c>
      <c r="AA45" s="355">
        <v>25</v>
      </c>
      <c r="AB45" s="355">
        <v>26</v>
      </c>
      <c r="AC45" s="355">
        <v>27</v>
      </c>
      <c r="AD45" s="355">
        <v>28</v>
      </c>
      <c r="AE45" s="355">
        <v>29</v>
      </c>
      <c r="AF45" s="355">
        <v>30</v>
      </c>
      <c r="AG45" s="356">
        <v>31</v>
      </c>
      <c r="AH45" s="529"/>
      <c r="AI45" s="236"/>
      <c r="AJ45" s="236"/>
      <c r="AK45" s="236"/>
      <c r="AL45" s="236"/>
      <c r="AM45" s="236"/>
      <c r="AN45" s="236"/>
      <c r="AO45" s="236"/>
      <c r="AP45" s="236"/>
      <c r="AQ45" s="236"/>
      <c r="AR45" s="236"/>
      <c r="AS45" s="236"/>
      <c r="AT45" s="236"/>
      <c r="AU45" s="236"/>
      <c r="AV45" s="236"/>
      <c r="AW45" s="236"/>
    </row>
    <row r="46" ht="24.95" customHeight="1">
      <c r="B46" s="263" t="s">
        <v>19</v>
      </c>
      <c r="C46" s="578">
        <v>755.71969696969696969696969697</v>
      </c>
      <c r="D46" s="579">
        <v>637.73484848484848484848484848</v>
      </c>
      <c r="E46" s="579">
        <v>453.54545454545454545454545455</v>
      </c>
      <c r="F46" s="579">
        <v>206.34848484848484848484848485</v>
      </c>
      <c r="G46" s="579">
        <v>133.48484848484848484848484848</v>
      </c>
      <c r="H46" s="579">
        <v>143.65151515151515151515151515</v>
      </c>
      <c r="I46" s="579">
        <v>144.63636363636363636363636364</v>
      </c>
      <c r="J46" s="579">
        <v>196.60606060606060606060606061</v>
      </c>
      <c r="K46" s="579">
        <v>229.28787878787878787878787879</v>
      </c>
      <c r="L46" s="579">
        <v>251.0530303030303030303030303</v>
      </c>
      <c r="M46" s="579">
        <v>129.03787878787878787878787879</v>
      </c>
      <c r="N46" s="579">
        <v>121.25757575757575757575757576</v>
      </c>
      <c r="O46" s="579">
        <v>119.22727272727272727272727273</v>
      </c>
      <c r="P46" s="579">
        <v>125.90151515151515151515151515</v>
      </c>
      <c r="Q46" s="579">
        <v>139.02272727272727272727272727</v>
      </c>
      <c r="R46" s="579">
        <v>173.13636363636363636363636364</v>
      </c>
      <c r="S46" s="579">
        <v>202.13636363636363636363636364</v>
      </c>
      <c r="T46" s="579">
        <v>129.71212121212121212121212121</v>
      </c>
      <c r="U46" s="579">
        <v>128.24242424242424242424242424</v>
      </c>
      <c r="V46" s="579">
        <v>137.02272727272727272727272727</v>
      </c>
      <c r="W46" s="579">
        <v>174.88636363636363636363636364</v>
      </c>
      <c r="X46" s="579">
        <v>216.18939393939393939393939394</v>
      </c>
      <c r="Y46" s="579">
        <v>227.66666666666666666666666667</v>
      </c>
      <c r="Z46" s="579">
        <v>210.06818181818181818181818182</v>
      </c>
      <c r="AA46" s="579">
        <v>232.50757575757575757575757576</v>
      </c>
      <c r="AB46" s="579">
        <v>265.21212121212121212121212121</v>
      </c>
      <c r="AC46" s="579">
        <v>344.4469696969696969696969697</v>
      </c>
      <c r="AD46" s="579">
        <v>393.37121212121212121212121212</v>
      </c>
      <c r="AE46" s="579">
        <v>420.14393939393939393939393939</v>
      </c>
      <c r="AF46" s="579">
        <v>529.23484848484848484848484848</v>
      </c>
      <c r="AG46" s="580">
        <v>645.56060606060606060606060606</v>
      </c>
      <c r="AH46" s="342"/>
    </row>
    <row r="47" ht="24.95" customHeight="1">
      <c r="B47" s="38" t="s">
        <v>35</v>
      </c>
      <c r="C47" s="276">
        <v>663.83301737756714060031595577</v>
      </c>
      <c r="D47" s="94">
        <v>596.85687203791469194312796209</v>
      </c>
      <c r="E47" s="94">
        <v>470.59462875197472353870458136</v>
      </c>
      <c r="F47" s="94">
        <v>205.54417061611374407582938389</v>
      </c>
      <c r="G47" s="94">
        <v>162.16109004739336492890995261</v>
      </c>
      <c r="H47" s="94">
        <v>195.490000000</v>
      </c>
      <c r="I47" s="94">
        <v>183.13066350710900473933649289</v>
      </c>
      <c r="J47" s="94">
        <v>204.54987361769352290679304897</v>
      </c>
      <c r="K47" s="94">
        <v>226.44660347551342812006319115</v>
      </c>
      <c r="L47" s="94">
        <v>245.2105845181674565560821485</v>
      </c>
      <c r="M47" s="94">
        <v>148.91605055292259083728278041</v>
      </c>
      <c r="N47" s="94">
        <v>127.65213270142180094786729858</v>
      </c>
      <c r="O47" s="94">
        <v>125.33879936808846761453396524</v>
      </c>
      <c r="P47" s="94">
        <v>110.68285939968404423380726698</v>
      </c>
      <c r="Q47" s="94">
        <v>127.03402843601895734597156398</v>
      </c>
      <c r="R47" s="94">
        <v>188.9661295418641390205371248</v>
      </c>
      <c r="S47" s="94">
        <v>210.14529225908372827804107425</v>
      </c>
      <c r="T47" s="94">
        <v>162.2527014218009478672985782</v>
      </c>
      <c r="U47" s="94">
        <v>143.27399684044233807266982622</v>
      </c>
      <c r="V47" s="94">
        <v>150.3203633491311216429699842</v>
      </c>
      <c r="W47" s="94">
        <v>150.23271721958925750394944708</v>
      </c>
      <c r="X47" s="94">
        <v>166.93039494470774091627172196</v>
      </c>
      <c r="Y47" s="94">
        <v>192.02260663507109004739336493</v>
      </c>
      <c r="Z47" s="94">
        <v>193.63505529225908372827804107</v>
      </c>
      <c r="AA47" s="94">
        <v>208.25165876777251184834123223</v>
      </c>
      <c r="AB47" s="94">
        <v>253.51232227488151658767772512</v>
      </c>
      <c r="AC47" s="94">
        <v>289.88135860979462875197472354</v>
      </c>
      <c r="AD47" s="94">
        <v>362.30853080568720379146919431</v>
      </c>
      <c r="AE47" s="94">
        <v>423.42290679304897314375987362</v>
      </c>
      <c r="AF47" s="94">
        <v>493.28499210110584518167456556</v>
      </c>
      <c r="AG47" s="277">
        <v>547.66682464454976303317535545</v>
      </c>
      <c r="AH47" s="342"/>
    </row>
    <row r="48" ht="24.95" customHeight="1">
      <c r="A48" s="23"/>
      <c r="B48" s="40" t="s">
        <v>99</v>
      </c>
      <c r="C48" s="581">
        <v>113.84183630321451694470805163</v>
      </c>
      <c r="D48" s="582">
        <v>106.84887422128110498133282944</v>
      </c>
      <c r="E48" s="582">
        <v>96.37709970218758121779810113</v>
      </c>
      <c r="F48" s="582">
        <v>100.39130967809692172640720002</v>
      </c>
      <c r="G48" s="582">
        <v>82.31620078887642262059130471</v>
      </c>
      <c r="H48" s="582">
        <v>73.482794593848867724769305410</v>
      </c>
      <c r="I48" s="582">
        <v>78.979872003115450652760380920</v>
      </c>
      <c r="J48" s="582">
        <v>96.11644198495754818656049005</v>
      </c>
      <c r="K48" s="582">
        <v>101.25472198247663041874445833</v>
      </c>
      <c r="L48" s="582">
        <v>102.38262381548895394272184881</v>
      </c>
      <c r="M48" s="582">
        <v>86.65142428152174532312275869</v>
      </c>
      <c r="N48" s="582">
        <v>94.99063837908435401992339357</v>
      </c>
      <c r="O48" s="582">
        <v>95.12399458775833905604028220</v>
      </c>
      <c r="P48" s="582">
        <v>113.74978549917766297935834511</v>
      </c>
      <c r="Q48" s="582">
        <v>109.43739168499029644302472624</v>
      </c>
      <c r="R48" s="582">
        <v>91.62296124500640502454630629</v>
      </c>
      <c r="S48" s="582">
        <v>96.18886126991524359883635531</v>
      </c>
      <c r="T48" s="582">
        <v>79.94450636289579196744322345</v>
      </c>
      <c r="U48" s="582">
        <v>89.50851310812514663411683717</v>
      </c>
      <c r="V48" s="582">
        <v>91.15380259859361027193796346</v>
      </c>
      <c r="W48" s="582">
        <v>116.41030454153778473594362828</v>
      </c>
      <c r="X48" s="582">
        <v>129.50870571594361449564425505</v>
      </c>
      <c r="Y48" s="582">
        <v>118.56242900571648322039816590</v>
      </c>
      <c r="Z48" s="582">
        <v>108.48664850539348084496014284</v>
      </c>
      <c r="AA48" s="582">
        <v>111.64740637999961152295870724</v>
      </c>
      <c r="AB48" s="582">
        <v>104.61508096814889910549231511</v>
      </c>
      <c r="AC48" s="582">
        <v>118.82342878095128430557995316</v>
      </c>
      <c r="AD48" s="582">
        <v>108.57354400307248553584046066</v>
      </c>
      <c r="AE48" s="582">
        <v>99.22560462685038330176459556</v>
      </c>
      <c r="AF48" s="582">
        <v>107.28784717950236591629529174</v>
      </c>
      <c r="AG48" s="583">
        <v>117.87469625892541616091872290</v>
      </c>
      <c r="AH48" s="342"/>
    </row>
    <row r="49" ht="24.95" customHeight="1">
      <c r="B49" s="25" t="s">
        <v>68</v>
      </c>
      <c r="S49" s="4"/>
      <c r="T49" s="4"/>
      <c r="U49" s="4"/>
      <c r="V49" s="4"/>
      <c r="W49" s="4"/>
      <c r="X49" s="4"/>
      <c r="Y49" s="4"/>
      <c r="Z49" s="4"/>
      <c r="AA49" s="4"/>
      <c r="AB49" s="4"/>
      <c r="AC49" s="4"/>
      <c r="AD49" s="4"/>
      <c r="AE49" s="4"/>
      <c r="AF49" s="4"/>
      <c r="AG49" s="4"/>
      <c r="AH49" s="4"/>
    </row>
    <row r="50" ht="24.95" customHeight="1">
      <c r="B50" s="37" t="s">
        <v>19</v>
      </c>
      <c r="C50" s="573">
        <v>20.891705850988819462035987960</v>
      </c>
      <c r="D50" s="574">
        <v>-1.8514848022085852755338859600</v>
      </c>
      <c r="E50" s="574">
        <v>-18.854958728090720284917760040</v>
      </c>
      <c r="F50" s="574">
        <v>-20.428851041466670516028389080</v>
      </c>
      <c r="G50" s="574">
        <v>-29.071733354813771558915576240</v>
      </c>
      <c r="H50" s="574">
        <v>-14.268921240615399906727212780</v>
      </c>
      <c r="I50" s="574">
        <v>-13.571751923955312652609872760</v>
      </c>
      <c r="J50" s="574">
        <v>-1.9161721909517493220165612100</v>
      </c>
      <c r="K50" s="574">
        <v>-16.350671604677325092799062460</v>
      </c>
      <c r="L50" s="574">
        <v>-14.535138620245003223726627980</v>
      </c>
      <c r="M50" s="574">
        <v>-7.0758319694246570645637336800</v>
      </c>
      <c r="N50" s="574">
        <v>-14.730168877496584146463426530</v>
      </c>
      <c r="O50" s="574">
        <v>-13.905908096249945175701094070</v>
      </c>
      <c r="P50" s="574">
        <v>-12.494734625112679466333183430</v>
      </c>
      <c r="Q50" s="574">
        <v>-11.867255787134664067741755400</v>
      </c>
      <c r="R50" s="574">
        <v>-32.358599461325675676398961490</v>
      </c>
      <c r="S50" s="574">
        <v>-30.760847000209035481689844110</v>
      </c>
      <c r="T50" s="574">
        <v>-38.071469907393968056258838390</v>
      </c>
      <c r="U50" s="574">
        <v>-32.089701929631263595391164500</v>
      </c>
      <c r="V50" s="574">
        <v>-33.489004927573202558228415520</v>
      </c>
      <c r="W50" s="574">
        <v>-11.122661122648804249635848760</v>
      </c>
      <c r="X50" s="574">
        <v>2.9176283900779837746217564300</v>
      </c>
      <c r="Y50" s="574">
        <v>-29.55626919200338376935951800</v>
      </c>
      <c r="Z50" s="574">
        <v>-33.959702772218747062096948230</v>
      </c>
      <c r="AA50" s="574">
        <v>-40.140817600243111027043247020</v>
      </c>
      <c r="AB50" s="574">
        <v>-35.960194636525580636332357910</v>
      </c>
      <c r="AC50" s="574">
        <v>-19.891819511254794817375116420</v>
      </c>
      <c r="AD50" s="574">
        <v>-13.34568272086178822629960900</v>
      </c>
      <c r="AE50" s="574">
        <v>-25.056418156506537354997246410</v>
      </c>
      <c r="AF50" s="574">
        <v>-23.335491588297458613600359230</v>
      </c>
      <c r="AG50" s="575">
        <v>27.003100035777214921905077930</v>
      </c>
      <c r="AH50" s="342"/>
    </row>
    <row r="51" ht="24.95" customHeight="1">
      <c r="B51" s="38" t="s">
        <v>35</v>
      </c>
      <c r="C51" s="271">
        <v>25.875507900892984245926169600</v>
      </c>
      <c r="D51" s="92">
        <v>13.520762574924006131755936810</v>
      </c>
      <c r="E51" s="92">
        <v>1.5539634018462627964535087400</v>
      </c>
      <c r="F51" s="92">
        <v>-0.3541339772262344866547667600</v>
      </c>
      <c r="G51" s="92">
        <v>17.904707792807809524551287010</v>
      </c>
      <c r="H51" s="92">
        <v>50.375328214815436623314007970</v>
      </c>
      <c r="I51" s="92">
        <v>26.029852749918567806113334730</v>
      </c>
      <c r="J51" s="92">
        <v>17.343475556155032089630865930</v>
      </c>
      <c r="K51" s="92">
        <v>2.4387424933691163584921639600</v>
      </c>
      <c r="L51" s="92">
        <v>7.4192044058864317288744675600</v>
      </c>
      <c r="M51" s="92">
        <v>1.068560335305584772316107200</v>
      </c>
      <c r="N51" s="92">
        <v>4.533090739234737462503593800</v>
      </c>
      <c r="O51" s="92">
        <v>7.7798259623668301380583486500</v>
      </c>
      <c r="P51" s="92">
        <v>-6.8118373070243838575092718400</v>
      </c>
      <c r="Q51" s="92">
        <v>-7.944072726554600657918660060</v>
      </c>
      <c r="R51" s="92">
        <v>-3.1893368606205700529222638300</v>
      </c>
      <c r="S51" s="92">
        <v>-6.0058060063009629519630169800</v>
      </c>
      <c r="T51" s="92">
        <v>-6.309363771888165556353573600</v>
      </c>
      <c r="U51" s="92">
        <v>-1.7562618625463092227862758300</v>
      </c>
      <c r="V51" s="92">
        <v>-1.950161136834394989104767200</v>
      </c>
      <c r="W51" s="92">
        <v>-5.2390319369642375021644846100</v>
      </c>
      <c r="X51" s="92">
        <v>11.998025721816580049750418920</v>
      </c>
      <c r="Y51" s="92">
        <v>4.0330690484516326696103814800</v>
      </c>
      <c r="Z51" s="92">
        <v>-7.7330742094157280337715733600</v>
      </c>
      <c r="AA51" s="92">
        <v>-25.194236336162625839565049440</v>
      </c>
      <c r="AB51" s="92">
        <v>-24.361524981569822022585512300</v>
      </c>
      <c r="AC51" s="92">
        <v>-20.547107872688463994819782050</v>
      </c>
      <c r="AD51" s="92">
        <v>-13.38107751139601128680404300</v>
      </c>
      <c r="AE51" s="92">
        <v>-13.341064403631617492452579610</v>
      </c>
      <c r="AF51" s="92">
        <v>-17.736289559339331162624932100</v>
      </c>
      <c r="AG51" s="272">
        <v>29.773892503546839016828121370</v>
      </c>
      <c r="AH51" s="342"/>
    </row>
    <row r="52" ht="24.95" customHeight="1">
      <c r="A52" s="23"/>
      <c r="B52" s="40" t="s">
        <v>99</v>
      </c>
      <c r="C52" s="581">
        <v>-3.959310379764047496938939500</v>
      </c>
      <c r="D52" s="582">
        <v>-13.541353166134281324451965690</v>
      </c>
      <c r="E52" s="582">
        <v>-20.096627887577443535071879020</v>
      </c>
      <c r="F52" s="582">
        <v>-20.146061111665268224768858200</v>
      </c>
      <c r="G52" s="582">
        <v>-39.842718774369319967424467790</v>
      </c>
      <c r="H52" s="582">
        <v>-42.98860073848305039715250900</v>
      </c>
      <c r="I52" s="582">
        <v>-31.422400177261421023683297570</v>
      </c>
      <c r="J52" s="582">
        <v>-16.413053777255306933582610780</v>
      </c>
      <c r="K52" s="582">
        <v>-18.342097570380080733641904310</v>
      </c>
      <c r="L52" s="582">
        <v>-20.438005613238716354670228960</v>
      </c>
      <c r="M52" s="582">
        <v>-8.058284671016882691648482730</v>
      </c>
      <c r="N52" s="582">
        <v>-18.427905920064562539100717350</v>
      </c>
      <c r="O52" s="582">
        <v>-20.120401814573660036882406600</v>
      </c>
      <c r="P52" s="582">
        <v>-6.0983038551970859278195933500</v>
      </c>
      <c r="Q52" s="582">
        <v>-4.2617386807743350165640148700</v>
      </c>
      <c r="R52" s="582">
        <v>-30.130216708406592754056649190</v>
      </c>
      <c r="S52" s="582">
        <v>-26.336776711514619314878217380</v>
      </c>
      <c r="T52" s="582">
        <v>-33.901046480443060307296949240</v>
      </c>
      <c r="U52" s="582">
        <v>-30.875698178999069453291453480</v>
      </c>
      <c r="V52" s="582">
        <v>-32.166135259763846020653836260</v>
      </c>
      <c r="W52" s="582">
        <v>-6.2089162932672520226762897600</v>
      </c>
      <c r="X52" s="582">
        <v>-8.107640534941174891755802380</v>
      </c>
      <c r="Y52" s="582">
        <v>-32.287174210745716080582388360</v>
      </c>
      <c r="Z52" s="582">
        <v>-28.424734365118702181149762270</v>
      </c>
      <c r="AA52" s="582">
        <v>-19.980520927856680592656948750</v>
      </c>
      <c r="AB52" s="582">
        <v>-15.334351534865705445458448150</v>
      </c>
      <c r="AC52" s="582">
        <v>0.8247507975103266174252066900</v>
      </c>
      <c r="AD52" s="582">
        <v>0.0408626538930231085083041600</v>
      </c>
      <c r="AE52" s="582">
        <v>-13.518921819500212130188664290</v>
      </c>
      <c r="AF52" s="582">
        <v>-6.8064058854027536485136058700</v>
      </c>
      <c r="AG52" s="583">
        <v>-2.1350923628375275131163041500</v>
      </c>
      <c r="AH52" s="342"/>
    </row>
    <row r="53" ht="16.5" customHeight="1">
      <c r="B53" s="99"/>
      <c r="C53" s="100"/>
      <c r="D53" s="100"/>
      <c r="E53" s="100"/>
      <c r="F53" s="100"/>
      <c r="G53" s="100"/>
      <c r="H53" s="100"/>
      <c r="I53" s="100"/>
      <c r="J53" s="100"/>
      <c r="K53" s="100"/>
      <c r="L53" s="100"/>
      <c r="M53" s="100"/>
      <c r="N53" s="100"/>
      <c r="O53" s="100"/>
      <c r="P53" s="100"/>
      <c r="Q53" s="100"/>
      <c r="R53" s="100"/>
      <c r="S53" s="100"/>
      <c r="T53" s="100"/>
      <c r="U53" s="100"/>
      <c r="V53" s="100"/>
      <c r="W53" s="100"/>
      <c r="X53" s="100"/>
      <c r="Y53" s="100"/>
      <c r="Z53" s="100"/>
      <c r="AA53" s="100"/>
      <c r="AB53" s="100"/>
      <c r="AC53" s="100"/>
      <c r="AD53" s="100"/>
      <c r="AE53" s="100"/>
      <c r="AF53" s="100"/>
      <c r="AG53" s="100"/>
      <c r="AH53" s="4"/>
    </row>
    <row r="54" ht="0" hidden="1" customHeight="1">
      <c r="B54" s="223" t="s">
        <v>89</v>
      </c>
      <c r="C54" s="357"/>
      <c r="D54" s="358"/>
      <c r="E54" s="358"/>
      <c r="F54" s="358"/>
      <c r="G54" s="358"/>
      <c r="H54" s="358"/>
      <c r="I54" s="358"/>
      <c r="J54" s="358"/>
      <c r="K54" s="358"/>
      <c r="L54" s="358"/>
      <c r="M54" s="358"/>
      <c r="N54" s="358"/>
      <c r="O54" s="358"/>
      <c r="P54" s="358"/>
      <c r="Q54" s="358"/>
      <c r="R54" s="358"/>
      <c r="S54" s="358"/>
      <c r="T54" s="358"/>
      <c r="U54" s="358"/>
      <c r="V54" s="358"/>
      <c r="W54" s="358"/>
      <c r="X54" s="358"/>
      <c r="Y54" s="358"/>
      <c r="Z54" s="358"/>
      <c r="AA54" s="358"/>
      <c r="AB54" s="358"/>
      <c r="AC54" s="358"/>
      <c r="AD54" s="358"/>
      <c r="AE54" s="358"/>
      <c r="AF54" s="358"/>
      <c r="AG54" s="359"/>
      <c r="AH54" s="532"/>
    </row>
    <row r="55" ht="0" hidden="1" customHeight="1">
      <c r="B55" s="99"/>
      <c r="C55" s="100"/>
      <c r="D55" s="100"/>
      <c r="E55" s="100"/>
      <c r="F55" s="100"/>
      <c r="G55" s="100"/>
      <c r="H55" s="100"/>
      <c r="I55" s="100"/>
      <c r="J55" s="100"/>
      <c r="K55" s="100"/>
      <c r="L55" s="100"/>
      <c r="M55" s="100"/>
      <c r="N55" s="100"/>
      <c r="O55" s="100"/>
      <c r="P55" s="100"/>
      <c r="Q55" s="100"/>
      <c r="R55" s="100"/>
      <c r="S55" s="100"/>
      <c r="T55" s="100"/>
      <c r="U55" s="100"/>
      <c r="V55" s="100"/>
      <c r="W55" s="100"/>
      <c r="X55" s="100"/>
      <c r="Y55" s="100"/>
      <c r="Z55" s="100"/>
      <c r="AA55" s="100"/>
      <c r="AB55" s="100"/>
      <c r="AC55" s="100"/>
      <c r="AD55" s="100"/>
      <c r="AE55" s="100"/>
      <c r="AF55" s="100"/>
      <c r="AG55" s="100"/>
      <c r="AH55" s="4"/>
    </row>
    <row r="56" ht="24" customHeight="1">
      <c r="B56" s="1048" t="s">
        <v>126</v>
      </c>
      <c r="C56" s="1048"/>
      <c r="D56" s="1048"/>
      <c r="E56" s="1048"/>
      <c r="F56" s="1048"/>
      <c r="G56" s="1048"/>
      <c r="H56" s="1048"/>
      <c r="I56" s="1048"/>
      <c r="J56" s="1048"/>
      <c r="K56" s="1048"/>
      <c r="L56" s="1048"/>
      <c r="M56" s="1048"/>
      <c r="N56" s="1048"/>
      <c r="O56" s="1048"/>
      <c r="P56" s="1048"/>
      <c r="Q56" s="1048"/>
      <c r="R56" s="1048"/>
      <c r="S56" s="1048"/>
      <c r="T56" s="1048"/>
      <c r="U56" s="1048"/>
      <c r="V56" s="1048"/>
      <c r="W56" s="1048"/>
      <c r="X56" s="1048"/>
      <c r="Y56" s="1048"/>
      <c r="Z56" s="1048"/>
      <c r="AA56" s="1048"/>
      <c r="AB56" s="1048"/>
      <c r="AC56" s="1048"/>
      <c r="AD56" s="1048"/>
      <c r="AE56" s="1048"/>
      <c r="AF56" s="1048"/>
      <c r="AG56" s="1048"/>
    </row>
    <row r="57" ht="15" customHeight="1">
      <c r="A57"/>
      <c r="AE57"/>
      <c r="AF57"/>
      <c r="AG57"/>
    </row>
    <row r="58" s="282" customFormat="1"/>
    <row r="59" s="282" customFormat="1"/>
    <row r="60" s="282" customFormat="1">
      <c r="C60" s="282">
        <v>100</v>
      </c>
      <c r="D60" s="282">
        <v>100</v>
      </c>
      <c r="E60" s="282">
        <v>100</v>
      </c>
      <c r="F60" s="282">
        <v>100</v>
      </c>
      <c r="G60" s="282">
        <v>100</v>
      </c>
      <c r="H60" s="282">
        <v>100</v>
      </c>
      <c r="I60" s="282">
        <v>100</v>
      </c>
      <c r="J60" s="282">
        <v>100</v>
      </c>
      <c r="K60" s="282">
        <v>100</v>
      </c>
      <c r="L60" s="282">
        <v>100</v>
      </c>
      <c r="M60" s="282">
        <v>100</v>
      </c>
      <c r="N60" s="282">
        <v>100</v>
      </c>
      <c r="O60" s="282">
        <v>100</v>
      </c>
      <c r="P60" s="282">
        <v>100</v>
      </c>
      <c r="Q60" s="282">
        <v>100</v>
      </c>
      <c r="R60" s="282">
        <v>100</v>
      </c>
      <c r="S60" s="282">
        <v>100</v>
      </c>
      <c r="T60" s="282">
        <v>100</v>
      </c>
      <c r="U60" s="282">
        <v>100</v>
      </c>
      <c r="V60" s="282">
        <v>100</v>
      </c>
      <c r="W60" s="282">
        <v>100</v>
      </c>
      <c r="X60" s="282">
        <v>100</v>
      </c>
      <c r="Y60" s="282">
        <v>100</v>
      </c>
      <c r="Z60" s="282">
        <v>100</v>
      </c>
      <c r="AA60" s="282">
        <v>100</v>
      </c>
      <c r="AB60" s="282">
        <v>100</v>
      </c>
      <c r="AC60" s="282">
        <v>100</v>
      </c>
      <c r="AD60" s="282">
        <v>100</v>
      </c>
      <c r="AE60" s="282">
        <v>100</v>
      </c>
      <c r="AF60" s="282">
        <v>100</v>
      </c>
      <c r="AG60" s="282">
        <v>100</v>
      </c>
    </row>
    <row r="61" s="282" customFormat="1"/>
    <row r="62" s="282" customFormat="1"/>
    <row r="63" s="282" customFormat="1"/>
    <row r="64" s="282" customFormat="1"/>
    <row r="65" s="282" customFormat="1" ht="10.5" customHeight="1">
      <c r="B65" s="1014"/>
      <c r="C65" s="1014"/>
      <c r="D65" s="1014"/>
      <c r="E65" s="1014"/>
      <c r="F65" s="1014"/>
      <c r="G65" s="1014"/>
      <c r="H65" s="1014"/>
      <c r="I65" s="1014"/>
      <c r="J65" s="1014"/>
      <c r="K65" s="1014"/>
      <c r="L65" s="1014"/>
      <c r="M65" s="1014"/>
      <c r="N65" s="1014"/>
      <c r="O65" s="1014"/>
      <c r="P65" s="1014"/>
      <c r="Q65" s="1014"/>
      <c r="R65" s="1014"/>
      <c r="S65" s="1014"/>
      <c r="T65" s="1014"/>
      <c r="U65" s="1014"/>
      <c r="V65" s="1014"/>
      <c r="W65" s="1014"/>
      <c r="X65" s="1014"/>
      <c r="Y65" s="1014"/>
      <c r="Z65" s="1014"/>
      <c r="AA65" s="1014"/>
      <c r="AB65" s="1014"/>
      <c r="AC65" s="1014"/>
      <c r="AD65" s="1014"/>
      <c r="AE65" s="1014"/>
      <c r="AF65" s="1014"/>
      <c r="AG65" s="1014"/>
      <c r="AH65" s="1014"/>
      <c r="AI65" s="1014"/>
    </row>
    <row r="66" s="282" customFormat="1">
      <c r="B66" s="1014"/>
      <c r="C66" s="1014"/>
      <c r="D66" s="1014"/>
      <c r="E66" s="1014"/>
      <c r="F66" s="1014"/>
      <c r="G66" s="1014"/>
      <c r="H66" s="1014"/>
      <c r="I66" s="1014"/>
      <c r="J66" s="1014"/>
      <c r="K66" s="1014"/>
      <c r="L66" s="1014"/>
      <c r="M66" s="1014"/>
      <c r="N66" s="1014"/>
      <c r="O66" s="1014"/>
      <c r="P66" s="1014"/>
      <c r="Q66" s="1014"/>
      <c r="R66" s="1014"/>
      <c r="S66" s="1014"/>
      <c r="T66" s="1014"/>
      <c r="U66" s="1014"/>
      <c r="V66" s="1014"/>
      <c r="W66" s="1014"/>
      <c r="X66" s="1014"/>
      <c r="Y66" s="1014"/>
      <c r="Z66" s="1014"/>
      <c r="AA66" s="1014"/>
      <c r="AB66" s="1014"/>
      <c r="AC66" s="1014"/>
      <c r="AD66" s="1014"/>
      <c r="AE66" s="1014"/>
      <c r="AF66" s="1014"/>
      <c r="AG66" s="1014"/>
      <c r="AH66" s="1014"/>
      <c r="AI66" s="1014"/>
    </row>
    <row r="67" s="282" customFormat="1">
      <c r="B67" s="1014"/>
      <c r="C67" s="1014"/>
      <c r="D67" s="1014"/>
      <c r="E67" s="1014"/>
      <c r="F67" s="1014"/>
      <c r="G67" s="1014"/>
      <c r="H67" s="1014"/>
      <c r="I67" s="1014"/>
      <c r="J67" s="1014"/>
      <c r="K67" s="1014"/>
      <c r="L67" s="1014"/>
      <c r="M67" s="1014"/>
      <c r="N67" s="1014"/>
      <c r="O67" s="1014"/>
      <c r="P67" s="1014"/>
      <c r="Q67" s="1014"/>
      <c r="R67" s="1014"/>
      <c r="S67" s="1014"/>
      <c r="T67" s="1014"/>
      <c r="U67" s="1014"/>
      <c r="V67" s="1014"/>
      <c r="W67" s="1014"/>
      <c r="X67" s="1014"/>
      <c r="Y67" s="1014"/>
      <c r="Z67" s="1014"/>
      <c r="AA67" s="1014"/>
      <c r="AB67" s="1014"/>
      <c r="AC67" s="1014"/>
      <c r="AD67" s="1014"/>
      <c r="AE67" s="1014"/>
      <c r="AF67" s="1014"/>
      <c r="AG67" s="1014"/>
      <c r="AH67" s="1014"/>
      <c r="AI67" s="1014"/>
    </row>
    <row r="68" s="282" customFormat="1">
      <c r="B68" s="1014"/>
      <c r="C68" s="1014"/>
      <c r="D68" s="1014"/>
      <c r="E68" s="1014"/>
      <c r="F68" s="1014"/>
      <c r="G68" s="1014"/>
      <c r="H68" s="1014"/>
      <c r="I68" s="1014"/>
      <c r="J68" s="1014"/>
      <c r="K68" s="1014"/>
      <c r="L68" s="1014"/>
      <c r="M68" s="1014"/>
      <c r="N68" s="1014"/>
      <c r="O68" s="1014"/>
      <c r="P68" s="1014"/>
      <c r="Q68" s="1014"/>
      <c r="R68" s="1014"/>
      <c r="S68" s="1014"/>
      <c r="T68" s="1014"/>
      <c r="U68" s="1014"/>
      <c r="V68" s="1014"/>
      <c r="W68" s="1014"/>
      <c r="X68" s="1014"/>
      <c r="Y68" s="1014"/>
      <c r="Z68" s="1014"/>
      <c r="AA68" s="1014"/>
      <c r="AB68" s="1014"/>
      <c r="AC68" s="1014"/>
      <c r="AD68" s="1014"/>
      <c r="AE68" s="1014"/>
      <c r="AF68" s="1014"/>
      <c r="AG68" s="1014"/>
      <c r="AH68" s="1014"/>
      <c r="AI68" s="1014"/>
    </row>
    <row r="69" s="282" customFormat="1">
      <c r="B69" s="1014"/>
      <c r="C69" s="1014"/>
      <c r="D69" s="1014"/>
      <c r="E69" s="1014"/>
      <c r="F69" s="1014"/>
      <c r="G69" s="1014"/>
      <c r="H69" s="1014"/>
      <c r="I69" s="1014"/>
      <c r="J69" s="1014"/>
      <c r="K69" s="1014"/>
      <c r="L69" s="1014"/>
      <c r="M69" s="1014"/>
      <c r="N69" s="1014"/>
      <c r="O69" s="1014"/>
      <c r="P69" s="1014"/>
      <c r="Q69" s="1014"/>
      <c r="R69" s="1014"/>
      <c r="S69" s="1014"/>
      <c r="T69" s="1014"/>
      <c r="U69" s="1014"/>
      <c r="V69" s="1014"/>
      <c r="W69" s="1014"/>
      <c r="X69" s="1014"/>
      <c r="Y69" s="1014"/>
      <c r="Z69" s="1014"/>
      <c r="AA69" s="1014"/>
      <c r="AB69" s="1014"/>
      <c r="AC69" s="1014"/>
      <c r="AD69" s="1014"/>
      <c r="AE69" s="1014"/>
      <c r="AF69" s="1014"/>
      <c r="AG69" s="1014"/>
      <c r="AH69" s="1014"/>
      <c r="AI69" s="1014"/>
    </row>
    <row r="70" s="282" customFormat="1">
      <c r="B70" s="1014"/>
      <c r="C70" s="1014"/>
      <c r="D70" s="1014"/>
      <c r="E70" s="1014"/>
      <c r="F70" s="1014"/>
      <c r="G70" s="1014"/>
      <c r="H70" s="1014"/>
      <c r="I70" s="1014"/>
      <c r="J70" s="1014"/>
      <c r="K70" s="1014"/>
      <c r="L70" s="1014"/>
      <c r="M70" s="1014"/>
      <c r="N70" s="1014"/>
      <c r="O70" s="1014"/>
      <c r="P70" s="1014"/>
      <c r="Q70" s="1014"/>
      <c r="R70" s="1014"/>
      <c r="S70" s="1014"/>
      <c r="T70" s="1014"/>
      <c r="U70" s="1014"/>
      <c r="V70" s="1014"/>
      <c r="W70" s="1014"/>
      <c r="X70" s="1014"/>
      <c r="Y70" s="1014"/>
      <c r="Z70" s="1014"/>
      <c r="AA70" s="1014"/>
      <c r="AB70" s="1014"/>
      <c r="AC70" s="1014"/>
      <c r="AD70" s="1014"/>
      <c r="AE70" s="1014"/>
      <c r="AF70" s="1014"/>
      <c r="AG70" s="1014"/>
      <c r="AH70" s="1014"/>
      <c r="AI70" s="1014"/>
    </row>
    <row r="71" s="282" customFormat="1"/>
    <row r="72" s="282" customFormat="1"/>
    <row r="73" s="282" customFormat="1"/>
    <row r="74" s="282" customFormat="1"/>
    <row r="75" s="282" customFormat="1"/>
    <row r="76" s="282" customFormat="1"/>
    <row r="77" s="282" customFormat="1"/>
    <row r="78" s="282" customFormat="1"/>
    <row r="79" s="282" customFormat="1"/>
    <row r="80" s="282" customFormat="1"/>
    <row r="81" s="282" customFormat="1"/>
    <row r="82" s="282" customFormat="1"/>
    <row r="83" s="282" customFormat="1"/>
    <row r="84" s="282" customFormat="1"/>
    <row r="85" s="282" customFormat="1"/>
    <row r="86" s="282" customFormat="1"/>
    <row r="87" s="282" customFormat="1"/>
    <row r="88" s="282" customFormat="1"/>
    <row r="89" s="282" customFormat="1"/>
    <row r="90" s="282" customFormat="1"/>
    <row r="91" s="282" customFormat="1"/>
    <row r="92" s="282" customFormat="1"/>
    <row r="93" s="282" customFormat="1"/>
    <row r="94" s="282" customFormat="1"/>
  </sheetData>
  <mergeCells count="12">
    <mergeCell ref="B56:AG56"/>
    <mergeCell ref="B34:B35"/>
    <mergeCell ref="B3:T3"/>
    <mergeCell ref="AA1:AG1"/>
    <mergeCell ref="U3:AG3"/>
    <mergeCell ref="B44:B45"/>
    <mergeCell ref="B4:AG4"/>
    <mergeCell ref="B2:AG2"/>
    <mergeCell ref="X22:AD22"/>
    <mergeCell ref="X33:AD33"/>
    <mergeCell ref="X43:AD43"/>
    <mergeCell ref="B24:B25"/>
  </mergeCells>
  <phoneticPr fontId="0" type="noConversion"/>
  <printOptions horizontalCentered="1" verticalCentered="1"/>
  <pageMargins left="0.25" right="0.25" top="0.25" bottom="0.25" header="0" footer="0"/>
  <pageSetup scale="41" fitToWidth="1" fitToHeight="1" orientation="landscape" r:id="rId1"/>
  <headerFooter alignWithMargins="0">
    <oddHeader/>
    <oddFooter/>
  </headerFooter>
  <rowBreaks count="1" manualBreakCount="1">
    <brk id="57" max="16383" man="1"/>
  </rowBreaks>
  <colBreaks count="1" manualBreakCount="1">
    <brk id="34" max="1048575" man="1"/>
  </colBreaks>
  <drawing r:id="rId95"/>
</worksheet>
</file>

<file path=xl/worksheets/sheet9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pageSetUpPr fitToPage="1"/>
  </sheetPr>
  <dimension ref="A1:AO79"/>
  <sheetViews>
    <sheetView showGridLines="0" workbookViewId="0"/>
  </sheetViews>
  <sheetFormatPr defaultRowHeight="12.75"/>
  <cols>
    <col min="1" max="1" width="2.7109375" customWidth="1"/>
    <col min="2" max="2" width="19.5703125" customWidth="1"/>
    <col min="3" max="3" width="4.42578125" customWidth="1"/>
    <col min="4" max="4" width="12.28515625" customWidth="1"/>
    <col min="5" max="5" width="9.42578125" customWidth="1"/>
    <col min="6" max="6" width="7.7109375" customWidth="1"/>
    <col min="7" max="7" width="2.7109375" customWidth="1"/>
    <col min="8" max="8" width="12.28515625" customWidth="1"/>
    <col min="9" max="9" width="9.42578125" customWidth="1"/>
    <col min="10" max="10" width="7.7109375" customWidth="1"/>
    <col min="11" max="11" width="2.7109375" customWidth="1"/>
    <col min="12" max="12" width="12.28515625" customWidth="1"/>
    <col min="13" max="13" width="8.7109375" customWidth="1"/>
    <col min="14" max="14" width="7.7109375" customWidth="1"/>
    <col min="15" max="15" width="2.7109375" customWidth="1"/>
    <col min="16" max="16" width="12.28515625" customWidth="1"/>
    <col min="17" max="17" width="9.42578125" customWidth="1"/>
    <col min="18" max="18" width="7.7109375" customWidth="1"/>
    <col min="19" max="20" width="2.7109375" customWidth="1"/>
    <col min="21" max="41" width="9.140625" style="236" customWidth="1"/>
  </cols>
  <sheetData>
    <row r="1" ht="26.25" customHeight="1">
      <c r="B1" s="20" t="s">
        <v>177</v>
      </c>
      <c r="C1" s="12"/>
      <c r="D1" s="12"/>
      <c r="E1" s="12"/>
      <c r="F1" s="12"/>
      <c r="G1" s="12"/>
      <c r="H1" s="2"/>
      <c r="I1" s="2"/>
      <c r="J1" s="2"/>
      <c r="K1" s="2"/>
      <c r="L1" s="2"/>
      <c r="M1" s="2"/>
      <c r="N1" s="2"/>
      <c r="O1" s="2"/>
      <c r="P1" s="131"/>
      <c r="Q1" s="2"/>
      <c r="R1" s="2"/>
      <c r="S1" s="222"/>
      <c r="T1" s="2"/>
      <c r="U1" s="236"/>
    </row>
    <row r="2" ht="14.25" customHeight="1">
      <c r="B2" s="999" t="s">
        <v>208</v>
      </c>
      <c r="C2" s="999"/>
      <c r="D2" s="999"/>
      <c r="E2" s="999"/>
      <c r="F2" s="999"/>
      <c r="G2" s="999"/>
      <c r="H2" s="999"/>
      <c r="I2" s="999"/>
      <c r="J2" s="999"/>
      <c r="K2" s="999"/>
      <c r="L2" s="999"/>
      <c r="M2" s="999"/>
      <c r="N2" s="999"/>
      <c r="O2" s="999"/>
      <c r="P2" s="999"/>
      <c r="Q2" s="999"/>
      <c r="R2" s="999"/>
      <c r="S2" s="999"/>
      <c r="T2" s="2"/>
    </row>
    <row r="3" ht="14.25" customHeight="1">
      <c r="B3" s="1030" t="s">
        <v>209</v>
      </c>
      <c r="C3" s="1030"/>
      <c r="D3" s="1030"/>
      <c r="E3" s="1030"/>
      <c r="F3" s="1030"/>
      <c r="G3" s="1030"/>
      <c r="H3" s="1030"/>
      <c r="I3" s="1030"/>
      <c r="J3" s="1030"/>
      <c r="K3" s="1030"/>
      <c r="L3" s="1030"/>
      <c r="M3" s="1030"/>
      <c r="N3" s="1030"/>
      <c r="O3" s="1030"/>
      <c r="P3" s="1030"/>
      <c r="Q3" s="1030"/>
      <c r="R3" s="1030"/>
      <c r="S3" s="1030"/>
      <c r="T3" s="2"/>
    </row>
    <row r="4" ht="14.25" customHeight="1">
      <c r="B4" s="1030" t="s">
        <v>210</v>
      </c>
      <c r="C4" s="1030"/>
      <c r="D4" s="1030"/>
      <c r="E4" s="1030"/>
      <c r="F4" s="1030"/>
      <c r="G4" s="1030"/>
      <c r="H4" s="1030"/>
      <c r="I4" s="1030"/>
      <c r="J4" s="1030"/>
      <c r="K4" s="1030"/>
      <c r="L4" s="1030"/>
      <c r="M4" s="1030"/>
      <c r="N4" s="1030"/>
      <c r="O4" s="1030"/>
      <c r="P4" s="1030"/>
      <c r="Q4" s="1030"/>
      <c r="R4" s="1030"/>
      <c r="S4" s="1030"/>
      <c r="T4" s="2"/>
    </row>
    <row r="5" ht="15" customHeight="1">
      <c r="A5" s="14"/>
      <c r="B5" s="13"/>
      <c r="C5" s="2"/>
      <c r="D5" s="2"/>
      <c r="E5" s="2"/>
      <c r="F5" s="2"/>
      <c r="G5" s="2"/>
      <c r="H5" s="2"/>
      <c r="I5" s="2"/>
      <c r="J5" s="2"/>
      <c r="K5" s="2"/>
      <c r="L5" s="2"/>
      <c r="M5" s="2"/>
      <c r="N5" s="2"/>
      <c r="O5" s="2"/>
      <c r="P5" s="2"/>
      <c r="Q5" s="2"/>
      <c r="R5" s="2"/>
      <c r="S5" s="2"/>
      <c r="T5" s="2"/>
    </row>
    <row r="6" s="0" customFormat="1" ht="18" customHeight="1">
      <c r="A6" s="14"/>
      <c r="B6" s="1031" t="s">
        <v>211</v>
      </c>
      <c r="C6" s="1031"/>
      <c r="D6" s="1031"/>
      <c r="E6" s="1031"/>
      <c r="F6" s="1031"/>
      <c r="G6" s="1031"/>
      <c r="H6" s="1031"/>
      <c r="I6" s="1031"/>
      <c r="J6" s="1031"/>
      <c r="K6" s="1031"/>
      <c r="L6" s="1031"/>
      <c r="M6" s="1031"/>
      <c r="N6" s="1031"/>
      <c r="O6" s="1031"/>
      <c r="P6" s="1031"/>
      <c r="Q6" s="1031"/>
      <c r="R6" s="1031"/>
      <c r="S6" s="1031"/>
      <c r="T6" s="2"/>
      <c r="U6" s="236"/>
      <c r="V6" s="236"/>
      <c r="W6" s="236"/>
      <c r="X6" s="236"/>
      <c r="Y6" s="236"/>
      <c r="Z6" s="236"/>
      <c r="AA6" s="236"/>
      <c r="AB6" s="236"/>
      <c r="AC6" s="236"/>
      <c r="AD6" s="236"/>
      <c r="AE6" s="236"/>
      <c r="AF6" s="236"/>
      <c r="AG6" s="236"/>
      <c r="AH6" s="236"/>
      <c r="AI6" s="236"/>
      <c r="AJ6" s="236"/>
      <c r="AK6" s="236"/>
      <c r="AL6" s="236"/>
      <c r="AM6" s="236"/>
      <c r="AN6" s="236"/>
      <c r="AO6" s="236"/>
    </row>
    <row r="7" ht="15" customHeight="1">
      <c r="A7" s="14"/>
      <c r="B7" s="13"/>
      <c r="C7" s="2"/>
      <c r="D7" s="2"/>
      <c r="E7" s="2"/>
      <c r="F7" s="2"/>
      <c r="G7" s="2"/>
      <c r="H7" s="2"/>
      <c r="I7" s="2"/>
      <c r="J7" s="2"/>
      <c r="K7" s="2"/>
      <c r="L7" s="2"/>
      <c r="M7" s="2"/>
      <c r="N7" s="2"/>
      <c r="O7" s="2"/>
      <c r="P7" s="2"/>
      <c r="Q7" s="2"/>
      <c r="R7" s="2"/>
      <c r="S7" s="2"/>
      <c r="T7" s="2"/>
    </row>
    <row r="8" ht="15" customHeight="1">
      <c r="A8" s="2"/>
      <c r="B8" s="2"/>
      <c r="C8" s="15"/>
      <c r="D8" s="1032" t="s">
        <v>11</v>
      </c>
      <c r="E8" s="1032"/>
      <c r="F8" s="1032"/>
      <c r="G8" s="2"/>
      <c r="H8" s="1032" t="s">
        <v>13</v>
      </c>
      <c r="I8" s="1032"/>
      <c r="J8" s="1032"/>
      <c r="K8" s="2"/>
      <c r="L8" s="1032" t="s">
        <v>14</v>
      </c>
      <c r="M8" s="1032"/>
      <c r="N8" s="1032"/>
      <c r="O8" s="2"/>
      <c r="P8" s="1032" t="s">
        <v>12</v>
      </c>
      <c r="Q8" s="1032"/>
      <c r="R8" s="1032"/>
      <c r="S8" s="3"/>
      <c r="T8" s="2"/>
    </row>
    <row r="9" ht="15" customHeight="1">
      <c r="A9" s="2"/>
      <c r="B9" s="2"/>
      <c r="C9" s="2"/>
      <c r="D9" s="3"/>
      <c r="E9" s="3"/>
      <c r="F9" s="171" t="s">
        <v>24</v>
      </c>
      <c r="G9" s="50"/>
      <c r="H9" s="2"/>
      <c r="I9" s="2"/>
      <c r="J9" s="171" t="s">
        <v>24</v>
      </c>
      <c r="K9" s="2"/>
      <c r="L9" s="2"/>
      <c r="M9" s="2"/>
      <c r="N9" s="171" t="s">
        <v>24</v>
      </c>
      <c r="O9" s="2"/>
      <c r="P9" s="2"/>
      <c r="Q9" s="2"/>
      <c r="R9" s="171" t="s">
        <v>24</v>
      </c>
      <c r="S9" s="2"/>
      <c r="T9" s="2"/>
    </row>
    <row r="10" ht="15" customHeight="1">
      <c r="A10" s="2"/>
      <c r="B10" s="173" t="s">
        <v>22</v>
      </c>
      <c r="C10" s="45"/>
      <c r="D10" s="18" t="s">
        <v>19</v>
      </c>
      <c r="E10" s="113">
        <v>80.22971652003910068426197458</v>
      </c>
      <c r="F10" s="113">
        <v>-8.576998050714339454874993020</v>
      </c>
      <c r="G10" s="659"/>
      <c r="H10" s="18" t="s">
        <v>19</v>
      </c>
      <c r="I10" s="667">
        <v>6.1094819159335288367546432100</v>
      </c>
      <c r="J10" s="113">
        <v>4.1666666665989583333333774100</v>
      </c>
      <c r="K10" s="9"/>
      <c r="L10" s="18" t="s">
        <v>19</v>
      </c>
      <c r="M10" s="667">
        <v>0</v>
      </c>
      <c r="N10" s="113">
        <v>0</v>
      </c>
      <c r="O10" s="9"/>
      <c r="P10" s="18" t="s">
        <v>19</v>
      </c>
      <c r="Q10" s="667">
        <v>86.33919843597262952101661779</v>
      </c>
      <c r="R10" s="113">
        <v>-7.7786478726522018884396566100</v>
      </c>
      <c r="S10" s="674"/>
      <c r="T10" s="9"/>
    </row>
    <row r="11" ht="15" customHeight="1">
      <c r="A11" s="2"/>
      <c r="B11" s="44"/>
      <c r="C11" s="45"/>
      <c r="D11" s="133" t="s">
        <v>16</v>
      </c>
      <c r="E11" s="92">
        <v>73.373082607144677164551801460</v>
      </c>
      <c r="F11" s="92">
        <v>6.1340581881904597590220970200</v>
      </c>
      <c r="G11" s="661"/>
      <c r="H11" s="133" t="s">
        <v>16</v>
      </c>
      <c r="I11" s="668">
        <v>6.6605513937726137695561331100</v>
      </c>
      <c r="J11" s="92">
        <v>59.275117132269097365408447930</v>
      </c>
      <c r="K11" s="120"/>
      <c r="L11" s="133" t="s">
        <v>16</v>
      </c>
      <c r="M11" s="668">
        <v>0</v>
      </c>
      <c r="N11" s="92">
        <v>0</v>
      </c>
      <c r="O11" s="120"/>
      <c r="P11" s="133" t="s">
        <v>16</v>
      </c>
      <c r="Q11" s="668">
        <v>80.03363400091729093410793457</v>
      </c>
      <c r="R11" s="92">
        <v>9.165184763469721988999390170</v>
      </c>
      <c r="S11" s="674"/>
      <c r="T11" s="9"/>
    </row>
    <row r="12" ht="15" customHeight="1">
      <c r="A12" s="2"/>
      <c r="B12" s="44"/>
      <c r="C12" s="45"/>
      <c r="D12" s="19" t="s">
        <v>97</v>
      </c>
      <c r="E12" s="113">
        <v>109.34489007318279617853481878</v>
      </c>
      <c r="F12" s="113">
        <v>-13.860825158213409246418684570</v>
      </c>
      <c r="G12" s="113"/>
      <c r="H12" s="19" t="s">
        <v>97</v>
      </c>
      <c r="I12" s="667">
        <v>91.72636850487429139961068804</v>
      </c>
      <c r="J12" s="113">
        <v>-34.599535356339870924499814870</v>
      </c>
      <c r="K12" s="9"/>
      <c r="L12" s="19" t="s">
        <v>97</v>
      </c>
      <c r="M12" s="667">
        <v>0</v>
      </c>
      <c r="N12" s="113">
        <v>0</v>
      </c>
      <c r="O12" s="9"/>
      <c r="P12" s="19" t="s">
        <v>97</v>
      </c>
      <c r="Q12" s="667">
        <v>107.87864316519942319816419055</v>
      </c>
      <c r="R12" s="113">
        <v>-15.521278760059032291546026350</v>
      </c>
      <c r="S12" s="667"/>
      <c r="T12" s="9"/>
    </row>
    <row r="13" ht="15" customHeight="1">
      <c r="A13" s="2"/>
      <c r="B13" s="17"/>
      <c r="C13" s="2"/>
      <c r="D13" s="2"/>
      <c r="E13" s="662"/>
      <c r="F13" s="659"/>
      <c r="G13" s="662"/>
      <c r="H13" s="2"/>
      <c r="I13" s="9"/>
      <c r="J13" s="659"/>
      <c r="K13" s="9"/>
      <c r="L13" s="2"/>
      <c r="M13" s="9"/>
      <c r="N13" s="659"/>
      <c r="O13" s="9"/>
      <c r="P13" s="2"/>
      <c r="Q13" s="674"/>
      <c r="R13" s="659"/>
      <c r="S13" s="674"/>
      <c r="T13" s="9"/>
    </row>
    <row r="14" ht="15" customHeight="1">
      <c r="A14" s="2"/>
      <c r="B14" s="173" t="s">
        <v>9</v>
      </c>
      <c r="C14" s="45"/>
      <c r="D14" s="18" t="s">
        <v>19</v>
      </c>
      <c r="E14" s="663">
        <v>317.6725555893999390801096558</v>
      </c>
      <c r="F14" s="113">
        <v>-5.4005767437935339860577036700</v>
      </c>
      <c r="G14" s="664"/>
      <c r="H14" s="53" t="s">
        <v>19</v>
      </c>
      <c r="I14" s="670">
        <v>346.78</v>
      </c>
      <c r="J14" s="113">
        <v>-2.2053017484489565707839819500</v>
      </c>
      <c r="K14" s="671"/>
      <c r="L14" s="53" t="s">
        <v>19</v>
      </c>
      <c r="M14" s="670">
        <v>0</v>
      </c>
      <c r="N14" s="113">
        <v>0</v>
      </c>
      <c r="O14" s="671"/>
      <c r="P14" s="53" t="s">
        <v>19</v>
      </c>
      <c r="Q14" s="670">
        <v>319.73223889046136427964902349</v>
      </c>
      <c r="R14" s="113">
        <v>-5.1198492329308838951420960200</v>
      </c>
      <c r="S14" s="675"/>
      <c r="T14" s="9"/>
    </row>
    <row r="15" ht="15" customHeight="1">
      <c r="A15" s="2"/>
      <c r="B15" s="44"/>
      <c r="C15" s="45"/>
      <c r="D15" s="133" t="s">
        <v>16</v>
      </c>
      <c r="E15" s="665">
        <v>313.76913460202805945270176411</v>
      </c>
      <c r="F15" s="92">
        <v>-11.309014908987122098900640230</v>
      </c>
      <c r="G15" s="666"/>
      <c r="H15" s="143" t="s">
        <v>16</v>
      </c>
      <c r="I15" s="672">
        <v>454.45218056618209640397857686</v>
      </c>
      <c r="J15" s="92">
        <v>69.262098441951788882985813080</v>
      </c>
      <c r="K15" s="673"/>
      <c r="L15" s="143" t="s">
        <v>16</v>
      </c>
      <c r="M15" s="672">
        <v>0</v>
      </c>
      <c r="N15" s="92">
        <v>0</v>
      </c>
      <c r="O15" s="673"/>
      <c r="P15" s="143" t="s">
        <v>16</v>
      </c>
      <c r="Q15" s="672">
        <v>325.47704552690226042661572745</v>
      </c>
      <c r="R15" s="92">
        <v>-6.7168973216714882417544129600</v>
      </c>
      <c r="S15" s="675"/>
      <c r="T15" s="9"/>
    </row>
    <row r="16" ht="15" customHeight="1">
      <c r="A16" s="2"/>
      <c r="B16" s="44"/>
      <c r="C16" s="45"/>
      <c r="D16" s="19" t="s">
        <v>98</v>
      </c>
      <c r="E16" s="113">
        <v>101.24404237285838446923277715</v>
      </c>
      <c r="F16" s="113">
        <v>6.6618249409315677046640919300</v>
      </c>
      <c r="G16" s="113"/>
      <c r="H16" s="19" t="s">
        <v>98</v>
      </c>
      <c r="I16" s="667">
        <v>76.307258459613573116024649510</v>
      </c>
      <c r="J16" s="113">
        <v>-42.222919867041557049037155220</v>
      </c>
      <c r="K16" s="9"/>
      <c r="L16" s="19" t="s">
        <v>98</v>
      </c>
      <c r="M16" s="667">
        <v>0</v>
      </c>
      <c r="N16" s="113">
        <v>0</v>
      </c>
      <c r="O16" s="9"/>
      <c r="P16" s="19" t="s">
        <v>98</v>
      </c>
      <c r="Q16" s="667">
        <v>98.23495797464345625703116866</v>
      </c>
      <c r="R16" s="113">
        <v>1.7120443498190594325484706900</v>
      </c>
      <c r="S16" s="667"/>
      <c r="T16" s="9"/>
    </row>
    <row r="17" ht="15" customHeight="1">
      <c r="A17" s="2"/>
      <c r="B17" s="17"/>
      <c r="C17" s="2"/>
      <c r="D17" s="2"/>
      <c r="E17" s="662"/>
      <c r="F17" s="113"/>
      <c r="G17" s="662"/>
      <c r="H17" s="2"/>
      <c r="I17" s="9"/>
      <c r="J17" s="113"/>
      <c r="K17" s="9"/>
      <c r="L17" s="2"/>
      <c r="M17" s="9"/>
      <c r="N17" s="113"/>
      <c r="O17" s="9"/>
      <c r="P17" s="2"/>
      <c r="Q17" s="675"/>
      <c r="R17" s="113"/>
      <c r="S17" s="675"/>
      <c r="T17" s="9"/>
    </row>
    <row r="18" ht="15" customHeight="1">
      <c r="A18" s="2"/>
      <c r="B18" s="173" t="s">
        <v>10</v>
      </c>
      <c r="C18" s="45"/>
      <c r="D18" s="18" t="s">
        <v>19</v>
      </c>
      <c r="E18" s="663">
        <v>254.86779081133919843597262952</v>
      </c>
      <c r="F18" s="113">
        <v>-13.514367432445502469819601610</v>
      </c>
      <c r="G18" s="664"/>
      <c r="H18" s="53" t="s">
        <v>19</v>
      </c>
      <c r="I18" s="670">
        <v>21.186461388074291300097751711</v>
      </c>
      <c r="J18" s="113">
        <v>1.8694773455825666160817301300</v>
      </c>
      <c r="K18" s="671"/>
      <c r="L18" s="53" t="s">
        <v>19</v>
      </c>
      <c r="M18" s="670">
        <v>0</v>
      </c>
      <c r="N18" s="113">
        <v>0</v>
      </c>
      <c r="O18" s="671"/>
      <c r="P18" s="53" t="s">
        <v>19</v>
      </c>
      <c r="Q18" s="670">
        <v>276.05425219941348973607038123</v>
      </c>
      <c r="R18" s="113">
        <v>-12.500242062100870585097259470</v>
      </c>
      <c r="S18" s="675"/>
      <c r="T18" s="9"/>
    </row>
    <row r="19" ht="15" customHeight="1">
      <c r="A19" s="2"/>
      <c r="B19" s="44"/>
      <c r="C19" s="45"/>
      <c r="D19" s="133" t="s">
        <v>16</v>
      </c>
      <c r="E19" s="665">
        <v>230.22208632726902104673087703</v>
      </c>
      <c r="F19" s="92">
        <v>-5.8686582758549563994930931400</v>
      </c>
      <c r="G19" s="666"/>
      <c r="H19" s="143" t="s">
        <v>16</v>
      </c>
      <c r="I19" s="672">
        <v>30.269021046730877032054222086</v>
      </c>
      <c r="J19" s="92">
        <v>169.59240555152656109698139022</v>
      </c>
      <c r="K19" s="673"/>
      <c r="L19" s="143" t="s">
        <v>16</v>
      </c>
      <c r="M19" s="672">
        <v>0</v>
      </c>
      <c r="N19" s="92">
        <v>0</v>
      </c>
      <c r="O19" s="673"/>
      <c r="P19" s="143" t="s">
        <v>16</v>
      </c>
      <c r="Q19" s="672">
        <v>260.49110737399989807878509912</v>
      </c>
      <c r="R19" s="92">
        <v>1.8326713918214728831252895300</v>
      </c>
      <c r="S19" s="675"/>
      <c r="T19" s="9"/>
    </row>
    <row r="20" ht="15" customHeight="1">
      <c r="A20" s="2"/>
      <c r="B20" s="44"/>
      <c r="C20" s="45"/>
      <c r="D20" s="19" t="s">
        <v>99</v>
      </c>
      <c r="E20" s="113">
        <v>110.70518683815640603425281820</v>
      </c>
      <c r="F20" s="113">
        <v>-8.122384124732629238027021460</v>
      </c>
      <c r="G20" s="113"/>
      <c r="H20" s="19" t="s">
        <v>99</v>
      </c>
      <c r="I20" s="667">
        <v>69.993877090993959463054892460</v>
      </c>
      <c r="J20" s="113">
        <v>-62.213521134970199514847450510</v>
      </c>
      <c r="K20" s="9"/>
      <c r="L20" s="19" t="s">
        <v>99</v>
      </c>
      <c r="M20" s="667">
        <v>0</v>
      </c>
      <c r="N20" s="113">
        <v>0</v>
      </c>
      <c r="O20" s="9"/>
      <c r="P20" s="19" t="s">
        <v>99</v>
      </c>
      <c r="Q20" s="667">
        <v>105.97453977692555583879061268</v>
      </c>
      <c r="R20" s="113">
        <v>-14.074965586198334566670999050</v>
      </c>
      <c r="S20" s="667"/>
      <c r="T20" s="9"/>
    </row>
    <row r="21" ht="15" customHeight="1">
      <c r="A21" s="2"/>
      <c r="B21" s="17"/>
      <c r="C21" s="2"/>
      <c r="D21" s="2"/>
      <c r="E21" s="9"/>
      <c r="F21" s="9"/>
      <c r="G21" s="9"/>
      <c r="H21" s="2"/>
      <c r="I21" s="9"/>
      <c r="J21" s="9"/>
      <c r="K21" s="9"/>
      <c r="L21" s="2"/>
      <c r="M21" s="9"/>
      <c r="N21" s="9"/>
      <c r="O21" s="9"/>
      <c r="P21" s="2"/>
      <c r="Q21" s="9"/>
      <c r="R21" s="9"/>
      <c r="S21" s="9"/>
      <c r="T21" s="9"/>
    </row>
    <row r="22" ht="15" customHeight="1">
      <c r="A22" s="2"/>
      <c r="E22" s="4"/>
      <c r="F22" s="4"/>
      <c r="G22" s="4"/>
      <c r="I22" s="4"/>
      <c r="J22" s="4"/>
      <c r="K22" s="4"/>
      <c r="M22" s="4"/>
      <c r="N22" s="4"/>
      <c r="O22" s="4"/>
      <c r="Q22" s="4"/>
      <c r="R22" s="4"/>
      <c r="S22" s="4"/>
      <c r="T22" s="9"/>
    </row>
    <row r="23" s="0" customFormat="1" ht="18" customHeight="1">
      <c r="A23" s="2"/>
      <c r="B23" s="1033" t="s">
        <v>58</v>
      </c>
      <c r="C23" s="1033"/>
      <c r="D23" s="1033"/>
      <c r="E23" s="1033"/>
      <c r="F23" s="1033"/>
      <c r="G23" s="1033"/>
      <c r="H23" s="1033"/>
      <c r="I23" s="1033"/>
      <c r="J23" s="1033"/>
      <c r="K23" s="1033"/>
      <c r="L23" s="1033"/>
      <c r="M23" s="1033"/>
      <c r="N23" s="1033"/>
      <c r="O23" s="1033"/>
      <c r="P23" s="1033"/>
      <c r="Q23" s="1033"/>
      <c r="R23" s="1033"/>
      <c r="S23" s="1033"/>
      <c r="T23" s="2"/>
      <c r="U23" s="236"/>
      <c r="V23" s="236"/>
      <c r="W23" s="236"/>
      <c r="X23" s="236"/>
      <c r="Y23" s="236"/>
      <c r="Z23" s="236"/>
      <c r="AA23" s="236"/>
      <c r="AB23" s="236"/>
      <c r="AC23" s="236"/>
      <c r="AD23" s="236"/>
      <c r="AE23" s="236"/>
      <c r="AF23" s="236"/>
      <c r="AG23" s="236"/>
      <c r="AH23" s="236"/>
      <c r="AI23" s="236"/>
      <c r="AJ23" s="236"/>
      <c r="AK23" s="236"/>
      <c r="AL23" s="236"/>
      <c r="AM23" s="236"/>
      <c r="AN23" s="236"/>
      <c r="AO23" s="236"/>
    </row>
    <row r="24" ht="15" customHeight="1">
      <c r="A24" s="2"/>
      <c r="B24" s="17"/>
      <c r="C24" s="2"/>
      <c r="D24" s="2"/>
      <c r="E24" s="2"/>
      <c r="F24" s="2"/>
      <c r="G24" s="2"/>
      <c r="H24" s="2"/>
      <c r="I24" s="2"/>
      <c r="J24" s="2"/>
      <c r="K24" s="2"/>
      <c r="L24" s="2"/>
      <c r="M24" s="2"/>
      <c r="N24" s="2"/>
      <c r="O24" s="2"/>
      <c r="P24" s="2"/>
      <c r="Q24" s="2"/>
      <c r="R24" s="2"/>
      <c r="S24" s="2"/>
      <c r="T24" s="2"/>
    </row>
    <row r="25" ht="15" customHeight="1">
      <c r="A25" s="2"/>
      <c r="B25" s="2"/>
      <c r="C25" s="15"/>
      <c r="D25" s="1032" t="s">
        <v>11</v>
      </c>
      <c r="E25" s="1032"/>
      <c r="F25" s="1032"/>
      <c r="G25" s="2"/>
      <c r="H25" s="1032" t="s">
        <v>13</v>
      </c>
      <c r="I25" s="1032"/>
      <c r="J25" s="1032"/>
      <c r="K25" s="2"/>
      <c r="L25" s="1032" t="s">
        <v>14</v>
      </c>
      <c r="M25" s="1032"/>
      <c r="N25" s="1032"/>
      <c r="O25" s="2"/>
      <c r="P25" s="1032" t="s">
        <v>12</v>
      </c>
      <c r="Q25" s="1032"/>
      <c r="R25" s="1032"/>
      <c r="S25" s="3"/>
      <c r="T25" s="2"/>
    </row>
    <row r="26" ht="15" customHeight="1">
      <c r="A26" s="2"/>
      <c r="B26" s="17"/>
      <c r="C26" s="2"/>
      <c r="D26" s="2"/>
      <c r="E26" s="2"/>
      <c r="F26" s="171" t="s">
        <v>24</v>
      </c>
      <c r="G26" s="2"/>
      <c r="H26" s="2"/>
      <c r="I26" s="2"/>
      <c r="J26" s="171" t="s">
        <v>24</v>
      </c>
      <c r="K26" s="2"/>
      <c r="L26" s="2"/>
      <c r="M26" s="2"/>
      <c r="N26" s="171" t="s">
        <v>24</v>
      </c>
      <c r="O26" s="2"/>
      <c r="P26" s="2"/>
      <c r="Q26" s="2"/>
      <c r="R26" s="171" t="s">
        <v>24</v>
      </c>
      <c r="S26" s="2"/>
      <c r="T26" s="2"/>
    </row>
    <row r="27" ht="15" customHeight="1">
      <c r="A27" s="2"/>
      <c r="B27" s="173" t="s">
        <v>22</v>
      </c>
      <c r="C27" s="45"/>
      <c r="D27" s="18" t="s">
        <v>19</v>
      </c>
      <c r="E27" s="667">
        <v>75.514736405147364051473640510</v>
      </c>
      <c r="F27" s="113">
        <v>-6.0550506093560076498549292800</v>
      </c>
      <c r="G27" s="9"/>
      <c r="H27" s="18" t="s">
        <v>19</v>
      </c>
      <c r="I27" s="667">
        <v>9.514321295143212951432129510</v>
      </c>
      <c r="J27" s="113">
        <v>218.33333333204673611111631096</v>
      </c>
      <c r="K27" s="9"/>
      <c r="L27" s="18" t="s">
        <v>19</v>
      </c>
      <c r="M27" s="667">
        <v>0</v>
      </c>
      <c r="N27" s="113">
        <v>0</v>
      </c>
      <c r="O27" s="9"/>
      <c r="P27" s="18" t="s">
        <v>19</v>
      </c>
      <c r="Q27" s="667">
        <v>85.02905770029057700290577003</v>
      </c>
      <c r="R27" s="113">
        <v>1.989145588536662112782954400</v>
      </c>
      <c r="S27" s="674"/>
      <c r="T27" s="9"/>
    </row>
    <row r="28" ht="15" customHeight="1">
      <c r="A28" s="2"/>
      <c r="B28" s="44"/>
      <c r="C28" s="45"/>
      <c r="D28" s="133" t="s">
        <v>16</v>
      </c>
      <c r="E28" s="668">
        <v>67.430503543550824086621093330</v>
      </c>
      <c r="F28" s="92">
        <v>-0.2346810420318046180945992800</v>
      </c>
      <c r="G28" s="120"/>
      <c r="H28" s="133" t="s">
        <v>16</v>
      </c>
      <c r="I28" s="668">
        <v>9.155652147560642991042630840</v>
      </c>
      <c r="J28" s="92">
        <v>185.92010464820097798846442821</v>
      </c>
      <c r="K28" s="120"/>
      <c r="L28" s="133" t="s">
        <v>16</v>
      </c>
      <c r="M28" s="668">
        <v>0</v>
      </c>
      <c r="N28" s="92">
        <v>-100</v>
      </c>
      <c r="O28" s="120"/>
      <c r="P28" s="133" t="s">
        <v>16</v>
      </c>
      <c r="Q28" s="668">
        <v>76.586155691111467077663724170</v>
      </c>
      <c r="R28" s="92">
        <v>8.170566819870315525329626950</v>
      </c>
      <c r="S28" s="674"/>
      <c r="T28" s="9"/>
    </row>
    <row r="29" ht="15" customHeight="1">
      <c r="A29" s="2"/>
      <c r="B29" s="44"/>
      <c r="C29" s="45"/>
      <c r="D29" s="19" t="s">
        <v>97</v>
      </c>
      <c r="E29" s="667">
        <v>111.98898486101348279576729249</v>
      </c>
      <c r="F29" s="113">
        <v>-5.8340610025834568304833957300</v>
      </c>
      <c r="G29" s="676"/>
      <c r="H29" s="19" t="s">
        <v>97</v>
      </c>
      <c r="I29" s="667">
        <v>103.91746149548977816204915764</v>
      </c>
      <c r="J29" s="113">
        <v>11.336463633352862323003023220</v>
      </c>
      <c r="K29" s="676"/>
      <c r="L29" s="19" t="s">
        <v>97</v>
      </c>
      <c r="M29" s="667">
        <v>0</v>
      </c>
      <c r="N29" s="113">
        <v>0</v>
      </c>
      <c r="O29" s="676"/>
      <c r="P29" s="19" t="s">
        <v>97</v>
      </c>
      <c r="Q29" s="667">
        <v>111.02405772035861324740404304</v>
      </c>
      <c r="R29" s="113">
        <v>-5.7145131185369497087318742800</v>
      </c>
      <c r="S29" s="667"/>
      <c r="T29" s="9"/>
    </row>
    <row r="30" ht="15" customHeight="1">
      <c r="A30" s="2"/>
      <c r="B30" s="17"/>
      <c r="C30" s="2"/>
      <c r="D30" s="2"/>
      <c r="E30" s="9"/>
      <c r="F30" s="659"/>
      <c r="G30" s="9"/>
      <c r="H30" s="2"/>
      <c r="I30" s="9"/>
      <c r="J30" s="659"/>
      <c r="K30" s="9"/>
      <c r="L30" s="2"/>
      <c r="M30" s="9"/>
      <c r="N30" s="659"/>
      <c r="O30" s="9"/>
      <c r="P30" s="2"/>
      <c r="Q30" s="674"/>
      <c r="R30" s="659"/>
      <c r="S30" s="674"/>
      <c r="T30" s="9"/>
    </row>
    <row r="31" ht="15" customHeight="1">
      <c r="A31" s="2"/>
      <c r="B31" s="173" t="s">
        <v>9</v>
      </c>
      <c r="C31" s="45"/>
      <c r="D31" s="18" t="s">
        <v>19</v>
      </c>
      <c r="E31" s="670">
        <v>274.05340406233680565099084737</v>
      </c>
      <c r="F31" s="113">
        <v>17.492848528244048465463537510</v>
      </c>
      <c r="G31" s="671"/>
      <c r="H31" s="53" t="s">
        <v>19</v>
      </c>
      <c r="I31" s="670">
        <v>287.87870855148342059336823735</v>
      </c>
      <c r="J31" s="113">
        <v>16.476402499019717524184898160</v>
      </c>
      <c r="K31" s="671"/>
      <c r="L31" s="53" t="s">
        <v>19</v>
      </c>
      <c r="M31" s="670">
        <v>0</v>
      </c>
      <c r="N31" s="113">
        <v>0</v>
      </c>
      <c r="O31" s="671"/>
      <c r="P31" s="53" t="s">
        <v>19</v>
      </c>
      <c r="Q31" s="670">
        <v>275.60038567627602704615910367</v>
      </c>
      <c r="R31" s="113">
        <v>17.904096670558583726120748430</v>
      </c>
      <c r="S31" s="675"/>
      <c r="T31" s="9"/>
    </row>
    <row r="32" ht="15" customHeight="1">
      <c r="A32" s="2"/>
      <c r="B32" s="44"/>
      <c r="C32" s="45"/>
      <c r="D32" s="133" t="s">
        <v>16</v>
      </c>
      <c r="E32" s="672">
        <v>285.0048058601026081483181012</v>
      </c>
      <c r="F32" s="92">
        <v>16.298475049262168731076174690</v>
      </c>
      <c r="G32" s="673"/>
      <c r="H32" s="143" t="s">
        <v>16</v>
      </c>
      <c r="I32" s="672">
        <v>311.82551413237367472456075206</v>
      </c>
      <c r="J32" s="92">
        <v>38.631229516836956733138638210</v>
      </c>
      <c r="K32" s="673"/>
      <c r="L32" s="143" t="s">
        <v>16</v>
      </c>
      <c r="M32" s="672">
        <v>0</v>
      </c>
      <c r="N32" s="92">
        <v>-100</v>
      </c>
      <c r="O32" s="673"/>
      <c r="P32" s="143" t="s">
        <v>16</v>
      </c>
      <c r="Q32" s="672">
        <v>288.21114352095239710346464972</v>
      </c>
      <c r="R32" s="92">
        <v>18.053361450747817297656364760</v>
      </c>
      <c r="S32" s="675"/>
      <c r="T32" s="9"/>
    </row>
    <row r="33" ht="15" customHeight="1">
      <c r="A33" s="2"/>
      <c r="B33" s="44"/>
      <c r="C33" s="45"/>
      <c r="D33" s="19" t="s">
        <v>98</v>
      </c>
      <c r="E33" s="667">
        <v>96.15746767332095548099875343</v>
      </c>
      <c r="F33" s="113">
        <v>1.0269898023094236987692608800</v>
      </c>
      <c r="G33" s="676"/>
      <c r="H33" s="19" t="s">
        <v>98</v>
      </c>
      <c r="I33" s="667">
        <v>92.32044701423987671083086568</v>
      </c>
      <c r="J33" s="113">
        <v>-15.981122792478951102149334160</v>
      </c>
      <c r="K33" s="676"/>
      <c r="L33" s="19" t="s">
        <v>98</v>
      </c>
      <c r="M33" s="667">
        <v>0</v>
      </c>
      <c r="N33" s="113">
        <v>0</v>
      </c>
      <c r="O33" s="676"/>
      <c r="P33" s="19" t="s">
        <v>98</v>
      </c>
      <c r="Q33" s="667">
        <v>95.62447249934140309231221971</v>
      </c>
      <c r="R33" s="113">
        <v>-0.1264383990714420922833431300</v>
      </c>
      <c r="S33" s="667"/>
      <c r="T33" s="9"/>
    </row>
    <row r="34" ht="15" customHeight="1">
      <c r="A34" s="2"/>
      <c r="B34" s="17"/>
      <c r="C34" s="2"/>
      <c r="D34" s="2"/>
      <c r="E34" s="9"/>
      <c r="F34" s="113"/>
      <c r="G34" s="9"/>
      <c r="H34" s="2"/>
      <c r="I34" s="9"/>
      <c r="J34" s="113"/>
      <c r="K34" s="9"/>
      <c r="L34" s="2"/>
      <c r="M34" s="9"/>
      <c r="N34" s="113"/>
      <c r="O34" s="9"/>
      <c r="P34" s="2"/>
      <c r="Q34" s="675"/>
      <c r="R34" s="113"/>
      <c r="S34" s="675"/>
      <c r="T34" s="9"/>
    </row>
    <row r="35" ht="15" customHeight="1">
      <c r="A35" s="2"/>
      <c r="B35" s="173" t="s">
        <v>10</v>
      </c>
      <c r="C35" s="45"/>
      <c r="D35" s="18" t="s">
        <v>19</v>
      </c>
      <c r="E35" s="670">
        <v>206.9507056870070568700705687</v>
      </c>
      <c r="F35" s="113">
        <v>10.378597087469243380630391810</v>
      </c>
      <c r="G35" s="671"/>
      <c r="H35" s="53" t="s">
        <v>19</v>
      </c>
      <c r="I35" s="670">
        <v>27.38970527189705271897052719</v>
      </c>
      <c r="J35" s="113">
        <v>270.78321462036673486568389740</v>
      </c>
      <c r="K35" s="671"/>
      <c r="L35" s="53" t="s">
        <v>19</v>
      </c>
      <c r="M35" s="670">
        <v>0</v>
      </c>
      <c r="N35" s="113">
        <v>0</v>
      </c>
      <c r="O35" s="671"/>
      <c r="P35" s="53" t="s">
        <v>19</v>
      </c>
      <c r="Q35" s="670">
        <v>234.34041095890410958904109589</v>
      </c>
      <c r="R35" s="113">
        <v>20.249380808160366492609650750</v>
      </c>
      <c r="S35" s="675"/>
      <c r="T35" s="9"/>
    </row>
    <row r="36" ht="15" customHeight="1">
      <c r="A36" s="2"/>
      <c r="B36" s="44"/>
      <c r="C36" s="45"/>
      <c r="D36" s="133" t="s">
        <v>16</v>
      </c>
      <c r="E36" s="672">
        <v>192.18017571478663592959217439</v>
      </c>
      <c r="F36" s="92">
        <v>16.025544576077280147378005430</v>
      </c>
      <c r="G36" s="673"/>
      <c r="H36" s="143" t="s">
        <v>16</v>
      </c>
      <c r="I36" s="672">
        <v>28.549659381302686661247844147</v>
      </c>
      <c r="J36" s="92">
        <v>296.37455651509818736249394793</v>
      </c>
      <c r="K36" s="673"/>
      <c r="L36" s="143" t="s">
        <v>16</v>
      </c>
      <c r="M36" s="672">
        <v>0</v>
      </c>
      <c r="N36" s="92">
        <v>-100</v>
      </c>
      <c r="O36" s="673"/>
      <c r="P36" s="143" t="s">
        <v>16</v>
      </c>
      <c r="Q36" s="672">
        <v>220.72983509608932259084001853</v>
      </c>
      <c r="R36" s="92">
        <v>27.698990231218930414849968600</v>
      </c>
      <c r="S36" s="675"/>
      <c r="T36" s="9"/>
    </row>
    <row r="37" ht="15" customHeight="1">
      <c r="A37" s="2"/>
      <c r="B37" s="44"/>
      <c r="C37" s="45"/>
      <c r="D37" s="19" t="s">
        <v>99</v>
      </c>
      <c r="E37" s="667">
        <v>107.68577191547939802751445699</v>
      </c>
      <c r="F37" s="113">
        <v>-4.8669864117374799345194021800</v>
      </c>
      <c r="G37" s="676"/>
      <c r="H37" s="19" t="s">
        <v>99</v>
      </c>
      <c r="I37" s="667">
        <v>95.93706497891629442706372269</v>
      </c>
      <c r="J37" s="113">
        <v>-6.4563533336249524921894847800</v>
      </c>
      <c r="K37" s="676"/>
      <c r="L37" s="19" t="s">
        <v>99</v>
      </c>
      <c r="M37" s="667">
        <v>0</v>
      </c>
      <c r="N37" s="113">
        <v>0</v>
      </c>
      <c r="O37" s="676"/>
      <c r="P37" s="19" t="s">
        <v>99</v>
      </c>
      <c r="Q37" s="667">
        <v>106.16616954245375150973271950</v>
      </c>
      <c r="R37" s="113">
        <v>-5.833726178701026370453974200</v>
      </c>
      <c r="S37" s="667"/>
      <c r="T37" s="9"/>
    </row>
    <row r="38" ht="9.95" customHeight="1">
      <c r="A38" s="2"/>
      <c r="B38" s="44"/>
      <c r="C38" s="45"/>
      <c r="D38" s="19"/>
      <c r="E38" s="172"/>
      <c r="F38" s="113"/>
      <c r="G38" s="51"/>
      <c r="H38" s="52"/>
      <c r="I38" s="172"/>
      <c r="J38" s="113"/>
      <c r="K38" s="51"/>
      <c r="L38" s="52"/>
      <c r="M38" s="172"/>
      <c r="N38" s="113"/>
      <c r="O38" s="51"/>
      <c r="P38" s="52"/>
      <c r="Q38" s="172"/>
      <c r="R38" s="113"/>
      <c r="S38" s="172"/>
      <c r="T38" s="2"/>
    </row>
    <row r="39" s="680" customFormat="1" ht="9.75" customHeight="1">
      <c r="A39" s="678"/>
      <c r="B39" s="678"/>
      <c r="C39" s="678"/>
      <c r="D39" s="678"/>
      <c r="E39" s="678"/>
      <c r="F39" s="678"/>
      <c r="G39" s="678"/>
      <c r="H39" s="678"/>
      <c r="I39" s="678"/>
      <c r="J39" s="678"/>
      <c r="K39" s="678"/>
      <c r="L39" s="678"/>
      <c r="M39" s="678"/>
      <c r="N39" s="678"/>
      <c r="O39" s="678"/>
      <c r="P39" s="678"/>
      <c r="Q39" s="678"/>
      <c r="R39" s="678"/>
      <c r="S39" s="678"/>
      <c r="T39" s="678"/>
      <c r="U39" s="679"/>
      <c r="V39" s="679"/>
      <c r="W39" s="679"/>
      <c r="X39" s="679"/>
      <c r="Y39" s="679"/>
      <c r="Z39" s="679"/>
      <c r="AA39" s="679"/>
      <c r="AB39" s="679"/>
      <c r="AC39" s="679"/>
      <c r="AD39" s="679"/>
      <c r="AE39" s="679"/>
      <c r="AF39" s="679"/>
      <c r="AG39" s="679"/>
      <c r="AH39" s="679"/>
      <c r="AI39" s="679"/>
      <c r="AJ39" s="679"/>
      <c r="AK39" s="679"/>
      <c r="AL39" s="679"/>
      <c r="AM39" s="679"/>
      <c r="AN39" s="679"/>
      <c r="AO39" s="679"/>
    </row>
    <row r="40" ht="35.1" customHeight="1">
      <c r="A40" s="2"/>
      <c r="B40" s="1034" t="s">
        <v>126</v>
      </c>
      <c r="C40" s="1034"/>
      <c r="D40" s="1034"/>
      <c r="E40" s="1034"/>
      <c r="F40" s="1034"/>
      <c r="G40" s="1034"/>
      <c r="H40" s="1034"/>
      <c r="I40" s="1034"/>
      <c r="J40" s="1034"/>
      <c r="K40" s="1034"/>
      <c r="L40" s="1034"/>
      <c r="M40" s="1034"/>
      <c r="N40" s="1034"/>
      <c r="O40" s="1034"/>
      <c r="P40" s="1034"/>
      <c r="Q40" s="1034"/>
      <c r="R40" s="1034"/>
      <c r="S40" s="1034"/>
      <c r="T40" s="2"/>
    </row>
    <row r="41" s="683" customFormat="1" ht="15" customHeight="1">
      <c r="A41" s="681"/>
      <c r="B41" s="681"/>
      <c r="C41" s="681"/>
      <c r="D41" s="681"/>
      <c r="E41" s="681"/>
      <c r="F41" s="681"/>
      <c r="G41" s="681"/>
      <c r="H41" s="681"/>
      <c r="I41" s="681"/>
      <c r="J41" s="681"/>
      <c r="K41" s="681"/>
      <c r="L41" s="681"/>
      <c r="M41" s="681"/>
      <c r="N41" s="681"/>
      <c r="O41" s="681"/>
      <c r="P41" s="681"/>
      <c r="Q41" s="681"/>
      <c r="R41" s="681"/>
      <c r="S41" s="681"/>
      <c r="T41" s="681"/>
      <c r="U41" s="682"/>
      <c r="V41" s="682"/>
      <c r="W41" s="682"/>
      <c r="X41" s="682"/>
      <c r="Y41" s="682"/>
      <c r="Z41" s="682"/>
      <c r="AA41" s="682"/>
      <c r="AB41" s="682"/>
      <c r="AC41" s="682"/>
      <c r="AD41" s="682"/>
      <c r="AE41" s="682"/>
      <c r="AF41" s="682"/>
      <c r="AG41" s="682"/>
      <c r="AH41" s="682"/>
      <c r="AI41" s="682"/>
      <c r="AJ41" s="682"/>
      <c r="AK41" s="682"/>
      <c r="AL41" s="682"/>
      <c r="AM41" s="682"/>
      <c r="AN41" s="682"/>
      <c r="AO41" s="682"/>
    </row>
    <row r="42" ht="18" customHeight="1">
      <c r="A42" s="236"/>
      <c r="B42" s="236"/>
      <c r="C42" s="236"/>
      <c r="D42" s="236"/>
      <c r="E42" s="236"/>
      <c r="F42" s="236"/>
      <c r="G42" s="236"/>
      <c r="H42" s="236"/>
      <c r="I42" s="236"/>
      <c r="J42" s="236"/>
      <c r="K42" s="236"/>
      <c r="L42" s="236"/>
      <c r="M42" s="236"/>
      <c r="N42" s="236"/>
      <c r="O42" s="236"/>
      <c r="P42" s="236"/>
      <c r="Q42" s="236"/>
      <c r="R42" s="236"/>
      <c r="S42" s="236"/>
      <c r="T42" s="236"/>
    </row>
    <row r="43">
      <c r="A43" s="236"/>
      <c r="B43" s="236"/>
      <c r="C43" s="236"/>
      <c r="D43" s="236"/>
      <c r="E43" s="236"/>
      <c r="F43" s="236"/>
      <c r="G43" s="236"/>
      <c r="H43" s="236"/>
      <c r="I43" s="236"/>
      <c r="J43" s="236"/>
      <c r="K43" s="236"/>
      <c r="L43" s="236"/>
      <c r="M43" s="236"/>
      <c r="N43" s="236"/>
      <c r="O43" s="236"/>
      <c r="P43" s="236"/>
      <c r="Q43" s="236"/>
      <c r="R43" s="236"/>
      <c r="S43" s="236"/>
      <c r="T43" s="236"/>
    </row>
    <row r="44">
      <c r="A44" s="236"/>
      <c r="B44" s="236"/>
      <c r="C44" s="236"/>
      <c r="D44" s="236"/>
      <c r="E44" s="236"/>
      <c r="F44" s="236"/>
      <c r="G44" s="236"/>
      <c r="H44" s="236"/>
      <c r="I44" s="236"/>
      <c r="J44" s="236"/>
      <c r="K44" s="236"/>
      <c r="L44" s="236"/>
      <c r="M44" s="236"/>
      <c r="N44" s="236"/>
      <c r="O44" s="236"/>
      <c r="P44" s="236"/>
      <c r="Q44" s="236"/>
      <c r="R44" s="236"/>
      <c r="S44" s="236"/>
      <c r="T44" s="236"/>
    </row>
    <row r="45">
      <c r="A45" s="236"/>
      <c r="B45" s="236"/>
      <c r="C45" s="236"/>
      <c r="D45" s="236"/>
      <c r="E45" s="236"/>
      <c r="F45" s="236"/>
      <c r="G45" s="236"/>
      <c r="H45" s="236"/>
      <c r="I45" s="236"/>
      <c r="J45" s="236"/>
      <c r="K45" s="236"/>
      <c r="L45" s="236"/>
      <c r="M45" s="236"/>
      <c r="N45" s="236"/>
      <c r="O45" s="236"/>
      <c r="P45" s="236"/>
      <c r="Q45" s="236"/>
      <c r="R45" s="236"/>
      <c r="S45" s="236"/>
      <c r="T45" s="236"/>
    </row>
    <row r="46">
      <c r="A46" s="236"/>
      <c r="B46" s="236"/>
      <c r="C46" s="236"/>
      <c r="D46" s="236"/>
      <c r="E46" s="236"/>
      <c r="F46" s="236"/>
      <c r="G46" s="236"/>
      <c r="H46" s="236"/>
      <c r="I46" s="236"/>
      <c r="J46" s="236"/>
      <c r="K46" s="236"/>
      <c r="L46" s="236"/>
      <c r="M46" s="236"/>
      <c r="N46" s="236"/>
      <c r="O46" s="236"/>
      <c r="P46" s="236"/>
      <c r="Q46" s="236"/>
      <c r="R46" s="236"/>
      <c r="S46" s="236"/>
      <c r="T46" s="236"/>
    </row>
    <row r="47">
      <c r="A47" s="236"/>
      <c r="B47" s="236"/>
      <c r="C47" s="236"/>
      <c r="D47" s="236"/>
      <c r="E47" s="236"/>
      <c r="F47" s="236"/>
      <c r="G47" s="236"/>
      <c r="H47" s="236"/>
      <c r="I47" s="236"/>
      <c r="J47" s="236"/>
      <c r="K47" s="236"/>
      <c r="L47" s="236"/>
      <c r="M47" s="236"/>
      <c r="N47" s="236"/>
      <c r="O47" s="236"/>
      <c r="P47" s="236"/>
      <c r="Q47" s="236"/>
      <c r="R47" s="236"/>
      <c r="S47" s="236"/>
      <c r="T47" s="236"/>
    </row>
    <row r="48">
      <c r="A48" s="236"/>
      <c r="B48" s="236"/>
      <c r="C48" s="236"/>
      <c r="D48" s="236"/>
      <c r="E48" s="236"/>
      <c r="F48" s="236"/>
      <c r="G48" s="236"/>
      <c r="H48" s="236"/>
      <c r="I48" s="236"/>
      <c r="J48" s="236"/>
      <c r="K48" s="236"/>
      <c r="L48" s="236"/>
      <c r="M48" s="236"/>
      <c r="N48" s="236"/>
      <c r="O48" s="236"/>
      <c r="P48" s="236"/>
      <c r="Q48" s="236"/>
      <c r="R48" s="236"/>
      <c r="S48" s="236"/>
      <c r="T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sheetData>
  <mergeCells count="14">
    <mergeCell ref="B40:S40"/>
    <mergeCell ref="D25:F25"/>
    <mergeCell ref="H25:J25"/>
    <mergeCell ref="L25:N25"/>
    <mergeCell ref="P25:R25"/>
    <mergeCell ref="B2:S2"/>
    <mergeCell ref="B6:S6"/>
    <mergeCell ref="B23:S23"/>
    <mergeCell ref="D8:F8"/>
    <mergeCell ref="H8:J8"/>
    <mergeCell ref="L8:N8"/>
    <mergeCell ref="P8:R8"/>
    <mergeCell ref="B4:S4"/>
    <mergeCell ref="B3:S3"/>
  </mergeCells>
  <phoneticPr fontId="0" type="noConversion"/>
  <printOptions horizontalCentered="1" verticalCentered="1"/>
  <pageMargins left="0.25" right="0.25" top="0.25" bottom="0.25" header="0" footer="0"/>
  <pageSetup scale="88" fitToWidth="1" fitToHeight="1" orientation="landscape" r:id="rId1"/>
  <headerFooter alignWithMargins="0">
    <oddHeader/>
    <oddFooter/>
  </headerFooter>
  <rowBreaks count="1" manualBreakCount="1">
    <brk id="42" max="16383" man="1"/>
  </rowBreaks>
  <colBreaks count="1" manualBreakCount="1">
    <brk id="21" max="1048575" man="1"/>
  </colBreaks>
  <drawing r:id="rId35"/>
</worksheet>
</file>

<file path=xl/worksheets/sheet9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6">
    <pageSetUpPr fitToPage="1"/>
  </sheetPr>
  <dimension ref="A1:AD86"/>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89"/>
      <c r="B1" s="656" t="s">
        <v>179</v>
      </c>
      <c r="Z1" s="5"/>
      <c r="AB1" s="685"/>
      <c r="AD1" s="236"/>
    </row>
    <row r="2" ht="15" customHeight="1">
      <c r="A2" s="11"/>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209</v>
      </c>
      <c r="C3" s="999"/>
      <c r="D3" s="999"/>
      <c r="E3" s="999"/>
      <c r="F3" s="999"/>
      <c r="G3" s="999"/>
      <c r="H3" s="999"/>
      <c r="I3" s="999"/>
      <c r="J3" s="999"/>
      <c r="K3" s="999"/>
      <c r="L3" s="999"/>
      <c r="M3" s="999"/>
      <c r="N3" s="999"/>
      <c r="O3" s="999"/>
      <c r="P3" s="999"/>
      <c r="Q3" s="999"/>
      <c r="R3" s="1035" t="s">
        <v>301</v>
      </c>
      <c r="S3" s="1035"/>
      <c r="T3" s="1035"/>
      <c r="U3" s="1035"/>
      <c r="V3" s="1035"/>
      <c r="W3" s="1035"/>
      <c r="X3" s="1035"/>
      <c r="Y3" s="1035"/>
      <c r="Z3" s="1035"/>
      <c r="AA3" s="1035"/>
      <c r="AB3" s="1035"/>
    </row>
    <row r="4" ht="19.5" customHeight="1">
      <c r="A4" s="4"/>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2.75" customHeight="1"/>
    <row r="6" ht="15.75">
      <c r="D6" s="960" t="s">
        <v>22</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18" customHeight="1">
      <c r="A9" s="57"/>
      <c r="B9" s="284">
        <v>2021</v>
      </c>
      <c r="C9" s="285" t="s">
        <v>218</v>
      </c>
      <c r="D9" s="415">
        <v>85.55718475073313782991202346</v>
      </c>
      <c r="E9" s="416">
        <v>74.372759856630824372759856630</v>
      </c>
      <c r="F9" s="417">
        <v>61.577256725005504984429129550</v>
      </c>
      <c r="G9" s="415">
        <v>1.3929618768328445747800586500</v>
      </c>
      <c r="H9" s="416">
        <v>5.3821251011677650595444560100</v>
      </c>
      <c r="I9" s="417">
        <v>7.2984859389432175353324494800</v>
      </c>
      <c r="J9" s="415">
        <v>0</v>
      </c>
      <c r="K9" s="416">
        <v>0</v>
      </c>
      <c r="L9" s="417">
        <v>4.3848801840709747122387287400</v>
      </c>
      <c r="M9" s="415">
        <v>86.95014662756598240469208211</v>
      </c>
      <c r="N9" s="416">
        <v>79.75488495779858943230431264</v>
      </c>
      <c r="O9" s="417">
        <v>73.260622848019697232000307770</v>
      </c>
      <c r="P9" s="5"/>
      <c r="Q9" s="415">
        <v>553.17164178912425651593347047</v>
      </c>
      <c r="R9" s="416">
        <v>291.93421117503284587250434613</v>
      </c>
      <c r="S9" s="417">
        <v>250.70944357497715285826884365</v>
      </c>
      <c r="T9" s="415">
        <v>0</v>
      </c>
      <c r="U9" s="416">
        <v>0</v>
      </c>
      <c r="V9" s="417">
        <v>107.08353465217198192218374582</v>
      </c>
      <c r="W9" s="415">
        <v>0</v>
      </c>
      <c r="X9" s="416">
        <v>0</v>
      </c>
      <c r="Y9" s="417">
        <v>45.200543432030777254324168120</v>
      </c>
      <c r="Z9" s="415">
        <v>563.80597014730194364001464950</v>
      </c>
      <c r="AA9" s="416">
        <v>320.29726990833681629670190124</v>
      </c>
      <c r="AB9" s="417">
        <v>203.95814725580031441875538696</v>
      </c>
    </row>
    <row r="10" ht="18" customHeight="1">
      <c r="A10" s="58"/>
      <c r="B10" s="286"/>
      <c r="C10" s="287" t="s">
        <v>221</v>
      </c>
      <c r="D10" s="271">
        <v>62.805474095796676441837732160</v>
      </c>
      <c r="E10" s="92">
        <v>57.041276448144294138050641690</v>
      </c>
      <c r="F10" s="272">
        <v>48.338635130936979073656237930</v>
      </c>
      <c r="G10" s="271">
        <v>0.6842619745845552297165200400</v>
      </c>
      <c r="H10" s="92">
        <v>0.8555902416464331136547577800</v>
      </c>
      <c r="I10" s="272">
        <v>5.5038582070776726928221382300</v>
      </c>
      <c r="J10" s="271">
        <v>0</v>
      </c>
      <c r="K10" s="92">
        <v>0</v>
      </c>
      <c r="L10" s="272">
        <v>4.5124800207096446922516909700</v>
      </c>
      <c r="M10" s="271">
        <v>63.489736070381231671554252200</v>
      </c>
      <c r="N10" s="92">
        <v>57.896866689790727251705399470</v>
      </c>
      <c r="O10" s="272">
        <v>58.354973358724296458730067130</v>
      </c>
      <c r="P10" s="5"/>
      <c r="Q10" s="271">
        <v>145.93301435408769579451020069</v>
      </c>
      <c r="R10" s="92">
        <v>76.275657279566495082308445120</v>
      </c>
      <c r="S10" s="272">
        <v>151.41182054789262361208200645</v>
      </c>
      <c r="T10" s="271">
        <v>0</v>
      </c>
      <c r="U10" s="92">
        <v>0</v>
      </c>
      <c r="V10" s="272">
        <v>-23.715483367196738047218772880</v>
      </c>
      <c r="W10" s="271">
        <v>0</v>
      </c>
      <c r="X10" s="92">
        <v>0</v>
      </c>
      <c r="Y10" s="272">
        <v>37.848223577543730346268862840</v>
      </c>
      <c r="Z10" s="271">
        <v>148.61244019140849559304961144</v>
      </c>
      <c r="AA10" s="92">
        <v>78.919702812897379978647925210</v>
      </c>
      <c r="AB10" s="272">
        <v>96.38024931258116922008245549</v>
      </c>
    </row>
    <row r="11" ht="18" customHeight="1">
      <c r="A11" s="58"/>
      <c r="B11" s="288"/>
      <c r="C11" s="289" t="s">
        <v>222</v>
      </c>
      <c r="D11" s="420">
        <v>57.449494949494949494949494950</v>
      </c>
      <c r="E11" s="91">
        <v>47.305854241338112305854241340</v>
      </c>
      <c r="F11" s="421">
        <v>42.572632796619462127600989400</v>
      </c>
      <c r="G11" s="420">
        <v>1.6919191919191919191919191900</v>
      </c>
      <c r="H11" s="91">
        <v>4.755077658303464755077658300</v>
      </c>
      <c r="I11" s="421">
        <v>6.4555524058099538837586318500</v>
      </c>
      <c r="J11" s="420">
        <v>0</v>
      </c>
      <c r="K11" s="91">
        <v>0</v>
      </c>
      <c r="L11" s="421">
        <v>5.2218644894807410150764749600</v>
      </c>
      <c r="M11" s="420">
        <v>59.141414141414141414141414140</v>
      </c>
      <c r="N11" s="91">
        <v>52.060931899641577060931899640</v>
      </c>
      <c r="O11" s="421">
        <v>54.250049691910157026436096200</v>
      </c>
      <c r="P11" s="5"/>
      <c r="Q11" s="420">
        <v>21.139510117254267506388172080</v>
      </c>
      <c r="R11" s="91">
        <v>11.966976144608591552914291470</v>
      </c>
      <c r="S11" s="421">
        <v>56.258144693739888043443021630</v>
      </c>
      <c r="T11" s="420">
        <v>0</v>
      </c>
      <c r="U11" s="91">
        <v>4206.3172037627856183468560956</v>
      </c>
      <c r="V11" s="421">
        <v>479.28851495061960525072943114</v>
      </c>
      <c r="W11" s="420">
        <v>0</v>
      </c>
      <c r="X11" s="91">
        <v>0</v>
      </c>
      <c r="Y11" s="421">
        <v>96.24060551087548759627608936</v>
      </c>
      <c r="Z11" s="420">
        <v>24.707135250377799780202680880</v>
      </c>
      <c r="AA11" s="91">
        <v>22.900440408259195166177447440</v>
      </c>
      <c r="AB11" s="421">
        <v>74.885028611883200579537282850</v>
      </c>
    </row>
    <row r="12" ht="18" customHeight="1">
      <c r="A12" s="58"/>
      <c r="B12" s="286"/>
      <c r="C12" s="287" t="s">
        <v>224</v>
      </c>
      <c r="D12" s="271">
        <v>71.114369501466275659824046920</v>
      </c>
      <c r="E12" s="92">
        <v>54.015643372015745616277286430</v>
      </c>
      <c r="F12" s="272">
        <v>48.726309558334623705304861250</v>
      </c>
      <c r="G12" s="271">
        <v>2.248289345063538611925708700</v>
      </c>
      <c r="H12" s="92">
        <v>6.022187004754358161648177500</v>
      </c>
      <c r="I12" s="272">
        <v>7.6424948413076466600661635900</v>
      </c>
      <c r="J12" s="271">
        <v>0</v>
      </c>
      <c r="K12" s="92">
        <v>0</v>
      </c>
      <c r="L12" s="272">
        <v>5.9464133621775435173000656100</v>
      </c>
      <c r="M12" s="271">
        <v>73.362658846529814271749755620</v>
      </c>
      <c r="N12" s="92">
        <v>60.037830376770103777925463930</v>
      </c>
      <c r="O12" s="272">
        <v>62.315217761819813882671090460</v>
      </c>
      <c r="P12" s="5"/>
      <c r="Q12" s="271">
        <v>38.373751783255337290725960610</v>
      </c>
      <c r="R12" s="92">
        <v>16.203481064520964187144674360</v>
      </c>
      <c r="S12" s="272">
        <v>54.995468539760782597509842920</v>
      </c>
      <c r="T12" s="271">
        <v>48.387096769445161290474529040</v>
      </c>
      <c r="U12" s="92">
        <v>90070.20609802014808279310625</v>
      </c>
      <c r="V12" s="272">
        <v>173.07721960829432442923673085</v>
      </c>
      <c r="W12" s="271">
        <v>0</v>
      </c>
      <c r="X12" s="92">
        <v>0</v>
      </c>
      <c r="Y12" s="272">
        <v>68.361200757633291075973009290</v>
      </c>
      <c r="Z12" s="271">
        <v>38.660508083099887886756035140</v>
      </c>
      <c r="AA12" s="92">
        <v>29.140415778099053567915482180</v>
      </c>
      <c r="AB12" s="272">
        <v>64.995437653382463560947095830</v>
      </c>
    </row>
    <row r="13" ht="18" customHeight="1">
      <c r="A13" s="58"/>
      <c r="B13" s="288"/>
      <c r="C13" s="289" t="s">
        <v>227</v>
      </c>
      <c r="D13" s="420">
        <v>76.287878787878787878787878790</v>
      </c>
      <c r="E13" s="91">
        <v>61.516381686187466441405633370</v>
      </c>
      <c r="F13" s="421">
        <v>55.067165497574662071452144320</v>
      </c>
      <c r="G13" s="420">
        <v>8.080808080808080808080808080</v>
      </c>
      <c r="H13" s="91">
        <v>7.5167488858122325567447894700</v>
      </c>
      <c r="I13" s="421">
        <v>10.012547031739938965484611830</v>
      </c>
      <c r="J13" s="420">
        <v>0</v>
      </c>
      <c r="K13" s="91">
        <v>0.1110849589036290525627308800</v>
      </c>
      <c r="L13" s="421">
        <v>7.0016150116818374586211476600</v>
      </c>
      <c r="M13" s="420">
        <v>84.36868686868686868686868687</v>
      </c>
      <c r="N13" s="91">
        <v>69.144215530903328050713153720</v>
      </c>
      <c r="O13" s="421">
        <v>72.081327540996438495557903800</v>
      </c>
      <c r="P13" s="5"/>
      <c r="Q13" s="420">
        <v>50.149105367736524194791511060</v>
      </c>
      <c r="R13" s="91">
        <v>4.1931467717594513870301293200</v>
      </c>
      <c r="S13" s="421">
        <v>62.099669320312603359999706970</v>
      </c>
      <c r="T13" s="420">
        <v>680.48780484302201070948389017</v>
      </c>
      <c r="U13" s="91">
        <v>1525.6371843818250705803065237</v>
      </c>
      <c r="V13" s="421">
        <v>324.94601493634825571798785483</v>
      </c>
      <c r="W13" s="420">
        <v>0</v>
      </c>
      <c r="X13" s="91">
        <v>0</v>
      </c>
      <c r="Y13" s="421">
        <v>90.14277361182999649228036811</v>
      </c>
      <c r="Z13" s="420">
        <v>62.737457379552519698994735230</v>
      </c>
      <c r="AA13" s="91">
        <v>16.202700422425338741534966630</v>
      </c>
      <c r="AB13" s="421">
        <v>80.15979598634855859370046927</v>
      </c>
    </row>
    <row r="14" ht="18" customHeight="1">
      <c r="A14" s="58"/>
      <c r="B14" s="286"/>
      <c r="C14" s="287" t="s">
        <v>229</v>
      </c>
      <c r="D14" s="271">
        <v>87.75659824046920821114369501</v>
      </c>
      <c r="E14" s="92">
        <v>69.132457440826133633249833850</v>
      </c>
      <c r="F14" s="272">
        <v>62.059288446800506836269542530</v>
      </c>
      <c r="G14" s="271">
        <v>5.8651026392961876832844574800</v>
      </c>
      <c r="H14" s="92">
        <v>4.1817902970195797760850672300</v>
      </c>
      <c r="I14" s="272">
        <v>8.592890961220842730685423690</v>
      </c>
      <c r="J14" s="271">
        <v>0</v>
      </c>
      <c r="K14" s="92">
        <v>0</v>
      </c>
      <c r="L14" s="272">
        <v>7.3666244412731245128850789600</v>
      </c>
      <c r="M14" s="271">
        <v>93.62170087976539589442815249</v>
      </c>
      <c r="N14" s="92">
        <v>73.314247737845713409334901080</v>
      </c>
      <c r="O14" s="272">
        <v>78.018803849294474079840045180</v>
      </c>
      <c r="P14" s="5"/>
      <c r="Q14" s="271">
        <v>27.115044247877603571148939890</v>
      </c>
      <c r="R14" s="92">
        <v>6.3188460621661821993405482200</v>
      </c>
      <c r="S14" s="272">
        <v>47.704437633220531766868704950</v>
      </c>
      <c r="T14" s="271">
        <v>122.22222222081481481482372847</v>
      </c>
      <c r="U14" s="92">
        <v>164.19386547893428249526319353</v>
      </c>
      <c r="V14" s="272">
        <v>725.88691880563638106647166427</v>
      </c>
      <c r="W14" s="271">
        <v>0</v>
      </c>
      <c r="X14" s="92">
        <v>0</v>
      </c>
      <c r="Y14" s="272">
        <v>79.98812276751420760429073476</v>
      </c>
      <c r="Z14" s="271">
        <v>30.617115581374664890591574850</v>
      </c>
      <c r="AA14" s="92">
        <v>10.070613795149851325484725810</v>
      </c>
      <c r="AB14" s="272">
        <v>65.472371246963219956588736500</v>
      </c>
    </row>
    <row r="15" ht="18" customHeight="1">
      <c r="A15" s="58"/>
      <c r="B15" s="288">
        <v>2022</v>
      </c>
      <c r="C15" s="289" t="s">
        <v>230</v>
      </c>
      <c r="D15" s="420">
        <v>81.20723362658846529814271750</v>
      </c>
      <c r="E15" s="91">
        <v>58.269004652113900107356474610</v>
      </c>
      <c r="F15" s="421">
        <v>50.838014659075578398177236970</v>
      </c>
      <c r="G15" s="420">
        <v>10.679374389051808406647116320</v>
      </c>
      <c r="H15" s="91">
        <v>3.3331629262307652982976330400</v>
      </c>
      <c r="I15" s="421">
        <v>9.521862463351768339668802330</v>
      </c>
      <c r="J15" s="420">
        <v>0</v>
      </c>
      <c r="K15" s="91">
        <v>0</v>
      </c>
      <c r="L15" s="421">
        <v>7.8075107145957841335872200</v>
      </c>
      <c r="M15" s="420">
        <v>91.88660801564027370478983382</v>
      </c>
      <c r="N15" s="91">
        <v>61.602167578344665405654107660</v>
      </c>
      <c r="O15" s="421">
        <v>68.167387837023130871433259310</v>
      </c>
      <c r="P15" s="5"/>
      <c r="Q15" s="420">
        <v>-3.2605531295180088861768365800</v>
      </c>
      <c r="R15" s="91">
        <v>2.8612350721749126243060786300</v>
      </c>
      <c r="S15" s="421">
        <v>18.714239501938287363353238570</v>
      </c>
      <c r="T15" s="420">
        <v>653.44827586025029726516491276</v>
      </c>
      <c r="U15" s="91">
        <v>129.70937170670930699136745867</v>
      </c>
      <c r="V15" s="421">
        <v>288.26852640325783495025754003</v>
      </c>
      <c r="W15" s="420">
        <v>0</v>
      </c>
      <c r="X15" s="91">
        <v>0</v>
      </c>
      <c r="Y15" s="421">
        <v>92.82872558076611525734420227</v>
      </c>
      <c r="Z15" s="420">
        <v>7.643859146894496694505537800</v>
      </c>
      <c r="AA15" s="91">
        <v>6.0292830617299562099147832600</v>
      </c>
      <c r="AB15" s="421">
        <v>38.199971564538374324062636950</v>
      </c>
    </row>
    <row r="16" ht="18" customHeight="1">
      <c r="A16" s="58"/>
      <c r="B16" s="286"/>
      <c r="C16" s="287" t="s">
        <v>231</v>
      </c>
      <c r="D16" s="271">
        <v>88.98809523809523809523809524</v>
      </c>
      <c r="E16" s="92">
        <v>69.228165199729180771834800270</v>
      </c>
      <c r="F16" s="272">
        <v>59.415357239038131718861343070</v>
      </c>
      <c r="G16" s="271">
        <v>7.5216450216450216450216450200</v>
      </c>
      <c r="H16" s="92">
        <v>9.032949672760099300383660570</v>
      </c>
      <c r="I16" s="272">
        <v>14.455495429340468424347465300</v>
      </c>
      <c r="J16" s="271">
        <v>0</v>
      </c>
      <c r="K16" s="92">
        <v>0</v>
      </c>
      <c r="L16" s="272">
        <v>7.851761874127143876253281100</v>
      </c>
      <c r="M16" s="271">
        <v>96.50974025974025974025974026</v>
      </c>
      <c r="N16" s="92">
        <v>78.261114872489280072218460840</v>
      </c>
      <c r="O16" s="272">
        <v>81.72261454250574401946208947</v>
      </c>
      <c r="P16" s="5"/>
      <c r="Q16" s="271">
        <v>-0.0607718018751800371555575900</v>
      </c>
      <c r="R16" s="92">
        <v>-5.0043164341723833743242160500</v>
      </c>
      <c r="S16" s="272">
        <v>7.3717825352152646163315253800</v>
      </c>
      <c r="T16" s="271">
        <v>239.02439024615157644260861526</v>
      </c>
      <c r="U16" s="92">
        <v>466.79038429584710401034326332</v>
      </c>
      <c r="V16" s="272">
        <v>151.73819785966160371385142728</v>
      </c>
      <c r="W16" s="271">
        <v>0</v>
      </c>
      <c r="X16" s="92">
        <v>0</v>
      </c>
      <c r="Y16" s="272">
        <v>63.414941367145783868739203290</v>
      </c>
      <c r="Z16" s="271">
        <v>5.7515564779389224117965150300</v>
      </c>
      <c r="AA16" s="92">
        <v>5.0925362069761632818632971700</v>
      </c>
      <c r="AB16" s="272">
        <v>24.041708197963923613134597520</v>
      </c>
    </row>
    <row r="17" ht="18" customHeight="1">
      <c r="A17" s="58"/>
      <c r="B17" s="288"/>
      <c r="C17" s="289" t="s">
        <v>232</v>
      </c>
      <c r="D17" s="420">
        <v>75.733137829912023460410557180</v>
      </c>
      <c r="E17" s="91">
        <v>69.790551903378688273964225660</v>
      </c>
      <c r="F17" s="421">
        <v>60.275561126452991482019891390</v>
      </c>
      <c r="G17" s="420">
        <v>18.475073313782991202346041060</v>
      </c>
      <c r="H17" s="91">
        <v>11.537481526779799215206645260</v>
      </c>
      <c r="I17" s="421">
        <v>15.968439147860343771802261160</v>
      </c>
      <c r="J17" s="420">
        <v>0</v>
      </c>
      <c r="K17" s="91">
        <v>0</v>
      </c>
      <c r="L17" s="421">
        <v>7.66092734155088630192164500</v>
      </c>
      <c r="M17" s="420">
        <v>94.20821114369501466275659824</v>
      </c>
      <c r="N17" s="91">
        <v>81.32803343015848748917087092</v>
      </c>
      <c r="O17" s="421">
        <v>83.90492761586422155574379755</v>
      </c>
      <c r="P17" s="5"/>
      <c r="Q17" s="420">
        <v>-14.792411328016659801059422790</v>
      </c>
      <c r="R17" s="91">
        <v>-12.053837923454065736572484190</v>
      </c>
      <c r="S17" s="421">
        <v>-0.0130939396201677820922014900</v>
      </c>
      <c r="T17" s="420">
        <v>2599.9999999390571428585184251</v>
      </c>
      <c r="U17" s="91">
        <v>984.6486709372145696522532228</v>
      </c>
      <c r="V17" s="421">
        <v>273.96975974273638353264828808</v>
      </c>
      <c r="W17" s="420">
        <v>0</v>
      </c>
      <c r="X17" s="91">
        <v>0</v>
      </c>
      <c r="Y17" s="421">
        <v>61.652830111718184928656068590</v>
      </c>
      <c r="Z17" s="420">
        <v>5.1841746248124777540578747600</v>
      </c>
      <c r="AA17" s="91">
        <v>1.1294890572355921153582360100</v>
      </c>
      <c r="AB17" s="421">
        <v>21.087932333569426051629705550</v>
      </c>
    </row>
    <row r="18" ht="18" customHeight="1">
      <c r="A18" s="58"/>
      <c r="B18" s="286"/>
      <c r="C18" s="287" t="s">
        <v>233</v>
      </c>
      <c r="D18" s="271">
        <v>77.500</v>
      </c>
      <c r="E18" s="92">
        <v>71.843075302790942601369141650</v>
      </c>
      <c r="F18" s="272">
        <v>59.154034209657604400499972770</v>
      </c>
      <c r="G18" s="271">
        <v>13.308080808080808080808080810</v>
      </c>
      <c r="H18" s="92">
        <v>11.985255397577672459189046870</v>
      </c>
      <c r="I18" s="272">
        <v>16.621747767970355955139115320</v>
      </c>
      <c r="J18" s="271">
        <v>0</v>
      </c>
      <c r="K18" s="92">
        <v>0</v>
      </c>
      <c r="L18" s="272">
        <v>7.2452731442078570089220663900</v>
      </c>
      <c r="M18" s="271">
        <v>90.80808080808080808080808081</v>
      </c>
      <c r="N18" s="92">
        <v>83.82833070036861506055818852</v>
      </c>
      <c r="O18" s="272">
        <v>83.02105512183581736456115448</v>
      </c>
      <c r="P18" s="5"/>
      <c r="Q18" s="271">
        <v>-5.5401662050384819023794800700</v>
      </c>
      <c r="R18" s="92">
        <v>-7.4241335872033897389112134400</v>
      </c>
      <c r="S18" s="272">
        <v>-4.4680246642554448518447127200</v>
      </c>
      <c r="T18" s="271">
        <v>62.654320988015775034294356070</v>
      </c>
      <c r="U18" s="92">
        <v>776.12740330526029893585754017</v>
      </c>
      <c r="V18" s="272">
        <v>340.26145258134245037943666450</v>
      </c>
      <c r="W18" s="271">
        <v>0</v>
      </c>
      <c r="X18" s="92">
        <v>0</v>
      </c>
      <c r="Y18" s="272">
        <v>42.251942373084413694486349460</v>
      </c>
      <c r="Z18" s="271">
        <v>0.6437167645931443565335122900</v>
      </c>
      <c r="AA18" s="92">
        <v>6.1487334284610843495073256200</v>
      </c>
      <c r="AB18" s="272">
        <v>17.279002810494131492573226940</v>
      </c>
    </row>
    <row r="19" ht="18" customHeight="1">
      <c r="A19" s="58"/>
      <c r="B19" s="288"/>
      <c r="C19" s="289" t="s">
        <v>234</v>
      </c>
      <c r="D19" s="420">
        <v>70.014662756598240469208211140</v>
      </c>
      <c r="E19" s="91">
        <v>65.188809050603883198287723590</v>
      </c>
      <c r="F19" s="421">
        <v>52.085901387540918886019312070</v>
      </c>
      <c r="G19" s="420">
        <v>17.302052785923753665689149560</v>
      </c>
      <c r="H19" s="91">
        <v>11.924782143403149365540437240</v>
      </c>
      <c r="I19" s="421">
        <v>16.199159106611175996446842460</v>
      </c>
      <c r="J19" s="420">
        <v>0</v>
      </c>
      <c r="K19" s="91">
        <v>0</v>
      </c>
      <c r="L19" s="421">
        <v>6.9416589215508874668947706100</v>
      </c>
      <c r="M19" s="420">
        <v>87.31671554252199413489736070</v>
      </c>
      <c r="N19" s="91">
        <v>77.113591194007032563828160830</v>
      </c>
      <c r="O19" s="421">
        <v>75.226719415702982349360925140</v>
      </c>
      <c r="P19" s="5"/>
      <c r="Q19" s="420">
        <v>-22.672064777298131095412140820</v>
      </c>
      <c r="R19" s="91">
        <v>-21.670184846017775355512195690</v>
      </c>
      <c r="S19" s="421">
        <v>-18.588235169958395875284816610</v>
      </c>
      <c r="T19" s="420">
        <v>1041.9354838344258064527822452</v>
      </c>
      <c r="U19" s="91">
        <v>556.92637426589165110390188755</v>
      </c>
      <c r="V19" s="421">
        <v>177.67808793033391280665668176</v>
      </c>
      <c r="W19" s="420">
        <v>0</v>
      </c>
      <c r="X19" s="91">
        <v>0</v>
      </c>
      <c r="Y19" s="421">
        <v>32.410517935447008528641106390</v>
      </c>
      <c r="Z19" s="420">
        <v>-5.149986726852332521205168600</v>
      </c>
      <c r="AA19" s="91">
        <v>-9.319449321983753380132779760</v>
      </c>
      <c r="AB19" s="421">
        <v>0.2292371376838015402590047300</v>
      </c>
    </row>
    <row r="20" ht="18" customHeight="1">
      <c r="A20" s="58"/>
      <c r="B20" s="286"/>
      <c r="C20" s="287" t="s">
        <v>235</v>
      </c>
      <c r="D20" s="271">
        <v>69.595959595959595959595959600</v>
      </c>
      <c r="E20" s="92">
        <v>61.906266456029489204844655090</v>
      </c>
      <c r="F20" s="272">
        <v>50.726164494753540082915612890</v>
      </c>
      <c r="G20" s="271">
        <v>11.439393939393939393939393940</v>
      </c>
      <c r="H20" s="92">
        <v>12.101105845181674565560821490</v>
      </c>
      <c r="I20" s="272">
        <v>12.896093970327285028928401210</v>
      </c>
      <c r="J20" s="271">
        <v>0</v>
      </c>
      <c r="K20" s="92">
        <v>0</v>
      </c>
      <c r="L20" s="272">
        <v>7.974046566365715768659130550</v>
      </c>
      <c r="M20" s="271">
        <v>81.03535353535353535353535354</v>
      </c>
      <c r="N20" s="92">
        <v>74.007372301211163770405476570</v>
      </c>
      <c r="O20" s="272">
        <v>71.596305031446540880503144650</v>
      </c>
      <c r="P20" s="5"/>
      <c r="Q20" s="271">
        <v>-22.212813999438141253830106520</v>
      </c>
      <c r="R20" s="92">
        <v>-23.315753997748446364262688600</v>
      </c>
      <c r="S20" s="272">
        <v>-13.142501086855128726721177920</v>
      </c>
      <c r="T20" s="271">
        <v>452.43902439213027959548532294</v>
      </c>
      <c r="U20" s="92">
        <v>837.8357030344040284371678065</v>
      </c>
      <c r="V20" s="272">
        <v>73.912788937251256932757414780</v>
      </c>
      <c r="W20" s="271">
        <v>0</v>
      </c>
      <c r="X20" s="92">
        <v>0</v>
      </c>
      <c r="Y20" s="272">
        <v>45.486850512775621378381562130</v>
      </c>
      <c r="Z20" s="271">
        <v>-11.475862068961609969084423130</v>
      </c>
      <c r="AA20" s="92">
        <v>-9.768141855642560362325408710</v>
      </c>
      <c r="AB20" s="272">
        <v>0.4186745184574298922454842400</v>
      </c>
    </row>
    <row r="21" ht="18" customHeight="1">
      <c r="A21" s="58"/>
      <c r="B21" s="288"/>
      <c r="C21" s="289" t="s">
        <v>218</v>
      </c>
      <c r="D21" s="420">
        <v>79.86314760508308895405669599</v>
      </c>
      <c r="E21" s="91">
        <v>74.672578097130917800540182440</v>
      </c>
      <c r="F21" s="421">
        <v>56.615549916828479828321680630</v>
      </c>
      <c r="G21" s="420">
        <v>5.3274682306940371456500488800</v>
      </c>
      <c r="H21" s="91">
        <v>4.6577995209702899658563930100</v>
      </c>
      <c r="I21" s="421">
        <v>8.676093442627157532073483460</v>
      </c>
      <c r="J21" s="420">
        <v>0</v>
      </c>
      <c r="K21" s="91">
        <v>0</v>
      </c>
      <c r="L21" s="421">
        <v>8.222887985644788689513539510</v>
      </c>
      <c r="M21" s="420">
        <v>85.19061583577712609970674487</v>
      </c>
      <c r="N21" s="91">
        <v>79.33037761810120776639657545</v>
      </c>
      <c r="O21" s="421">
        <v>73.514531345100426049908703590</v>
      </c>
      <c r="P21" s="5"/>
      <c r="Q21" s="420">
        <v>-6.6552413595753854633772020100</v>
      </c>
      <c r="R21" s="91">
        <v>0.403129104135714387728513600</v>
      </c>
      <c r="S21" s="421">
        <v>-8.057693817589468413718651850</v>
      </c>
      <c r="T21" s="420">
        <v>282.45614035989510618673156210</v>
      </c>
      <c r="U21" s="91">
        <v>-13.457984840750249674698271020</v>
      </c>
      <c r="V21" s="421">
        <v>18.875250500719403832699537980</v>
      </c>
      <c r="W21" s="420">
        <v>0</v>
      </c>
      <c r="X21" s="91">
        <v>0</v>
      </c>
      <c r="Y21" s="421">
        <v>87.52822518302270820566888269</v>
      </c>
      <c r="Z21" s="420">
        <v>-2.0236087690096636134326977300</v>
      </c>
      <c r="AA21" s="91">
        <v>-0.5322650016026078707024968700</v>
      </c>
      <c r="AB21" s="421">
        <v>0.3465824985234311311607586400</v>
      </c>
    </row>
    <row r="22" ht="18" customHeight="1">
      <c r="A22" s="58"/>
      <c r="B22" s="286"/>
      <c r="C22" s="287" t="s">
        <v>221</v>
      </c>
      <c r="D22" s="271">
        <v>77.737047898338220918866080160</v>
      </c>
      <c r="E22" s="92">
        <v>73.301737756714060031595576610</v>
      </c>
      <c r="F22" s="272">
        <v>55.185199960217023922219092220</v>
      </c>
      <c r="G22" s="271">
        <v>1.6862170087976539589442815200</v>
      </c>
      <c r="H22" s="92">
        <v>3.7456046476073994802018040100</v>
      </c>
      <c r="I22" s="272">
        <v>6.5432883459287215769596066600</v>
      </c>
      <c r="J22" s="271">
        <v>0</v>
      </c>
      <c r="K22" s="92">
        <v>0</v>
      </c>
      <c r="L22" s="272">
        <v>8.381067384663749327358124020</v>
      </c>
      <c r="M22" s="271">
        <v>79.42326490713587487781036168</v>
      </c>
      <c r="N22" s="92">
        <v>77.047342404321459511797380620</v>
      </c>
      <c r="O22" s="272">
        <v>70.109555690809494826536822880</v>
      </c>
      <c r="P22" s="5"/>
      <c r="Q22" s="271">
        <v>23.774319066141309997123348170</v>
      </c>
      <c r="R22" s="92">
        <v>28.506482184719208178072322160</v>
      </c>
      <c r="S22" s="272">
        <v>14.163752887884962808688486760</v>
      </c>
      <c r="T22" s="271">
        <v>146.42857142300918367359493485</v>
      </c>
      <c r="U22" s="92">
        <v>337.78019728262869427773567187</v>
      </c>
      <c r="V22" s="272">
        <v>18.885481778724829260138711110</v>
      </c>
      <c r="W22" s="271">
        <v>0</v>
      </c>
      <c r="X22" s="92">
        <v>0</v>
      </c>
      <c r="Y22" s="272">
        <v>85.73084747671931841641902253</v>
      </c>
      <c r="Z22" s="271">
        <v>25.096227867553474248267020370</v>
      </c>
      <c r="AA22" s="92">
        <v>33.076877574611997136639182460</v>
      </c>
      <c r="AB22" s="272">
        <v>20.143239994054479243548627520</v>
      </c>
    </row>
    <row r="23" ht="18" customHeight="1">
      <c r="A23" s="58"/>
      <c r="B23" s="288"/>
      <c r="C23" s="289" t="s">
        <v>222</v>
      </c>
      <c r="D23" s="420">
        <v>64.015151515151515151515151520</v>
      </c>
      <c r="E23" s="91">
        <v>62.390731964191679831490258030</v>
      </c>
      <c r="F23" s="421">
        <v>49.679814162030700847064000900</v>
      </c>
      <c r="G23" s="420">
        <v>3.5858585858585858585858585900</v>
      </c>
      <c r="H23" s="91">
        <v>7.0510795155344918378093733500</v>
      </c>
      <c r="I23" s="421">
        <v>10.154672667018014488600493730</v>
      </c>
      <c r="J23" s="420">
        <v>0</v>
      </c>
      <c r="K23" s="91">
        <v>0</v>
      </c>
      <c r="L23" s="421">
        <v>6.8663779508254985008134927900</v>
      </c>
      <c r="M23" s="420">
        <v>67.601010101010101010101010100</v>
      </c>
      <c r="N23" s="91">
        <v>69.441811479726171669299631380</v>
      </c>
      <c r="O23" s="421">
        <v>66.700864779874213836477987420</v>
      </c>
      <c r="P23" s="5"/>
      <c r="Q23" s="420">
        <v>11.428571428561632653061225360</v>
      </c>
      <c r="R23" s="91">
        <v>31.887972355273414022322712940</v>
      </c>
      <c r="S23" s="421">
        <v>16.694249095156514060599330320</v>
      </c>
      <c r="T23" s="420">
        <v>111.94029850986678547563431005</v>
      </c>
      <c r="U23" s="91">
        <v>48.285265188609797510977768290</v>
      </c>
      <c r="V23" s="421">
        <v>57.301374517454691663383006750</v>
      </c>
      <c r="W23" s="420">
        <v>0</v>
      </c>
      <c r="X23" s="91">
        <v>0</v>
      </c>
      <c r="Y23" s="421">
        <v>31.492840624881146694365837970</v>
      </c>
      <c r="Z23" s="420">
        <v>14.304013663562771241525019280</v>
      </c>
      <c r="AA23" s="91">
        <v>33.385648212454902794679806700</v>
      </c>
      <c r="AB23" s="421">
        <v>22.950790199613822367883852890</v>
      </c>
    </row>
    <row r="24" ht="18" customHeight="1">
      <c r="A24" s="59"/>
      <c r="B24" s="286"/>
      <c r="C24" s="287" t="s">
        <v>224</v>
      </c>
      <c r="D24" s="271">
        <v>67.937438905180840664711632450</v>
      </c>
      <c r="E24" s="92">
        <v>59.450644651684248076237068750</v>
      </c>
      <c r="F24" s="272">
        <v>50.342199732830407080907820860</v>
      </c>
      <c r="G24" s="271">
        <v>6.2805474095796676441837732200</v>
      </c>
      <c r="H24" s="92">
        <v>14.044743413341487030525403860</v>
      </c>
      <c r="I24" s="272">
        <v>13.810681388966535530087110780</v>
      </c>
      <c r="J24" s="271">
        <v>0</v>
      </c>
      <c r="K24" s="92">
        <v>0</v>
      </c>
      <c r="L24" s="272">
        <v>6.9833986433914355072402528200</v>
      </c>
      <c r="M24" s="271">
        <v>74.217986314760508308895405670</v>
      </c>
      <c r="N24" s="92">
        <v>73.495388065025735106762472610</v>
      </c>
      <c r="O24" s="272">
        <v>71.136279765188378118235184460</v>
      </c>
      <c r="P24" s="93"/>
      <c r="Q24" s="271">
        <v>-4.467353951935338505686023800</v>
      </c>
      <c r="R24" s="92">
        <v>10.061902331244990278104631500</v>
      </c>
      <c r="S24" s="272">
        <v>3.3162580732633334855686073200</v>
      </c>
      <c r="T24" s="271">
        <v>179.34782608242622873353282699</v>
      </c>
      <c r="U24" s="92">
        <v>133.21666036187662942308708859</v>
      </c>
      <c r="V24" s="272">
        <v>80.70907047700823326805155877</v>
      </c>
      <c r="W24" s="271">
        <v>0</v>
      </c>
      <c r="X24" s="92">
        <v>0</v>
      </c>
      <c r="Y24" s="272">
        <v>17.438836118984185664190030940</v>
      </c>
      <c r="Z24" s="271">
        <v>1.1658894071030720803053516800</v>
      </c>
      <c r="AA24" s="92">
        <v>22.415129933519458510177921060</v>
      </c>
      <c r="AB24" s="272">
        <v>14.155550313740215055597457310</v>
      </c>
    </row>
    <row r="25" ht="18" customHeight="1">
      <c r="A25" s="60"/>
      <c r="B25" s="288"/>
      <c r="C25" s="289" t="s">
        <v>227</v>
      </c>
      <c r="D25" s="420">
        <v>74.116161616161616161616161620</v>
      </c>
      <c r="E25" s="91">
        <v>69.773565034228541337546076880</v>
      </c>
      <c r="F25" s="421">
        <v>50.963269882369066474625773980</v>
      </c>
      <c r="G25" s="420">
        <v>12.348484848484848484848484850</v>
      </c>
      <c r="H25" s="91">
        <v>14.038967877830437072143233280</v>
      </c>
      <c r="I25" s="421">
        <v>16.870246671359158650593773840</v>
      </c>
      <c r="J25" s="420">
        <v>0</v>
      </c>
      <c r="K25" s="91">
        <v>0</v>
      </c>
      <c r="L25" s="421">
        <v>7.976917066588636139866743800</v>
      </c>
      <c r="M25" s="420">
        <v>86.46464646464646464646464646</v>
      </c>
      <c r="N25" s="91">
        <v>83.81253291205897840968931016</v>
      </c>
      <c r="O25" s="421">
        <v>75.810433620316861265086291620</v>
      </c>
      <c r="P25" s="93"/>
      <c r="Q25" s="420">
        <v>-2.8467394902620353322834094300</v>
      </c>
      <c r="R25" s="91">
        <v>13.422738987070299873898107150</v>
      </c>
      <c r="S25" s="421">
        <v>-7.4525274329033590511643578900</v>
      </c>
      <c r="T25" s="420">
        <v>52.812500000152812500000152830</v>
      </c>
      <c r="U25" s="91">
        <v>86.76914835284249202799453828</v>
      </c>
      <c r="V25" s="421">
        <v>68.491060445933412239991304510</v>
      </c>
      <c r="W25" s="420">
        <v>0</v>
      </c>
      <c r="X25" s="91">
        <v>-100</v>
      </c>
      <c r="Y25" s="421">
        <v>13.929672700639272994758335890</v>
      </c>
      <c r="Z25" s="420">
        <v>2.4842861418577396501664872700</v>
      </c>
      <c r="AA25" s="91">
        <v>21.214091834773689829114107170</v>
      </c>
      <c r="AB25" s="421">
        <v>5.1734703099020178811585625800</v>
      </c>
    </row>
    <row r="26" ht="18" customHeight="1">
      <c r="A26" s="60"/>
      <c r="B26" s="290"/>
      <c r="C26" s="291" t="s">
        <v>229</v>
      </c>
      <c r="D26" s="273">
        <v>80.22971652003910068426197458</v>
      </c>
      <c r="E26" s="274">
        <v>73.373082607144677164551801460</v>
      </c>
      <c r="F26" s="275">
        <v>56.653425479230820083815315880</v>
      </c>
      <c r="G26" s="273">
        <v>6.1094819159335288367546432100</v>
      </c>
      <c r="H26" s="274">
        <v>6.6605513937726137695561331100</v>
      </c>
      <c r="I26" s="275">
        <v>10.118216940296635069982077790</v>
      </c>
      <c r="J26" s="273">
        <v>0</v>
      </c>
      <c r="K26" s="274">
        <v>0</v>
      </c>
      <c r="L26" s="275">
        <v>8.905267136909891003121597840</v>
      </c>
      <c r="M26" s="273">
        <v>86.33919843597262952101661779</v>
      </c>
      <c r="N26" s="274">
        <v>80.03363400091729093410793457</v>
      </c>
      <c r="O26" s="275">
        <v>75.676909556437346156918991510</v>
      </c>
      <c r="P26" s="184"/>
      <c r="Q26" s="273">
        <v>-8.576998050714339454874993020</v>
      </c>
      <c r="R26" s="274">
        <v>6.1340581881904597590220970200</v>
      </c>
      <c r="S26" s="275">
        <v>-8.710803979332324496742305950</v>
      </c>
      <c r="T26" s="273">
        <v>4.1666666665989583333333774100</v>
      </c>
      <c r="U26" s="274">
        <v>59.275117132269097365408447930</v>
      </c>
      <c r="V26" s="275">
        <v>17.751022164531490854711135540</v>
      </c>
      <c r="W26" s="273">
        <v>0</v>
      </c>
      <c r="X26" s="274">
        <v>0</v>
      </c>
      <c r="Y26" s="275">
        <v>20.886672150458701341989883260</v>
      </c>
      <c r="Z26" s="273">
        <v>-7.7786478726522018884396566100</v>
      </c>
      <c r="AA26" s="274">
        <v>9.165184763469721988999390170</v>
      </c>
      <c r="AB26" s="275">
        <v>-3.0017049446005647492289930100</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973" t="s">
        <v>59</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9"/>
    </row>
    <row r="29" ht="18" customHeight="1">
      <c r="A29" s="58"/>
      <c r="B29" s="284">
        <v>2020</v>
      </c>
      <c r="C29" s="285"/>
      <c r="D29" s="427">
        <v>45.213611525086934923000496770</v>
      </c>
      <c r="E29" s="428">
        <v>49.763226858138048412740473790</v>
      </c>
      <c r="F29" s="429">
        <v>31.365359766972449294565830810</v>
      </c>
      <c r="G29" s="427">
        <v>4.1231992051664182811723795300</v>
      </c>
      <c r="H29" s="428">
        <v>4.9745431751769453004928719100</v>
      </c>
      <c r="I29" s="429">
        <v>8.022289490812676374910763150</v>
      </c>
      <c r="J29" s="427">
        <v>0</v>
      </c>
      <c r="K29" s="428">
        <v>0</v>
      </c>
      <c r="L29" s="429">
        <v>4.4260951396093904953153844400</v>
      </c>
      <c r="M29" s="427">
        <v>49.336810730253353204172876300</v>
      </c>
      <c r="N29" s="428">
        <v>54.737770033314993713233345700</v>
      </c>
      <c r="O29" s="429">
        <v>43.813744397394516164791978400</v>
      </c>
      <c r="P29" s="5"/>
      <c r="Q29" s="427">
        <v>-26.035861629825902477602968260</v>
      </c>
      <c r="R29" s="428">
        <v>-34.64550610807519385962604700</v>
      </c>
      <c r="S29" s="429">
        <v>-46.142306825174093746331389130</v>
      </c>
      <c r="T29" s="427">
        <v>-36.164608706733670529514760330</v>
      </c>
      <c r="U29" s="428">
        <v>-39.762780684051698925303855050</v>
      </c>
      <c r="V29" s="429">
        <v>-46.052647466111163860904264210</v>
      </c>
      <c r="W29" s="427">
        <v>0</v>
      </c>
      <c r="X29" s="428">
        <v>-100</v>
      </c>
      <c r="Y29" s="429">
        <v>-28.928395478051993108228278800</v>
      </c>
      <c r="Z29" s="427">
        <v>-27.003821981851820098190248650</v>
      </c>
      <c r="AA29" s="428">
        <v>-35.152875339663512907369129800</v>
      </c>
      <c r="AB29" s="429">
        <v>-44.774252069655117073118471030</v>
      </c>
    </row>
    <row r="30" ht="18" customHeight="1">
      <c r="A30" s="58"/>
      <c r="B30" s="286">
        <v>2021</v>
      </c>
      <c r="C30" s="287"/>
      <c r="D30" s="271">
        <v>80.38190120381901203819012038</v>
      </c>
      <c r="E30" s="92">
        <v>67.589122400347593184602628690</v>
      </c>
      <c r="F30" s="272">
        <v>55.111855100723119044449545570</v>
      </c>
      <c r="G30" s="271">
        <v>2.9887920298879202988792029900</v>
      </c>
      <c r="H30" s="92">
        <v>3.202171515254938837656397600</v>
      </c>
      <c r="I30" s="272">
        <v>6.3382800647483239553786223500</v>
      </c>
      <c r="J30" s="271">
        <v>0</v>
      </c>
      <c r="K30" s="92">
        <v>0.0099951435553967372591926100</v>
      </c>
      <c r="L30" s="272">
        <v>5.3517627084456159470445270100</v>
      </c>
      <c r="M30" s="271">
        <v>83.37069323370693233706932337</v>
      </c>
      <c r="N30" s="92">
        <v>70.801289059157928759518218890</v>
      </c>
      <c r="O30" s="272">
        <v>66.801897873917058946872694920</v>
      </c>
      <c r="P30" s="5"/>
      <c r="Q30" s="271">
        <v>77.782527191387039969483467050</v>
      </c>
      <c r="R30" s="92">
        <v>35.821422097642886264505885640</v>
      </c>
      <c r="S30" s="272">
        <v>75.709303225360064604833153830</v>
      </c>
      <c r="T30" s="271">
        <v>-27.512790890176117972462714760</v>
      </c>
      <c r="U30" s="92">
        <v>-35.628832588709082762482692380</v>
      </c>
      <c r="V30" s="272">
        <v>-20.991631229250778318489369590</v>
      </c>
      <c r="W30" s="271">
        <v>0</v>
      </c>
      <c r="X30" s="92">
        <v>0</v>
      </c>
      <c r="Y30" s="272">
        <v>20.913865148621080197544315120</v>
      </c>
      <c r="Z30" s="271">
        <v>68.982737229314182152003445530</v>
      </c>
      <c r="AA30" s="92">
        <v>29.346316110586173851607442170</v>
      </c>
      <c r="AB30" s="272">
        <v>52.467904290511231581535375330</v>
      </c>
    </row>
    <row r="31" ht="18" customHeight="1">
      <c r="A31" s="58"/>
      <c r="B31" s="425">
        <v>2022</v>
      </c>
      <c r="C31" s="426"/>
      <c r="D31" s="430">
        <v>75.514736405147364051473640510</v>
      </c>
      <c r="E31" s="431">
        <v>67.430503543550824086621093330</v>
      </c>
      <c r="F31" s="432">
        <v>54.301719065286990429342385350</v>
      </c>
      <c r="G31" s="430">
        <v>9.514321295143212951432129510</v>
      </c>
      <c r="H31" s="431">
        <v>9.155652147560642991042630840</v>
      </c>
      <c r="I31" s="432">
        <v>12.620436326581320554667718350</v>
      </c>
      <c r="J31" s="430">
        <v>0</v>
      </c>
      <c r="K31" s="431">
        <v>0</v>
      </c>
      <c r="L31" s="432">
        <v>7.7362906069596487733542805100</v>
      </c>
      <c r="M31" s="430">
        <v>85.02905770029057700290577003</v>
      </c>
      <c r="N31" s="431">
        <v>76.586155691111467077663724170</v>
      </c>
      <c r="O31" s="432">
        <v>74.658445998827959757364384210</v>
      </c>
      <c r="P31" s="184"/>
      <c r="Q31" s="430">
        <v>-6.0550506093560076498549292800</v>
      </c>
      <c r="R31" s="431">
        <v>-0.2346810420318046180945992800</v>
      </c>
      <c r="S31" s="432">
        <v>-1.4699850584465622084430409900</v>
      </c>
      <c r="T31" s="430">
        <v>218.33333333204673611111631096</v>
      </c>
      <c r="U31" s="431">
        <v>185.92010464820097798846442821</v>
      </c>
      <c r="V31" s="432">
        <v>99.11452630294373294747349648</v>
      </c>
      <c r="W31" s="430">
        <v>0</v>
      </c>
      <c r="X31" s="431">
        <v>-100</v>
      </c>
      <c r="Y31" s="432">
        <v>44.555934716928877603864139780</v>
      </c>
      <c r="Z31" s="430">
        <v>1.989145588536662112782954400</v>
      </c>
      <c r="AA31" s="431">
        <v>8.170566819870315525329626950</v>
      </c>
      <c r="AB31" s="432">
        <v>11.760965444063486313410496890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9"/>
    </row>
    <row r="34" ht="18" customHeight="1">
      <c r="A34" s="58"/>
      <c r="B34" s="284">
        <v>2020</v>
      </c>
      <c r="C34" s="285"/>
      <c r="D34" s="427">
        <v>57.147562582345191040843214760</v>
      </c>
      <c r="E34" s="428">
        <v>56.825546853902241425870915470</v>
      </c>
      <c r="F34" s="429">
        <v>35.899884042708063718017905210</v>
      </c>
      <c r="G34" s="427">
        <v>1.7374835309617918313570487500</v>
      </c>
      <c r="H34" s="428">
        <v>0.6863804122783328832478170900</v>
      </c>
      <c r="I34" s="429">
        <v>2.0498828668758782745423617500</v>
      </c>
      <c r="J34" s="427">
        <v>0</v>
      </c>
      <c r="K34" s="428">
        <v>0</v>
      </c>
      <c r="L34" s="429">
        <v>3.7738598712774596380087851600</v>
      </c>
      <c r="M34" s="427">
        <v>58.885046113306982872200263500</v>
      </c>
      <c r="N34" s="428">
        <v>57.511927266180574309118732560</v>
      </c>
      <c r="O34" s="429">
        <v>41.723626780861401630569052130</v>
      </c>
      <c r="P34" s="5"/>
      <c r="Q34" s="427">
        <v>-19.076492537282331637057239100</v>
      </c>
      <c r="R34" s="428">
        <v>-25.745359790183085595135199810</v>
      </c>
      <c r="S34" s="429">
        <v>-40.470084591084611294255093250</v>
      </c>
      <c r="T34" s="427">
        <v>-65.181518151988929189947830790</v>
      </c>
      <c r="U34" s="428">
        <v>-91.96981948936013099315944577</v>
      </c>
      <c r="V34" s="429">
        <v>-84.80931104873423775201101699</v>
      </c>
      <c r="W34" s="427">
        <v>0</v>
      </c>
      <c r="X34" s="428">
        <v>0</v>
      </c>
      <c r="Y34" s="429">
        <v>-37.727060330797904994414499490</v>
      </c>
      <c r="Z34" s="427">
        <v>-22.119363972988326777063891620</v>
      </c>
      <c r="AA34" s="428">
        <v>-32.398914682578171230776770120</v>
      </c>
      <c r="AB34" s="429">
        <v>-47.754133616029393272822826380</v>
      </c>
    </row>
    <row r="35" ht="18" customHeight="1">
      <c r="A35" s="58"/>
      <c r="B35" s="286">
        <v>2021</v>
      </c>
      <c r="C35" s="287"/>
      <c r="D35" s="271">
        <v>78.409090909090909090909090910</v>
      </c>
      <c r="E35" s="92">
        <v>61.555245388953502717146844890</v>
      </c>
      <c r="F35" s="272">
        <v>55.269691381583055544926783380</v>
      </c>
      <c r="G35" s="271">
        <v>5.3689064558629776021080368900</v>
      </c>
      <c r="H35" s="92">
        <v>5.8894104666234679649138507700</v>
      </c>
      <c r="I35" s="272">
        <v>8.735936653036864844007970550</v>
      </c>
      <c r="J35" s="271">
        <v>0</v>
      </c>
      <c r="K35" s="92">
        <v>0.036223356164226864966107900</v>
      </c>
      <c r="L35" s="272">
        <v>6.767557091996772569582974200</v>
      </c>
      <c r="M35" s="271">
        <v>83.77799736495388669301712780</v>
      </c>
      <c r="N35" s="92">
        <v>67.480879211741197547026803550</v>
      </c>
      <c r="O35" s="272">
        <v>70.773185126616692958517728130</v>
      </c>
      <c r="P35" s="5"/>
      <c r="Q35" s="271">
        <v>37.204610951117143934423592350</v>
      </c>
      <c r="R35" s="92">
        <v>8.323190531212456403188241540</v>
      </c>
      <c r="S35" s="272">
        <v>53.955069369706712489828705710</v>
      </c>
      <c r="T35" s="271">
        <v>209.00473932969771568488247674</v>
      </c>
      <c r="U35" s="92">
        <v>758.03883110366958892801882627</v>
      </c>
      <c r="V35" s="272">
        <v>326.16760177365941396404821817</v>
      </c>
      <c r="W35" s="271">
        <v>0</v>
      </c>
      <c r="X35" s="92">
        <v>0</v>
      </c>
      <c r="Y35" s="272">
        <v>79.32719610136237041216009392</v>
      </c>
      <c r="Z35" s="271">
        <v>42.273807859057565122229685470</v>
      </c>
      <c r="AA35" s="92">
        <v>17.333712187037057035376605830</v>
      </c>
      <c r="AB35" s="272">
        <v>69.623761372093452289693036750</v>
      </c>
    </row>
    <row r="36" ht="18" customHeight="1">
      <c r="A36" s="58"/>
      <c r="B36" s="425">
        <v>2022</v>
      </c>
      <c r="C36" s="426"/>
      <c r="D36" s="430">
        <v>74.094202898550724637681159420</v>
      </c>
      <c r="E36" s="431">
        <v>67.508070609245140462943883510</v>
      </c>
      <c r="F36" s="432">
        <v>52.671331283097500395056418030</v>
      </c>
      <c r="G36" s="430">
        <v>8.201581027667984189723320160</v>
      </c>
      <c r="H36" s="431">
        <v>11.554708427776633010508963530</v>
      </c>
      <c r="I36" s="432">
        <v>13.564165742912315740434326750</v>
      </c>
      <c r="J36" s="430">
        <v>0</v>
      </c>
      <c r="K36" s="431">
        <v>0</v>
      </c>
      <c r="L36" s="432">
        <v>7.954958165076089195839344400</v>
      </c>
      <c r="M36" s="430">
        <v>82.29578392621870882740447958</v>
      </c>
      <c r="N36" s="431">
        <v>79.062779037021773473452847040</v>
      </c>
      <c r="O36" s="432">
        <v>74.190455191085905331330089170</v>
      </c>
      <c r="P36" s="184"/>
      <c r="Q36" s="430">
        <v>-5.5030455786709015582525884600</v>
      </c>
      <c r="R36" s="431">
        <v>9.670703418735648219842536460</v>
      </c>
      <c r="S36" s="432">
        <v>-4.7012386600145328808299733300</v>
      </c>
      <c r="T36" s="430">
        <v>52.760736195265625352862094740</v>
      </c>
      <c r="U36" s="431">
        <v>96.19465298446503444309553620</v>
      </c>
      <c r="V36" s="432">
        <v>55.268590898656047528396915790</v>
      </c>
      <c r="W36" s="430">
        <v>0</v>
      </c>
      <c r="X36" s="431">
        <v>-100</v>
      </c>
      <c r="Y36" s="432">
        <v>17.545490299294680790841334210</v>
      </c>
      <c r="Z36" s="430">
        <v>-1.7692156477835750336517015900</v>
      </c>
      <c r="AA36" s="431">
        <v>17.163231956399399334669779050</v>
      </c>
      <c r="AB36" s="432">
        <v>4.8284813780431782273574737900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7.25" customHeight="1">
      <c r="A38" s="112"/>
      <c r="B38" s="972" t="s">
        <v>45</v>
      </c>
      <c r="C38" s="972"/>
      <c r="D38" s="972"/>
      <c r="E38" s="972"/>
      <c r="F38" s="972"/>
      <c r="G38" s="972"/>
      <c r="H38" s="972"/>
      <c r="I38" s="972"/>
      <c r="J38" s="972"/>
      <c r="K38" s="972"/>
      <c r="L38" s="972"/>
      <c r="M38" s="972"/>
      <c r="N38" s="972"/>
      <c r="O38" s="972"/>
      <c r="P38" s="411"/>
      <c r="Q38" s="971"/>
      <c r="R38" s="971"/>
      <c r="S38" s="971"/>
      <c r="T38" s="971"/>
      <c r="U38" s="971"/>
      <c r="V38" s="971"/>
      <c r="W38" s="971"/>
      <c r="X38" s="971"/>
      <c r="Y38" s="971"/>
      <c r="Z38" s="971"/>
      <c r="AA38" s="971"/>
      <c r="AB38" s="971"/>
      <c r="AC38" s="9"/>
    </row>
    <row r="39" ht="18" customHeight="1">
      <c r="A39" s="58"/>
      <c r="B39" s="284">
        <v>2020</v>
      </c>
      <c r="C39" s="285"/>
      <c r="D39" s="427">
        <v>45.213611525086934923000496770</v>
      </c>
      <c r="E39" s="428">
        <v>49.763226858138048412740473790</v>
      </c>
      <c r="F39" s="429">
        <v>31.365359766972449294565830810</v>
      </c>
      <c r="G39" s="427">
        <v>4.1231992051664182811723795300</v>
      </c>
      <c r="H39" s="428">
        <v>4.9745431751769453004928719100</v>
      </c>
      <c r="I39" s="429">
        <v>8.022289490812676374910763150</v>
      </c>
      <c r="J39" s="427">
        <v>0</v>
      </c>
      <c r="K39" s="428">
        <v>0</v>
      </c>
      <c r="L39" s="429">
        <v>4.4260951396093904953153844400</v>
      </c>
      <c r="M39" s="427">
        <v>49.336810730253353204172876300</v>
      </c>
      <c r="N39" s="428">
        <v>54.737770033314993713233345700</v>
      </c>
      <c r="O39" s="429">
        <v>43.813744397394516164791978400</v>
      </c>
      <c r="P39" s="5"/>
      <c r="Q39" s="427">
        <v>-26.035861629825902477602968260</v>
      </c>
      <c r="R39" s="428">
        <v>-34.64550610807519385962604700</v>
      </c>
      <c r="S39" s="429">
        <v>-46.142306825174093746331389130</v>
      </c>
      <c r="T39" s="427">
        <v>-36.164608706733670529514760330</v>
      </c>
      <c r="U39" s="428">
        <v>-39.762780684051698925303855050</v>
      </c>
      <c r="V39" s="429">
        <v>-46.052647466111163860904264210</v>
      </c>
      <c r="W39" s="427">
        <v>0</v>
      </c>
      <c r="X39" s="428">
        <v>-100</v>
      </c>
      <c r="Y39" s="429">
        <v>-28.928395478051993108228278800</v>
      </c>
      <c r="Z39" s="427">
        <v>-27.003821981851820098190248650</v>
      </c>
      <c r="AA39" s="428">
        <v>-35.152875339663512907369129800</v>
      </c>
      <c r="AB39" s="429">
        <v>-44.774252069655117073118471030</v>
      </c>
    </row>
    <row r="40" ht="18" customHeight="1">
      <c r="A40" s="58"/>
      <c r="B40" s="286">
        <v>2021</v>
      </c>
      <c r="C40" s="287"/>
      <c r="D40" s="271">
        <v>80.38190120381901203819012038</v>
      </c>
      <c r="E40" s="92">
        <v>67.589122400347593184602628690</v>
      </c>
      <c r="F40" s="272">
        <v>55.111855100723119044449545570</v>
      </c>
      <c r="G40" s="271">
        <v>2.9887920298879202988792029900</v>
      </c>
      <c r="H40" s="92">
        <v>3.202171515254938837656397600</v>
      </c>
      <c r="I40" s="272">
        <v>6.3382800647483239553786223500</v>
      </c>
      <c r="J40" s="271">
        <v>0</v>
      </c>
      <c r="K40" s="92">
        <v>0.0099951435553967372591926100</v>
      </c>
      <c r="L40" s="272">
        <v>5.3517627084456159470445270100</v>
      </c>
      <c r="M40" s="271">
        <v>83.37069323370693233706932337</v>
      </c>
      <c r="N40" s="92">
        <v>70.801289059157928759518218890</v>
      </c>
      <c r="O40" s="272">
        <v>66.801897873917058946872694920</v>
      </c>
      <c r="P40" s="5"/>
      <c r="Q40" s="271">
        <v>77.782527191387039969483467050</v>
      </c>
      <c r="R40" s="92">
        <v>35.821422097642886264505885640</v>
      </c>
      <c r="S40" s="272">
        <v>75.709303225360064604833153830</v>
      </c>
      <c r="T40" s="271">
        <v>-27.512790890176117972462714760</v>
      </c>
      <c r="U40" s="92">
        <v>-35.628832588709082762482692380</v>
      </c>
      <c r="V40" s="272">
        <v>-20.991631229250778318489369590</v>
      </c>
      <c r="W40" s="271">
        <v>0</v>
      </c>
      <c r="X40" s="92">
        <v>0</v>
      </c>
      <c r="Y40" s="272">
        <v>20.913865148621080197544315120</v>
      </c>
      <c r="Z40" s="271">
        <v>68.982737229314182152003445530</v>
      </c>
      <c r="AA40" s="92">
        <v>29.346316110586173851607442170</v>
      </c>
      <c r="AB40" s="272">
        <v>52.467904290511231581535375330</v>
      </c>
    </row>
    <row r="41" ht="18" customHeight="1">
      <c r="A41" s="58"/>
      <c r="B41" s="425">
        <v>2022</v>
      </c>
      <c r="C41" s="426"/>
      <c r="D41" s="430">
        <v>75.514736405147364051473640510</v>
      </c>
      <c r="E41" s="431">
        <v>67.430503543550824086621093330</v>
      </c>
      <c r="F41" s="432">
        <v>54.301719065286990429342385350</v>
      </c>
      <c r="G41" s="430">
        <v>9.514321295143212951432129510</v>
      </c>
      <c r="H41" s="431">
        <v>9.155652147560642991042630840</v>
      </c>
      <c r="I41" s="432">
        <v>12.620436326581320554667718350</v>
      </c>
      <c r="J41" s="430">
        <v>0</v>
      </c>
      <c r="K41" s="431">
        <v>0</v>
      </c>
      <c r="L41" s="432">
        <v>7.7362906069596487733542805100</v>
      </c>
      <c r="M41" s="430">
        <v>85.02905770029057700290577003</v>
      </c>
      <c r="N41" s="431">
        <v>76.586155691111467077663724170</v>
      </c>
      <c r="O41" s="432">
        <v>74.658445998827959757364384210</v>
      </c>
      <c r="P41" s="184"/>
      <c r="Q41" s="430">
        <v>-6.0550506093560076498549292800</v>
      </c>
      <c r="R41" s="431">
        <v>-0.2346810420318046180945992800</v>
      </c>
      <c r="S41" s="432">
        <v>-1.4699850584465622084430409900</v>
      </c>
      <c r="T41" s="430">
        <v>218.33333333204673611111631096</v>
      </c>
      <c r="U41" s="431">
        <v>185.92010464820097798846442821</v>
      </c>
      <c r="V41" s="432">
        <v>99.11452630294373294747349648</v>
      </c>
      <c r="W41" s="430">
        <v>0</v>
      </c>
      <c r="X41" s="431">
        <v>-100</v>
      </c>
      <c r="Y41" s="432">
        <v>44.555934716928877603864139780</v>
      </c>
      <c r="Z41" s="430">
        <v>1.989145588536662112782954400</v>
      </c>
      <c r="AA41" s="431">
        <v>8.170566819870315525329626950</v>
      </c>
      <c r="AB41" s="432">
        <v>11.760965444063486313410496890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row>
    <row r="44" ht="12" customHeight="1">
      <c r="Z44" s="55"/>
      <c r="AA44" s="233"/>
      <c r="AB44" s="233"/>
    </row>
    <row r="45" ht="12" customHeight="1"/>
    <row r="46">
      <c r="A46" s="236"/>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c r="AA46" s="236"/>
      <c r="AB46" s="236"/>
      <c r="AC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sheetData>
  <mergeCells count="22">
    <mergeCell ref="B43:AB43"/>
    <mergeCell ref="Q38:AB38"/>
    <mergeCell ref="Q7:S7"/>
    <mergeCell ref="T7:V7"/>
    <mergeCell ref="Q33:AB33"/>
    <mergeCell ref="B33:O33"/>
    <mergeCell ref="B38:O38"/>
    <mergeCell ref="J7:L7"/>
    <mergeCell ref="G7:I7"/>
    <mergeCell ref="D7:F7"/>
    <mergeCell ref="B8:C8"/>
    <mergeCell ref="M7:O7"/>
    <mergeCell ref="Q28:AB28"/>
    <mergeCell ref="W7:Y7"/>
    <mergeCell ref="Z7:AB7"/>
    <mergeCell ref="B28:O28"/>
    <mergeCell ref="B2:AB2"/>
    <mergeCell ref="Q6:AB6"/>
    <mergeCell ref="D6:O6"/>
    <mergeCell ref="B3:Q3"/>
    <mergeCell ref="R3:AB3"/>
    <mergeCell ref="B4:AB4"/>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39"/>
</worksheet>
</file>

<file path=xl/worksheets/sheet10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7">
    <pageSetUpPr fitToPage="1"/>
  </sheetPr>
  <dimension ref="A1:AD82"/>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89"/>
      <c r="B1" s="656" t="s">
        <v>181</v>
      </c>
      <c r="Z1" s="5"/>
      <c r="AB1" s="685"/>
      <c r="AD1" s="236"/>
    </row>
    <row r="2" ht="15" customHeight="1">
      <c r="A2" s="11"/>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209</v>
      </c>
      <c r="C3" s="999"/>
      <c r="D3" s="999"/>
      <c r="E3" s="999"/>
      <c r="F3" s="999"/>
      <c r="G3" s="999"/>
      <c r="H3" s="999"/>
      <c r="I3" s="999"/>
      <c r="J3" s="999"/>
      <c r="K3" s="999"/>
      <c r="L3" s="999"/>
      <c r="M3" s="999"/>
      <c r="N3" s="999"/>
      <c r="O3" s="999"/>
      <c r="P3" s="999"/>
      <c r="Q3" s="999"/>
      <c r="R3" s="1035" t="s">
        <v>301</v>
      </c>
      <c r="S3" s="1035"/>
      <c r="T3" s="1035"/>
      <c r="U3" s="1035"/>
      <c r="V3" s="1035"/>
      <c r="W3" s="1035"/>
      <c r="X3" s="1035"/>
      <c r="Y3" s="1035"/>
      <c r="Z3" s="1035"/>
      <c r="AA3" s="1035"/>
      <c r="AB3" s="1035"/>
    </row>
    <row r="4" ht="19.5" customHeight="1">
      <c r="A4" s="4"/>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2.75" customHeight="1"/>
    <row r="6" ht="15.75" customHeight="1">
      <c r="D6" s="960" t="s">
        <v>90</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ustomHeight="1">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18" customHeight="1">
      <c r="A9" s="57"/>
      <c r="B9" s="284">
        <v>2021</v>
      </c>
      <c r="C9" s="285" t="s">
        <v>218</v>
      </c>
      <c r="D9" s="434">
        <v>266.72950585546986575264210226</v>
      </c>
      <c r="E9" s="435">
        <v>247.02401865526622619510299262</v>
      </c>
      <c r="F9" s="436">
        <v>218.99685118176811715391830019</v>
      </c>
      <c r="G9" s="434">
        <v>297.22807017543859649122807018</v>
      </c>
      <c r="H9" s="435">
        <v>200.18796992481203007518796992</v>
      </c>
      <c r="I9" s="436">
        <v>151.51748901806425508029525342</v>
      </c>
      <c r="J9" s="434">
        <v>0</v>
      </c>
      <c r="K9" s="435">
        <v>0</v>
      </c>
      <c r="L9" s="436">
        <v>101.62759217447171951642308267</v>
      </c>
      <c r="M9" s="434">
        <v>267.21810005621135469364811692</v>
      </c>
      <c r="N9" s="435">
        <v>243.863366193099449115685706</v>
      </c>
      <c r="O9" s="436">
        <v>205.24939347791839521083862837</v>
      </c>
      <c r="P9" s="5"/>
      <c r="Q9" s="415">
        <v>94.21171942638365367788438488</v>
      </c>
      <c r="R9" s="416">
        <v>97.75122461877559864024160463</v>
      </c>
      <c r="S9" s="417">
        <v>81.79875997555040771909885104</v>
      </c>
      <c r="T9" s="415">
        <v>0</v>
      </c>
      <c r="U9" s="416">
        <v>0</v>
      </c>
      <c r="V9" s="417">
        <v>54.725421668473484721440414380</v>
      </c>
      <c r="W9" s="415">
        <v>0</v>
      </c>
      <c r="X9" s="416">
        <v>0</v>
      </c>
      <c r="Y9" s="417">
        <v>14.624797662485821381224128700</v>
      </c>
      <c r="Z9" s="415">
        <v>94.56747579283222250525818635</v>
      </c>
      <c r="AA9" s="416">
        <v>95.22101359561158124362157758</v>
      </c>
      <c r="AB9" s="417">
        <v>81.34520602196220431315120058</v>
      </c>
    </row>
    <row r="10" ht="18" customHeight="1">
      <c r="A10" s="58"/>
      <c r="B10" s="286"/>
      <c r="C10" s="287" t="s">
        <v>221</v>
      </c>
      <c r="D10" s="276">
        <v>207.13852140077821011673151751</v>
      </c>
      <c r="E10" s="94">
        <v>200.59775007601094557616296747</v>
      </c>
      <c r="F10" s="277">
        <v>176.52542297881522454205829666</v>
      </c>
      <c r="G10" s="276">
        <v>169.39285714285714285714285714</v>
      </c>
      <c r="H10" s="94">
        <v>221.37837837837837837837837838</v>
      </c>
      <c r="I10" s="277">
        <v>135.93448366307495165120220637</v>
      </c>
      <c r="J10" s="276">
        <v>0</v>
      </c>
      <c r="K10" s="94">
        <v>0</v>
      </c>
      <c r="L10" s="277">
        <v>107.34725241459576764777947836</v>
      </c>
      <c r="M10" s="276">
        <v>206.73171670515781370284834488</v>
      </c>
      <c r="N10" s="94">
        <v>200.90484273589615576635047428</v>
      </c>
      <c r="O10" s="277">
        <v>167.34759534561756271219962422</v>
      </c>
      <c r="P10" s="5"/>
      <c r="Q10" s="271">
        <v>87.87462992136818015666041693</v>
      </c>
      <c r="R10" s="92">
        <v>94.31660000960377710538852302</v>
      </c>
      <c r="S10" s="272">
        <v>49.491639666305336033671596400</v>
      </c>
      <c r="T10" s="271">
        <v>0</v>
      </c>
      <c r="U10" s="92">
        <v>0</v>
      </c>
      <c r="V10" s="272">
        <v>37.29159487304430214323079500</v>
      </c>
      <c r="W10" s="271">
        <v>0</v>
      </c>
      <c r="X10" s="92">
        <v>0</v>
      </c>
      <c r="Y10" s="272">
        <v>22.343634939482356221595607720</v>
      </c>
      <c r="Z10" s="271">
        <v>87.50565808009448037464337649</v>
      </c>
      <c r="AA10" s="92">
        <v>94.61407693311956021689054908</v>
      </c>
      <c r="AB10" s="272">
        <v>51.981440731285173536237678020</v>
      </c>
    </row>
    <row r="11" ht="18" customHeight="1">
      <c r="A11" s="58"/>
      <c r="B11" s="288"/>
      <c r="C11" s="289" t="s">
        <v>222</v>
      </c>
      <c r="D11" s="439">
        <v>183.53538461538461538461538462</v>
      </c>
      <c r="E11" s="95">
        <v>188.1298607439305228751638596</v>
      </c>
      <c r="F11" s="440">
        <v>165.97403868370549048519004481</v>
      </c>
      <c r="G11" s="439">
        <v>161.35820895522388059701492537</v>
      </c>
      <c r="H11" s="95">
        <v>167.00757885529420772811230619</v>
      </c>
      <c r="I11" s="440">
        <v>141.68606996440668662572195548</v>
      </c>
      <c r="J11" s="439">
        <v>0</v>
      </c>
      <c r="K11" s="95">
        <v>0</v>
      </c>
      <c r="L11" s="440">
        <v>109.69756567325236916467276279</v>
      </c>
      <c r="M11" s="439">
        <v>182.90093936806148590947907771</v>
      </c>
      <c r="N11" s="95">
        <v>186.20061962134251290877796902</v>
      </c>
      <c r="O11" s="440">
        <v>157.66694268169360866442923512</v>
      </c>
      <c r="P11" s="5"/>
      <c r="Q11" s="420">
        <v>63.419474156974620621591704970</v>
      </c>
      <c r="R11" s="91">
        <v>51.360129037615893442298849550</v>
      </c>
      <c r="S11" s="421">
        <v>39.408700844205378655607918520</v>
      </c>
      <c r="T11" s="420">
        <v>0</v>
      </c>
      <c r="U11" s="91">
        <v>24.458372691416270314382715370</v>
      </c>
      <c r="V11" s="421">
        <v>47.041896129743617943833575920</v>
      </c>
      <c r="W11" s="420">
        <v>0</v>
      </c>
      <c r="X11" s="91">
        <v>0</v>
      </c>
      <c r="Y11" s="421">
        <v>27.628358210094894474582860900</v>
      </c>
      <c r="Z11" s="420">
        <v>62.854565603148828120779834780</v>
      </c>
      <c r="AA11" s="91">
        <v>49.776874831092768091764475470</v>
      </c>
      <c r="AB11" s="421">
        <v>36.625824246936828589026390030</v>
      </c>
    </row>
    <row r="12" ht="18" customHeight="1">
      <c r="A12" s="58"/>
      <c r="B12" s="286"/>
      <c r="C12" s="287" t="s">
        <v>224</v>
      </c>
      <c r="D12" s="276">
        <v>185.48419243986254295532646048</v>
      </c>
      <c r="E12" s="94">
        <v>197.92445769107214541154202633</v>
      </c>
      <c r="F12" s="277">
        <v>176.07071725510865379474198286</v>
      </c>
      <c r="G12" s="276">
        <v>174.94565217391304347826086957</v>
      </c>
      <c r="H12" s="94">
        <v>196.85651955529007774333357391</v>
      </c>
      <c r="I12" s="277">
        <v>169.3895807930117314811959266</v>
      </c>
      <c r="J12" s="276">
        <v>0</v>
      </c>
      <c r="K12" s="94">
        <v>0</v>
      </c>
      <c r="L12" s="277">
        <v>108.75433578903343106261961915</v>
      </c>
      <c r="M12" s="276">
        <v>185.16122584943371085942704863</v>
      </c>
      <c r="N12" s="94">
        <v>197.81733651226158038147138966</v>
      </c>
      <c r="O12" s="277">
        <v>168.82767779540384977724291766</v>
      </c>
      <c r="P12" s="5"/>
      <c r="Q12" s="271">
        <v>55.875920774344665281271925240</v>
      </c>
      <c r="R12" s="92">
        <v>53.609968200848808309127769610</v>
      </c>
      <c r="S12" s="272">
        <v>43.254060753492140631826478640</v>
      </c>
      <c r="T12" s="271">
        <v>36.676290760869565217391304350</v>
      </c>
      <c r="U12" s="92">
        <v>34.833232572116491605022995830</v>
      </c>
      <c r="V12" s="272">
        <v>59.903368998399508644634239610</v>
      </c>
      <c r="W12" s="271">
        <v>0</v>
      </c>
      <c r="X12" s="92">
        <v>0</v>
      </c>
      <c r="Y12" s="272">
        <v>17.707003169777560751466866510</v>
      </c>
      <c r="Z12" s="271">
        <v>55.268010149497998698846866090</v>
      </c>
      <c r="AA12" s="92">
        <v>53.523895258817064313935972400</v>
      </c>
      <c r="AB12" s="272">
        <v>42.114996168168317656453011340</v>
      </c>
    </row>
    <row r="13" ht="18" customHeight="1">
      <c r="A13" s="58"/>
      <c r="B13" s="288"/>
      <c r="C13" s="289" t="s">
        <v>227</v>
      </c>
      <c r="D13" s="439">
        <v>230.69248593181065872227739159</v>
      </c>
      <c r="E13" s="95">
        <v>238.48340191766858888749630026</v>
      </c>
      <c r="F13" s="440">
        <v>203.12566873214773390287577506</v>
      </c>
      <c r="G13" s="439">
        <v>253.3125</v>
      </c>
      <c r="H13" s="95">
        <v>268.75474921819030581068544879</v>
      </c>
      <c r="I13" s="440">
        <v>196.9100899205643881493644297</v>
      </c>
      <c r="J13" s="439">
        <v>0</v>
      </c>
      <c r="K13" s="95">
        <v>128.87105999607170523627129154</v>
      </c>
      <c r="L13" s="440">
        <v>110.70098712504991821521655494</v>
      </c>
      <c r="M13" s="439">
        <v>232.85902424423825202035318767</v>
      </c>
      <c r="N13" s="95">
        <v>241.59813583925433570173428071</v>
      </c>
      <c r="O13" s="440">
        <v>193.28462060540247047644902946</v>
      </c>
      <c r="P13" s="5"/>
      <c r="Q13" s="420">
        <v>82.28681908304251872320044616</v>
      </c>
      <c r="R13" s="91">
        <v>89.83150625866482491080120617</v>
      </c>
      <c r="S13" s="421">
        <v>66.938394402688316185377004260</v>
      </c>
      <c r="T13" s="420">
        <v>118.55666035351695651007125278</v>
      </c>
      <c r="U13" s="91">
        <v>57.166520010637605737242952510</v>
      </c>
      <c r="V13" s="421">
        <v>75.155958349635290548302379580</v>
      </c>
      <c r="W13" s="420">
        <v>0</v>
      </c>
      <c r="X13" s="91">
        <v>0</v>
      </c>
      <c r="Y13" s="421">
        <v>18.121879893144987612380452480</v>
      </c>
      <c r="Z13" s="420">
        <v>84.30857304858609216838980761</v>
      </c>
      <c r="AA13" s="91">
        <v>91.77261984577808263038825024</v>
      </c>
      <c r="AB13" s="421">
        <v>63.028743966457563735996518730</v>
      </c>
    </row>
    <row r="14" ht="18" customHeight="1">
      <c r="A14" s="58"/>
      <c r="B14" s="286"/>
      <c r="C14" s="287" t="s">
        <v>229</v>
      </c>
      <c r="D14" s="276">
        <v>335.80813143971038707880813144</v>
      </c>
      <c r="E14" s="94">
        <v>353.77793389040893292908378318</v>
      </c>
      <c r="F14" s="277">
        <v>273.89363168177619243854679264</v>
      </c>
      <c r="G14" s="276">
        <v>354.6</v>
      </c>
      <c r="H14" s="94">
        <v>268.49022004889975550122249389</v>
      </c>
      <c r="I14" s="277">
        <v>232.31443387872994994263781483</v>
      </c>
      <c r="J14" s="276">
        <v>0</v>
      </c>
      <c r="K14" s="94">
        <v>0</v>
      </c>
      <c r="L14" s="277">
        <v>115.62140582646370518809661123</v>
      </c>
      <c r="M14" s="276">
        <v>336.98538240668232837379274341</v>
      </c>
      <c r="N14" s="94">
        <v>348.91318597029495851056411687</v>
      </c>
      <c r="O14" s="277">
        <v>254.36990810252999261494519898</v>
      </c>
      <c r="P14" s="5"/>
      <c r="Q14" s="271">
        <v>107.67332336190679589339962781</v>
      </c>
      <c r="R14" s="92">
        <v>99.61587850268839828360151843</v>
      </c>
      <c r="S14" s="272">
        <v>74.924961545350713848925340790</v>
      </c>
      <c r="T14" s="271">
        <v>37.981624932466478802006948390</v>
      </c>
      <c r="U14" s="92">
        <v>31.192260585108167563357886750</v>
      </c>
      <c r="V14" s="272">
        <v>55.987695775593974287217510910</v>
      </c>
      <c r="W14" s="271">
        <v>0</v>
      </c>
      <c r="X14" s="92">
        <v>0</v>
      </c>
      <c r="Y14" s="272">
        <v>19.709057716747083982575033470</v>
      </c>
      <c r="Z14" s="271">
        <v>103.97519524991013283641442340</v>
      </c>
      <c r="AA14" s="92">
        <v>96.1496906260328225603953300</v>
      </c>
      <c r="AB14" s="272">
        <v>68.232584494329951884435292440</v>
      </c>
    </row>
    <row r="15" ht="18" customHeight="1">
      <c r="A15" s="58"/>
      <c r="B15" s="288">
        <v>2022</v>
      </c>
      <c r="C15" s="289" t="s">
        <v>230</v>
      </c>
      <c r="D15" s="439">
        <v>274.3238037917544387601564851</v>
      </c>
      <c r="E15" s="95">
        <v>325.25842491038441190778989435</v>
      </c>
      <c r="F15" s="440">
        <v>251.09552029043795630996399176</v>
      </c>
      <c r="G15" s="439">
        <v>259.58352402745995423340961098</v>
      </c>
      <c r="H15" s="95">
        <v>326.2070136065007255751699149</v>
      </c>
      <c r="I15" s="440">
        <v>235.96459214077300120901777166</v>
      </c>
      <c r="J15" s="439">
        <v>0</v>
      </c>
      <c r="K15" s="95">
        <v>0</v>
      </c>
      <c r="L15" s="440">
        <v>128.52249623451313318743953995</v>
      </c>
      <c r="M15" s="439">
        <v>272.61063829787234042553191489</v>
      </c>
      <c r="N15" s="95">
        <v>325.30975103734439834024896268</v>
      </c>
      <c r="O15" s="440">
        <v>234.94315109516426064517573566</v>
      </c>
      <c r="P15" s="5"/>
      <c r="Q15" s="420">
        <v>65.035048369320192531626685740</v>
      </c>
      <c r="R15" s="91">
        <v>77.804774348977101129392460720</v>
      </c>
      <c r="S15" s="421">
        <v>48.250365693224820760945068820</v>
      </c>
      <c r="T15" s="420">
        <v>2.0666015428952153232639932600</v>
      </c>
      <c r="U15" s="91">
        <v>36.24528227302010271124186800</v>
      </c>
      <c r="V15" s="421">
        <v>77.357374803140072024332498270</v>
      </c>
      <c r="W15" s="420">
        <v>0</v>
      </c>
      <c r="X15" s="91">
        <v>0</v>
      </c>
      <c r="Y15" s="421">
        <v>35.853403362070742146151013800</v>
      </c>
      <c r="Z15" s="420">
        <v>62.573534812503983902355966970</v>
      </c>
      <c r="AA15" s="91">
        <v>76.471648620080000263949452070</v>
      </c>
      <c r="AB15" s="421">
        <v>45.539693264829258931072888500</v>
      </c>
    </row>
    <row r="16" ht="18" customHeight="1">
      <c r="A16" s="58"/>
      <c r="B16" s="286"/>
      <c r="C16" s="287" t="s">
        <v>231</v>
      </c>
      <c r="D16" s="276">
        <v>367.42809364548494983277591973</v>
      </c>
      <c r="E16" s="94">
        <v>386.11792991035044824775876124</v>
      </c>
      <c r="F16" s="277">
        <v>316.3872699390283008386505137</v>
      </c>
      <c r="G16" s="276">
        <v>277.34532374100719424460431655</v>
      </c>
      <c r="H16" s="94">
        <v>392.18675827607745159275452847</v>
      </c>
      <c r="I16" s="277">
        <v>286.31845470986371738321216387</v>
      </c>
      <c r="J16" s="276">
        <v>0</v>
      </c>
      <c r="K16" s="94">
        <v>0</v>
      </c>
      <c r="L16" s="277">
        <v>128.36754291601009768661693137</v>
      </c>
      <c r="M16" s="276">
        <v>360.40734510793383795906924586</v>
      </c>
      <c r="N16" s="94">
        <v>386.81839809674861221252973833</v>
      </c>
      <c r="O16" s="277">
        <v>293.00395363139751825647439442</v>
      </c>
      <c r="P16" s="5"/>
      <c r="Q16" s="271">
        <v>81.69967050001735088509070241</v>
      </c>
      <c r="R16" s="92">
        <v>82.32264931219448268989069446</v>
      </c>
      <c r="S16" s="272">
        <v>69.676576618517006650367222800</v>
      </c>
      <c r="T16" s="271">
        <v>11.531148775264338993381431310</v>
      </c>
      <c r="U16" s="92">
        <v>93.21838272041114642846448313</v>
      </c>
      <c r="V16" s="272">
        <v>102.90722642315603130596778772</v>
      </c>
      <c r="W16" s="271">
        <v>0</v>
      </c>
      <c r="X16" s="92">
        <v>0</v>
      </c>
      <c r="Y16" s="272">
        <v>40.380025047341502616162137410</v>
      </c>
      <c r="Z16" s="271">
        <v>77.237971075308441506482345590</v>
      </c>
      <c r="AA16" s="92">
        <v>82.81600535924909870075829732</v>
      </c>
      <c r="AB16" s="272">
        <v>66.876034430160056317628574600</v>
      </c>
    </row>
    <row r="17" ht="18" customHeight="1">
      <c r="A17" s="58"/>
      <c r="B17" s="288"/>
      <c r="C17" s="289" t="s">
        <v>232</v>
      </c>
      <c r="D17" s="439">
        <v>347.97257179735398515650209745</v>
      </c>
      <c r="E17" s="95">
        <v>396.03336984300839722526469512</v>
      </c>
      <c r="F17" s="440">
        <v>324.75333680967041708099971334</v>
      </c>
      <c r="G17" s="439">
        <v>285.48412698412698412698412698</v>
      </c>
      <c r="H17" s="95">
        <v>346.13074204946996466431095403</v>
      </c>
      <c r="I17" s="440">
        <v>280.18428874944714367508022144</v>
      </c>
      <c r="J17" s="439">
        <v>0</v>
      </c>
      <c r="K17" s="95">
        <v>0</v>
      </c>
      <c r="L17" s="440">
        <v>133.00698773346050653146017985</v>
      </c>
      <c r="M17" s="439">
        <v>335.71802853437094682230869001</v>
      </c>
      <c r="N17" s="95">
        <v>388.95400714330471834074816715</v>
      </c>
      <c r="O17" s="440">
        <v>298.76376692300346077410376865</v>
      </c>
      <c r="P17" s="5"/>
      <c r="Q17" s="420">
        <v>47.471261281329313916080072130</v>
      </c>
      <c r="R17" s="91">
        <v>49.251295098093933734104376110</v>
      </c>
      <c r="S17" s="421">
        <v>51.427309854149566789428119130</v>
      </c>
      <c r="T17" s="420">
        <v>-3.6921017403037940678376146300</v>
      </c>
      <c r="U17" s="91">
        <v>48.025697936341110836299013700</v>
      </c>
      <c r="V17" s="421">
        <v>53.356015302911618954955199590</v>
      </c>
      <c r="W17" s="420">
        <v>0</v>
      </c>
      <c r="X17" s="91">
        <v>0</v>
      </c>
      <c r="Y17" s="421">
        <v>35.637010172993325058615525200</v>
      </c>
      <c r="Z17" s="420">
        <v>41.999754707629583918543983940</v>
      </c>
      <c r="AA17" s="91">
        <v>46.813966894327075211556800240</v>
      </c>
      <c r="AB17" s="421">
        <v>46.063719315118038056085057200</v>
      </c>
    </row>
    <row r="18" ht="18" customHeight="1">
      <c r="A18" s="58"/>
      <c r="B18" s="286"/>
      <c r="C18" s="287" t="s">
        <v>233</v>
      </c>
      <c r="D18" s="276">
        <v>359.39882697947214076246334311</v>
      </c>
      <c r="E18" s="94">
        <v>369.75613867917613428131642601</v>
      </c>
      <c r="F18" s="277">
        <v>294.31413552655241256967223353</v>
      </c>
      <c r="G18" s="276">
        <v>327.76091081593927893738140417</v>
      </c>
      <c r="H18" s="94">
        <v>358.65070298769771528998242531</v>
      </c>
      <c r="I18" s="277">
        <v>258.14273152774267761381648002</v>
      </c>
      <c r="J18" s="276">
        <v>0</v>
      </c>
      <c r="K18" s="94">
        <v>0</v>
      </c>
      <c r="L18" s="277">
        <v>127.23309509773239600892719889</v>
      </c>
      <c r="M18" s="276">
        <v>354.76223581757508342602892102</v>
      </c>
      <c r="N18" s="94">
        <v>368.16835228343488912620139455</v>
      </c>
      <c r="O18" s="277">
        <v>272.49100010448427511659495246</v>
      </c>
      <c r="P18" s="5"/>
      <c r="Q18" s="271">
        <v>47.171332819455257517987446680</v>
      </c>
      <c r="R18" s="92">
        <v>44.073306170772349274458596560</v>
      </c>
      <c r="S18" s="272">
        <v>35.458696635756321799577426430</v>
      </c>
      <c r="T18" s="271">
        <v>62.860066718307474228706548810</v>
      </c>
      <c r="U18" s="92">
        <v>39.044848283655195628976079850</v>
      </c>
      <c r="V18" s="272">
        <v>50.346393592638332536083195610</v>
      </c>
      <c r="W18" s="271">
        <v>0</v>
      </c>
      <c r="X18" s="92">
        <v>0</v>
      </c>
      <c r="Y18" s="272">
        <v>31.548395158949956968014097350</v>
      </c>
      <c r="Z18" s="271">
        <v>47.627193746327478596713406380</v>
      </c>
      <c r="AA18" s="92">
        <v>43.442102444104158628404014290</v>
      </c>
      <c r="AB18" s="272">
        <v>32.169441112747475936012335680</v>
      </c>
    </row>
    <row r="19" ht="18" customHeight="1">
      <c r="A19" s="58"/>
      <c r="B19" s="288"/>
      <c r="C19" s="289" t="s">
        <v>234</v>
      </c>
      <c r="D19" s="439">
        <v>293.76893542757417102966841187</v>
      </c>
      <c r="E19" s="95">
        <v>316.61249218261413383364602877</v>
      </c>
      <c r="F19" s="440">
        <v>254.99040751803552219286769015</v>
      </c>
      <c r="G19" s="439">
        <v>410.65112994350282485875706215</v>
      </c>
      <c r="H19" s="95">
        <v>310.09017094017094017094017094</v>
      </c>
      <c r="I19" s="440">
        <v>269.04896323006976250076889469</v>
      </c>
      <c r="J19" s="439">
        <v>0</v>
      </c>
      <c r="K19" s="95">
        <v>0</v>
      </c>
      <c r="L19" s="440">
        <v>131.20157372690501214604483641</v>
      </c>
      <c r="M19" s="439">
        <v>316.9294710327455919395465995</v>
      </c>
      <c r="N19" s="95">
        <v>315.60388580491673275178429818</v>
      </c>
      <c r="O19" s="440">
        <v>246.5949452861101559497562653</v>
      </c>
      <c r="P19" s="5"/>
      <c r="Q19" s="420">
        <v>8.155898491272058704513463940</v>
      </c>
      <c r="R19" s="91">
        <v>13.460388962035884262542161250</v>
      </c>
      <c r="S19" s="421">
        <v>9.522749869789902206196609940</v>
      </c>
      <c r="T19" s="420">
        <v>127.32473264732462220982143213</v>
      </c>
      <c r="U19" s="91">
        <v>47.780766577937521897005486740</v>
      </c>
      <c r="V19" s="421">
        <v>62.005792375561656763872963230</v>
      </c>
      <c r="W19" s="420">
        <v>0</v>
      </c>
      <c r="X19" s="91">
        <v>0</v>
      </c>
      <c r="Y19" s="421">
        <v>32.230467218521927394569607670</v>
      </c>
      <c r="Z19" s="420">
        <v>17.329605123397602146698247530</v>
      </c>
      <c r="AA19" s="91">
        <v>13.700991920860840086838315710</v>
      </c>
      <c r="AB19" s="421">
        <v>12.961558114266492611570465390</v>
      </c>
    </row>
    <row r="20" ht="18" customHeight="1">
      <c r="A20" s="58"/>
      <c r="B20" s="286"/>
      <c r="C20" s="287" t="s">
        <v>235</v>
      </c>
      <c r="D20" s="276">
        <v>216.0232220609579100145137881</v>
      </c>
      <c r="E20" s="94">
        <v>225.05137801973460360666893499</v>
      </c>
      <c r="F20" s="277">
        <v>199.02660594253867495295115864</v>
      </c>
      <c r="G20" s="276">
        <v>192.01986754966887417218543046</v>
      </c>
      <c r="H20" s="94">
        <v>241.12271540469973890339425585</v>
      </c>
      <c r="I20" s="277">
        <v>200.15205582805060841904741868</v>
      </c>
      <c r="J20" s="276">
        <v>0</v>
      </c>
      <c r="K20" s="94">
        <v>0</v>
      </c>
      <c r="L20" s="277">
        <v>118.67318656695075130443140591</v>
      </c>
      <c r="M20" s="276">
        <v>212.63477718915550015581177937</v>
      </c>
      <c r="N20" s="94">
        <v>227.67923722783549167496798064</v>
      </c>
      <c r="O20" s="277">
        <v>190.27995344266255263779160101</v>
      </c>
      <c r="P20" s="5"/>
      <c r="Q20" s="271">
        <v>-5.8193596154251377403358450300</v>
      </c>
      <c r="R20" s="92">
        <v>-9.223411602713228773717070400</v>
      </c>
      <c r="S20" s="272">
        <v>-9.367110359941271787789705150</v>
      </c>
      <c r="T20" s="271">
        <v>-26.083798990369368179039376840</v>
      </c>
      <c r="U20" s="92">
        <v>2.6984787778983307990602025700</v>
      </c>
      <c r="V20" s="272">
        <v>20.293044548441518646398200500</v>
      </c>
      <c r="W20" s="271">
        <v>0</v>
      </c>
      <c r="X20" s="92">
        <v>0</v>
      </c>
      <c r="Y20" s="272">
        <v>17.499450840618869286329851220</v>
      </c>
      <c r="Z20" s="271">
        <v>-7.5738200557158284056744327100</v>
      </c>
      <c r="AA20" s="92">
        <v>-8.086854656068601818428451710</v>
      </c>
      <c r="AB20" s="272">
        <v>-7.1557813975970680721520806300</v>
      </c>
    </row>
    <row r="21" ht="18" customHeight="1">
      <c r="A21" s="58"/>
      <c r="B21" s="288"/>
      <c r="C21" s="289" t="s">
        <v>218</v>
      </c>
      <c r="D21" s="441">
        <v>229.52662178702570379436964504</v>
      </c>
      <c r="E21" s="154">
        <v>216.93973930253190472940694737</v>
      </c>
      <c r="F21" s="442">
        <v>200.08535630130095022059931069</v>
      </c>
      <c r="G21" s="441">
        <v>223.26146788990825688073394495</v>
      </c>
      <c r="H21" s="154">
        <v>231.67396061269146608315098466</v>
      </c>
      <c r="I21" s="442">
        <v>159.20013659743565767911035382</v>
      </c>
      <c r="J21" s="441">
        <v>0</v>
      </c>
      <c r="K21" s="154">
        <v>0</v>
      </c>
      <c r="L21" s="442">
        <v>117.63374281140348672797818498</v>
      </c>
      <c r="M21" s="441">
        <v>229.13482501434308663224325875</v>
      </c>
      <c r="N21" s="154">
        <v>217.80484357936660885205884242</v>
      </c>
      <c r="O21" s="442">
        <v>186.03759799228997956068407027</v>
      </c>
      <c r="P21" s="5"/>
      <c r="Q21" s="420">
        <v>-13.947794770267695711425032690</v>
      </c>
      <c r="R21" s="91">
        <v>-12.178685909384392940445623260</v>
      </c>
      <c r="S21" s="421">
        <v>-8.635509952971740531966856920</v>
      </c>
      <c r="T21" s="420">
        <v>-24.885470016961260997158176640</v>
      </c>
      <c r="U21" s="91">
        <v>15.728213188694147006460469730</v>
      </c>
      <c r="V21" s="421">
        <v>5.0704691775996253197971236400</v>
      </c>
      <c r="W21" s="420">
        <v>0</v>
      </c>
      <c r="X21" s="91">
        <v>0</v>
      </c>
      <c r="Y21" s="421">
        <v>15.749807994486449878296171720</v>
      </c>
      <c r="Z21" s="420">
        <v>-14.251757285096864985392944240</v>
      </c>
      <c r="AA21" s="91">
        <v>-10.685706106877608117473657890</v>
      </c>
      <c r="AB21" s="421">
        <v>-9.360220344660180024106053940</v>
      </c>
    </row>
    <row r="22" ht="18" customHeight="1">
      <c r="A22" s="58"/>
      <c r="B22" s="286"/>
      <c r="C22" s="287" t="s">
        <v>221</v>
      </c>
      <c r="D22" s="276">
        <v>194.07859163784973278843131091</v>
      </c>
      <c r="E22" s="94">
        <v>187.42602892102335928809788655</v>
      </c>
      <c r="F22" s="277">
        <v>177.6470285048309064273781702</v>
      </c>
      <c r="G22" s="276">
        <v>153.26086956521739130434782609</v>
      </c>
      <c r="H22" s="94">
        <v>180.85306122448979591836734696</v>
      </c>
      <c r="I22" s="277">
        <v>163.83835053395872407894514487</v>
      </c>
      <c r="J22" s="276">
        <v>0</v>
      </c>
      <c r="K22" s="94">
        <v>0</v>
      </c>
      <c r="L22" s="277">
        <v>118.27043906842478094636012082</v>
      </c>
      <c r="M22" s="276">
        <v>193.212000000</v>
      </c>
      <c r="N22" s="94">
        <v>187.10648852437330511277200874</v>
      </c>
      <c r="O22" s="277">
        <v>169.26024937060508724715687126</v>
      </c>
      <c r="P22" s="5"/>
      <c r="Q22" s="271">
        <v>-6.3049256481270932768103037900</v>
      </c>
      <c r="R22" s="92">
        <v>-6.5662357379314082790431314200</v>
      </c>
      <c r="S22" s="272">
        <v>0.6353790332883704702609916600</v>
      </c>
      <c r="T22" s="271">
        <v>-9.523416659814437328238311120</v>
      </c>
      <c r="U22" s="92">
        <v>-18.305905685441717785068057980</v>
      </c>
      <c r="V22" s="272">
        <v>20.527438011987938793612157060</v>
      </c>
      <c r="W22" s="271">
        <v>0</v>
      </c>
      <c r="X22" s="92">
        <v>0</v>
      </c>
      <c r="Y22" s="272">
        <v>10.175562399712755792901932230</v>
      </c>
      <c r="Z22" s="271">
        <v>-6.5397399686276264166636040100</v>
      </c>
      <c r="AA22" s="92">
        <v>-6.8681043341824061622067149100</v>
      </c>
      <c r="AB22" s="272">
        <v>1.1429229210345960645931644600</v>
      </c>
    </row>
    <row r="23" ht="18" customHeight="1">
      <c r="A23" s="58"/>
      <c r="B23" s="288"/>
      <c r="C23" s="289" t="s">
        <v>222</v>
      </c>
      <c r="D23" s="439">
        <v>183.29151873767258382642998028</v>
      </c>
      <c r="E23" s="95">
        <v>185.1376603646185010128291695</v>
      </c>
      <c r="F23" s="440">
        <v>177.08218738605472896268816163</v>
      </c>
      <c r="G23" s="439">
        <v>207.43661971830985915492957746</v>
      </c>
      <c r="H23" s="95">
        <v>201.09484690067214339058999255</v>
      </c>
      <c r="I23" s="440">
        <v>177.09076225384746779280578235</v>
      </c>
      <c r="J23" s="439">
        <v>0</v>
      </c>
      <c r="K23" s="95">
        <v>0</v>
      </c>
      <c r="L23" s="440">
        <v>116.83941755560547625249588353</v>
      </c>
      <c r="M23" s="439">
        <v>184.57228240567799775868509526</v>
      </c>
      <c r="N23" s="95">
        <v>186.75794342913475392431940549</v>
      </c>
      <c r="O23" s="440">
        <v>170.88192967051099966408740799</v>
      </c>
      <c r="P23" s="5"/>
      <c r="Q23" s="420">
        <v>-0.132871314290941361706888400</v>
      </c>
      <c r="R23" s="91">
        <v>-1.5904973125742981358358671300</v>
      </c>
      <c r="S23" s="421">
        <v>6.6927025397771678593682615400</v>
      </c>
      <c r="T23" s="420">
        <v>28.556595330023286179868301380</v>
      </c>
      <c r="U23" s="91">
        <v>20.410611469858082421202356220</v>
      </c>
      <c r="V23" s="421">
        <v>24.988125013519847291705421700</v>
      </c>
      <c r="W23" s="420">
        <v>0</v>
      </c>
      <c r="X23" s="91">
        <v>0</v>
      </c>
      <c r="Y23" s="421">
        <v>6.5104925879351375373998524900</v>
      </c>
      <c r="Z23" s="420">
        <v>0.9137968582076615383711579200</v>
      </c>
      <c r="AA23" s="91">
        <v>0.2993136161245083870198277300</v>
      </c>
      <c r="AB23" s="421">
        <v>8.381583839987042196135028320</v>
      </c>
    </row>
    <row r="24" ht="18" customHeight="1">
      <c r="A24" s="59"/>
      <c r="B24" s="286"/>
      <c r="C24" s="287" t="s">
        <v>224</v>
      </c>
      <c r="D24" s="276">
        <v>211.17913669064748201438848921</v>
      </c>
      <c r="E24" s="94">
        <v>230.06994685410594891136636379</v>
      </c>
      <c r="F24" s="277">
        <v>207.20564739249474574987171409</v>
      </c>
      <c r="G24" s="276">
        <v>223.68482490272373540856031128</v>
      </c>
      <c r="H24" s="94">
        <v>258.83853410740203193033381713</v>
      </c>
      <c r="I24" s="277">
        <v>216.32836961429486269013798216</v>
      </c>
      <c r="J24" s="276">
        <v>0</v>
      </c>
      <c r="K24" s="94">
        <v>0</v>
      </c>
      <c r="L24" s="277">
        <v>115.43575114858967683667437675</v>
      </c>
      <c r="M24" s="276">
        <v>212.23740533421139282186368126</v>
      </c>
      <c r="N24" s="94">
        <v>235.56753570933296352794341978</v>
      </c>
      <c r="O24" s="277">
        <v>199.96778282285365892791246169</v>
      </c>
      <c r="P24" s="93"/>
      <c r="Q24" s="271">
        <v>13.852902456403704801252600430</v>
      </c>
      <c r="R24" s="92">
        <v>16.241292025251017727868052340</v>
      </c>
      <c r="S24" s="272">
        <v>17.683196060526585235333820530</v>
      </c>
      <c r="T24" s="271">
        <v>27.859607897186194301847249900</v>
      </c>
      <c r="U24" s="92">
        <v>31.485883572522645517325015060</v>
      </c>
      <c r="V24" s="272">
        <v>27.710552562648883637548623070</v>
      </c>
      <c r="W24" s="271">
        <v>0</v>
      </c>
      <c r="X24" s="92">
        <v>0</v>
      </c>
      <c r="Y24" s="272">
        <v>6.1435852751219425101190222400</v>
      </c>
      <c r="Z24" s="271">
        <v>14.623028855314273128633840750</v>
      </c>
      <c r="AA24" s="92">
        <v>19.083362390073283568836448220</v>
      </c>
      <c r="AB24" s="272">
        <v>18.444905144754721352076299700</v>
      </c>
    </row>
    <row r="25" ht="18" customHeight="1">
      <c r="A25" s="60"/>
      <c r="B25" s="288"/>
      <c r="C25" s="289" t="s">
        <v>227</v>
      </c>
      <c r="D25" s="439">
        <v>262.47632027257240204429301533</v>
      </c>
      <c r="E25" s="95">
        <v>265.01215094339622641509433964</v>
      </c>
      <c r="F25" s="440">
        <v>234.1682398870040831406339272</v>
      </c>
      <c r="G25" s="439">
        <v>265.70552147239263803680981595</v>
      </c>
      <c r="H25" s="95">
        <v>357.46324081020255063765941489</v>
      </c>
      <c r="I25" s="440">
        <v>229.81797077106219743570226798</v>
      </c>
      <c r="J25" s="439">
        <v>0</v>
      </c>
      <c r="K25" s="95">
        <v>0</v>
      </c>
      <c r="L25" s="440">
        <v>120.12546148813094720187628226</v>
      </c>
      <c r="M25" s="439">
        <v>262.937500000</v>
      </c>
      <c r="N25" s="95">
        <v>280.49811510429756220155818046</v>
      </c>
      <c r="O25" s="440">
        <v>221.200369219919207214308309</v>
      </c>
      <c r="P25" s="93"/>
      <c r="Q25" s="420">
        <v>13.777576765187189234308515100</v>
      </c>
      <c r="R25" s="91">
        <v>11.123939365327918507619753160</v>
      </c>
      <c r="S25" s="421">
        <v>15.282446255399536263853134610</v>
      </c>
      <c r="T25" s="420">
        <v>4.8923844944061734169493475300</v>
      </c>
      <c r="U25" s="91">
        <v>33.007227537393499286990013130</v>
      </c>
      <c r="V25" s="421">
        <v>16.712135403387217458481542840</v>
      </c>
      <c r="W25" s="420">
        <v>0</v>
      </c>
      <c r="X25" s="91">
        <v>-100</v>
      </c>
      <c r="Y25" s="421">
        <v>8.513451061180812575230486920</v>
      </c>
      <c r="Z25" s="420">
        <v>12.917032463494567736462841820</v>
      </c>
      <c r="AA25" s="91">
        <v>16.101109029612730295297409930</v>
      </c>
      <c r="AB25" s="421">
        <v>14.442819365080562942933887310</v>
      </c>
    </row>
    <row r="26" ht="18" customHeight="1">
      <c r="A26" s="60"/>
      <c r="B26" s="290"/>
      <c r="C26" s="291" t="s">
        <v>229</v>
      </c>
      <c r="D26" s="443">
        <v>317.6725555893999390801096558</v>
      </c>
      <c r="E26" s="444">
        <v>313.76913460202805945270176411</v>
      </c>
      <c r="F26" s="445">
        <v>270.34708377958992941781987161</v>
      </c>
      <c r="G26" s="443">
        <v>346.78</v>
      </c>
      <c r="H26" s="444">
        <v>454.45218056618209640397857686</v>
      </c>
      <c r="I26" s="445">
        <v>242.09659519614852414811857595</v>
      </c>
      <c r="J26" s="443">
        <v>0</v>
      </c>
      <c r="K26" s="444">
        <v>0</v>
      </c>
      <c r="L26" s="445">
        <v>123.30046212504017062950212001</v>
      </c>
      <c r="M26" s="443">
        <v>319.73223889046136427964902349</v>
      </c>
      <c r="N26" s="444">
        <v>325.47704552690226042661572745</v>
      </c>
      <c r="O26" s="445">
        <v>249.26622795551891250578133483</v>
      </c>
      <c r="P26" s="184"/>
      <c r="Q26" s="273">
        <v>-5.4005767437935339860577036700</v>
      </c>
      <c r="R26" s="274">
        <v>-11.309014908987122098900640230</v>
      </c>
      <c r="S26" s="275">
        <v>-1.2948632213290469463887191700</v>
      </c>
      <c r="T26" s="273">
        <v>-2.2053017484489565707839819500</v>
      </c>
      <c r="U26" s="274">
        <v>69.262098441951788882985813080</v>
      </c>
      <c r="V26" s="275">
        <v>4.2107419475090188027004020600</v>
      </c>
      <c r="W26" s="273">
        <v>0</v>
      </c>
      <c r="X26" s="274">
        <v>0</v>
      </c>
      <c r="Y26" s="275">
        <v>6.6415524388825232854920462700</v>
      </c>
      <c r="Z26" s="273">
        <v>-5.1198492329308838951420960200</v>
      </c>
      <c r="AA26" s="274">
        <v>-6.7168973216714882417544129600</v>
      </c>
      <c r="AB26" s="275">
        <v>-2.0064009084457138550609565300</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1037" t="s">
        <v>59</v>
      </c>
      <c r="C28" s="1037"/>
      <c r="D28" s="1037"/>
      <c r="E28" s="1037"/>
      <c r="F28" s="1037"/>
      <c r="G28" s="1037"/>
      <c r="H28" s="1037"/>
      <c r="I28" s="1037"/>
      <c r="J28" s="1037"/>
      <c r="K28" s="1037"/>
      <c r="L28" s="1037"/>
      <c r="M28" s="1037"/>
      <c r="N28" s="1037"/>
      <c r="O28" s="1037"/>
      <c r="P28" s="411"/>
      <c r="Q28" s="1038"/>
      <c r="R28" s="1038"/>
      <c r="S28" s="1038"/>
      <c r="T28" s="1038"/>
      <c r="U28" s="1038"/>
      <c r="V28" s="1038"/>
      <c r="W28" s="1038"/>
      <c r="X28" s="1038"/>
      <c r="Y28" s="1038"/>
      <c r="Z28" s="1038"/>
      <c r="AA28" s="1038"/>
      <c r="AB28" s="1038"/>
      <c r="AC28" s="9"/>
    </row>
    <row r="29" ht="18" customHeight="1">
      <c r="A29" s="58"/>
      <c r="B29" s="284">
        <v>2020</v>
      </c>
      <c r="C29" s="285"/>
      <c r="D29" s="454">
        <v>191.36636818106905455144756359</v>
      </c>
      <c r="E29" s="455">
        <v>210.75877117071146296422682382</v>
      </c>
      <c r="F29" s="456">
        <v>181.32585723221598178679763288</v>
      </c>
      <c r="G29" s="454">
        <v>362.10180722891566265060240964</v>
      </c>
      <c r="H29" s="455">
        <v>347.50167638495666902641362654</v>
      </c>
      <c r="I29" s="456">
        <v>250.73982541576837615764954314</v>
      </c>
      <c r="J29" s="454">
        <v>0</v>
      </c>
      <c r="K29" s="455">
        <v>0</v>
      </c>
      <c r="L29" s="456">
        <v>108.36126236379162657029779525</v>
      </c>
      <c r="M29" s="454">
        <v>205.63515078286260887076473846</v>
      </c>
      <c r="N29" s="455">
        <v>223.18590302999951209887041139</v>
      </c>
      <c r="O29" s="456">
        <v>186.66460907780639368664792193</v>
      </c>
      <c r="P29" s="5"/>
      <c r="Q29" s="427">
        <v>-0.9851504546912050768762679100</v>
      </c>
      <c r="R29" s="428">
        <v>2.0733601553218652761658350400</v>
      </c>
      <c r="S29" s="429">
        <v>-2.6740277162946976595351100400</v>
      </c>
      <c r="T29" s="427">
        <v>73.966734455093404381074164910</v>
      </c>
      <c r="U29" s="428">
        <v>44.271261935386434515586631220</v>
      </c>
      <c r="V29" s="429">
        <v>28.598093696883829895902928890</v>
      </c>
      <c r="W29" s="427">
        <v>0</v>
      </c>
      <c r="X29" s="428">
        <v>-100</v>
      </c>
      <c r="Y29" s="429">
        <v>-11.363922260303243251822516950</v>
      </c>
      <c r="Z29" s="427">
        <v>5.6208548544613259021366218100</v>
      </c>
      <c r="AA29" s="428">
        <v>6.3579455426976815210186014800</v>
      </c>
      <c r="AB29" s="429">
        <v>2.0554258137590537445109074500</v>
      </c>
    </row>
    <row r="30" ht="18" customHeight="1">
      <c r="A30" s="58"/>
      <c r="B30" s="286">
        <v>2021</v>
      </c>
      <c r="C30" s="287"/>
      <c r="D30" s="276">
        <v>233.25113612889898781243544722</v>
      </c>
      <c r="E30" s="94">
        <v>245.06323555780388948188277812</v>
      </c>
      <c r="F30" s="277">
        <v>208.60733658574641691846954058</v>
      </c>
      <c r="G30" s="276">
        <v>247.15625</v>
      </c>
      <c r="H30" s="94">
        <v>224.93165156163175802497870009</v>
      </c>
      <c r="I30" s="277">
        <v>171.3861381701529048459393465</v>
      </c>
      <c r="J30" s="276">
        <v>0</v>
      </c>
      <c r="K30" s="94">
        <v>128.87105999607170523627129154</v>
      </c>
      <c r="L30" s="277">
        <v>104.26535583156926437878362633</v>
      </c>
      <c r="M30" s="276">
        <v>233.74962656841266679944234216</v>
      </c>
      <c r="N30" s="94">
        <v>244.13632952012674883858320578</v>
      </c>
      <c r="O30" s="277">
        <v>196.71647829114544472893073168</v>
      </c>
      <c r="P30" s="5"/>
      <c r="Q30" s="271">
        <v>21.887214742018431323648295450</v>
      </c>
      <c r="R30" s="92">
        <v>16.276648509835754581997038240</v>
      </c>
      <c r="S30" s="272">
        <v>15.045553772626394402443691620</v>
      </c>
      <c r="T30" s="271">
        <v>-31.743988826942807710188508710</v>
      </c>
      <c r="U30" s="92">
        <v>-35.271779433826929558402366130</v>
      </c>
      <c r="V30" s="272">
        <v>-31.647819453513402534420659250</v>
      </c>
      <c r="W30" s="271">
        <v>0</v>
      </c>
      <c r="X30" s="92">
        <v>0</v>
      </c>
      <c r="Y30" s="272">
        <v>-3.7798623261508309848584548100</v>
      </c>
      <c r="Z30" s="271">
        <v>13.672018464972760852009297750</v>
      </c>
      <c r="AA30" s="92">
        <v>9.386984664219878367191158250</v>
      </c>
      <c r="AB30" s="272">
        <v>5.3849892933672944177066669500</v>
      </c>
    </row>
    <row r="31" ht="18" customHeight="1">
      <c r="A31" s="58"/>
      <c r="B31" s="425">
        <v>2022</v>
      </c>
      <c r="C31" s="426"/>
      <c r="D31" s="457">
        <v>274.05340406233680565099084737</v>
      </c>
      <c r="E31" s="458">
        <v>285.0048058601026081483181012</v>
      </c>
      <c r="F31" s="459">
        <v>244.17593630657084595203308252</v>
      </c>
      <c r="G31" s="457">
        <v>287.87870855148342059336823735</v>
      </c>
      <c r="H31" s="458">
        <v>311.82551413237367472456075206</v>
      </c>
      <c r="I31" s="459">
        <v>234.47053642710605862295295205</v>
      </c>
      <c r="J31" s="457">
        <v>0</v>
      </c>
      <c r="K31" s="458">
        <v>0</v>
      </c>
      <c r="L31" s="459">
        <v>123.14805454311241383864164468</v>
      </c>
      <c r="M31" s="457">
        <v>275.60038567627602704615910367</v>
      </c>
      <c r="N31" s="458">
        <v>288.21114352095239710346464972</v>
      </c>
      <c r="O31" s="459">
        <v>229.99410822396806199078871219</v>
      </c>
      <c r="P31" s="93"/>
      <c r="Q31" s="430">
        <v>17.492848528244048465463537510</v>
      </c>
      <c r="R31" s="431">
        <v>16.298475049262168731076174690</v>
      </c>
      <c r="S31" s="432">
        <v>17.050502778582077850741477540</v>
      </c>
      <c r="T31" s="430">
        <v>16.476402499019717524184898160</v>
      </c>
      <c r="U31" s="431">
        <v>38.631229516836956733138638210</v>
      </c>
      <c r="V31" s="432">
        <v>36.808343387875545790517068020</v>
      </c>
      <c r="W31" s="430">
        <v>0</v>
      </c>
      <c r="X31" s="431">
        <v>-100</v>
      </c>
      <c r="Y31" s="432">
        <v>18.110232838997879544490380710</v>
      </c>
      <c r="Z31" s="430">
        <v>17.904096670558583726120748430</v>
      </c>
      <c r="AA31" s="431">
        <v>18.053361450747817297656364760</v>
      </c>
      <c r="AB31" s="432">
        <v>16.916544166485128877790553990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1039" t="s">
        <v>44</v>
      </c>
      <c r="C33" s="1039"/>
      <c r="D33" s="1039"/>
      <c r="E33" s="1039"/>
      <c r="F33" s="1039"/>
      <c r="G33" s="1039"/>
      <c r="H33" s="1039"/>
      <c r="I33" s="1039"/>
      <c r="J33" s="1039"/>
      <c r="K33" s="1039"/>
      <c r="L33" s="1039"/>
      <c r="M33" s="1039"/>
      <c r="N33" s="1039"/>
      <c r="O33" s="1039"/>
      <c r="P33" s="411"/>
      <c r="Q33" s="1038"/>
      <c r="R33" s="1038"/>
      <c r="S33" s="1038"/>
      <c r="T33" s="1038"/>
      <c r="U33" s="1038"/>
      <c r="V33" s="1038"/>
      <c r="W33" s="1038"/>
      <c r="X33" s="1038"/>
      <c r="Y33" s="1038"/>
      <c r="Z33" s="1038"/>
      <c r="AA33" s="1038"/>
      <c r="AB33" s="1038"/>
      <c r="AC33" s="9"/>
    </row>
    <row r="34" ht="18" customHeight="1">
      <c r="A34" s="58"/>
      <c r="B34" s="284">
        <v>2020</v>
      </c>
      <c r="C34" s="285"/>
      <c r="D34" s="454">
        <v>138.57017291066282420749279539</v>
      </c>
      <c r="E34" s="455">
        <v>146.41194408142251792008237298</v>
      </c>
      <c r="F34" s="456">
        <v>136.01719992799119220506310482</v>
      </c>
      <c r="G34" s="454">
        <v>191.67298578199052132701421801</v>
      </c>
      <c r="H34" s="455">
        <v>197.06885245901639344262295083</v>
      </c>
      <c r="I34" s="456">
        <v>115.87803109706984821141101678</v>
      </c>
      <c r="J34" s="454">
        <v>0</v>
      </c>
      <c r="K34" s="455">
        <v>0</v>
      </c>
      <c r="L34" s="456">
        <v>94.37878486243600442192320129</v>
      </c>
      <c r="M34" s="454">
        <v>140.13704377010208362466787862</v>
      </c>
      <c r="N34" s="455">
        <v>147.0165127562998904366880576</v>
      </c>
      <c r="O34" s="456">
        <v>131.26160948276807351119006108</v>
      </c>
      <c r="P34" s="5"/>
      <c r="Q34" s="427">
        <v>-28.967383628009099000250931870</v>
      </c>
      <c r="R34" s="428">
        <v>-29.682664146864234072097382740</v>
      </c>
      <c r="S34" s="429">
        <v>-27.022147178638338196583809700</v>
      </c>
      <c r="T34" s="427">
        <v>20.595356358564467146364263820</v>
      </c>
      <c r="U34" s="428">
        <v>-7.406259068360736585198841700</v>
      </c>
      <c r="V34" s="429">
        <v>-38.468187165343014079902446200</v>
      </c>
      <c r="W34" s="427">
        <v>0</v>
      </c>
      <c r="X34" s="428">
        <v>0</v>
      </c>
      <c r="Y34" s="429">
        <v>-23.298349624049515839669369040</v>
      </c>
      <c r="Z34" s="427">
        <v>-27.274979319885839337582836260</v>
      </c>
      <c r="AA34" s="428">
        <v>-29.549216201614025138658809960</v>
      </c>
      <c r="AB34" s="429">
        <v>-27.839869216687380902128997490</v>
      </c>
    </row>
    <row r="35" ht="18" customHeight="1">
      <c r="A35" s="58"/>
      <c r="B35" s="286">
        <v>2021</v>
      </c>
      <c r="C35" s="287"/>
      <c r="D35" s="276">
        <v>256.51837849191346355807603445</v>
      </c>
      <c r="E35" s="94">
        <v>270.12219231079012730027190202</v>
      </c>
      <c r="F35" s="277">
        <v>221.71193327435550106631741201</v>
      </c>
      <c r="G35" s="276">
        <v>279.53834355828220858895705521</v>
      </c>
      <c r="H35" s="94">
        <v>243.91869414999669406696077562</v>
      </c>
      <c r="I35" s="277">
        <v>200.4539823279075200553921606</v>
      </c>
      <c r="J35" s="276">
        <v>0</v>
      </c>
      <c r="K35" s="94">
        <v>128.87105999607170523627129154</v>
      </c>
      <c r="L35" s="277">
        <v>111.91905622289232894039508784</v>
      </c>
      <c r="M35" s="276">
        <v>257.99361116571653233733045017</v>
      </c>
      <c r="N35" s="94">
        <v>267.75945269821820595292796244</v>
      </c>
      <c r="O35" s="277">
        <v>208.58919936149942784419284453</v>
      </c>
      <c r="P35" s="5"/>
      <c r="Q35" s="271">
        <v>85.11803305407135998550117919</v>
      </c>
      <c r="R35" s="92">
        <v>84.49464215884701905397173642</v>
      </c>
      <c r="S35" s="272">
        <v>63.002865366819464104853964180</v>
      </c>
      <c r="T35" s="271">
        <v>45.841284006613330333036140700</v>
      </c>
      <c r="U35" s="92">
        <v>23.773336631542908124404574770</v>
      </c>
      <c r="V35" s="272">
        <v>72.987045456387759054379899290</v>
      </c>
      <c r="W35" s="271">
        <v>0</v>
      </c>
      <c r="X35" s="92">
        <v>0</v>
      </c>
      <c r="Y35" s="272">
        <v>18.584972656794905037339564360</v>
      </c>
      <c r="Z35" s="271">
        <v>84.10093735740892845007746608</v>
      </c>
      <c r="AA35" s="92">
        <v>82.12882871332022514184467911</v>
      </c>
      <c r="AB35" s="272">
        <v>58.911048084346495930099380530</v>
      </c>
    </row>
    <row r="36" ht="18" customHeight="1">
      <c r="A36" s="58"/>
      <c r="B36" s="425">
        <v>2022</v>
      </c>
      <c r="C36" s="426"/>
      <c r="D36" s="457">
        <v>266.76650366748166259168704156</v>
      </c>
      <c r="E36" s="458">
        <v>272.49974563768632039477031083</v>
      </c>
      <c r="F36" s="459">
        <v>238.59711478719800350618521208</v>
      </c>
      <c r="G36" s="457">
        <v>275.21285140562248995983935743</v>
      </c>
      <c r="H36" s="458">
        <v>335.90801010551344924951701591</v>
      </c>
      <c r="I36" s="459">
        <v>228.27622725857999949542768604</v>
      </c>
      <c r="J36" s="457">
        <v>0</v>
      </c>
      <c r="K36" s="458">
        <v>0</v>
      </c>
      <c r="L36" s="459">
        <v>119.93587159739635292938710367</v>
      </c>
      <c r="M36" s="457">
        <v>267.60826495897538523113868321</v>
      </c>
      <c r="N36" s="458">
        <v>281.76660947375279629911169993</v>
      </c>
      <c r="O36" s="459">
        <v>223.98688693981366287910204307</v>
      </c>
      <c r="P36" s="93"/>
      <c r="Q36" s="430">
        <v>3.9950841868842019094646124600</v>
      </c>
      <c r="R36" s="431">
        <v>0.8801769697436522996996261200</v>
      </c>
      <c r="S36" s="432">
        <v>7.6158198899922061155123294600</v>
      </c>
      <c r="T36" s="430">
        <v>-1.5473698876574309368962688800</v>
      </c>
      <c r="U36" s="431">
        <v>37.713106113524775628402574370</v>
      </c>
      <c r="V36" s="432">
        <v>13.879616961247861606209423090</v>
      </c>
      <c r="W36" s="430">
        <v>0</v>
      </c>
      <c r="X36" s="431">
        <v>-100</v>
      </c>
      <c r="Y36" s="432">
        <v>7.1630476927270719852198004700</v>
      </c>
      <c r="Z36" s="430">
        <v>3.7267022814375971313477932500</v>
      </c>
      <c r="AA36" s="431">
        <v>5.2312464170371224898378230600</v>
      </c>
      <c r="AB36" s="432">
        <v>7.3818239992514517119402932900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9" t="s">
        <v>45</v>
      </c>
      <c r="C38" s="1039"/>
      <c r="D38" s="1039"/>
      <c r="E38" s="1039"/>
      <c r="F38" s="1039"/>
      <c r="G38" s="1039"/>
      <c r="H38" s="1039"/>
      <c r="I38" s="1039"/>
      <c r="J38" s="1039"/>
      <c r="K38" s="1039"/>
      <c r="L38" s="1039"/>
      <c r="M38" s="1039"/>
      <c r="N38" s="1039"/>
      <c r="O38" s="1039"/>
      <c r="P38" s="411"/>
      <c r="Q38" s="1038"/>
      <c r="R38" s="1038"/>
      <c r="S38" s="1038"/>
      <c r="T38" s="1038"/>
      <c r="U38" s="1038"/>
      <c r="V38" s="1038"/>
      <c r="W38" s="1038"/>
      <c r="X38" s="1038"/>
      <c r="Y38" s="1038"/>
      <c r="Z38" s="1038"/>
      <c r="AA38" s="1038"/>
      <c r="AB38" s="1038"/>
      <c r="AC38" s="9"/>
    </row>
    <row r="39" ht="18" customHeight="1">
      <c r="A39" s="58"/>
      <c r="B39" s="284">
        <v>2020</v>
      </c>
      <c r="C39" s="285"/>
      <c r="D39" s="454">
        <v>191.36636818106905455144756359</v>
      </c>
      <c r="E39" s="455">
        <v>210.75877117071146296422682382</v>
      </c>
      <c r="F39" s="456">
        <v>181.32585723221598178679763288</v>
      </c>
      <c r="G39" s="454">
        <v>362.10180722891566265060240964</v>
      </c>
      <c r="H39" s="455">
        <v>347.50167638495666902641362654</v>
      </c>
      <c r="I39" s="456">
        <v>250.73982541576837615764954314</v>
      </c>
      <c r="J39" s="454">
        <v>0</v>
      </c>
      <c r="K39" s="455">
        <v>0</v>
      </c>
      <c r="L39" s="456">
        <v>108.36126236379162657029779525</v>
      </c>
      <c r="M39" s="454">
        <v>205.63515078286260887076473846</v>
      </c>
      <c r="N39" s="455">
        <v>223.18590302999951209887041139</v>
      </c>
      <c r="O39" s="456">
        <v>186.66460907780639368664792193</v>
      </c>
      <c r="P39" s="5"/>
      <c r="Q39" s="427">
        <v>-0.9851504546912050768762679100</v>
      </c>
      <c r="R39" s="428">
        <v>2.0733601553218652761658350400</v>
      </c>
      <c r="S39" s="429">
        <v>-2.6740277162946976595351100400</v>
      </c>
      <c r="T39" s="427">
        <v>73.966734455093404381074164910</v>
      </c>
      <c r="U39" s="428">
        <v>44.271261935386434515586631220</v>
      </c>
      <c r="V39" s="429">
        <v>28.598093696883829895902928890</v>
      </c>
      <c r="W39" s="427">
        <v>0</v>
      </c>
      <c r="X39" s="428">
        <v>-100</v>
      </c>
      <c r="Y39" s="429">
        <v>-11.363922260303243251822516950</v>
      </c>
      <c r="Z39" s="427">
        <v>5.6208548544613259021366218100</v>
      </c>
      <c r="AA39" s="428">
        <v>6.3579455426976815210186014800</v>
      </c>
      <c r="AB39" s="429">
        <v>2.0554258137590537445109074500</v>
      </c>
    </row>
    <row r="40" ht="18" customHeight="1">
      <c r="A40" s="58"/>
      <c r="B40" s="286">
        <v>2021</v>
      </c>
      <c r="C40" s="287"/>
      <c r="D40" s="276">
        <v>233.25113612889898781243544722</v>
      </c>
      <c r="E40" s="94">
        <v>245.06323555780388948188277812</v>
      </c>
      <c r="F40" s="277">
        <v>208.60733658574641691846954058</v>
      </c>
      <c r="G40" s="276">
        <v>247.15625</v>
      </c>
      <c r="H40" s="94">
        <v>224.93165156163175802497870009</v>
      </c>
      <c r="I40" s="277">
        <v>171.3861381701529048459393465</v>
      </c>
      <c r="J40" s="276">
        <v>0</v>
      </c>
      <c r="K40" s="94">
        <v>128.87105999607170523627129154</v>
      </c>
      <c r="L40" s="277">
        <v>104.26535583156926437878362633</v>
      </c>
      <c r="M40" s="276">
        <v>233.74962656841266679944234216</v>
      </c>
      <c r="N40" s="94">
        <v>244.13632952012674883858320578</v>
      </c>
      <c r="O40" s="277">
        <v>196.71647829114544472893073168</v>
      </c>
      <c r="P40" s="5"/>
      <c r="Q40" s="271">
        <v>21.887214742018431323648295450</v>
      </c>
      <c r="R40" s="92">
        <v>16.276648509835754581997038240</v>
      </c>
      <c r="S40" s="272">
        <v>15.045553772626394402443691620</v>
      </c>
      <c r="T40" s="271">
        <v>-31.743988826942807710188508710</v>
      </c>
      <c r="U40" s="92">
        <v>-35.271779433826929558402366130</v>
      </c>
      <c r="V40" s="272">
        <v>-31.647819453513402534420659250</v>
      </c>
      <c r="W40" s="271">
        <v>0</v>
      </c>
      <c r="X40" s="92">
        <v>0</v>
      </c>
      <c r="Y40" s="272">
        <v>-3.7798623261508309848584548100</v>
      </c>
      <c r="Z40" s="271">
        <v>13.672018464972760852009297750</v>
      </c>
      <c r="AA40" s="92">
        <v>9.386984664219878367191158250</v>
      </c>
      <c r="AB40" s="272">
        <v>5.3849892933672944177066669500</v>
      </c>
    </row>
    <row r="41" ht="18" customHeight="1">
      <c r="A41" s="58"/>
      <c r="B41" s="425">
        <v>2022</v>
      </c>
      <c r="C41" s="426"/>
      <c r="D41" s="457">
        <v>274.05340406233680565099084737</v>
      </c>
      <c r="E41" s="458">
        <v>285.0048058601026081483181012</v>
      </c>
      <c r="F41" s="459">
        <v>244.17593630657084595203308252</v>
      </c>
      <c r="G41" s="457">
        <v>287.87870855148342059336823735</v>
      </c>
      <c r="H41" s="458">
        <v>311.82551413237367472456075206</v>
      </c>
      <c r="I41" s="459">
        <v>234.47053642710605862295295205</v>
      </c>
      <c r="J41" s="457">
        <v>0</v>
      </c>
      <c r="K41" s="458">
        <v>0</v>
      </c>
      <c r="L41" s="459">
        <v>123.14805454311241383864164468</v>
      </c>
      <c r="M41" s="457">
        <v>275.60038567627602704615910367</v>
      </c>
      <c r="N41" s="458">
        <v>288.21114352095239710346464972</v>
      </c>
      <c r="O41" s="459">
        <v>229.99410822396806199078871219</v>
      </c>
      <c r="P41" s="93"/>
      <c r="Q41" s="430">
        <v>17.492848528244048465463537510</v>
      </c>
      <c r="R41" s="431">
        <v>16.298475049262168731076174690</v>
      </c>
      <c r="S41" s="432">
        <v>17.050502778582077850741477540</v>
      </c>
      <c r="T41" s="430">
        <v>16.476402499019717524184898160</v>
      </c>
      <c r="U41" s="431">
        <v>38.631229516836956733138638210</v>
      </c>
      <c r="V41" s="432">
        <v>36.808343387875545790517068020</v>
      </c>
      <c r="W41" s="430">
        <v>0</v>
      </c>
      <c r="X41" s="431">
        <v>-100</v>
      </c>
      <c r="Y41" s="432">
        <v>18.110232838997879544490380710</v>
      </c>
      <c r="Z41" s="430">
        <v>17.904096670558583726120748430</v>
      </c>
      <c r="AA41" s="431">
        <v>18.053361450747817297656364760</v>
      </c>
      <c r="AB41" s="432">
        <v>16.916544166485128877790553990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row>
    <row r="44" ht="12" customHeight="1">
      <c r="Z44" s="55"/>
      <c r="AA44" s="233"/>
      <c r="AB44" s="233"/>
    </row>
    <row r="45" ht="12" customHeight="1"/>
    <row r="46">
      <c r="A46" s="236"/>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c r="AA46" s="236"/>
      <c r="AB46" s="236"/>
      <c r="AC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sheetData>
  <mergeCells count="22">
    <mergeCell ref="B43:AB43"/>
    <mergeCell ref="Q38:AB38"/>
    <mergeCell ref="B28:O28"/>
    <mergeCell ref="B33:O33"/>
    <mergeCell ref="B38:O38"/>
    <mergeCell ref="Q33:AB33"/>
    <mergeCell ref="Q28:AB28"/>
    <mergeCell ref="D7:F7"/>
    <mergeCell ref="Z7:AB7"/>
    <mergeCell ref="T7:V7"/>
    <mergeCell ref="B8:C8"/>
    <mergeCell ref="Q7:S7"/>
    <mergeCell ref="J7:L7"/>
    <mergeCell ref="M7:O7"/>
    <mergeCell ref="W7:Y7"/>
    <mergeCell ref="G7:I7"/>
    <mergeCell ref="B2:AB2"/>
    <mergeCell ref="Q6:AB6"/>
    <mergeCell ref="D6:O6"/>
    <mergeCell ref="B3:Q3"/>
    <mergeCell ref="R3:AB3"/>
    <mergeCell ref="B4:AB4"/>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43"/>
</worksheet>
</file>

<file path=xl/worksheets/sheet10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9">
    <pageSetUpPr fitToPage="1"/>
  </sheetPr>
  <dimension ref="A1:AD8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89"/>
      <c r="B1" s="656" t="s">
        <v>183</v>
      </c>
      <c r="Z1" s="5"/>
      <c r="AB1" s="685"/>
      <c r="AD1" s="236"/>
    </row>
    <row r="2" ht="15" customHeight="1">
      <c r="A2" s="11"/>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209</v>
      </c>
      <c r="C3" s="999"/>
      <c r="D3" s="999"/>
      <c r="E3" s="999"/>
      <c r="F3" s="999"/>
      <c r="G3" s="999"/>
      <c r="H3" s="999"/>
      <c r="I3" s="999"/>
      <c r="J3" s="999"/>
      <c r="K3" s="999"/>
      <c r="L3" s="999"/>
      <c r="M3" s="999"/>
      <c r="N3" s="999"/>
      <c r="O3" s="999"/>
      <c r="P3" s="999"/>
      <c r="Q3" s="999"/>
      <c r="R3" s="1035" t="s">
        <v>301</v>
      </c>
      <c r="S3" s="1035"/>
      <c r="T3" s="1035"/>
      <c r="U3" s="1035"/>
      <c r="V3" s="1035"/>
      <c r="W3" s="1035"/>
      <c r="X3" s="1035"/>
      <c r="Y3" s="1035"/>
      <c r="Z3" s="1035"/>
      <c r="AA3" s="1035"/>
      <c r="AB3" s="1035"/>
    </row>
    <row r="4" ht="19.5" customHeight="1">
      <c r="A4" s="4"/>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2.75" customHeight="1"/>
    <row r="6" ht="15.75" customHeight="1">
      <c r="D6" s="960" t="s">
        <v>10</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ustomHeight="1">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18" customHeight="1">
      <c r="A9" s="57"/>
      <c r="B9" s="284">
        <v>2021</v>
      </c>
      <c r="C9" s="285" t="s">
        <v>218</v>
      </c>
      <c r="D9" s="434">
        <v>228.20625610948191593352883675</v>
      </c>
      <c r="E9" s="435">
        <v>183.71858018268007862180598913</v>
      </c>
      <c r="F9" s="436">
        <v>134.85225327187560563662487545</v>
      </c>
      <c r="G9" s="434">
        <v>4.140273704789833822091886608</v>
      </c>
      <c r="H9" s="435">
        <v>10.774366978841484564689559487</v>
      </c>
      <c r="I9" s="436">
        <v>11.058482631023253462353600155</v>
      </c>
      <c r="J9" s="434">
        <v>0</v>
      </c>
      <c r="K9" s="435">
        <v>0</v>
      </c>
      <c r="L9" s="436">
        <v>4.4562481508068750268606764837</v>
      </c>
      <c r="M9" s="434">
        <v>232.34652981427174975562072336</v>
      </c>
      <c r="N9" s="435">
        <v>194.49294716152156318649554862</v>
      </c>
      <c r="O9" s="436">
        <v>150.3669840537057341258391521</v>
      </c>
      <c r="P9" s="5"/>
      <c r="Q9" s="415">
        <v>1168.5358763265489777039438291</v>
      </c>
      <c r="R9" s="416">
        <v>675.05470229794630189340016958</v>
      </c>
      <c r="S9" s="417">
        <v>537.58541953405482229510968754</v>
      </c>
      <c r="T9" s="415">
        <v>0</v>
      </c>
      <c r="U9" s="416">
        <v>0</v>
      </c>
      <c r="V9" s="417">
        <v>220.41087220345257433134353230</v>
      </c>
      <c r="W9" s="415">
        <v>0</v>
      </c>
      <c r="X9" s="416">
        <v>0</v>
      </c>
      <c r="Y9" s="417">
        <v>66.435829116439187127262881450</v>
      </c>
      <c r="Z9" s="415">
        <v>1191.5505202801207504013161454</v>
      </c>
      <c r="AA9" s="416">
        <v>720.50859042908301143931776231</v>
      </c>
      <c r="AB9" s="417">
        <v>451.21352836034635521662459549</v>
      </c>
    </row>
    <row r="10" ht="18" customHeight="1">
      <c r="A10" s="58"/>
      <c r="B10" s="286"/>
      <c r="C10" s="287" t="s">
        <v>221</v>
      </c>
      <c r="D10" s="276">
        <v>130.09433040078201368523949169</v>
      </c>
      <c r="E10" s="94">
        <v>114.4235171696149843912591051</v>
      </c>
      <c r="F10" s="277">
        <v>85.32998012707267486127043208</v>
      </c>
      <c r="G10" s="276">
        <v>1.1590909090909090909090909091</v>
      </c>
      <c r="H10" s="94">
        <v>1.8940918025205226037692218754</v>
      </c>
      <c r="I10" s="277">
        <v>7.4816412353388089289509545332</v>
      </c>
      <c r="J10" s="276">
        <v>0</v>
      </c>
      <c r="K10" s="94">
        <v>0</v>
      </c>
      <c r="L10" s="277">
        <v>4.8440233179893856579098769754</v>
      </c>
      <c r="M10" s="276">
        <v>131.2534213098729227761485826</v>
      </c>
      <c r="N10" s="94">
        <v>116.31760897213550699502832697</v>
      </c>
      <c r="O10" s="277">
        <v>97.65564468040086944813126359</v>
      </c>
      <c r="P10" s="5"/>
      <c r="Q10" s="271">
        <v>362.04574057150252502633156536</v>
      </c>
      <c r="R10" s="92">
        <v>242.53286387017628887723981693</v>
      </c>
      <c r="S10" s="272">
        <v>275.83965285135656270568701982</v>
      </c>
      <c r="T10" s="271">
        <v>0</v>
      </c>
      <c r="U10" s="92">
        <v>0</v>
      </c>
      <c r="V10" s="272">
        <v>4.7322295260958423362820598800</v>
      </c>
      <c r="W10" s="271">
        <v>0</v>
      </c>
      <c r="X10" s="92">
        <v>0</v>
      </c>
      <c r="Y10" s="272">
        <v>68.648527423742577949248475620</v>
      </c>
      <c r="Z10" s="271">
        <v>366.16239204917050126020932647</v>
      </c>
      <c r="AA10" s="92">
        <v>248.20292808074107292126647958</v>
      </c>
      <c r="AB10" s="272">
        <v>198.46153221724371015780560113</v>
      </c>
    </row>
    <row r="11" ht="18" customHeight="1">
      <c r="A11" s="58"/>
      <c r="B11" s="288"/>
      <c r="C11" s="289" t="s">
        <v>222</v>
      </c>
      <c r="D11" s="439">
        <v>105.44015151515151515151515152</v>
      </c>
      <c r="E11" s="95">
        <v>88.99643770795614161579585449</v>
      </c>
      <c r="F11" s="440">
        <v>70.659518026533076661646047748</v>
      </c>
      <c r="G11" s="439">
        <v>2.7300505050505050505050505051</v>
      </c>
      <c r="H11" s="95">
        <v>7.941340069821636161981923281</v>
      </c>
      <c r="I11" s="440">
        <v>9.14661849828483032886929137</v>
      </c>
      <c r="J11" s="439">
        <v>0</v>
      </c>
      <c r="K11" s="95">
        <v>0</v>
      </c>
      <c r="L11" s="440">
        <v>5.7282582277163804274930091266</v>
      </c>
      <c r="M11" s="439">
        <v>108.17020202020202020202020202</v>
      </c>
      <c r="N11" s="95">
        <v>96.93777777777777777777777778</v>
      </c>
      <c r="O11" s="440">
        <v>85.53439475253428741800834824</v>
      </c>
      <c r="P11" s="5"/>
      <c r="Q11" s="420">
        <v>97.96555042967353163446626153</v>
      </c>
      <c r="R11" s="91">
        <v>69.473359572080518940847538070</v>
      </c>
      <c r="S11" s="421">
        <v>117.83744948076968718105979792</v>
      </c>
      <c r="T11" s="420">
        <v>0</v>
      </c>
      <c r="U11" s="91">
        <v>5259.5723160900946369988741776</v>
      </c>
      <c r="V11" s="421">
        <v>751.79681647058915862484236292</v>
      </c>
      <c r="W11" s="420">
        <v>0</v>
      </c>
      <c r="X11" s="91">
        <v>0</v>
      </c>
      <c r="Y11" s="421">
        <v>150.45866295673548311253748085</v>
      </c>
      <c r="Z11" s="420">
        <v>103.09126338784837961539329120</v>
      </c>
      <c r="AA11" s="91">
        <v>84.07643879695223462130536812</v>
      </c>
      <c r="AB11" s="421">
        <v>138.93811182584476265641747863</v>
      </c>
    </row>
    <row r="12" ht="18" customHeight="1">
      <c r="A12" s="58"/>
      <c r="B12" s="286"/>
      <c r="C12" s="287" t="s">
        <v>224</v>
      </c>
      <c r="D12" s="276">
        <v>131.90591397849462365591397849</v>
      </c>
      <c r="E12" s="94">
        <v>106.91016921240571997435473902</v>
      </c>
      <c r="F12" s="277">
        <v>85.79276273130433757530838277</v>
      </c>
      <c r="G12" s="276">
        <v>3.9332844574780058651026392962</v>
      </c>
      <c r="H12" s="94">
        <v>11.855067738670400878362402231</v>
      </c>
      <c r="I12" s="277">
        <v>12.945589973818569854784947912</v>
      </c>
      <c r="J12" s="276">
        <v>0</v>
      </c>
      <c r="K12" s="94">
        <v>0</v>
      </c>
      <c r="L12" s="277">
        <v>6.466982355306518348330845637</v>
      </c>
      <c r="M12" s="276">
        <v>135.83919843597262952101661779</v>
      </c>
      <c r="N12" s="94">
        <v>118.76523695107612085271714125</v>
      </c>
      <c r="O12" s="277">
        <v>105.20533506042942577842417632</v>
      </c>
      <c r="P12" s="5"/>
      <c r="Q12" s="271">
        <v>115.69135970201111810636949983</v>
      </c>
      <c r="R12" s="92">
        <v>78.500130311559414722854829350</v>
      </c>
      <c r="S12" s="272">
        <v>122.03730266740687208661487305</v>
      </c>
      <c r="T12" s="271">
        <v>102.80997983807589623236085153</v>
      </c>
      <c r="U12" s="92">
        <v>121479.40392333418763216456622</v>
      </c>
      <c r="V12" s="272">
        <v>336.65967412085306919960376833</v>
      </c>
      <c r="W12" s="271">
        <v>0</v>
      </c>
      <c r="X12" s="92">
        <v>0</v>
      </c>
      <c r="Y12" s="272">
        <v>98.17292391261142065959370144</v>
      </c>
      <c r="Z12" s="271">
        <v>115.29541176373315822828155812</v>
      </c>
      <c r="AA12" s="92">
        <v>98.26139665604776981942451741</v>
      </c>
      <c r="AB12" s="272">
        <v>134.48325989837705085625640024</v>
      </c>
    </row>
    <row r="13" ht="18" customHeight="1">
      <c r="A13" s="58"/>
      <c r="B13" s="288"/>
      <c r="C13" s="289" t="s">
        <v>227</v>
      </c>
      <c r="D13" s="439">
        <v>175.99040404040404040404040404</v>
      </c>
      <c r="E13" s="95">
        <v>146.70635978187752895948055251</v>
      </c>
      <c r="F13" s="440">
        <v>111.85554816878706044641896107</v>
      </c>
      <c r="G13" s="439">
        <v>20.46969696969696969696969697</v>
      </c>
      <c r="H13" s="95">
        <v>20.201619617425779600150742896</v>
      </c>
      <c r="I13" s="440">
        <v>19.715715363537914386385547091</v>
      </c>
      <c r="J13" s="439">
        <v>0</v>
      </c>
      <c r="K13" s="95">
        <v>0.1431563640353073938816470008</v>
      </c>
      <c r="L13" s="440">
        <v>7.7508569326274732122817898321</v>
      </c>
      <c r="M13" s="439">
        <v>196.46010101010101010101010101</v>
      </c>
      <c r="N13" s="95">
        <v>167.05113576333861595351294242</v>
      </c>
      <c r="O13" s="440">
        <v>139.32212046495244804508629799</v>
      </c>
      <c r="P13" s="5"/>
      <c r="Q13" s="420">
        <v>173.70202805661592597828989742</v>
      </c>
      <c r="R13" s="91">
        <v>97.79141993520280746445475746</v>
      </c>
      <c r="S13" s="421">
        <v>170.60658529534769420730412557</v>
      </c>
      <c r="T13" s="420">
        <v>1605.8080808080808080808080808</v>
      </c>
      <c r="U13" s="91">
        <v>2454.9573907790727244472970983</v>
      </c>
      <c r="V13" s="421">
        <v>644.31826492023923809842589230</v>
      </c>
      <c r="W13" s="420">
        <v>0</v>
      </c>
      <c r="X13" s="91">
        <v>0</v>
      </c>
      <c r="Y13" s="421">
        <v>124.60021867380288950040377967</v>
      </c>
      <c r="Z13" s="420">
        <v>199.93908551160459557406122292</v>
      </c>
      <c r="AA13" s="91">
        <v>122.84496293181194681969929195</v>
      </c>
      <c r="AB13" s="421">
        <v>193.71225252899554154277850490</v>
      </c>
    </row>
    <row r="14" ht="18" customHeight="1">
      <c r="A14" s="58"/>
      <c r="B14" s="286"/>
      <c r="C14" s="287" t="s">
        <v>229</v>
      </c>
      <c r="D14" s="276">
        <v>294.69379276637341153470185728</v>
      </c>
      <c r="E14" s="94">
        <v>244.57537958182097029804202239</v>
      </c>
      <c r="F14" s="277">
        <v>169.97643892281086532731333534</v>
      </c>
      <c r="G14" s="276">
        <v>20.797653958944281524926686217</v>
      </c>
      <c r="H14" s="94">
        <v>11.22769797045140841470272481</v>
      </c>
      <c r="I14" s="277">
        <v>19.962525990376757109774919755</v>
      </c>
      <c r="J14" s="276">
        <v>0</v>
      </c>
      <c r="K14" s="94">
        <v>0</v>
      </c>
      <c r="L14" s="277">
        <v>8.517394740955863753834919278</v>
      </c>
      <c r="M14" s="276">
        <v>315.4914467253176930596285435</v>
      </c>
      <c r="N14" s="94">
        <v>255.8030775522723787127447472</v>
      </c>
      <c r="O14" s="277">
        <v>198.45635965414348619092317437</v>
      </c>
      <c r="P14" s="5"/>
      <c r="Q14" s="271">
        <v>163.98403688234256721753692299</v>
      </c>
      <c r="R14" s="92">
        <v>112.22929858097464714454153786</v>
      </c>
      <c r="S14" s="272">
        <v>158.37193073078462021534450322</v>
      </c>
      <c r="T14" s="271">
        <v>206.62583318182707424556423168</v>
      </c>
      <c r="U14" s="92">
        <v>246.60190443927915877636455432</v>
      </c>
      <c r="V14" s="272">
        <v>1188.2819744273703536920665960</v>
      </c>
      <c r="W14" s="271">
        <v>0</v>
      </c>
      <c r="X14" s="92">
        <v>0</v>
      </c>
      <c r="Y14" s="272">
        <v>115.46208576879120164566522630</v>
      </c>
      <c r="Z14" s="271">
        <v>166.42651653680275745749143577</v>
      </c>
      <c r="AA14" s="92">
        <v>115.90316842936280909928418534</v>
      </c>
      <c r="AB14" s="272">
        <v>178.37844677258443545282236254</v>
      </c>
    </row>
    <row r="15" ht="18" customHeight="1">
      <c r="A15" s="58"/>
      <c r="B15" s="288">
        <v>2022</v>
      </c>
      <c r="C15" s="289" t="s">
        <v>230</v>
      </c>
      <c r="D15" s="439">
        <v>222.77077223851417399804496579</v>
      </c>
      <c r="E15" s="95">
        <v>189.5248467424242895007918417</v>
      </c>
      <c r="F15" s="440">
        <v>127.65197741353494157628982166</v>
      </c>
      <c r="G15" s="439">
        <v>27.721896383186705767350928641</v>
      </c>
      <c r="H15" s="95">
        <v>10.873011240296430298809405679</v>
      </c>
      <c r="I15" s="440">
        <v>22.468223925853361248139857797</v>
      </c>
      <c r="J15" s="439">
        <v>0</v>
      </c>
      <c r="K15" s="95">
        <v>0</v>
      </c>
      <c r="L15" s="440">
        <v>10.034407664175576080001893309</v>
      </c>
      <c r="M15" s="439">
        <v>250.49266862170087976539589443</v>
      </c>
      <c r="N15" s="95">
        <v>200.39785798272071979960124738</v>
      </c>
      <c r="O15" s="440">
        <v>160.15460900356387890443157276</v>
      </c>
      <c r="P15" s="5"/>
      <c r="Q15" s="420">
        <v>59.653992934841792260587284550</v>
      </c>
      <c r="R15" s="91">
        <v>82.89218691263269976714503343</v>
      </c>
      <c r="S15" s="421">
        <v>75.994294191396315734987111410</v>
      </c>
      <c r="T15" s="420">
        <v>669.01904955114518607697608194</v>
      </c>
      <c r="U15" s="91">
        <v>212.96818188427638995440985317</v>
      </c>
      <c r="V15" s="421">
        <v>588.62286562254353521272028345</v>
      </c>
      <c r="W15" s="420">
        <v>0</v>
      </c>
      <c r="X15" s="91">
        <v>0</v>
      </c>
      <c r="Y15" s="421">
        <v>161.96438636573686989712962451</v>
      </c>
      <c r="Z15" s="420">
        <v>75.000426823618269348541443790</v>
      </c>
      <c r="AA15" s="91">
        <v>87.11162383909695597469606873</v>
      </c>
      <c r="AB15" s="421">
        <v>101.13581470712041369404969461</v>
      </c>
    </row>
    <row r="16" ht="18" customHeight="1">
      <c r="A16" s="58"/>
      <c r="B16" s="286"/>
      <c r="C16" s="287" t="s">
        <v>231</v>
      </c>
      <c r="D16" s="276">
        <v>326.9672619047619047619047619</v>
      </c>
      <c r="E16" s="94">
        <v>267.30235838411193861430828255</v>
      </c>
      <c r="F16" s="277">
        <v>187.98262669311356633288206458</v>
      </c>
      <c r="G16" s="276">
        <v>20.860930735930735930735930736</v>
      </c>
      <c r="H16" s="94">
        <v>35.426032498307379823967501693</v>
      </c>
      <c r="I16" s="277">
        <v>41.388751133942608809826396802</v>
      </c>
      <c r="J16" s="276">
        <v>0</v>
      </c>
      <c r="K16" s="94">
        <v>0</v>
      </c>
      <c r="L16" s="277">
        <v>10.079113793433080162062453608</v>
      </c>
      <c r="M16" s="276">
        <v>347.82819264069264069264069264</v>
      </c>
      <c r="N16" s="94">
        <v>302.72839088241931843827578425</v>
      </c>
      <c r="O16" s="277">
        <v>239.45049162048925530477091499</v>
      </c>
      <c r="P16" s="5"/>
      <c r="Q16" s="271">
        <v>81.58924833621809744946327717</v>
      </c>
      <c r="R16" s="92">
        <v>73.198647009424395672763960660</v>
      </c>
      <c r="S16" s="272">
        <v>82.18476486010303187669083263</v>
      </c>
      <c r="T16" s="271">
        <v>278.11779707044891324152005382</v>
      </c>
      <c r="U16" s="92">
        <v>995.1432139275764748487686385</v>
      </c>
      <c r="V16" s="272">
        <v>410.79499511932112797493650473</v>
      </c>
      <c r="W16" s="271">
        <v>0</v>
      </c>
      <c r="X16" s="92">
        <v>0</v>
      </c>
      <c r="Y16" s="272">
        <v>129.40193562299211642606775372</v>
      </c>
      <c r="Z16" s="271">
        <v>87.43191308197637322132585219</v>
      </c>
      <c r="AA16" s="92">
        <v>92.12597662430101675181104559</v>
      </c>
      <c r="AB16" s="272">
        <v>106.99588368026483219268363383</v>
      </c>
    </row>
    <row r="17" ht="18" customHeight="1">
      <c r="A17" s="58"/>
      <c r="B17" s="288"/>
      <c r="C17" s="289" t="s">
        <v>232</v>
      </c>
      <c r="D17" s="439">
        <v>263.53054740957966764418377322</v>
      </c>
      <c r="E17" s="95">
        <v>276.39387453498445701472761555</v>
      </c>
      <c r="F17" s="440">
        <v>195.74689603890865548012030265</v>
      </c>
      <c r="G17" s="439">
        <v>52.743401759530791788856304985</v>
      </c>
      <c r="H17" s="95">
        <v>39.934770422463435764154308719</v>
      </c>
      <c r="I17" s="440">
        <v>44.741057650820782514509176588</v>
      </c>
      <c r="J17" s="439">
        <v>0</v>
      </c>
      <c r="K17" s="95">
        <v>0</v>
      </c>
      <c r="L17" s="440">
        <v>10.189568689445909426327960257</v>
      </c>
      <c r="M17" s="439">
        <v>316.2739491691104594330400782</v>
      </c>
      <c r="N17" s="95">
        <v>316.32864495744789277888192427</v>
      </c>
      <c r="O17" s="440">
        <v>250.6775223791753474209574395</v>
      </c>
      <c r="P17" s="5"/>
      <c r="Q17" s="420">
        <v>25.656705721969673970052021350</v>
      </c>
      <c r="R17" s="91">
        <v>31.260785888308664763363618620</v>
      </c>
      <c r="S17" s="421">
        <v>51.407482053746020177416979910</v>
      </c>
      <c r="T17" s="420">
        <v>2500.3132529991406137321006514</v>
      </c>
      <c r="U17" s="91">
        <v>1505.5587652800138931744257987</v>
      </c>
      <c r="V17" s="421">
        <v>473.50512197688370619650284051</v>
      </c>
      <c r="W17" s="420">
        <v>0</v>
      </c>
      <c r="X17" s="91">
        <v>0</v>
      </c>
      <c r="Y17" s="421">
        <v>119.26106562751782194825725989</v>
      </c>
      <c r="Z17" s="420">
        <v>49.361269958515153617240792630</v>
      </c>
      <c r="AA17" s="91">
        <v>48.472214584828088289740549600</v>
      </c>
      <c r="AB17" s="421">
        <v>76.865537608195404066443804130</v>
      </c>
    </row>
    <row r="18" ht="18" customHeight="1">
      <c r="A18" s="58"/>
      <c r="B18" s="286"/>
      <c r="C18" s="287" t="s">
        <v>233</v>
      </c>
      <c r="D18" s="276">
        <v>278.53409090909090909090909091</v>
      </c>
      <c r="E18" s="94">
        <v>265.64418114797261716692996314</v>
      </c>
      <c r="F18" s="277">
        <v>174.09868441323485911629479135</v>
      </c>
      <c r="G18" s="276">
        <v>43.618686868686868686868686869</v>
      </c>
      <c r="H18" s="94">
        <v>42.985202738283307003686150606</v>
      </c>
      <c r="I18" s="277">
        <v>42.9078337158902768699187793</v>
      </c>
      <c r="J18" s="276">
        <v>0</v>
      </c>
      <c r="K18" s="94">
        <v>0</v>
      </c>
      <c r="L18" s="277">
        <v>9.218385269660448746851645022</v>
      </c>
      <c r="M18" s="276">
        <v>322.15277777777777777777777778</v>
      </c>
      <c r="N18" s="94">
        <v>308.62938388625592417061611374</v>
      </c>
      <c r="O18" s="277">
        <v>226.22490339878558473306521568</v>
      </c>
      <c r="P18" s="5"/>
      <c r="Q18" s="271">
        <v>39.017796375176092111873900510</v>
      </c>
      <c r="R18" s="92">
        <v>33.377111457135892044597570180</v>
      </c>
      <c r="S18" s="272">
        <v>29.406368660166475078887183390</v>
      </c>
      <c r="T18" s="271">
        <v>164.89893568014807474429680540</v>
      </c>
      <c r="U18" s="92">
        <v>1118.2100186926871336097158366</v>
      </c>
      <c r="V18" s="272">
        <v>561.91721633974484477590315329</v>
      </c>
      <c r="W18" s="271">
        <v>0</v>
      </c>
      <c r="X18" s="92">
        <v>0</v>
      </c>
      <c r="Y18" s="272">
        <v>87.13014727460973576075960608</v>
      </c>
      <c r="Z18" s="271">
        <v>48.577494741631318605552856180</v>
      </c>
      <c r="AA18" s="92">
        <v>52.261974947536136724011247160</v>
      </c>
      <c r="AB18" s="272">
        <v>55.007002557277757761375303080</v>
      </c>
    </row>
    <row r="19" ht="18" customHeight="1">
      <c r="A19" s="58"/>
      <c r="B19" s="288"/>
      <c r="C19" s="289" t="s">
        <v>234</v>
      </c>
      <c r="D19" s="439">
        <v>205.68132942326490713587487781</v>
      </c>
      <c r="E19" s="95">
        <v>206.39591295928247464709779341</v>
      </c>
      <c r="F19" s="440">
        <v>132.81405220753270760081022695</v>
      </c>
      <c r="G19" s="439">
        <v>71.051075268817204301075268817</v>
      </c>
      <c r="H19" s="95">
        <v>36.977577332721806043928043622</v>
      </c>
      <c r="I19" s="440">
        <v>43.583669628326800344247155371</v>
      </c>
      <c r="J19" s="439">
        <v>0</v>
      </c>
      <c r="K19" s="95">
        <v>0</v>
      </c>
      <c r="L19" s="440">
        <v>9.107565747828866978862276835</v>
      </c>
      <c r="M19" s="439">
        <v>276.73240469208211143695014663</v>
      </c>
      <c r="N19" s="95">
        <v>243.37349029200428069102583703</v>
      </c>
      <c r="O19" s="440">
        <v>185.50528758368837492391965916</v>
      </c>
      <c r="P19" s="5"/>
      <c r="Q19" s="420">
        <v>-16.365276875175874008980310210</v>
      </c>
      <c r="R19" s="91">
        <v>-11.126687053005388284605300700</v>
      </c>
      <c r="S19" s="421">
        <v>-10.835596440508548085878803690</v>
      </c>
      <c r="T19" s="420">
        <v>2495.9017857505356285081592654</v>
      </c>
      <c r="U19" s="91">
        <v>870.8108317333137364681041439</v>
      </c>
      <c r="V19" s="421">
        <v>349.85458660310474784365230198</v>
      </c>
      <c r="W19" s="420">
        <v>0</v>
      </c>
      <c r="X19" s="91">
        <v>0</v>
      </c>
      <c r="Y19" s="421">
        <v>75.087046511862737837669221360</v>
      </c>
      <c r="Z19" s="420">
        <v>11.287146032878493029340349550</v>
      </c>
      <c r="AA19" s="91">
        <v>3.1046856002279718550569580800</v>
      </c>
      <c r="AB19" s="421">
        <v>13.220507956712946817610200570</v>
      </c>
    </row>
    <row r="20" ht="18" customHeight="1">
      <c r="A20" s="58"/>
      <c r="B20" s="286"/>
      <c r="C20" s="287" t="s">
        <v>235</v>
      </c>
      <c r="D20" s="276">
        <v>150.34343434343434343434343434</v>
      </c>
      <c r="E20" s="94">
        <v>139.32090573986308583464981569</v>
      </c>
      <c r="F20" s="277">
        <v>100.95856351873709262764551791</v>
      </c>
      <c r="G20" s="276">
        <v>21.965909090909090909090909091</v>
      </c>
      <c r="H20" s="94">
        <v>29.178515007898894154818325434</v>
      </c>
      <c r="I20" s="277">
        <v>25.811797203127335794694711673</v>
      </c>
      <c r="J20" s="276">
        <v>0</v>
      </c>
      <c r="K20" s="94">
        <v>0</v>
      </c>
      <c r="L20" s="277">
        <v>9.463055158638716231747820727</v>
      </c>
      <c r="M20" s="276">
        <v>172.30934343434343434343434343</v>
      </c>
      <c r="N20" s="94">
        <v>168.49942074776197998946814113</v>
      </c>
      <c r="O20" s="277">
        <v>136.23341588050314465408805031</v>
      </c>
      <c r="P20" s="5"/>
      <c r="Q20" s="271">
        <v>-26.739530087547762739283915830</v>
      </c>
      <c r="R20" s="92">
        <v>-30.388657641022887361578701880</v>
      </c>
      <c r="S20" s="272">
        <v>-21.278538866018282672966192170</v>
      </c>
      <c r="T20" s="271">
        <v>308.34193972343284319255205523</v>
      </c>
      <c r="U20" s="92">
        <v>863.1430004237587760634870394</v>
      </c>
      <c r="V20" s="272">
        <v>109.20498866991831880357833902</v>
      </c>
      <c r="W20" s="271">
        <v>0</v>
      </c>
      <c r="X20" s="92">
        <v>0</v>
      </c>
      <c r="Y20" s="272">
        <v>70.946250398782462871283412450</v>
      </c>
      <c r="Z20" s="271">
        <v>-18.180520981732806616930937140</v>
      </c>
      <c r="AA20" s="92">
        <v>-17.065061077215393479582843440</v>
      </c>
      <c r="AB20" s="272">
        <v>-6.7670663125032874701336255900</v>
      </c>
    </row>
    <row r="21" ht="18" customHeight="1">
      <c r="A21" s="58"/>
      <c r="B21" s="288"/>
      <c r="C21" s="289" t="s">
        <v>218</v>
      </c>
      <c r="D21" s="439">
        <v>183.30718475073313782991202346</v>
      </c>
      <c r="E21" s="95">
        <v>161.9944962543953523926005198</v>
      </c>
      <c r="F21" s="440">
        <v>113.27942477302715764590755596</v>
      </c>
      <c r="G21" s="439">
        <v>11.89418377321603128054740958</v>
      </c>
      <c r="H21" s="95">
        <v>10.790908627630841359629006778</v>
      </c>
      <c r="I21" s="440">
        <v>13.812352611983592683808954826</v>
      </c>
      <c r="J21" s="439">
        <v>0</v>
      </c>
      <c r="K21" s="95">
        <v>0</v>
      </c>
      <c r="L21" s="440">
        <v>9.672890904703187588725363833</v>
      </c>
      <c r="M21" s="439">
        <v>195.20136852394916911045943304</v>
      </c>
      <c r="N21" s="95">
        <v>172.78540488202619375222952658</v>
      </c>
      <c r="O21" s="440">
        <v>136.76466828971393791844187462</v>
      </c>
      <c r="P21" s="5"/>
      <c r="Q21" s="420">
        <v>-19.674776723571934705320571070</v>
      </c>
      <c r="R21" s="91">
        <v>-11.824652632684732947252516920</v>
      </c>
      <c r="S21" s="421">
        <v>-15.997380818973757826131979060</v>
      </c>
      <c r="T21" s="420">
        <v>187.28013221508966748316918132</v>
      </c>
      <c r="U21" s="91">
        <v>0.1535278022680056629760614100</v>
      </c>
      <c r="V21" s="421">
        <v>24.902783436705229507982710740</v>
      </c>
      <c r="W21" s="420">
        <v>0</v>
      </c>
      <c r="X21" s="91">
        <v>0</v>
      </c>
      <c r="Y21" s="421">
        <v>117.06356058664908739501347415</v>
      </c>
      <c r="Z21" s="420">
        <v>-15.986966243928251136143642570</v>
      </c>
      <c r="AA21" s="91">
        <v>-11.161094834687572547168018260</v>
      </c>
      <c r="AB21" s="421">
        <v>-9.046078731703708177476801750</v>
      </c>
    </row>
    <row r="22" ht="18" customHeight="1">
      <c r="A22" s="58"/>
      <c r="B22" s="286"/>
      <c r="C22" s="287" t="s">
        <v>221</v>
      </c>
      <c r="D22" s="276">
        <v>150.87096774193548387096774194</v>
      </c>
      <c r="E22" s="94">
        <v>137.38653620751159353819497528</v>
      </c>
      <c r="F22" s="277">
        <v>98.03486790377467052079598822</v>
      </c>
      <c r="G22" s="276">
        <v>2.5843108504398826979472140762</v>
      </c>
      <c r="H22" s="94">
        <v>6.7740406665647454517657850482</v>
      </c>
      <c r="I22" s="277">
        <v>10.720415696650368572511915858</v>
      </c>
      <c r="J22" s="276">
        <v>0</v>
      </c>
      <c r="K22" s="94">
        <v>0</v>
      </c>
      <c r="L22" s="277">
        <v>9.91232519446236200224900402</v>
      </c>
      <c r="M22" s="276">
        <v>153.45527859237536656891495601</v>
      </c>
      <c r="N22" s="94">
        <v>144.16057687407633898996076033</v>
      </c>
      <c r="O22" s="277">
        <v>118.66760879488740109555690809</v>
      </c>
      <c r="P22" s="5"/>
      <c r="Q22" s="271">
        <v>15.970440277547806455943263370</v>
      </c>
      <c r="R22" s="92">
        <v>20.06844362586365279152380900</v>
      </c>
      <c r="S22" s="272">
        <v>14.889125437215140669311705490</v>
      </c>
      <c r="T22" s="271">
        <v>122.96015180090783941661527058</v>
      </c>
      <c r="U22" s="92">
        <v>257.64056724303073751177300965</v>
      </c>
      <c r="V22" s="272">
        <v>43.289625357456741193759548590</v>
      </c>
      <c r="W22" s="271">
        <v>0</v>
      </c>
      <c r="X22" s="92">
        <v>0</v>
      </c>
      <c r="Y22" s="272">
        <v>104.63000575635053130536982316</v>
      </c>
      <c r="Z22" s="271">
        <v>16.915259854487888951753103750</v>
      </c>
      <c r="AA22" s="92">
        <v>23.937018778175510149174169890</v>
      </c>
      <c r="AB22" s="272">
        <v>21.516384621957866693046008800</v>
      </c>
    </row>
    <row r="23" ht="18" customHeight="1">
      <c r="A23" s="58"/>
      <c r="B23" s="288"/>
      <c r="C23" s="289" t="s">
        <v>222</v>
      </c>
      <c r="D23" s="439">
        <v>117.33434343434343434343434343</v>
      </c>
      <c r="E23" s="95">
        <v>115.50874144286466561348077936</v>
      </c>
      <c r="F23" s="440">
        <v>87.97410160745096058380324917</v>
      </c>
      <c r="G23" s="439">
        <v>7.4383838383838383838383838384</v>
      </c>
      <c r="H23" s="95">
        <v>14.179357556608741442864665613</v>
      </c>
      <c r="I23" s="440">
        <v>17.98298723040530396300642378</v>
      </c>
      <c r="J23" s="439">
        <v>0</v>
      </c>
      <c r="K23" s="95">
        <v>0</v>
      </c>
      <c r="L23" s="440">
        <v>8.022636004911031050674603779</v>
      </c>
      <c r="M23" s="439">
        <v>124.77272727272727272727272727</v>
      </c>
      <c r="N23" s="95">
        <v>129.68809899947340705634544497</v>
      </c>
      <c r="O23" s="440">
        <v>113.97972484276729559748427673</v>
      </c>
      <c r="P23" s="5"/>
      <c r="Q23" s="420">
        <v>11.280514821176822844962875800</v>
      </c>
      <c r="R23" s="91">
        <v>29.790297699164470936512127030</v>
      </c>
      <c r="S23" s="421">
        <v>24.504248068119194990477662890</v>
      </c>
      <c r="T23" s="420">
        <v>172.46323188850219281748714922</v>
      </c>
      <c r="U23" s="91">
        <v>78.551194533668217937580427140</v>
      </c>
      <c r="V23" s="421">
        <v>96.60803862922281736909888256</v>
      </c>
      <c r="W23" s="420">
        <v>0</v>
      </c>
      <c r="X23" s="91">
        <v>0</v>
      </c>
      <c r="Y23" s="421">
        <v>40.053672268407241704394502100</v>
      </c>
      <c r="Z23" s="420">
        <v>15.348520149224526415444220890</v>
      </c>
      <c r="AA23" s="91">
        <v>33.784889619342658948222263930</v>
      </c>
      <c r="AB23" s="421">
        <v>33.256013762154896470382055660</v>
      </c>
    </row>
    <row r="24" ht="18" customHeight="1">
      <c r="A24" s="59"/>
      <c r="B24" s="286"/>
      <c r="C24" s="287" t="s">
        <v>224</v>
      </c>
      <c r="D24" s="276">
        <v>143.46969696969696969696969697</v>
      </c>
      <c r="E24" s="94">
        <v>136.77806655455333027569688631</v>
      </c>
      <c r="F24" s="277">
        <v>104.31188086803400525099416729</v>
      </c>
      <c r="G24" s="276">
        <v>14.04863147605083088954056696</v>
      </c>
      <c r="H24" s="94">
        <v>36.353207970239005248942567395</v>
      </c>
      <c r="I24" s="277">
        <v>29.876421881376158542967371541</v>
      </c>
      <c r="J24" s="276">
        <v>0</v>
      </c>
      <c r="K24" s="94">
        <v>0</v>
      </c>
      <c r="L24" s="277">
        <v>8.06133867969932492389548173</v>
      </c>
      <c r="M24" s="276">
        <v>157.51832844574780058651026393</v>
      </c>
      <c r="N24" s="94">
        <v>173.1312745247923355246394537</v>
      </c>
      <c r="O24" s="277">
        <v>142.24964142910948871785702057</v>
      </c>
      <c r="P24" s="93"/>
      <c r="Q24" s="271">
        <v>8.766690319193579232236938600</v>
      </c>
      <c r="R24" s="92">
        <v>27.93737729739660302662743100</v>
      </c>
      <c r="S24" s="272">
        <v>21.585874550671890784831743710</v>
      </c>
      <c r="T24" s="271">
        <v>257.17303510207234711654634910</v>
      </c>
      <c r="U24" s="92">
        <v>206.64698651671657233111586451</v>
      </c>
      <c r="V24" s="272">
        <v>130.78455243709797144422957980</v>
      </c>
      <c r="W24" s="271">
        <v>0</v>
      </c>
      <c r="X24" s="92">
        <v>0</v>
      </c>
      <c r="Y24" s="272">
        <v>24.653791162622764731629044870</v>
      </c>
      <c r="Z24" s="271">
        <v>15.959406606747477838533219660</v>
      </c>
      <c r="AA24" s="92">
        <v>45.776052799083645447018605560</v>
      </c>
      <c r="AB24" s="272">
        <v>35.211433286574091525649596850</v>
      </c>
    </row>
    <row r="25" ht="18" customHeight="1">
      <c r="A25" s="60"/>
      <c r="B25" s="288"/>
      <c r="C25" s="289" t="s">
        <v>227</v>
      </c>
      <c r="D25" s="439">
        <v>194.53737373737373737373737374</v>
      </c>
      <c r="E25" s="95">
        <v>184.90842548709847288046340179</v>
      </c>
      <c r="F25" s="440">
        <v>119.33979207240729920296512139</v>
      </c>
      <c r="G25" s="439">
        <v>32.810606060606060606060606061</v>
      </c>
      <c r="H25" s="95">
        <v>50.184149552395997893628225382</v>
      </c>
      <c r="I25" s="440">
        <v>38.770858564190284516879349801</v>
      </c>
      <c r="J25" s="439">
        <v>0</v>
      </c>
      <c r="K25" s="95">
        <v>0</v>
      </c>
      <c r="L25" s="440">
        <v>9.582308438765076971274764575</v>
      </c>
      <c r="M25" s="439">
        <v>227.3479797979797979797979798</v>
      </c>
      <c r="N25" s="95">
        <v>235.09257503949447077409162717</v>
      </c>
      <c r="O25" s="440">
        <v>167.69295907536266069111923576</v>
      </c>
      <c r="P25" s="93"/>
      <c r="Q25" s="420">
        <v>10.538625556377569682129279950</v>
      </c>
      <c r="R25" s="91">
        <v>26.039815698509124566182272170</v>
      </c>
      <c r="S25" s="421">
        <v>6.6909903229054919456481952800</v>
      </c>
      <c r="T25" s="420">
        <v>60.288675055490704859355219730</v>
      </c>
      <c r="U25" s="91">
        <v>148.41646611923893858926365521</v>
      </c>
      <c r="V25" s="421">
        <v>96.64951460989012526265846545</v>
      </c>
      <c r="W25" s="420">
        <v>0</v>
      </c>
      <c r="X25" s="91">
        <v>-100</v>
      </c>
      <c r="Y25" s="421">
        <v>23.629019630874833614971898350</v>
      </c>
      <c r="Z25" s="420">
        <v>15.722214652781764730878877820</v>
      </c>
      <c r="AA25" s="91">
        <v>40.730904920397861120006609500</v>
      </c>
      <c r="AB25" s="421">
        <v>20.363484646711130353107230650</v>
      </c>
    </row>
    <row r="26" ht="18" customHeight="1">
      <c r="A26" s="60"/>
      <c r="B26" s="290"/>
      <c r="C26" s="291" t="s">
        <v>229</v>
      </c>
      <c r="D26" s="443">
        <v>254.86779081133919843597262952</v>
      </c>
      <c r="E26" s="444">
        <v>230.22208632726902104673087703</v>
      </c>
      <c r="F26" s="445">
        <v>153.16088364434369263988559124</v>
      </c>
      <c r="G26" s="443">
        <v>21.186461388074291300097751711</v>
      </c>
      <c r="H26" s="444">
        <v>30.269021046730877032054222086</v>
      </c>
      <c r="I26" s="445">
        <v>24.495858707018069602499247198</v>
      </c>
      <c r="J26" s="443">
        <v>0</v>
      </c>
      <c r="K26" s="444">
        <v>0</v>
      </c>
      <c r="L26" s="445">
        <v>10.980235533279229353550470435</v>
      </c>
      <c r="M26" s="443">
        <v>276.05425219941348973607038123</v>
      </c>
      <c r="N26" s="444">
        <v>260.49110737399989807878509912</v>
      </c>
      <c r="O26" s="445">
        <v>188.63697788464099159593530887</v>
      </c>
      <c r="P26" s="184"/>
      <c r="Q26" s="273">
        <v>-13.514367432445502469819601610</v>
      </c>
      <c r="R26" s="274">
        <v>-5.8686582758549563994930931400</v>
      </c>
      <c r="S26" s="275">
        <v>-9.892874203638073771696677160</v>
      </c>
      <c r="T26" s="273">
        <v>1.8694773455825666160817301300</v>
      </c>
      <c r="U26" s="274">
        <v>169.59240555152656109698139022</v>
      </c>
      <c r="V26" s="275">
        <v>22.709213847977726525716780250</v>
      </c>
      <c r="W26" s="273">
        <v>0</v>
      </c>
      <c r="X26" s="274">
        <v>0</v>
      </c>
      <c r="Y26" s="275">
        <v>28.915423872794172209782174690</v>
      </c>
      <c r="Z26" s="273">
        <v>-12.500242062100870585097259470</v>
      </c>
      <c r="AA26" s="274">
        <v>1.8326713918214728831252895300</v>
      </c>
      <c r="AB26" s="275">
        <v>-4.9478796177526001191752861600</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973" t="s">
        <v>59</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9"/>
    </row>
    <row r="29" ht="18" customHeight="1">
      <c r="A29" s="58"/>
      <c r="B29" s="284">
        <v>2020</v>
      </c>
      <c r="C29" s="285"/>
      <c r="D29" s="454">
        <v>86.5236462990561351217088922</v>
      </c>
      <c r="E29" s="455">
        <v>104.88036542110519690581134017</v>
      </c>
      <c r="F29" s="456">
        <v>56.873507471431374761098242472</v>
      </c>
      <c r="G29" s="454">
        <v>14.930178837555886736214605067</v>
      </c>
      <c r="H29" s="455">
        <v>17.286620926233336591257926876</v>
      </c>
      <c r="I29" s="456">
        <v>20.115074663611238566885227929</v>
      </c>
      <c r="J29" s="454">
        <v>0</v>
      </c>
      <c r="K29" s="455">
        <v>0</v>
      </c>
      <c r="L29" s="456">
        <v>4.796172566703160913165696184</v>
      </c>
      <c r="M29" s="454">
        <v>101.45382513661202185792349727</v>
      </c>
      <c r="N29" s="455">
        <v>122.16698634733853349706926705</v>
      </c>
      <c r="O29" s="456">
        <v>81.78475470174577424114916658</v>
      </c>
      <c r="P29" s="5"/>
      <c r="Q29" s="427">
        <v>-26.764519675259238745284952550</v>
      </c>
      <c r="R29" s="428">
        <v>-33.290472071957884367697357440</v>
      </c>
      <c r="S29" s="429">
        <v>-47.582476468031892116369312830</v>
      </c>
      <c r="T29" s="427">
        <v>11.052345660055744193240182380</v>
      </c>
      <c r="U29" s="428">
        <v>-13.095003537985308636827143940</v>
      </c>
      <c r="V29" s="429">
        <v>-30.624733041570802859774709760</v>
      </c>
      <c r="W29" s="427">
        <v>0</v>
      </c>
      <c r="X29" s="428">
        <v>-100</v>
      </c>
      <c r="Y29" s="429">
        <v>-37.004917364539613007609552390</v>
      </c>
      <c r="Z29" s="427">
        <v>-22.900812766146078637758322040</v>
      </c>
      <c r="AA29" s="428">
        <v>-31.029930467737472213729810290</v>
      </c>
      <c r="AB29" s="429">
        <v>-43.639127790874194778625398270</v>
      </c>
    </row>
    <row r="30" ht="18" customHeight="1">
      <c r="A30" s="58"/>
      <c r="B30" s="286">
        <v>2021</v>
      </c>
      <c r="C30" s="287"/>
      <c r="D30" s="276">
        <v>187.49169779991697799916977999</v>
      </c>
      <c r="E30" s="94">
        <v>165.6360902394162167186360888</v>
      </c>
      <c r="F30" s="277">
        <v>114.9673730686143319245193151</v>
      </c>
      <c r="G30" s="276">
        <v>7.386986301369863013698630137</v>
      </c>
      <c r="H30" s="94">
        <v>7.2026972750990629626821568151</v>
      </c>
      <c r="I30" s="277">
        <v>10.862933429380819494292622578</v>
      </c>
      <c r="J30" s="276">
        <v>0</v>
      </c>
      <c r="K30" s="94">
        <v>0.0128808474479688238104226409</v>
      </c>
      <c r="L30" s="277">
        <v>5.5800344312220502350418633236</v>
      </c>
      <c r="M30" s="276">
        <v>194.87868410128684101286841013</v>
      </c>
      <c r="N30" s="94">
        <v>172.85166836196324850512866826</v>
      </c>
      <c r="O30" s="277">
        <v>131.41034092921720165385380101</v>
      </c>
      <c r="P30" s="5"/>
      <c r="Q30" s="271">
        <v>116.69417069154103083077492686</v>
      </c>
      <c r="R30" s="92">
        <v>57.928597573415092841243575810</v>
      </c>
      <c r="S30" s="272">
        <v>102.14574092591003610834022401</v>
      </c>
      <c r="T30" s="271">
        <v>-50.523122450706638187318117750</v>
      </c>
      <c r="U30" s="92">
        <v>-58.333688776720443830737833220</v>
      </c>
      <c r="V30" s="272">
        <v>-45.996057131031908628223946700</v>
      </c>
      <c r="W30" s="271">
        <v>0</v>
      </c>
      <c r="X30" s="92">
        <v>0</v>
      </c>
      <c r="Y30" s="272">
        <v>16.343487512614362059081149190</v>
      </c>
      <c r="Z30" s="271">
        <v>92.08608826616171883247526863</v>
      </c>
      <c r="AA30" s="92">
        <v>41.488034967626444563805500030</v>
      </c>
      <c r="AB30" s="272">
        <v>60.678284612481292696769094830</v>
      </c>
    </row>
    <row r="31" ht="18" customHeight="1">
      <c r="A31" s="58"/>
      <c r="B31" s="425">
        <v>2022</v>
      </c>
      <c r="C31" s="426"/>
      <c r="D31" s="457">
        <v>206.9507056870070568700705687</v>
      </c>
      <c r="E31" s="458">
        <v>192.18017571478663592959217439</v>
      </c>
      <c r="F31" s="459">
        <v>132.59173095822819947202394618</v>
      </c>
      <c r="G31" s="457">
        <v>27.38970527189705271897052719</v>
      </c>
      <c r="H31" s="458">
        <v>28.549659381302686661247844147</v>
      </c>
      <c r="I31" s="459">
        <v>29.591204754376580955888437289</v>
      </c>
      <c r="J31" s="457">
        <v>0</v>
      </c>
      <c r="K31" s="458">
        <v>0</v>
      </c>
      <c r="L31" s="459">
        <v>9.527091376272350686651316141</v>
      </c>
      <c r="M31" s="457">
        <v>234.34041095890410958904109589</v>
      </c>
      <c r="N31" s="458">
        <v>220.72983509608932259084001853</v>
      </c>
      <c r="O31" s="459">
        <v>171.71002708887713111456369961</v>
      </c>
      <c r="P31" s="93"/>
      <c r="Q31" s="430">
        <v>10.378597087469243380630391810</v>
      </c>
      <c r="R31" s="431">
        <v>16.025544576077280147378005430</v>
      </c>
      <c r="S31" s="432">
        <v>15.329877876840678310107373560</v>
      </c>
      <c r="T31" s="430">
        <v>270.78321462036673486568389740</v>
      </c>
      <c r="U31" s="431">
        <v>296.37455651509818736249394793</v>
      </c>
      <c r="V31" s="432">
        <v>172.40528487719005256899174061</v>
      </c>
      <c r="W31" s="430">
        <v>0</v>
      </c>
      <c r="X31" s="431">
        <v>-100</v>
      </c>
      <c r="Y31" s="432">
        <v>70.735351076024211444498660620</v>
      </c>
      <c r="Z31" s="430">
        <v>20.249380808160366492609650750</v>
      </c>
      <c r="AA31" s="431">
        <v>27.698990231218930414849968600</v>
      </c>
      <c r="AB31" s="432">
        <v>30.667058524252218894808491960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9"/>
    </row>
    <row r="34" ht="18" customHeight="1">
      <c r="A34" s="58"/>
      <c r="B34" s="284">
        <v>2020</v>
      </c>
      <c r="C34" s="285"/>
      <c r="D34" s="454">
        <v>79.189476284584980237154150198</v>
      </c>
      <c r="E34" s="455">
        <v>83.19938788369790260149428391</v>
      </c>
      <c r="F34" s="456">
        <v>48.830017052287233944544979412</v>
      </c>
      <c r="G34" s="454">
        <v>3.3302865612648221343873517787</v>
      </c>
      <c r="H34" s="455">
        <v>1.3526420019803762714915834008</v>
      </c>
      <c r="I34" s="456">
        <v>2.3753639059319371458845986638</v>
      </c>
      <c r="J34" s="454">
        <v>0</v>
      </c>
      <c r="K34" s="455">
        <v>0</v>
      </c>
      <c r="L34" s="456">
        <v>3.5617230889227579587711502811</v>
      </c>
      <c r="M34" s="454">
        <v>82.51976284584980237154150198</v>
      </c>
      <c r="N34" s="455">
        <v>84.55202988567827887298586731</v>
      </c>
      <c r="O34" s="456">
        <v>54.767104047141929049200728357</v>
      </c>
      <c r="P34" s="5"/>
      <c r="Q34" s="427">
        <v>-42.517915389271467433874333870</v>
      </c>
      <c r="R34" s="428">
        <v>-47.786115257102318794020353630</v>
      </c>
      <c r="S34" s="429">
        <v>-56.556345948177899601670998480</v>
      </c>
      <c r="T34" s="427">
        <v>-58.010527736637785204741634750</v>
      </c>
      <c r="U34" s="428">
        <v>-92.56455546166462163874633341</v>
      </c>
      <c r="V34" s="429">
        <v>-90.65289370617016148300728793</v>
      </c>
      <c r="W34" s="427">
        <v>0</v>
      </c>
      <c r="X34" s="428">
        <v>0</v>
      </c>
      <c r="Y34" s="429">
        <v>-52.235627535697904644741217120</v>
      </c>
      <c r="Z34" s="427">
        <v>-43.361291343572961445259553310</v>
      </c>
      <c r="AA34" s="428">
        <v>-52.374505537649711883140400160</v>
      </c>
      <c r="AB34" s="429">
        <v>-62.299314488452250279000956300</v>
      </c>
    </row>
    <row r="35" ht="18" customHeight="1">
      <c r="A35" s="58"/>
      <c r="B35" s="286">
        <v>2021</v>
      </c>
      <c r="C35" s="287"/>
      <c r="D35" s="276">
        <v>201.13372859025032938076416337</v>
      </c>
      <c r="E35" s="94">
        <v>166.27437832692775290465995847</v>
      </c>
      <c r="F35" s="277">
        <v>122.53950127687763717687029759</v>
      </c>
      <c r="G35" s="276">
        <v>15.008152173913043478260869565</v>
      </c>
      <c r="H35" s="94">
        <v>14.365373103321189957495013317</v>
      </c>
      <c r="I35" s="277">
        <v>17.511532914655712740355277625</v>
      </c>
      <c r="J35" s="276">
        <v>0</v>
      </c>
      <c r="K35" s="94">
        <v>0.0466814230549915414831457611</v>
      </c>
      <c r="L35" s="277">
        <v>7.5741860267082050250666903817</v>
      </c>
      <c r="M35" s="276">
        <v>216.14188076416337285902503294</v>
      </c>
      <c r="N35" s="94">
        <v>180.68643285330393440363811755</v>
      </c>
      <c r="O35" s="277">
        <v>147.62522021824155494229226559</v>
      </c>
      <c r="P35" s="5"/>
      <c r="Q35" s="271">
        <v>153.99047705201816424536066879</v>
      </c>
      <c r="R35" s="92">
        <v>99.85048274556282113246977183</v>
      </c>
      <c r="S35" s="272">
        <v>150.95117444999081802393208211</v>
      </c>
      <c r="T35" s="271">
        <v>350.65647948489181198140726993</v>
      </c>
      <c r="U35" s="92">
        <v>962.0232908693301065698397052</v>
      </c>
      <c r="V35" s="272">
        <v>637.21474301937664802483760032</v>
      </c>
      <c r="W35" s="271">
        <v>0</v>
      </c>
      <c r="X35" s="92">
        <v>0</v>
      </c>
      <c r="Y35" s="272">
        <v>112.65510646554533795011248612</v>
      </c>
      <c r="Z35" s="271">
        <v>161.92741388272703239124683003</v>
      </c>
      <c r="AA35" s="92">
        <v>113.69851569212630121327480823</v>
      </c>
      <c r="AB35" s="272">
        <v>169.55089699700587136523139908</v>
      </c>
    </row>
    <row r="36" ht="18" customHeight="1">
      <c r="A36" s="58"/>
      <c r="B36" s="425">
        <v>2022</v>
      </c>
      <c r="C36" s="426"/>
      <c r="D36" s="457">
        <v>197.6585144927536231884057971</v>
      </c>
      <c r="E36" s="458">
        <v>183.95932069510268562401263823</v>
      </c>
      <c r="F36" s="459">
        <v>125.6722767614774740294155017</v>
      </c>
      <c r="G36" s="457">
        <v>22.571805006587615283267457181</v>
      </c>
      <c r="H36" s="458">
        <v>38.813191153238546603475513428</v>
      </c>
      <c r="I36" s="459">
        <v>30.963765817020974000172235597</v>
      </c>
      <c r="J36" s="457">
        <v>0</v>
      </c>
      <c r="K36" s="458">
        <v>0</v>
      </c>
      <c r="L36" s="459">
        <v>9.540848410492255344989863634</v>
      </c>
      <c r="M36" s="457">
        <v>220.23031949934123847167325428</v>
      </c>
      <c r="N36" s="458">
        <v>222.77251184834123222748815166</v>
      </c>
      <c r="O36" s="459">
        <v>166.17689098899070337457760093</v>
      </c>
      <c r="P36" s="93"/>
      <c r="Q36" s="430">
        <v>-1.7278126955152437039141040100</v>
      </c>
      <c r="R36" s="431">
        <v>10.635999692889305307133669860</v>
      </c>
      <c r="S36" s="432">
        <v>2.5565433610655926064403312500</v>
      </c>
      <c r="T36" s="430">
        <v>50.396962564393653421066723480</v>
      </c>
      <c r="U36" s="431">
        <v>170.18575065288361241331319281</v>
      </c>
      <c r="V36" s="432">
        <v>76.819276575316489532453847230</v>
      </c>
      <c r="W36" s="430">
        <v>0</v>
      </c>
      <c r="X36" s="431">
        <v>-100</v>
      </c>
      <c r="Y36" s="432">
        <v>25.965329830288195725625372490</v>
      </c>
      <c r="Z36" s="430">
        <v>1.8915532337768083904659682600</v>
      </c>
      <c r="AA36" s="431">
        <v>23.292329330122466557728664720</v>
      </c>
      <c r="AB36" s="432">
        <v>12.566735374463852983587407170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972" t="s">
        <v>45</v>
      </c>
      <c r="C38" s="972"/>
      <c r="D38" s="972"/>
      <c r="E38" s="972"/>
      <c r="F38" s="972"/>
      <c r="G38" s="972"/>
      <c r="H38" s="972"/>
      <c r="I38" s="972"/>
      <c r="J38" s="972"/>
      <c r="K38" s="972"/>
      <c r="L38" s="972"/>
      <c r="M38" s="972"/>
      <c r="N38" s="972"/>
      <c r="O38" s="972"/>
      <c r="P38" s="467"/>
      <c r="Q38" s="971"/>
      <c r="R38" s="971"/>
      <c r="S38" s="971"/>
      <c r="T38" s="971"/>
      <c r="U38" s="971"/>
      <c r="V38" s="971"/>
      <c r="W38" s="971"/>
      <c r="X38" s="971"/>
      <c r="Y38" s="971"/>
      <c r="Z38" s="971"/>
      <c r="AA38" s="971"/>
      <c r="AB38" s="971"/>
      <c r="AC38" s="9"/>
    </row>
    <row r="39" ht="18" customHeight="1">
      <c r="A39" s="58"/>
      <c r="B39" s="284">
        <v>2020</v>
      </c>
      <c r="C39" s="285"/>
      <c r="D39" s="454">
        <v>86.5236462990561351217088922</v>
      </c>
      <c r="E39" s="455">
        <v>104.88036542110519690581134017</v>
      </c>
      <c r="F39" s="456">
        <v>56.873507471431374761098242472</v>
      </c>
      <c r="G39" s="454">
        <v>14.930178837555886736214605067</v>
      </c>
      <c r="H39" s="455">
        <v>17.286620926233336591257926876</v>
      </c>
      <c r="I39" s="456">
        <v>20.115074663611238566885227929</v>
      </c>
      <c r="J39" s="454">
        <v>0</v>
      </c>
      <c r="K39" s="455">
        <v>0</v>
      </c>
      <c r="L39" s="456">
        <v>4.796172566703160913165696184</v>
      </c>
      <c r="M39" s="454">
        <v>101.45382513661202185792349727</v>
      </c>
      <c r="N39" s="455">
        <v>122.16698634733853349706926705</v>
      </c>
      <c r="O39" s="456">
        <v>81.78475470174577424114916658</v>
      </c>
      <c r="P39" s="5"/>
      <c r="Q39" s="427">
        <v>-26.764519675259238745284952550</v>
      </c>
      <c r="R39" s="428">
        <v>-33.290472071957884367697357440</v>
      </c>
      <c r="S39" s="429">
        <v>-47.582476468031892116369312830</v>
      </c>
      <c r="T39" s="427">
        <v>11.052345660055744193240182380</v>
      </c>
      <c r="U39" s="428">
        <v>-13.095003537985308636827143940</v>
      </c>
      <c r="V39" s="429">
        <v>-30.624733041570802859774709760</v>
      </c>
      <c r="W39" s="427">
        <v>0</v>
      </c>
      <c r="X39" s="428">
        <v>-100</v>
      </c>
      <c r="Y39" s="429">
        <v>-37.004917364539613007609552390</v>
      </c>
      <c r="Z39" s="427">
        <v>-22.900812766146078637758322040</v>
      </c>
      <c r="AA39" s="428">
        <v>-31.029930467737472213729810290</v>
      </c>
      <c r="AB39" s="429">
        <v>-43.639127790874194778625398270</v>
      </c>
    </row>
    <row r="40" ht="18" customHeight="1">
      <c r="A40" s="58"/>
      <c r="B40" s="286">
        <v>2021</v>
      </c>
      <c r="C40" s="287"/>
      <c r="D40" s="276">
        <v>187.49169779991697799916977999</v>
      </c>
      <c r="E40" s="94">
        <v>165.6360902394162167186360888</v>
      </c>
      <c r="F40" s="277">
        <v>114.9673730686143319245193151</v>
      </c>
      <c r="G40" s="276">
        <v>7.386986301369863013698630137</v>
      </c>
      <c r="H40" s="94">
        <v>7.2026972750990629626821568151</v>
      </c>
      <c r="I40" s="277">
        <v>10.862933429380819494292622578</v>
      </c>
      <c r="J40" s="276">
        <v>0</v>
      </c>
      <c r="K40" s="94">
        <v>0.0128808474479688238104226409</v>
      </c>
      <c r="L40" s="277">
        <v>5.5800344312220502350418633236</v>
      </c>
      <c r="M40" s="276">
        <v>194.87868410128684101286841013</v>
      </c>
      <c r="N40" s="94">
        <v>172.85166836196324850512866826</v>
      </c>
      <c r="O40" s="277">
        <v>131.41034092921720165385380101</v>
      </c>
      <c r="P40" s="5"/>
      <c r="Q40" s="271">
        <v>116.69417069154103083077492686</v>
      </c>
      <c r="R40" s="92">
        <v>57.928597573415092841243575810</v>
      </c>
      <c r="S40" s="272">
        <v>102.14574092591003610834022401</v>
      </c>
      <c r="T40" s="271">
        <v>-50.523122450706638187318117750</v>
      </c>
      <c r="U40" s="92">
        <v>-58.333688776720443830737833220</v>
      </c>
      <c r="V40" s="272">
        <v>-45.996057131031908628223946700</v>
      </c>
      <c r="W40" s="271">
        <v>0</v>
      </c>
      <c r="X40" s="92">
        <v>0</v>
      </c>
      <c r="Y40" s="272">
        <v>16.343487512614362059081149190</v>
      </c>
      <c r="Z40" s="271">
        <v>92.08608826616171883247526863</v>
      </c>
      <c r="AA40" s="92">
        <v>41.488034967626444563805500030</v>
      </c>
      <c r="AB40" s="272">
        <v>60.678284612481292696769094830</v>
      </c>
    </row>
    <row r="41" ht="18" customHeight="1">
      <c r="A41" s="58"/>
      <c r="B41" s="425">
        <v>2022</v>
      </c>
      <c r="C41" s="426"/>
      <c r="D41" s="457">
        <v>206.9507056870070568700705687</v>
      </c>
      <c r="E41" s="458">
        <v>192.18017571478663592959217439</v>
      </c>
      <c r="F41" s="459">
        <v>132.59173095822819947202394618</v>
      </c>
      <c r="G41" s="457">
        <v>27.38970527189705271897052719</v>
      </c>
      <c r="H41" s="458">
        <v>28.549659381302686661247844147</v>
      </c>
      <c r="I41" s="459">
        <v>29.591204754376580955888437289</v>
      </c>
      <c r="J41" s="457">
        <v>0</v>
      </c>
      <c r="K41" s="458">
        <v>0</v>
      </c>
      <c r="L41" s="459">
        <v>9.527091376272350686651316141</v>
      </c>
      <c r="M41" s="457">
        <v>234.34041095890410958904109589</v>
      </c>
      <c r="N41" s="458">
        <v>220.72983509608932259084001853</v>
      </c>
      <c r="O41" s="459">
        <v>171.71002708887713111456369961</v>
      </c>
      <c r="P41" s="93"/>
      <c r="Q41" s="430">
        <v>10.378597087469243380630391810</v>
      </c>
      <c r="R41" s="431">
        <v>16.025544576077280147378005430</v>
      </c>
      <c r="S41" s="432">
        <v>15.329877876840678310107373560</v>
      </c>
      <c r="T41" s="430">
        <v>270.78321462036673486568389740</v>
      </c>
      <c r="U41" s="431">
        <v>296.37455651509818736249394793</v>
      </c>
      <c r="V41" s="432">
        <v>172.40528487719005256899174061</v>
      </c>
      <c r="W41" s="430">
        <v>0</v>
      </c>
      <c r="X41" s="431">
        <v>-100</v>
      </c>
      <c r="Y41" s="432">
        <v>70.735351076024211444498660620</v>
      </c>
      <c r="Z41" s="430">
        <v>20.249380808160366492609650750</v>
      </c>
      <c r="AA41" s="431">
        <v>27.698990231218930414849968600</v>
      </c>
      <c r="AB41" s="432">
        <v>30.667058524252218894808491960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row>
    <row r="44" ht="12" customHeight="1">
      <c r="Z44" s="55"/>
      <c r="AA44" s="233"/>
      <c r="AB44" s="233"/>
    </row>
    <row r="45" ht="12" customHeight="1"/>
    <row r="46">
      <c r="A46" s="236"/>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c r="AA46" s="236"/>
      <c r="AB46" s="236"/>
      <c r="AC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sheetData>
  <mergeCells count="22">
    <mergeCell ref="B43:AB43"/>
    <mergeCell ref="B33:O33"/>
    <mergeCell ref="B38:O38"/>
    <mergeCell ref="B8:C8"/>
    <mergeCell ref="Q28:AB28"/>
    <mergeCell ref="Q33:AB33"/>
    <mergeCell ref="Q38:AB38"/>
    <mergeCell ref="B28:O28"/>
    <mergeCell ref="Q7:S7"/>
    <mergeCell ref="T7:V7"/>
    <mergeCell ref="W7:Y7"/>
    <mergeCell ref="Z7:AB7"/>
    <mergeCell ref="D7:F7"/>
    <mergeCell ref="M7:O7"/>
    <mergeCell ref="J7:L7"/>
    <mergeCell ref="G7:I7"/>
    <mergeCell ref="B4:AB4"/>
    <mergeCell ref="B2:AB2"/>
    <mergeCell ref="Q6:AB6"/>
    <mergeCell ref="D6:O6"/>
    <mergeCell ref="B3:Q3"/>
    <mergeCell ref="R3:AB3"/>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47"/>
</worksheet>
</file>

<file path=xl/worksheets/sheet10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2">
    <pageSetUpPr fitToPage="1"/>
  </sheetPr>
  <dimension ref="A1:AP81"/>
  <sheetViews>
    <sheetView showGridLines="0" zoomScale="85" workbookViewId="0"/>
  </sheetViews>
  <sheetFormatPr defaultRowHeight="12.75"/>
  <cols>
    <col min="1" max="1" width="2.7109375" customWidth="1"/>
    <col min="2" max="2" width="6.7109375" customWidth="1"/>
    <col min="3" max="3" width="6.140625" style="26"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236" customWidth="1"/>
  </cols>
  <sheetData>
    <row r="1" ht="30">
      <c r="A1" s="89"/>
      <c r="B1" s="656" t="s">
        <v>185</v>
      </c>
      <c r="Y1" s="21"/>
      <c r="Z1" s="5"/>
      <c r="AB1" s="685"/>
      <c r="AD1" s="236"/>
    </row>
    <row r="2" ht="15" customHeight="1">
      <c r="A2" s="11"/>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209</v>
      </c>
      <c r="C3" s="999"/>
      <c r="D3" s="999"/>
      <c r="E3" s="999"/>
      <c r="F3" s="999"/>
      <c r="G3" s="999"/>
      <c r="H3" s="999"/>
      <c r="I3" s="999"/>
      <c r="J3" s="999"/>
      <c r="K3" s="999"/>
      <c r="L3" s="999"/>
      <c r="M3" s="999"/>
      <c r="N3" s="999"/>
      <c r="O3" s="999"/>
      <c r="P3" s="999"/>
      <c r="Q3" s="999"/>
      <c r="R3" s="999"/>
      <c r="S3" s="999"/>
      <c r="T3" s="999"/>
      <c r="U3" s="999"/>
      <c r="V3" s="999"/>
      <c r="W3" s="999"/>
      <c r="X3" s="999"/>
      <c r="Y3" s="999"/>
      <c r="Z3" s="999"/>
      <c r="AA3" s="999"/>
      <c r="AB3" s="999"/>
    </row>
    <row r="4" ht="19.5" customHeight="1">
      <c r="A4" s="4"/>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5" customHeight="1"/>
    <row r="6" ht="15.75" customHeight="1">
      <c r="D6" s="960" t="s">
        <v>54</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ustomHeight="1">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53</v>
      </c>
      <c r="E8" s="413" t="s">
        <v>9</v>
      </c>
      <c r="F8" s="414" t="s">
        <v>10</v>
      </c>
      <c r="G8" s="412" t="s">
        <v>53</v>
      </c>
      <c r="H8" s="413" t="s">
        <v>9</v>
      </c>
      <c r="I8" s="414" t="s">
        <v>10</v>
      </c>
      <c r="J8" s="412" t="s">
        <v>53</v>
      </c>
      <c r="K8" s="413" t="s">
        <v>9</v>
      </c>
      <c r="L8" s="414" t="s">
        <v>10</v>
      </c>
      <c r="M8" s="412" t="s">
        <v>53</v>
      </c>
      <c r="N8" s="413" t="s">
        <v>9</v>
      </c>
      <c r="O8" s="414" t="s">
        <v>10</v>
      </c>
      <c r="P8" s="63"/>
      <c r="Q8" s="412" t="s">
        <v>53</v>
      </c>
      <c r="R8" s="413" t="s">
        <v>9</v>
      </c>
      <c r="S8" s="414" t="s">
        <v>10</v>
      </c>
      <c r="T8" s="412" t="s">
        <v>53</v>
      </c>
      <c r="U8" s="413" t="s">
        <v>9</v>
      </c>
      <c r="V8" s="414" t="s">
        <v>10</v>
      </c>
      <c r="W8" s="412" t="s">
        <v>53</v>
      </c>
      <c r="X8" s="413" t="s">
        <v>9</v>
      </c>
      <c r="Y8" s="414" t="s">
        <v>10</v>
      </c>
      <c r="Z8" s="412" t="s">
        <v>53</v>
      </c>
      <c r="AA8" s="413" t="s">
        <v>9</v>
      </c>
      <c r="AB8" s="414" t="s">
        <v>10</v>
      </c>
    </row>
    <row r="9" ht="18.95" customHeight="1">
      <c r="A9" s="57"/>
      <c r="B9" s="284">
        <v>2021</v>
      </c>
      <c r="C9" s="285" t="s">
        <v>218</v>
      </c>
      <c r="D9" s="415">
        <v>115.03833515886476506683911766</v>
      </c>
      <c r="E9" s="416">
        <v>107.97715432994680437450446345</v>
      </c>
      <c r="F9" s="417">
        <v>124.21512069304089462663118900</v>
      </c>
      <c r="G9" s="415">
        <v>25.881261595392300257668686420</v>
      </c>
      <c r="H9" s="416">
        <v>148.47449139281017436693189971</v>
      </c>
      <c r="I9" s="417">
        <v>38.427071520177222331200132150</v>
      </c>
      <c r="J9" s="415">
        <v>0</v>
      </c>
      <c r="K9" s="416">
        <v>0</v>
      </c>
      <c r="L9" s="417">
        <v>0</v>
      </c>
      <c r="M9" s="415">
        <v>109.02171907535588303398878294</v>
      </c>
      <c r="N9" s="416">
        <v>109.57697510195861717572045124</v>
      </c>
      <c r="O9" s="417">
        <v>119.46270196694561169819878377</v>
      </c>
      <c r="P9" s="5"/>
      <c r="Q9" s="415">
        <v>66.653388035077740577377132930</v>
      </c>
      <c r="R9" s="416">
        <v>-1.7898777614757924584662902200</v>
      </c>
      <c r="S9" s="417">
        <v>63.670496103939796590861279720</v>
      </c>
      <c r="T9" s="415">
        <v>0</v>
      </c>
      <c r="U9" s="416">
        <v>0</v>
      </c>
      <c r="V9" s="417">
        <v>0</v>
      </c>
      <c r="W9" s="415">
        <v>0</v>
      </c>
      <c r="X9" s="416">
        <v>0</v>
      </c>
      <c r="Y9" s="417">
        <v>0</v>
      </c>
      <c r="Z9" s="415">
        <v>57.937254813587626343069618200</v>
      </c>
      <c r="AA9" s="416">
        <v>-0.3347681639501756897289179600</v>
      </c>
      <c r="AB9" s="417">
        <v>57.408531165582286226085062040</v>
      </c>
    </row>
    <row r="10" ht="18.95" customHeight="1">
      <c r="A10" s="58"/>
      <c r="B10" s="286"/>
      <c r="C10" s="287" t="s">
        <v>221</v>
      </c>
      <c r="D10" s="271">
        <v>110.10530971013829289286593397</v>
      </c>
      <c r="E10" s="92">
        <v>103.26064042208854456041716502</v>
      </c>
      <c r="F10" s="272">
        <v>113.69544794533324296434124781</v>
      </c>
      <c r="G10" s="271">
        <v>79.97542997977026362995863790</v>
      </c>
      <c r="H10" s="92">
        <v>76.517344820963278561295543990</v>
      </c>
      <c r="I10" s="272">
        <v>61.195075527016811050745831480</v>
      </c>
      <c r="J10" s="271">
        <v>0</v>
      </c>
      <c r="K10" s="92">
        <v>0</v>
      </c>
      <c r="L10" s="272">
        <v>0</v>
      </c>
      <c r="M10" s="271">
        <v>109.66005537147065908394704100</v>
      </c>
      <c r="N10" s="92">
        <v>102.90031533830050404076121552</v>
      </c>
      <c r="O10" s="272">
        <v>112.84054277745292564521159376</v>
      </c>
      <c r="P10" s="5"/>
      <c r="Q10" s="271">
        <v>39.516152229757147299749773010</v>
      </c>
      <c r="R10" s="92">
        <v>-3.315192880083671797541812700</v>
      </c>
      <c r="S10" s="272">
        <v>34.890922684410480798477133830</v>
      </c>
      <c r="T10" s="271">
        <v>0</v>
      </c>
      <c r="U10" s="92">
        <v>0</v>
      </c>
      <c r="V10" s="272">
        <v>0</v>
      </c>
      <c r="W10" s="271">
        <v>0</v>
      </c>
      <c r="X10" s="92">
        <v>0</v>
      </c>
      <c r="Y10" s="272">
        <v>0</v>
      </c>
      <c r="Z10" s="271">
        <v>38.951963524797775732741187530</v>
      </c>
      <c r="AA10" s="92">
        <v>-3.6525717795763596106907166100</v>
      </c>
      <c r="AB10" s="272">
        <v>33.876643318023761345077532850</v>
      </c>
    </row>
    <row r="11" ht="18.95" customHeight="1">
      <c r="A11" s="58"/>
      <c r="B11" s="288"/>
      <c r="C11" s="289" t="s">
        <v>222</v>
      </c>
      <c r="D11" s="420">
        <v>121.44267526901379704680778551</v>
      </c>
      <c r="E11" s="91">
        <v>97.55781665369443069685084264</v>
      </c>
      <c r="F11" s="421">
        <v>118.47682247811292940466325785</v>
      </c>
      <c r="G11" s="420">
        <v>35.581315669281293832111696470</v>
      </c>
      <c r="H11" s="91">
        <v>96.61729728746568428009951005</v>
      </c>
      <c r="I11" s="421">
        <v>34.377705539050923197439048240</v>
      </c>
      <c r="J11" s="420">
        <v>0</v>
      </c>
      <c r="K11" s="91">
        <v>0</v>
      </c>
      <c r="L11" s="421">
        <v>0</v>
      </c>
      <c r="M11" s="420">
        <v>113.60037552817709533980532247</v>
      </c>
      <c r="N11" s="91">
        <v>98.22788975678518386159217354</v>
      </c>
      <c r="O11" s="421">
        <v>111.58725163697159773908897746</v>
      </c>
      <c r="P11" s="5"/>
      <c r="Q11" s="420">
        <v>8.192177987195733105995577470</v>
      </c>
      <c r="R11" s="91">
        <v>7.967319528660375171060311300</v>
      </c>
      <c r="S11" s="421">
        <v>16.812194512230498409091806690</v>
      </c>
      <c r="T11" s="420">
        <v>0</v>
      </c>
      <c r="U11" s="91">
        <v>0</v>
      </c>
      <c r="V11" s="421">
        <v>0</v>
      </c>
      <c r="W11" s="420">
        <v>0</v>
      </c>
      <c r="X11" s="91">
        <v>0</v>
      </c>
      <c r="Y11" s="421">
        <v>0</v>
      </c>
      <c r="Z11" s="420">
        <v>1.470047492144188917081441300</v>
      </c>
      <c r="AA11" s="91">
        <v>8.731448554245657599922349540</v>
      </c>
      <c r="AB11" s="421">
        <v>10.329852486923342853701162770</v>
      </c>
    </row>
    <row r="12" ht="18.95" customHeight="1">
      <c r="A12" s="58"/>
      <c r="B12" s="286"/>
      <c r="C12" s="287" t="s">
        <v>224</v>
      </c>
      <c r="D12" s="271">
        <v>131.65513740474988794293250156</v>
      </c>
      <c r="E12" s="92">
        <v>93.71463971842583752107274816</v>
      </c>
      <c r="F12" s="272">
        <v>123.38013768964784931085643177</v>
      </c>
      <c r="G12" s="271">
        <v>37.333436229587916697131601830</v>
      </c>
      <c r="H12" s="92">
        <v>88.86962574016662955577080770</v>
      </c>
      <c r="I12" s="272">
        <v>33.178085053348847172392237290</v>
      </c>
      <c r="J12" s="271">
        <v>0</v>
      </c>
      <c r="K12" s="92">
        <v>0</v>
      </c>
      <c r="L12" s="272">
        <v>0</v>
      </c>
      <c r="M12" s="271">
        <v>122.19405395914978764834331248</v>
      </c>
      <c r="N12" s="92">
        <v>93.60212260158535183766972333</v>
      </c>
      <c r="O12" s="272">
        <v>114.37622819874691540438205788</v>
      </c>
      <c r="P12" s="5"/>
      <c r="Q12" s="271">
        <v>19.078835259993834353250267960</v>
      </c>
      <c r="R12" s="92">
        <v>1.4751338081231448056966341500</v>
      </c>
      <c r="S12" s="272">
        <v>20.835407417098778709319694060</v>
      </c>
      <c r="T12" s="271">
        <v>-99.83543666672807257486382634</v>
      </c>
      <c r="U12" s="92">
        <v>1.3669168598918165597344998200</v>
      </c>
      <c r="V12" s="272">
        <v>-99.83318722308747951424373515</v>
      </c>
      <c r="W12" s="271">
        <v>0</v>
      </c>
      <c r="X12" s="92">
        <v>0</v>
      </c>
      <c r="Y12" s="272">
        <v>0</v>
      </c>
      <c r="Z12" s="271">
        <v>7.3718922520053564083302989800</v>
      </c>
      <c r="AA12" s="92">
        <v>1.1360543501086456519428816100</v>
      </c>
      <c r="AB12" s="272">
        <v>8.591695304736771274019848950</v>
      </c>
    </row>
    <row r="13" ht="18.95" customHeight="1">
      <c r="A13" s="58"/>
      <c r="B13" s="288"/>
      <c r="C13" s="289" t="s">
        <v>227</v>
      </c>
      <c r="D13" s="420">
        <v>124.01229834522677241667023043</v>
      </c>
      <c r="E13" s="91">
        <v>96.73314120679225883211252606</v>
      </c>
      <c r="F13" s="421">
        <v>119.96099167209858062110423050</v>
      </c>
      <c r="G13" s="420">
        <v>107.50403137816208366066111321</v>
      </c>
      <c r="H13" s="91">
        <v>94.25414834040288840486346066</v>
      </c>
      <c r="I13" s="421">
        <v>101.32700920705422101375605802</v>
      </c>
      <c r="J13" s="420">
        <v>0</v>
      </c>
      <c r="K13" s="91">
        <v>0</v>
      </c>
      <c r="L13" s="421">
        <v>0</v>
      </c>
      <c r="M13" s="420">
        <v>122.01843092859036563938492279</v>
      </c>
      <c r="N13" s="91">
        <v>96.38279013838310233185525617</v>
      </c>
      <c r="O13" s="421">
        <v>117.60476821209494586079249282</v>
      </c>
      <c r="P13" s="5"/>
      <c r="Q13" s="420">
        <v>44.106507980529758711693870380</v>
      </c>
      <c r="R13" s="91">
        <v>-3.974412532638684405836041200</v>
      </c>
      <c r="S13" s="421">
        <v>38.379120866936334881999095880</v>
      </c>
      <c r="T13" s="420">
        <v>-51.988807073442655714690762400</v>
      </c>
      <c r="U13" s="91">
        <v>39.060571131073762279011044340</v>
      </c>
      <c r="V13" s="421">
        <v>-33.235360911822689692479017490</v>
      </c>
      <c r="W13" s="420">
        <v>0</v>
      </c>
      <c r="X13" s="91">
        <v>0</v>
      </c>
      <c r="Y13" s="421">
        <v>0</v>
      </c>
      <c r="Z13" s="420">
        <v>40.046192375769953938818409330</v>
      </c>
      <c r="AA13" s="91">
        <v>-3.8921337171246842747351085400</v>
      </c>
      <c r="AB13" s="421">
        <v>34.595407302762570972526578640</v>
      </c>
    </row>
    <row r="14" ht="18.95" customHeight="1">
      <c r="A14" s="58"/>
      <c r="B14" s="286"/>
      <c r="C14" s="287" t="s">
        <v>229</v>
      </c>
      <c r="D14" s="271">
        <v>126.93979281094927886112781120</v>
      </c>
      <c r="E14" s="92">
        <v>94.92059828235170902328396901</v>
      </c>
      <c r="F14" s="272">
        <v>120.49201079449247944632424013</v>
      </c>
      <c r="G14" s="271">
        <v>140.25338964279938600862982202</v>
      </c>
      <c r="H14" s="92">
        <v>132.07184974388149612125236755</v>
      </c>
      <c r="I14" s="272">
        <v>185.23524602806985994107870464</v>
      </c>
      <c r="J14" s="271">
        <v>0</v>
      </c>
      <c r="K14" s="92">
        <v>0</v>
      </c>
      <c r="L14" s="272">
        <v>0</v>
      </c>
      <c r="M14" s="271">
        <v>127.69919049649486055730623721</v>
      </c>
      <c r="N14" s="92">
        <v>96.58144087319388849727545932</v>
      </c>
      <c r="O14" s="272">
        <v>123.33371816483097567871205272</v>
      </c>
      <c r="P14" s="5"/>
      <c r="Q14" s="271">
        <v>19.560218113653324006705026210</v>
      </c>
      <c r="R14" s="92">
        <v>4.0364749135363994435180616500</v>
      </c>
      <c r="S14" s="272">
        <v>24.386236324388036355751432430</v>
      </c>
      <c r="T14" s="271">
        <v>-15.886683507822296355554840910</v>
      </c>
      <c r="U14" s="92">
        <v>5.1751256644938319788128614300</v>
      </c>
      <c r="V14" s="272">
        <v>-11.533713677086189551091253820</v>
      </c>
      <c r="W14" s="271">
        <v>0</v>
      </c>
      <c r="X14" s="92">
        <v>0</v>
      </c>
      <c r="Y14" s="272">
        <v>0</v>
      </c>
      <c r="Z14" s="271">
        <v>18.666655047954937799312875820</v>
      </c>
      <c r="AA14" s="92">
        <v>3.9895574644125868359905135800</v>
      </c>
      <c r="AB14" s="272">
        <v>23.400929442098052878271839290</v>
      </c>
    </row>
    <row r="15" ht="18.95" customHeight="1">
      <c r="A15" s="58"/>
      <c r="B15" s="288">
        <v>2022</v>
      </c>
      <c r="C15" s="289" t="s">
        <v>230</v>
      </c>
      <c r="D15" s="420">
        <v>139.36609027637093403197325404</v>
      </c>
      <c r="E15" s="91">
        <v>84.34026078412059961943446733</v>
      </c>
      <c r="F15" s="421">
        <v>117.54172398371684477872157730</v>
      </c>
      <c r="G15" s="420">
        <v>320.39761108308370715632245412</v>
      </c>
      <c r="H15" s="91">
        <v>79.57631602016772017439502078</v>
      </c>
      <c r="I15" s="421">
        <v>254.96061551410503205557813389</v>
      </c>
      <c r="J15" s="420">
        <v>0</v>
      </c>
      <c r="K15" s="91">
        <v>0</v>
      </c>
      <c r="L15" s="421">
        <v>0</v>
      </c>
      <c r="M15" s="420">
        <v>149.16132277138942874825291027</v>
      </c>
      <c r="N15" s="91">
        <v>83.80032797314299321189101965</v>
      </c>
      <c r="O15" s="421">
        <v>124.99767769140799798668979689</v>
      </c>
      <c r="P15" s="5"/>
      <c r="Q15" s="420">
        <v>-5.9515017463907933195493376400</v>
      </c>
      <c r="R15" s="91">
        <v>-7.1818802540496167897866781400</v>
      </c>
      <c r="S15" s="421">
        <v>-12.705952271696047888574742930</v>
      </c>
      <c r="T15" s="420">
        <v>228.00066896306028518358211104</v>
      </c>
      <c r="U15" s="91">
        <v>-25.086138881222256649186317780</v>
      </c>
      <c r="V15" s="421">
        <v>145.71796561731400099834452989</v>
      </c>
      <c r="W15" s="420">
        <v>0</v>
      </c>
      <c r="X15" s="91">
        <v>0</v>
      </c>
      <c r="Y15" s="421">
        <v>0</v>
      </c>
      <c r="Z15" s="420">
        <v>1.5227643143042489996815873500</v>
      </c>
      <c r="AA15" s="91">
        <v>-7.8755505013254532506190387700</v>
      </c>
      <c r="AB15" s="421">
        <v>-6.4727122596573009320349410800</v>
      </c>
    </row>
    <row r="16" ht="18.95" customHeight="1">
      <c r="A16" s="58"/>
      <c r="B16" s="286"/>
      <c r="C16" s="287" t="s">
        <v>231</v>
      </c>
      <c r="D16" s="271">
        <v>128.54319478408026286906465062</v>
      </c>
      <c r="E16" s="92">
        <v>95.15955234991234640108460700</v>
      </c>
      <c r="F16" s="272">
        <v>122.32112873277625530685036653</v>
      </c>
      <c r="G16" s="271">
        <v>83.26897961464552492974944609</v>
      </c>
      <c r="H16" s="92">
        <v>70.717666491369837903076828030</v>
      </c>
      <c r="I16" s="272">
        <v>58.885879294927525058725384110</v>
      </c>
      <c r="J16" s="271">
        <v>0</v>
      </c>
      <c r="K16" s="92">
        <v>0</v>
      </c>
      <c r="L16" s="272">
        <v>0</v>
      </c>
      <c r="M16" s="271">
        <v>123.31761490616408767702702939</v>
      </c>
      <c r="N16" s="92">
        <v>93.17223453726114835973694183</v>
      </c>
      <c r="O16" s="272">
        <v>114.89777738613634916678067346</v>
      </c>
      <c r="P16" s="5"/>
      <c r="Q16" s="271">
        <v>5.2039676401992345976153388500</v>
      </c>
      <c r="R16" s="92">
        <v>-0.3416903026796932217805104600</v>
      </c>
      <c r="S16" s="272">
        <v>4.8444958847715825756330642500</v>
      </c>
      <c r="T16" s="271">
        <v>-40.185225502067986458677276450</v>
      </c>
      <c r="U16" s="92">
        <v>-42.277154375827854429944087920</v>
      </c>
      <c r="V16" s="272">
        <v>-65.473210055203172890920436740</v>
      </c>
      <c r="W16" s="271">
        <v>0</v>
      </c>
      <c r="X16" s="92">
        <v>0</v>
      </c>
      <c r="Y16" s="272">
        <v>0</v>
      </c>
      <c r="Z16" s="271">
        <v>0.6270857044128103401429717400</v>
      </c>
      <c r="AA16" s="92">
        <v>-3.0511739237421237737005573300</v>
      </c>
      <c r="AB16" s="272">
        <v>-2.4432216948486337570024131200</v>
      </c>
    </row>
    <row r="17" ht="18.95" customHeight="1">
      <c r="A17" s="58"/>
      <c r="B17" s="288"/>
      <c r="C17" s="289" t="s">
        <v>232</v>
      </c>
      <c r="D17" s="420">
        <v>108.51488599020882271708107413</v>
      </c>
      <c r="E17" s="91">
        <v>87.86445746612240866932861720</v>
      </c>
      <c r="F17" s="421">
        <v>95.34601584529998768056228306</v>
      </c>
      <c r="G17" s="420">
        <v>160.13090266595798474623167238</v>
      </c>
      <c r="H17" s="91">
        <v>82.47869729620838733976451454</v>
      </c>
      <c r="I17" s="421">
        <v>132.07388248766335270862619164</v>
      </c>
      <c r="J17" s="420">
        <v>0</v>
      </c>
      <c r="K17" s="91">
        <v>0</v>
      </c>
      <c r="L17" s="421">
        <v>0</v>
      </c>
      <c r="M17" s="420">
        <v>115.83731607693362127642772266</v>
      </c>
      <c r="N17" s="91">
        <v>86.31304019723965980884322333</v>
      </c>
      <c r="O17" s="421">
        <v>99.98270918895223464429967452</v>
      </c>
      <c r="P17" s="5"/>
      <c r="Q17" s="420">
        <v>-3.1139203120822903139579496900</v>
      </c>
      <c r="R17" s="91">
        <v>-1.1926421245480207391192538600</v>
      </c>
      <c r="S17" s="421">
        <v>-4.2694245112534124726665941400</v>
      </c>
      <c r="T17" s="420">
        <v>148.92853071613363746802159577</v>
      </c>
      <c r="U17" s="91">
        <v>-34.938392723466438180018070780</v>
      </c>
      <c r="V17" s="421">
        <v>61.956903057031839639571269960</v>
      </c>
      <c r="W17" s="420">
        <v>0</v>
      </c>
      <c r="X17" s="91">
        <v>0</v>
      </c>
      <c r="Y17" s="421">
        <v>0</v>
      </c>
      <c r="Z17" s="420">
        <v>4.0093998351053674376613505300</v>
      </c>
      <c r="AA17" s="91">
        <v>-3.27912411101006498293789900</v>
      </c>
      <c r="AB17" s="421">
        <v>0.5988025276122046868951476100</v>
      </c>
    </row>
    <row r="18" ht="18.95" customHeight="1">
      <c r="A18" s="58"/>
      <c r="B18" s="286"/>
      <c r="C18" s="287" t="s">
        <v>233</v>
      </c>
      <c r="D18" s="271">
        <v>107.87400131934431259383791892</v>
      </c>
      <c r="E18" s="92">
        <v>97.19888039270286437685193701</v>
      </c>
      <c r="F18" s="272">
        <v>104.85232151722136659391815112</v>
      </c>
      <c r="G18" s="271">
        <v>111.03710656633732342825315656</v>
      </c>
      <c r="H18" s="92">
        <v>91.38722107208023711283434270</v>
      </c>
      <c r="I18" s="272">
        <v>101.47372604997028805387037652</v>
      </c>
      <c r="J18" s="271">
        <v>0</v>
      </c>
      <c r="K18" s="92">
        <v>0</v>
      </c>
      <c r="L18" s="272">
        <v>0</v>
      </c>
      <c r="M18" s="271">
        <v>108.32624251176637483819180394</v>
      </c>
      <c r="N18" s="92">
        <v>96.35869938774491115443834858</v>
      </c>
      <c r="O18" s="272">
        <v>104.38175837996677498983700170</v>
      </c>
      <c r="P18" s="5"/>
      <c r="Q18" s="271">
        <v>2.035052390208108923890906500</v>
      </c>
      <c r="R18" s="92">
        <v>2.1503127338895523375287712200</v>
      </c>
      <c r="S18" s="272">
        <v>4.2291251148065263476877590200</v>
      </c>
      <c r="T18" s="271">
        <v>-81.43485520784668132302369333</v>
      </c>
      <c r="U18" s="92">
        <v>17.127724420265591973646929320</v>
      </c>
      <c r="V18" s="272">
        <v>-78.255068369498987688172272460</v>
      </c>
      <c r="W18" s="271">
        <v>0</v>
      </c>
      <c r="X18" s="92">
        <v>0</v>
      </c>
      <c r="Y18" s="272">
        <v>0</v>
      </c>
      <c r="Z18" s="271">
        <v>-5.1861350446971339959428280700</v>
      </c>
      <c r="AA18" s="92">
        <v>2.9176170949710539227140237800</v>
      </c>
      <c r="AB18" s="272">
        <v>-2.4198295123935588882162468700</v>
      </c>
    </row>
    <row r="19" ht="18.95" customHeight="1">
      <c r="A19" s="58"/>
      <c r="B19" s="288"/>
      <c r="C19" s="289" t="s">
        <v>234</v>
      </c>
      <c r="D19" s="420">
        <v>107.40288674740534034763713650</v>
      </c>
      <c r="E19" s="91">
        <v>92.78501091427205629656824693</v>
      </c>
      <c r="F19" s="421">
        <v>99.65378019080445438545689165</v>
      </c>
      <c r="G19" s="420">
        <v>145.09324009327841273683582388</v>
      </c>
      <c r="H19" s="91">
        <v>132.42958610987244653828798243</v>
      </c>
      <c r="I19" s="421">
        <v>192.14637732901267956916182986</v>
      </c>
      <c r="J19" s="420">
        <v>0</v>
      </c>
      <c r="K19" s="91">
        <v>0</v>
      </c>
      <c r="L19" s="421">
        <v>0</v>
      </c>
      <c r="M19" s="420">
        <v>113.23129190398264274992852267</v>
      </c>
      <c r="N19" s="91">
        <v>100.42001549647111828438061478</v>
      </c>
      <c r="O19" s="421">
        <v>113.70688087681941828448014007</v>
      </c>
      <c r="P19" s="5"/>
      <c r="Q19" s="420">
        <v>-1.2790531030356144661013946300</v>
      </c>
      <c r="R19" s="91">
        <v>-4.6751915089377856501932008400</v>
      </c>
      <c r="S19" s="421">
        <v>-5.8944464299319331187315713900</v>
      </c>
      <c r="T19" s="420">
        <v>73.830055940068650569337670730</v>
      </c>
      <c r="U19" s="91">
        <v>53.825655334783949886890861130</v>
      </c>
      <c r="V19" s="421">
        <v>167.39522272143333021788019671</v>
      </c>
      <c r="W19" s="420">
        <v>0</v>
      </c>
      <c r="X19" s="91">
        <v>0</v>
      </c>
      <c r="Y19" s="421">
        <v>0</v>
      </c>
      <c r="Z19" s="420">
        <v>4.5979678816990546878264808700</v>
      </c>
      <c r="AA19" s="91">
        <v>3.1913645969172895907240912700</v>
      </c>
      <c r="AB19" s="421">
        <v>7.936070397755250133929598330</v>
      </c>
    </row>
    <row r="20" ht="18.95" customHeight="1">
      <c r="A20" s="58"/>
      <c r="B20" s="286"/>
      <c r="C20" s="287" t="s">
        <v>235</v>
      </c>
      <c r="D20" s="271">
        <v>112.42151009934520991232422644</v>
      </c>
      <c r="E20" s="92">
        <v>95.98840227587861948846440747</v>
      </c>
      <c r="F20" s="272">
        <v>107.91161135868040118707752147</v>
      </c>
      <c r="G20" s="271">
        <v>94.53180631364749277847589106</v>
      </c>
      <c r="H20" s="92">
        <v>79.63574366163843981830358227</v>
      </c>
      <c r="I20" s="272">
        <v>75.281106954764090837606183570</v>
      </c>
      <c r="J20" s="271">
        <v>0</v>
      </c>
      <c r="K20" s="92">
        <v>0</v>
      </c>
      <c r="L20" s="272">
        <v>0</v>
      </c>
      <c r="M20" s="271">
        <v>109.49632586001108357581183914</v>
      </c>
      <c r="N20" s="92">
        <v>93.39225648248634103104794510</v>
      </c>
      <c r="O20" s="272">
        <v>102.26108948602612826022247216</v>
      </c>
      <c r="P20" s="5"/>
      <c r="Q20" s="271">
        <v>1.4382875960373604298954800100</v>
      </c>
      <c r="R20" s="92">
        <v>3.749922802148155589875365500</v>
      </c>
      <c r="S20" s="272">
        <v>5.242145072662547338535896500</v>
      </c>
      <c r="T20" s="271">
        <v>-41.094263888438013705149391410</v>
      </c>
      <c r="U20" s="92">
        <v>-28.026002050607122545608334900</v>
      </c>
      <c r="V20" s="272">
        <v>-57.60318669769550568344515500</v>
      </c>
      <c r="W20" s="271">
        <v>0</v>
      </c>
      <c r="X20" s="92">
        <v>0</v>
      </c>
      <c r="Y20" s="272">
        <v>0</v>
      </c>
      <c r="Z20" s="271">
        <v>-1.8925912071811911130750892700</v>
      </c>
      <c r="AA20" s="92">
        <v>0.5581732607557622702382273500</v>
      </c>
      <c r="AB20" s="272">
        <v>-1.3449818846083733221542750400</v>
      </c>
    </row>
    <row r="21" ht="18.95" customHeight="1">
      <c r="A21" s="58"/>
      <c r="B21" s="288"/>
      <c r="C21" s="289" t="s">
        <v>218</v>
      </c>
      <c r="D21" s="420">
        <v>106.95110526548790874913671334</v>
      </c>
      <c r="E21" s="91">
        <v>105.80201788985032367793731692</v>
      </c>
      <c r="F21" s="421">
        <v>113.15642752631742883595284898</v>
      </c>
      <c r="G21" s="420">
        <v>114.37736224315346924202770727</v>
      </c>
      <c r="H21" s="91">
        <v>96.36882250359793625541229990</v>
      </c>
      <c r="I21" s="421">
        <v>110.22411720542397080307392872</v>
      </c>
      <c r="J21" s="420">
        <v>0</v>
      </c>
      <c r="K21" s="91">
        <v>0</v>
      </c>
      <c r="L21" s="421">
        <v>0</v>
      </c>
      <c r="M21" s="420">
        <v>107.38713011790839572200060377</v>
      </c>
      <c r="N21" s="91">
        <v>105.20189599494043446846513943</v>
      </c>
      <c r="O21" s="421">
        <v>112.97329693862607174375532337</v>
      </c>
      <c r="P21" s="5"/>
      <c r="Q21" s="420">
        <v>-7.0300303653050724355437920400</v>
      </c>
      <c r="R21" s="91">
        <v>-2.0144413450682672416819482500</v>
      </c>
      <c r="S21" s="421">
        <v>-8.902855872123924986127575180</v>
      </c>
      <c r="T21" s="420">
        <v>341.93117024667106287189097521</v>
      </c>
      <c r="U21" s="91">
        <v>-35.094020798059344786580607830</v>
      </c>
      <c r="V21" s="421">
        <v>186.83975344694778681427877163</v>
      </c>
      <c r="W21" s="420">
        <v>0</v>
      </c>
      <c r="X21" s="91">
        <v>0</v>
      </c>
      <c r="Y21" s="421">
        <v>0</v>
      </c>
      <c r="Z21" s="420">
        <v>-1.4993241450917810905184803500</v>
      </c>
      <c r="AA21" s="91">
        <v>-3.9926992901446788940717592300</v>
      </c>
      <c r="AB21" s="421">
        <v>-5.4321599306132998676672145600</v>
      </c>
    </row>
    <row r="22" ht="18.95" customHeight="1">
      <c r="A22" s="58"/>
      <c r="B22" s="286"/>
      <c r="C22" s="287" t="s">
        <v>221</v>
      </c>
      <c r="D22" s="271">
        <v>106.05075715443433698066589094</v>
      </c>
      <c r="E22" s="92">
        <v>103.54943374468750306113268735</v>
      </c>
      <c r="F22" s="272">
        <v>109.81495851534494249977085546</v>
      </c>
      <c r="G22" s="271">
        <v>45.018552875784667449169082450</v>
      </c>
      <c r="H22" s="92">
        <v>84.74330958377788324454540374</v>
      </c>
      <c r="I22" s="272">
        <v>38.150211633391180887057092710</v>
      </c>
      <c r="J22" s="271">
        <v>0</v>
      </c>
      <c r="K22" s="92">
        <v>0</v>
      </c>
      <c r="L22" s="272">
        <v>0</v>
      </c>
      <c r="M22" s="271">
        <v>103.08371765812298156374965825</v>
      </c>
      <c r="N22" s="92">
        <v>103.26312119037165214585774073</v>
      </c>
      <c r="O22" s="272">
        <v>106.44746429281614495311744105</v>
      </c>
      <c r="P22" s="5"/>
      <c r="Q22" s="271">
        <v>-3.682431452525797166554814700</v>
      </c>
      <c r="R22" s="92">
        <v>0.2796741540697389216300803100</v>
      </c>
      <c r="S22" s="272">
        <v>-3.4130561074195329183166849800</v>
      </c>
      <c r="T22" s="271">
        <v>-43.709520677593925694059901320</v>
      </c>
      <c r="U22" s="92">
        <v>10.750457666848219143259238810</v>
      </c>
      <c r="V22" s="272">
        <v>-37.658036525244828321401129150</v>
      </c>
      <c r="W22" s="271">
        <v>0</v>
      </c>
      <c r="X22" s="92">
        <v>0</v>
      </c>
      <c r="Y22" s="272">
        <v>0</v>
      </c>
      <c r="Z22" s="271">
        <v>-5.997022061586674817421753800</v>
      </c>
      <c r="AA22" s="92">
        <v>0.3525799224996291488918137100</v>
      </c>
      <c r="AB22" s="272">
        <v>-5.6655864349126580014447670700</v>
      </c>
    </row>
    <row r="23" ht="18.95" customHeight="1">
      <c r="A23" s="58"/>
      <c r="B23" s="288"/>
      <c r="C23" s="289" t="s">
        <v>222</v>
      </c>
      <c r="D23" s="420">
        <v>102.60362316615168458834150977</v>
      </c>
      <c r="E23" s="91">
        <v>99.00282761308978105756799483</v>
      </c>
      <c r="F23" s="421">
        <v>101.58048816794172507483259910</v>
      </c>
      <c r="G23" s="420">
        <v>50.855455224636033372865437370</v>
      </c>
      <c r="H23" s="91">
        <v>103.15362273839936163762572373</v>
      </c>
      <c r="I23" s="421">
        <v>52.459244424099653597125115880</v>
      </c>
      <c r="J23" s="420">
        <v>0</v>
      </c>
      <c r="K23" s="91">
        <v>0</v>
      </c>
      <c r="L23" s="421">
        <v>0</v>
      </c>
      <c r="M23" s="420">
        <v>97.34914550835410961060094803</v>
      </c>
      <c r="N23" s="91">
        <v>98.82968243101704672726607818</v>
      </c>
      <c r="O23" s="421">
        <v>96.20985135514116988024354734</v>
      </c>
      <c r="P23" s="5"/>
      <c r="Q23" s="420">
        <v>-15.512711706259040260618165670</v>
      </c>
      <c r="R23" s="91">
        <v>1.4811841930812391160908468100</v>
      </c>
      <c r="S23" s="421">
        <v>-14.261299346782784862509990750</v>
      </c>
      <c r="T23" s="420">
        <v>42.927416448837922602897676460</v>
      </c>
      <c r="U23" s="91">
        <v>6.7651710764062202992056798800</v>
      </c>
      <c r="V23" s="421">
        <v>52.596700685664852266042475240</v>
      </c>
      <c r="W23" s="420">
        <v>0</v>
      </c>
      <c r="X23" s="91">
        <v>0</v>
      </c>
      <c r="Y23" s="421">
        <v>0</v>
      </c>
      <c r="Z23" s="420">
        <v>-14.305612938587256290114503800</v>
      </c>
      <c r="AA23" s="91">
        <v>0.6126494987391160577709736300</v>
      </c>
      <c r="AB23" s="421">
        <v>-13.780606705757421521282639690</v>
      </c>
    </row>
    <row r="24" ht="18.95" customHeight="1">
      <c r="A24" s="59"/>
      <c r="B24" s="286"/>
      <c r="C24" s="287" t="s">
        <v>224</v>
      </c>
      <c r="D24" s="271">
        <v>114.27536118944028897841589265</v>
      </c>
      <c r="E24" s="92">
        <v>91.78910134862932831554860975</v>
      </c>
      <c r="F24" s="272">
        <v>104.89232709867686212766586392</v>
      </c>
      <c r="G24" s="271">
        <v>44.718135638079052439785117370</v>
      </c>
      <c r="H24" s="92">
        <v>86.41867242607319095036974062</v>
      </c>
      <c r="I24" s="272">
        <v>38.644819152045637889371873460</v>
      </c>
      <c r="J24" s="271">
        <v>0</v>
      </c>
      <c r="K24" s="92">
        <v>0</v>
      </c>
      <c r="L24" s="272">
        <v>0</v>
      </c>
      <c r="M24" s="271">
        <v>100.98318856296321034861305711</v>
      </c>
      <c r="N24" s="92">
        <v>90.09620306769310315307943456</v>
      </c>
      <c r="O24" s="272">
        <v>90.98201863187015351510420831</v>
      </c>
      <c r="P24" s="93"/>
      <c r="Q24" s="271">
        <v>-13.200985968238611766529433280</v>
      </c>
      <c r="R24" s="92">
        <v>-2.0546825720684172797292432700</v>
      </c>
      <c r="S24" s="272">
        <v>-14.984430182299527950108039950</v>
      </c>
      <c r="T24" s="271">
        <v>19.780390326417520879488535240</v>
      </c>
      <c r="U24" s="92">
        <v>-2.7579201484339380422976354300</v>
      </c>
      <c r="V24" s="272">
        <v>16.476942807167524506467395260</v>
      </c>
      <c r="W24" s="271">
        <v>0</v>
      </c>
      <c r="X24" s="92">
        <v>0</v>
      </c>
      <c r="Y24" s="272">
        <v>0</v>
      </c>
      <c r="Z24" s="271">
        <v>-17.358344951249716894119968470</v>
      </c>
      <c r="AA24" s="92">
        <v>-3.7455555883376601520649307100</v>
      </c>
      <c r="AB24" s="272">
        <v>-20.453734080291821537737668960</v>
      </c>
    </row>
    <row r="25" ht="18.95" customHeight="1">
      <c r="A25" s="60"/>
      <c r="B25" s="288"/>
      <c r="C25" s="289" t="s">
        <v>227</v>
      </c>
      <c r="D25" s="420">
        <v>106.22384219558376031198422439</v>
      </c>
      <c r="E25" s="91">
        <v>99.04312664087270916231571914</v>
      </c>
      <c r="F25" s="421">
        <v>105.20741454853039882192809823</v>
      </c>
      <c r="G25" s="420">
        <v>87.95863738681008013929800809</v>
      </c>
      <c r="H25" s="91">
        <v>74.330865705285937679237492750</v>
      </c>
      <c r="I25" s="421">
        <v>65.380416632041800949263277570</v>
      </c>
      <c r="J25" s="420">
        <v>0</v>
      </c>
      <c r="K25" s="91">
        <v>0</v>
      </c>
      <c r="L25" s="421">
        <v>0</v>
      </c>
      <c r="M25" s="420">
        <v>103.16434005798144718693842428</v>
      </c>
      <c r="N25" s="91">
        <v>93.73948908791408914862248005</v>
      </c>
      <c r="O25" s="421">
        <v>96.70572529131600029891550581</v>
      </c>
      <c r="P25" s="93"/>
      <c r="Q25" s="420">
        <v>-14.344106501518409121629394630</v>
      </c>
      <c r="R25" s="91">
        <v>2.3879979552554066148307313400</v>
      </c>
      <c r="S25" s="421">
        <v>-12.298645516283209650320786120</v>
      </c>
      <c r="T25" s="420">
        <v>-18.181080040272234208959478120</v>
      </c>
      <c r="U25" s="91">
        <v>-21.137831051383420729508204870</v>
      </c>
      <c r="V25" s="421">
        <v>-35.475825109559648848253963230</v>
      </c>
      <c r="W25" s="420">
        <v>0</v>
      </c>
      <c r="X25" s="91">
        <v>0</v>
      </c>
      <c r="Y25" s="421">
        <v>0</v>
      </c>
      <c r="Z25" s="420">
        <v>-15.451838486311273329098802190</v>
      </c>
      <c r="AA25" s="91">
        <v>-2.7425031446903399446375120100</v>
      </c>
      <c r="AB25" s="421">
        <v>-17.770574474576244426168401410</v>
      </c>
    </row>
    <row r="26" ht="18.95" customHeight="1">
      <c r="A26" s="60"/>
      <c r="B26" s="290"/>
      <c r="C26" s="291" t="s">
        <v>229</v>
      </c>
      <c r="D26" s="273">
        <v>109.34489007318279617853481878</v>
      </c>
      <c r="E26" s="274">
        <v>101.24404237285838446923277715</v>
      </c>
      <c r="F26" s="275">
        <v>110.70518683815640603425281820</v>
      </c>
      <c r="G26" s="273">
        <v>91.72636850487429139961068804</v>
      </c>
      <c r="H26" s="274">
        <v>76.307258459613573116024649510</v>
      </c>
      <c r="I26" s="275">
        <v>69.993877090993959463054892460</v>
      </c>
      <c r="J26" s="273">
        <v>0</v>
      </c>
      <c r="K26" s="274">
        <v>0</v>
      </c>
      <c r="L26" s="275">
        <v>0</v>
      </c>
      <c r="M26" s="273">
        <v>107.87864316519942319816419055</v>
      </c>
      <c r="N26" s="274">
        <v>98.23495797464345625703116866</v>
      </c>
      <c r="O26" s="275">
        <v>105.97453977692555583879061268</v>
      </c>
      <c r="P26" s="184"/>
      <c r="Q26" s="273">
        <v>-13.860825158213409246418684570</v>
      </c>
      <c r="R26" s="274">
        <v>6.6618249409315677046640919300</v>
      </c>
      <c r="S26" s="275">
        <v>-8.122384124732629238027021460</v>
      </c>
      <c r="T26" s="273">
        <v>-34.599535356339870924499814870</v>
      </c>
      <c r="U26" s="274">
        <v>-42.222919867041557049037155220</v>
      </c>
      <c r="V26" s="275">
        <v>-62.213521134970199514847450510</v>
      </c>
      <c r="W26" s="273">
        <v>0</v>
      </c>
      <c r="X26" s="274">
        <v>0</v>
      </c>
      <c r="Y26" s="275">
        <v>0</v>
      </c>
      <c r="Z26" s="273">
        <v>-15.521278760059032291546026350</v>
      </c>
      <c r="AA26" s="274">
        <v>1.7120443498190594325484706900</v>
      </c>
      <c r="AB26" s="275">
        <v>-14.074965586198334566670999050</v>
      </c>
    </row>
    <row r="27" ht="21.95"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95" customHeight="1">
      <c r="A28" s="112"/>
      <c r="B28" s="973" t="s">
        <v>59</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9"/>
    </row>
    <row r="29" ht="18.95" customHeight="1">
      <c r="A29" s="58"/>
      <c r="B29" s="284">
        <v>2020</v>
      </c>
      <c r="C29" s="285"/>
      <c r="D29" s="427">
        <v>90.85747524776416187715849391</v>
      </c>
      <c r="E29" s="428">
        <v>90.79876824014861861455524981</v>
      </c>
      <c r="F29" s="429">
        <v>82.49746837900430245234346255</v>
      </c>
      <c r="G29" s="427">
        <v>82.88598691277106680950331477</v>
      </c>
      <c r="H29" s="428">
        <v>104.20145623347729009275766566</v>
      </c>
      <c r="I29" s="429">
        <v>86.36840537717446286679946684</v>
      </c>
      <c r="J29" s="427">
        <v>0</v>
      </c>
      <c r="K29" s="428">
        <v>0</v>
      </c>
      <c r="L29" s="429">
        <v>0</v>
      </c>
      <c r="M29" s="427">
        <v>90.13303008185948055047487188</v>
      </c>
      <c r="N29" s="428">
        <v>92.13626308433186747707142517</v>
      </c>
      <c r="O29" s="429">
        <v>83.0452057221056614960203200</v>
      </c>
      <c r="P29" s="5"/>
      <c r="Q29" s="427">
        <v>13.173760464802070838790130060</v>
      </c>
      <c r="R29" s="428">
        <v>-2.9963847622981838402882406600</v>
      </c>
      <c r="S29" s="429">
        <v>9.782639151139824350229497140</v>
      </c>
      <c r="T29" s="427">
        <v>5.9733367808216922853901939200</v>
      </c>
      <c r="U29" s="428">
        <v>20.583082258631000353199938880</v>
      </c>
      <c r="V29" s="429">
        <v>27.785915863177548090905206570</v>
      </c>
      <c r="W29" s="427">
        <v>0</v>
      </c>
      <c r="X29" s="428">
        <v>0</v>
      </c>
      <c r="Y29" s="429">
        <v>0</v>
      </c>
      <c r="Z29" s="427">
        <v>12.566560815972058338102165780</v>
      </c>
      <c r="AA29" s="428">
        <v>-0.6930283247542820373418889300</v>
      </c>
      <c r="AB29" s="429">
        <v>11.786442665204747401305572020</v>
      </c>
    </row>
    <row r="30" ht="18.95" customHeight="1">
      <c r="A30" s="58"/>
      <c r="B30" s="286">
        <v>2021</v>
      </c>
      <c r="C30" s="287"/>
      <c r="D30" s="271">
        <v>118.92727461048115371647239633</v>
      </c>
      <c r="E30" s="92">
        <v>95.17997899521120129551352996</v>
      </c>
      <c r="F30" s="272">
        <v>113.19495499376268526026055763</v>
      </c>
      <c r="G30" s="271">
        <v>93.33641298123629895369592947</v>
      </c>
      <c r="H30" s="92">
        <v>109.88060074431701309119704744</v>
      </c>
      <c r="I30" s="272">
        <v>102.55861129839452266026598507</v>
      </c>
      <c r="J30" s="271">
        <v>0</v>
      </c>
      <c r="K30" s="92">
        <v>0</v>
      </c>
      <c r="L30" s="272">
        <v>0</v>
      </c>
      <c r="M30" s="271">
        <v>117.75307249561108049836149694</v>
      </c>
      <c r="N30" s="92">
        <v>95.74553161665675609516130379</v>
      </c>
      <c r="O30" s="272">
        <v>112.74330525590072754548586503</v>
      </c>
      <c r="P30" s="5"/>
      <c r="Q30" s="271">
        <v>30.894320237410326633190727490</v>
      </c>
      <c r="R30" s="92">
        <v>4.8251874337391078556329442700</v>
      </c>
      <c r="S30" s="272">
        <v>37.210216528992095388164538710</v>
      </c>
      <c r="T30" s="271">
        <v>12.608194047843870355812719490</v>
      </c>
      <c r="U30" s="92">
        <v>5.4501584873160438596117937400</v>
      </c>
      <c r="V30" s="272">
        <v>18.745519094032620652859040260</v>
      </c>
      <c r="W30" s="271">
        <v>0</v>
      </c>
      <c r="X30" s="92">
        <v>0</v>
      </c>
      <c r="Y30" s="272">
        <v>0</v>
      </c>
      <c r="Z30" s="271">
        <v>30.643641280686933845981765090</v>
      </c>
      <c r="AA30" s="92">
        <v>3.917315953062323296886661500</v>
      </c>
      <c r="AB30" s="272">
        <v>35.761365482291129750190413890</v>
      </c>
    </row>
    <row r="31" ht="18.95" customHeight="1">
      <c r="A31" s="58"/>
      <c r="B31" s="425">
        <v>2022</v>
      </c>
      <c r="C31" s="426"/>
      <c r="D31" s="430">
        <v>111.98898486101348279576729249</v>
      </c>
      <c r="E31" s="431">
        <v>96.15746767332095548099875343</v>
      </c>
      <c r="F31" s="432">
        <v>107.68577191547939802751445699</v>
      </c>
      <c r="G31" s="430">
        <v>103.91746149548977816204915764</v>
      </c>
      <c r="H31" s="431">
        <v>92.32044701423987671083086568</v>
      </c>
      <c r="I31" s="432">
        <v>95.93706497891629442706372269</v>
      </c>
      <c r="J31" s="430">
        <v>0</v>
      </c>
      <c r="K31" s="431">
        <v>0</v>
      </c>
      <c r="L31" s="432">
        <v>0</v>
      </c>
      <c r="M31" s="430">
        <v>111.02405772035861324740404304</v>
      </c>
      <c r="N31" s="431">
        <v>95.62447249934140309231221971</v>
      </c>
      <c r="O31" s="432">
        <v>106.16616954245375150973271950</v>
      </c>
      <c r="P31" s="184"/>
      <c r="Q31" s="430">
        <v>-5.8340610025834568304833957300</v>
      </c>
      <c r="R31" s="431">
        <v>1.0269898023094236987692608800</v>
      </c>
      <c r="S31" s="432">
        <v>-4.8669864117374799345194021800</v>
      </c>
      <c r="T31" s="430">
        <v>11.336463633352862323003023220</v>
      </c>
      <c r="U31" s="431">
        <v>-15.981122792478951102149334160</v>
      </c>
      <c r="V31" s="432">
        <v>-6.4563533336249524921894847800</v>
      </c>
      <c r="W31" s="430">
        <v>0</v>
      </c>
      <c r="X31" s="431">
        <v>0</v>
      </c>
      <c r="Y31" s="432">
        <v>0</v>
      </c>
      <c r="Z31" s="430">
        <v>-5.7145131185369497087318742800</v>
      </c>
      <c r="AA31" s="431">
        <v>-0.1264383990714420922833431300</v>
      </c>
      <c r="AB31" s="432">
        <v>-5.833726178701026370453974200</v>
      </c>
    </row>
    <row r="32" ht="21.95"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95"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9"/>
    </row>
    <row r="34" ht="18.95" customHeight="1">
      <c r="A34" s="58"/>
      <c r="B34" s="284">
        <v>2020</v>
      </c>
      <c r="C34" s="285"/>
      <c r="D34" s="427">
        <v>100.56667422712728499855210922</v>
      </c>
      <c r="E34" s="428">
        <v>94.64403589479187503249885755</v>
      </c>
      <c r="F34" s="429">
        <v>95.18035925369996477523032890</v>
      </c>
      <c r="G34" s="427">
        <v>253.13710878485566470426632103</v>
      </c>
      <c r="H34" s="428">
        <v>97.26193834810496805919000057</v>
      </c>
      <c r="I34" s="429">
        <v>246.20605868668139542123665170</v>
      </c>
      <c r="J34" s="427">
        <v>0</v>
      </c>
      <c r="K34" s="428">
        <v>0</v>
      </c>
      <c r="L34" s="429">
        <v>0</v>
      </c>
      <c r="M34" s="427">
        <v>102.38753752895700742233295320</v>
      </c>
      <c r="N34" s="428">
        <v>95.32061476821887471567039296</v>
      </c>
      <c r="O34" s="429">
        <v>97.59643021865060142430541219</v>
      </c>
      <c r="P34" s="5"/>
      <c r="Q34" s="427">
        <v>8.981078130598564547718797670</v>
      </c>
      <c r="R34" s="428">
        <v>1.0172178883353835533312211100</v>
      </c>
      <c r="S34" s="429">
        <v>10.089653152149705265293379930</v>
      </c>
      <c r="T34" s="427">
        <v>333.59525730422917275998493924</v>
      </c>
      <c r="U34" s="428">
        <v>30.241369605819151897494544740</v>
      </c>
      <c r="V34" s="429">
        <v>464.72040167038319160976259430</v>
      </c>
      <c r="W34" s="427">
        <v>0</v>
      </c>
      <c r="X34" s="428">
        <v>0</v>
      </c>
      <c r="Y34" s="429">
        <v>0</v>
      </c>
      <c r="Z34" s="427">
        <v>15.206191825545106160056893530</v>
      </c>
      <c r="AA34" s="428">
        <v>3.2281214758534012096093181300</v>
      </c>
      <c r="AB34" s="429">
        <v>18.925187645406703292336333720</v>
      </c>
    </row>
    <row r="35" ht="18.95" customHeight="1">
      <c r="A35" s="58"/>
      <c r="B35" s="286">
        <v>2021</v>
      </c>
      <c r="C35" s="287"/>
      <c r="D35" s="271">
        <v>127.38003140688106581030055994</v>
      </c>
      <c r="E35" s="92">
        <v>94.96382962743241809470288876</v>
      </c>
      <c r="F35" s="272">
        <v>120.96495600471642612390116195</v>
      </c>
      <c r="G35" s="271">
        <v>91.16203542461673259029958219</v>
      </c>
      <c r="H35" s="92">
        <v>114.60308302010570131160119414</v>
      </c>
      <c r="I35" s="272">
        <v>104.47450314023089922135924121</v>
      </c>
      <c r="J35" s="271">
        <v>0</v>
      </c>
      <c r="K35" s="92">
        <v>0</v>
      </c>
      <c r="L35" s="272">
        <v>0</v>
      </c>
      <c r="M35" s="271">
        <v>124.15071994264747584931788074</v>
      </c>
      <c r="N35" s="92">
        <v>96.35275564165017504118918201</v>
      </c>
      <c r="O35" s="272">
        <v>119.62263981361001546009319118</v>
      </c>
      <c r="P35" s="5"/>
      <c r="Q35" s="271">
        <v>26.662268973150144124560172520</v>
      </c>
      <c r="R35" s="92">
        <v>0.3378910563238020470254760800</v>
      </c>
      <c r="S35" s="272">
        <v>27.090249451873220255976132810</v>
      </c>
      <c r="T35" s="271">
        <v>-63.987091476943232837744588310</v>
      </c>
      <c r="U35" s="92">
        <v>17.829322514570735407699221650</v>
      </c>
      <c r="V35" s="272">
        <v>-57.566233870314341652467452550</v>
      </c>
      <c r="W35" s="271">
        <v>0</v>
      </c>
      <c r="X35" s="92">
        <v>0</v>
      </c>
      <c r="Y35" s="272">
        <v>0</v>
      </c>
      <c r="Z35" s="271">
        <v>21.255694725037531427159283550</v>
      </c>
      <c r="AA35" s="92">
        <v>1.082809711162824486250544200</v>
      </c>
      <c r="AB35" s="272">
        <v>22.568663162732847014175062310</v>
      </c>
    </row>
    <row r="36" ht="18.95" customHeight="1">
      <c r="A36" s="58"/>
      <c r="B36" s="425">
        <v>2022</v>
      </c>
      <c r="C36" s="426"/>
      <c r="D36" s="430">
        <v>109.75606654125464891583752613</v>
      </c>
      <c r="E36" s="431">
        <v>97.89605602867573813576297456</v>
      </c>
      <c r="F36" s="432">
        <v>107.44686039603239269181068700</v>
      </c>
      <c r="G36" s="430">
        <v>70.980423945059715509538252370</v>
      </c>
      <c r="H36" s="431">
        <v>81.93101775667250871050971983</v>
      </c>
      <c r="I36" s="432">
        <v>58.154983746361334175903994140</v>
      </c>
      <c r="J36" s="430">
        <v>0</v>
      </c>
      <c r="K36" s="431">
        <v>0</v>
      </c>
      <c r="L36" s="432">
        <v>0</v>
      </c>
      <c r="M36" s="430">
        <v>104.08916171249902434340164108</v>
      </c>
      <c r="N36" s="431">
        <v>94.97515176079047613073038307</v>
      </c>
      <c r="O36" s="432">
        <v>98.85883930298819707806066722</v>
      </c>
      <c r="P36" s="184"/>
      <c r="Q36" s="430">
        <v>-13.835736002723803143900411580</v>
      </c>
      <c r="R36" s="431">
        <v>3.0877297311835665370204039500</v>
      </c>
      <c r="S36" s="432">
        <v>-11.175216405768272372304425260</v>
      </c>
      <c r="T36" s="430">
        <v>-22.138175596388991215689832870</v>
      </c>
      <c r="U36" s="431">
        <v>-28.508888593945770797551039910</v>
      </c>
      <c r="V36" s="432">
        <v>-44.335716372520088915687726410</v>
      </c>
      <c r="W36" s="430">
        <v>0</v>
      </c>
      <c r="X36" s="431">
        <v>0</v>
      </c>
      <c r="Y36" s="432">
        <v>0</v>
      </c>
      <c r="Z36" s="430">
        <v>-16.159034953141038344120207220</v>
      </c>
      <c r="AA36" s="431">
        <v>-1.4297503706404821957292686400</v>
      </c>
      <c r="AB36" s="432">
        <v>-17.357751461568354992251254850</v>
      </c>
    </row>
    <row r="37" ht="21.9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95" customHeight="1">
      <c r="A38" s="112"/>
      <c r="B38" s="972" t="s">
        <v>45</v>
      </c>
      <c r="C38" s="972"/>
      <c r="D38" s="972"/>
      <c r="E38" s="972"/>
      <c r="F38" s="972"/>
      <c r="G38" s="972"/>
      <c r="H38" s="972"/>
      <c r="I38" s="972"/>
      <c r="J38" s="972"/>
      <c r="K38" s="972"/>
      <c r="L38" s="972"/>
      <c r="M38" s="972"/>
      <c r="N38" s="972"/>
      <c r="O38" s="972"/>
      <c r="P38" s="411"/>
      <c r="Q38" s="971"/>
      <c r="R38" s="971"/>
      <c r="S38" s="971"/>
      <c r="T38" s="971"/>
      <c r="U38" s="971"/>
      <c r="V38" s="971"/>
      <c r="W38" s="971"/>
      <c r="X38" s="971"/>
      <c r="Y38" s="971"/>
      <c r="Z38" s="971"/>
      <c r="AA38" s="971"/>
      <c r="AB38" s="971"/>
      <c r="AC38" s="9"/>
    </row>
    <row r="39" ht="18.95" customHeight="1">
      <c r="A39" s="58"/>
      <c r="B39" s="284">
        <v>2020</v>
      </c>
      <c r="C39" s="285"/>
      <c r="D39" s="427">
        <v>90.85747524776416187715849391</v>
      </c>
      <c r="E39" s="428">
        <v>90.79876824014861861455524981</v>
      </c>
      <c r="F39" s="429">
        <v>82.49746837900430245234346255</v>
      </c>
      <c r="G39" s="427">
        <v>82.88598691277106680950331477</v>
      </c>
      <c r="H39" s="428">
        <v>104.20145623347729009275766566</v>
      </c>
      <c r="I39" s="429">
        <v>86.36840537717446286679946684</v>
      </c>
      <c r="J39" s="427">
        <v>0</v>
      </c>
      <c r="K39" s="428">
        <v>0</v>
      </c>
      <c r="L39" s="429">
        <v>0</v>
      </c>
      <c r="M39" s="427">
        <v>90.13303008185948055047487188</v>
      </c>
      <c r="N39" s="428">
        <v>92.13626308433186747707142517</v>
      </c>
      <c r="O39" s="429">
        <v>83.0452057221056614960203200</v>
      </c>
      <c r="P39" s="5"/>
      <c r="Q39" s="427">
        <v>13.173760464802070838790130060</v>
      </c>
      <c r="R39" s="428">
        <v>-2.9963847622981838402882406600</v>
      </c>
      <c r="S39" s="429">
        <v>9.782639151139824350229497140</v>
      </c>
      <c r="T39" s="427">
        <v>5.9733367808216922853901939200</v>
      </c>
      <c r="U39" s="428">
        <v>20.583082258631000353199938880</v>
      </c>
      <c r="V39" s="429">
        <v>27.785915863177548090905206570</v>
      </c>
      <c r="W39" s="427">
        <v>0</v>
      </c>
      <c r="X39" s="428">
        <v>0</v>
      </c>
      <c r="Y39" s="429">
        <v>0</v>
      </c>
      <c r="Z39" s="427">
        <v>12.566560815972058338102165780</v>
      </c>
      <c r="AA39" s="428">
        <v>-0.6930283247542820373418889300</v>
      </c>
      <c r="AB39" s="429">
        <v>11.786442665204747401305572020</v>
      </c>
    </row>
    <row r="40" ht="18.95" customHeight="1">
      <c r="A40" s="58"/>
      <c r="B40" s="286">
        <v>2021</v>
      </c>
      <c r="C40" s="287"/>
      <c r="D40" s="271">
        <v>118.92727461048115371647239633</v>
      </c>
      <c r="E40" s="92">
        <v>95.17997899521120129551352996</v>
      </c>
      <c r="F40" s="272">
        <v>113.19495499376268526026055763</v>
      </c>
      <c r="G40" s="271">
        <v>93.33641298123629895369592947</v>
      </c>
      <c r="H40" s="92">
        <v>109.88060074431701309119704744</v>
      </c>
      <c r="I40" s="272">
        <v>102.55861129839452266026598507</v>
      </c>
      <c r="J40" s="271">
        <v>0</v>
      </c>
      <c r="K40" s="92">
        <v>0</v>
      </c>
      <c r="L40" s="272">
        <v>0</v>
      </c>
      <c r="M40" s="271">
        <v>117.75307249561108049836149694</v>
      </c>
      <c r="N40" s="92">
        <v>95.74553161665675609516130379</v>
      </c>
      <c r="O40" s="272">
        <v>112.74330525590072754548586503</v>
      </c>
      <c r="P40" s="5"/>
      <c r="Q40" s="271">
        <v>30.894320237410326633190727490</v>
      </c>
      <c r="R40" s="92">
        <v>4.8251874337391078556329442700</v>
      </c>
      <c r="S40" s="272">
        <v>37.210216528992095388164538710</v>
      </c>
      <c r="T40" s="271">
        <v>12.608194047843870355812719490</v>
      </c>
      <c r="U40" s="92">
        <v>5.4501584873160438596117937400</v>
      </c>
      <c r="V40" s="272">
        <v>18.745519094032620652859040260</v>
      </c>
      <c r="W40" s="271">
        <v>0</v>
      </c>
      <c r="X40" s="92">
        <v>0</v>
      </c>
      <c r="Y40" s="272">
        <v>0</v>
      </c>
      <c r="Z40" s="271">
        <v>30.643641280686933845981765090</v>
      </c>
      <c r="AA40" s="92">
        <v>3.917315953062323296886661500</v>
      </c>
      <c r="AB40" s="272">
        <v>35.761365482291129750190413890</v>
      </c>
    </row>
    <row r="41" ht="18.95" customHeight="1">
      <c r="A41" s="58"/>
      <c r="B41" s="425">
        <v>2022</v>
      </c>
      <c r="C41" s="426"/>
      <c r="D41" s="430">
        <v>111.98898486101348279576729249</v>
      </c>
      <c r="E41" s="431">
        <v>96.15746767332095548099875343</v>
      </c>
      <c r="F41" s="432">
        <v>107.68577191547939802751445699</v>
      </c>
      <c r="G41" s="430">
        <v>103.91746149548977816204915764</v>
      </c>
      <c r="H41" s="431">
        <v>92.32044701423987671083086568</v>
      </c>
      <c r="I41" s="432">
        <v>95.93706497891629442706372269</v>
      </c>
      <c r="J41" s="430">
        <v>0</v>
      </c>
      <c r="K41" s="431">
        <v>0</v>
      </c>
      <c r="L41" s="432">
        <v>0</v>
      </c>
      <c r="M41" s="430">
        <v>111.02405772035861324740404304</v>
      </c>
      <c r="N41" s="431">
        <v>95.62447249934140309231221971</v>
      </c>
      <c r="O41" s="432">
        <v>106.16616954245375150973271950</v>
      </c>
      <c r="P41" s="184"/>
      <c r="Q41" s="430">
        <v>-5.8340610025834568304833957300</v>
      </c>
      <c r="R41" s="431">
        <v>1.0269898023094236987692608800</v>
      </c>
      <c r="S41" s="432">
        <v>-4.8669864117374799345194021800</v>
      </c>
      <c r="T41" s="430">
        <v>11.336463633352862323003023220</v>
      </c>
      <c r="U41" s="431">
        <v>-15.981122792478951102149334160</v>
      </c>
      <c r="V41" s="432">
        <v>-6.4563533336249524921894847800</v>
      </c>
      <c r="W41" s="430">
        <v>0</v>
      </c>
      <c r="X41" s="431">
        <v>0</v>
      </c>
      <c r="Y41" s="432">
        <v>0</v>
      </c>
      <c r="Z41" s="430">
        <v>-5.7145131185369497087318742800</v>
      </c>
      <c r="AA41" s="431">
        <v>-0.1264383990714420922833431300</v>
      </c>
      <c r="AB41" s="432">
        <v>-5.833726178701026370453974200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c r="AP42" s="236"/>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c r="AP43" s="236"/>
    </row>
    <row r="44" ht="12" customHeight="1">
      <c r="Z44" s="55"/>
      <c r="AA44" s="233"/>
      <c r="AB44" s="233"/>
      <c r="AP44" s="236"/>
    </row>
    <row r="45" ht="12" customHeight="1">
      <c r="AP45" s="236"/>
    </row>
    <row r="46" s="466" customFormat="1">
      <c r="A46"/>
    </row>
    <row r="47" s="466" customFormat="1"/>
    <row r="48" s="466" customFormat="1"/>
    <row r="49" s="466" customFormat="1"/>
    <row r="50" s="466" customFormat="1"/>
    <row r="51" s="466" customFormat="1"/>
    <row r="52" s="466" customFormat="1"/>
    <row r="53" s="466" customFormat="1"/>
    <row r="54" s="466" customFormat="1"/>
    <row r="55" s="466" customFormat="1"/>
    <row r="56" s="466" customFormat="1"/>
    <row r="57" s="466" customFormat="1"/>
    <row r="58" s="466" customFormat="1"/>
    <row r="59" s="466" customFormat="1"/>
    <row r="60" s="466" customFormat="1"/>
    <row r="61" s="466" customFormat="1"/>
    <row r="62" s="466" customFormat="1"/>
    <row r="63" s="466" customFormat="1"/>
    <row r="64" s="466" customFormat="1"/>
    <row r="65" s="466" customFormat="1"/>
    <row r="66" s="466" customFormat="1"/>
    <row r="67" s="466" customFormat="1"/>
    <row r="68" s="466" customFormat="1"/>
    <row r="69" s="466" customFormat="1"/>
    <row r="70" s="466" customFormat="1"/>
    <row r="71" s="466" customFormat="1"/>
    <row r="72" s="466" customFormat="1"/>
    <row r="73" s="466" customFormat="1"/>
    <row r="74" s="466" customFormat="1"/>
    <row r="75" s="466" customFormat="1"/>
    <row r="76" s="466" customFormat="1"/>
    <row r="77" s="466" customFormat="1"/>
    <row r="78" s="466" customFormat="1"/>
    <row r="79" s="466" customFormat="1"/>
    <row r="80" s="466" customFormat="1"/>
    <row r="81" s="466" customFormat="1"/>
  </sheetData>
  <mergeCells count="21">
    <mergeCell ref="B3:AB3"/>
    <mergeCell ref="Q33:AB33"/>
    <mergeCell ref="B8:C8"/>
    <mergeCell ref="B2:AB2"/>
    <mergeCell ref="Q6:AB6"/>
    <mergeCell ref="D6:O6"/>
    <mergeCell ref="B4:AB4"/>
    <mergeCell ref="T7:V7"/>
    <mergeCell ref="M7:O7"/>
    <mergeCell ref="G7:I7"/>
    <mergeCell ref="D7:F7"/>
    <mergeCell ref="Q7:S7"/>
    <mergeCell ref="J7:L7"/>
    <mergeCell ref="B43:AB43"/>
    <mergeCell ref="B33:O33"/>
    <mergeCell ref="W7:Y7"/>
    <mergeCell ref="Q38:AB38"/>
    <mergeCell ref="B28:O28"/>
    <mergeCell ref="Z7:AB7"/>
    <mergeCell ref="B38:O38"/>
    <mergeCell ref="Q28:AB28"/>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30" max="1048575" man="1"/>
  </colBreaks>
  <drawing r:id="rId51"/>
</worksheet>
</file>

<file path=xl/worksheets/sheet1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4">
    <pageSetUpPr fitToPage="1"/>
  </sheetPr>
  <dimension ref="A1:AP78"/>
  <sheetViews>
    <sheetView showGridLines="0" zoomScale="85" workbookViewId="0"/>
  </sheetViews>
  <sheetFormatPr defaultRowHeight="12.75"/>
  <cols>
    <col min="1" max="1" width="2.7109375" customWidth="1"/>
    <col min="2" max="2" width="6.7109375" customWidth="1"/>
    <col min="3" max="3" width="6.140625" style="26"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236" customWidth="1"/>
  </cols>
  <sheetData>
    <row r="1" ht="30">
      <c r="A1" s="89"/>
      <c r="B1" s="656" t="s">
        <v>187</v>
      </c>
      <c r="Z1" s="5"/>
      <c r="AB1" s="685"/>
      <c r="AD1" s="236"/>
    </row>
    <row r="2" ht="15" customHeight="1">
      <c r="A2" s="11"/>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209</v>
      </c>
      <c r="C3" s="999"/>
      <c r="D3" s="999"/>
      <c r="E3" s="999"/>
      <c r="F3" s="999"/>
      <c r="G3" s="999"/>
      <c r="H3" s="999"/>
      <c r="I3" s="999"/>
      <c r="J3" s="999"/>
      <c r="K3" s="999"/>
      <c r="L3" s="999"/>
      <c r="M3" s="999"/>
      <c r="N3" s="999"/>
      <c r="O3" s="999"/>
      <c r="P3" s="999"/>
      <c r="Q3" s="999"/>
      <c r="R3" s="999"/>
      <c r="S3" s="999"/>
      <c r="T3" s="999"/>
      <c r="U3" s="999"/>
      <c r="V3" s="999"/>
      <c r="W3" s="999"/>
      <c r="X3" s="999"/>
      <c r="Y3" s="999"/>
      <c r="Z3" s="999"/>
      <c r="AA3" s="999"/>
      <c r="AB3" s="999"/>
    </row>
    <row r="4" ht="19.5" customHeight="1">
      <c r="A4" s="4"/>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5" customHeight="1"/>
    <row r="6" ht="15.75" customHeight="1">
      <c r="D6" s="960" t="s">
        <v>77</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ustomHeight="1">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53</v>
      </c>
      <c r="E8" s="413" t="s">
        <v>9</v>
      </c>
      <c r="F8" s="414" t="s">
        <v>10</v>
      </c>
      <c r="G8" s="412" t="s">
        <v>53</v>
      </c>
      <c r="H8" s="413" t="s">
        <v>9</v>
      </c>
      <c r="I8" s="414" t="s">
        <v>10</v>
      </c>
      <c r="J8" s="412" t="s">
        <v>53</v>
      </c>
      <c r="K8" s="413" t="s">
        <v>9</v>
      </c>
      <c r="L8" s="414" t="s">
        <v>10</v>
      </c>
      <c r="M8" s="412" t="s">
        <v>53</v>
      </c>
      <c r="N8" s="413" t="s">
        <v>9</v>
      </c>
      <c r="O8" s="414" t="s">
        <v>10</v>
      </c>
      <c r="P8" s="63"/>
      <c r="Q8" s="412" t="s">
        <v>53</v>
      </c>
      <c r="R8" s="413" t="s">
        <v>9</v>
      </c>
      <c r="S8" s="414" t="s">
        <v>10</v>
      </c>
      <c r="T8" s="412" t="s">
        <v>53</v>
      </c>
      <c r="U8" s="413" t="s">
        <v>9</v>
      </c>
      <c r="V8" s="414" t="s">
        <v>10</v>
      </c>
      <c r="W8" s="412" t="s">
        <v>53</v>
      </c>
      <c r="X8" s="413" t="s">
        <v>9</v>
      </c>
      <c r="Y8" s="414" t="s">
        <v>10</v>
      </c>
      <c r="Z8" s="412" t="s">
        <v>53</v>
      </c>
      <c r="AA8" s="413" t="s">
        <v>9</v>
      </c>
      <c r="AB8" s="414" t="s">
        <v>10</v>
      </c>
    </row>
    <row r="9" ht="18.95" customHeight="1">
      <c r="A9" s="57"/>
      <c r="B9" s="284">
        <v>2021</v>
      </c>
      <c r="C9" s="285" t="s">
        <v>218</v>
      </c>
      <c r="D9" s="415" t="s">
        <v>228</v>
      </c>
      <c r="E9" s="416" t="s">
        <v>225</v>
      </c>
      <c r="F9" s="417" t="s">
        <v>225</v>
      </c>
      <c r="G9" s="415" t="s">
        <v>303</v>
      </c>
      <c r="H9" s="416" t="s">
        <v>228</v>
      </c>
      <c r="I9" s="417" t="s">
        <v>303</v>
      </c>
      <c r="J9" s="415" t="s">
        <v>278</v>
      </c>
      <c r="K9" s="416" t="s">
        <v>278</v>
      </c>
      <c r="L9" s="417" t="s">
        <v>278</v>
      </c>
      <c r="M9" s="415" t="s">
        <v>228</v>
      </c>
      <c r="N9" s="416" t="s">
        <v>225</v>
      </c>
      <c r="O9" s="417" t="s">
        <v>225</v>
      </c>
      <c r="P9" s="5"/>
      <c r="Q9" s="415" t="s">
        <v>237</v>
      </c>
      <c r="R9" s="416" t="s">
        <v>236</v>
      </c>
      <c r="S9" s="417" t="s">
        <v>237</v>
      </c>
      <c r="T9" s="415" t="s">
        <v>237</v>
      </c>
      <c r="U9" s="416" t="s">
        <v>237</v>
      </c>
      <c r="V9" s="417" t="s">
        <v>237</v>
      </c>
      <c r="W9" s="415"/>
      <c r="X9" s="416"/>
      <c r="Y9" s="417"/>
      <c r="Z9" s="415" t="s">
        <v>237</v>
      </c>
      <c r="AA9" s="416" t="s">
        <v>236</v>
      </c>
      <c r="AB9" s="417" t="s">
        <v>237</v>
      </c>
    </row>
    <row r="10" ht="18.95" customHeight="1">
      <c r="A10" s="58"/>
      <c r="B10" s="286"/>
      <c r="C10" s="287" t="s">
        <v>221</v>
      </c>
      <c r="D10" s="271" t="s">
        <v>303</v>
      </c>
      <c r="E10" s="92" t="s">
        <v>225</v>
      </c>
      <c r="F10" s="272" t="s">
        <v>225</v>
      </c>
      <c r="G10" s="271" t="s">
        <v>303</v>
      </c>
      <c r="H10" s="92" t="s">
        <v>303</v>
      </c>
      <c r="I10" s="272" t="s">
        <v>303</v>
      </c>
      <c r="J10" s="271" t="s">
        <v>278</v>
      </c>
      <c r="K10" s="92" t="s">
        <v>278</v>
      </c>
      <c r="L10" s="272" t="s">
        <v>278</v>
      </c>
      <c r="M10" s="271" t="s">
        <v>303</v>
      </c>
      <c r="N10" s="92" t="s">
        <v>225</v>
      </c>
      <c r="O10" s="272" t="s">
        <v>225</v>
      </c>
      <c r="P10" s="5"/>
      <c r="Q10" s="271" t="s">
        <v>236</v>
      </c>
      <c r="R10" s="92" t="s">
        <v>236</v>
      </c>
      <c r="S10" s="272" t="s">
        <v>237</v>
      </c>
      <c r="T10" s="271" t="s">
        <v>237</v>
      </c>
      <c r="U10" s="92" t="s">
        <v>237</v>
      </c>
      <c r="V10" s="272" t="s">
        <v>237</v>
      </c>
      <c r="W10" s="271"/>
      <c r="X10" s="92"/>
      <c r="Y10" s="272"/>
      <c r="Z10" s="271" t="s">
        <v>236</v>
      </c>
      <c r="AA10" s="92" t="s">
        <v>236</v>
      </c>
      <c r="AB10" s="272" t="s">
        <v>237</v>
      </c>
    </row>
    <row r="11" ht="18.95" customHeight="1">
      <c r="A11" s="58"/>
      <c r="B11" s="288"/>
      <c r="C11" s="289" t="s">
        <v>222</v>
      </c>
      <c r="D11" s="420" t="s">
        <v>225</v>
      </c>
      <c r="E11" s="91" t="s">
        <v>225</v>
      </c>
      <c r="F11" s="421" t="s">
        <v>225</v>
      </c>
      <c r="G11" s="420" t="s">
        <v>303</v>
      </c>
      <c r="H11" s="91" t="s">
        <v>303</v>
      </c>
      <c r="I11" s="421" t="s">
        <v>302</v>
      </c>
      <c r="J11" s="420" t="s">
        <v>278</v>
      </c>
      <c r="K11" s="91" t="s">
        <v>278</v>
      </c>
      <c r="L11" s="421" t="s">
        <v>278</v>
      </c>
      <c r="M11" s="420" t="s">
        <v>225</v>
      </c>
      <c r="N11" s="91" t="s">
        <v>225</v>
      </c>
      <c r="O11" s="421" t="s">
        <v>225</v>
      </c>
      <c r="P11" s="5"/>
      <c r="Q11" s="420" t="s">
        <v>220</v>
      </c>
      <c r="R11" s="91" t="s">
        <v>220</v>
      </c>
      <c r="S11" s="421" t="s">
        <v>220</v>
      </c>
      <c r="T11" s="420" t="s">
        <v>223</v>
      </c>
      <c r="U11" s="91" t="s">
        <v>223</v>
      </c>
      <c r="V11" s="421" t="s">
        <v>223</v>
      </c>
      <c r="W11" s="420"/>
      <c r="X11" s="91"/>
      <c r="Y11" s="421"/>
      <c r="Z11" s="420" t="s">
        <v>239</v>
      </c>
      <c r="AA11" s="91" t="s">
        <v>220</v>
      </c>
      <c r="AB11" s="421" t="s">
        <v>239</v>
      </c>
    </row>
    <row r="12" ht="18.95" customHeight="1">
      <c r="A12" s="58"/>
      <c r="B12" s="286"/>
      <c r="C12" s="287" t="s">
        <v>224</v>
      </c>
      <c r="D12" s="271" t="s">
        <v>313</v>
      </c>
      <c r="E12" s="92" t="s">
        <v>312</v>
      </c>
      <c r="F12" s="272" t="s">
        <v>312</v>
      </c>
      <c r="G12" s="271" t="s">
        <v>312</v>
      </c>
      <c r="H12" s="92" t="s">
        <v>311</v>
      </c>
      <c r="I12" s="272" t="s">
        <v>313</v>
      </c>
      <c r="J12" s="271" t="s">
        <v>278</v>
      </c>
      <c r="K12" s="92" t="s">
        <v>278</v>
      </c>
      <c r="L12" s="272" t="s">
        <v>278</v>
      </c>
      <c r="M12" s="271" t="s">
        <v>311</v>
      </c>
      <c r="N12" s="92" t="s">
        <v>312</v>
      </c>
      <c r="O12" s="272" t="s">
        <v>313</v>
      </c>
      <c r="P12" s="5"/>
      <c r="Q12" s="271" t="s">
        <v>239</v>
      </c>
      <c r="R12" s="92" t="s">
        <v>220</v>
      </c>
      <c r="S12" s="272" t="s">
        <v>220</v>
      </c>
      <c r="T12" s="271" t="s">
        <v>223</v>
      </c>
      <c r="U12" s="92" t="s">
        <v>219</v>
      </c>
      <c r="V12" s="272" t="s">
        <v>223</v>
      </c>
      <c r="W12" s="271"/>
      <c r="X12" s="92"/>
      <c r="Y12" s="272"/>
      <c r="Z12" s="271" t="s">
        <v>239</v>
      </c>
      <c r="AA12" s="92" t="s">
        <v>220</v>
      </c>
      <c r="AB12" s="272" t="s">
        <v>220</v>
      </c>
    </row>
    <row r="13" ht="18.95" customHeight="1">
      <c r="A13" s="58"/>
      <c r="B13" s="288"/>
      <c r="C13" s="289" t="s">
        <v>227</v>
      </c>
      <c r="D13" s="420" t="s">
        <v>226</v>
      </c>
      <c r="E13" s="91" t="s">
        <v>225</v>
      </c>
      <c r="F13" s="421" t="s">
        <v>225</v>
      </c>
      <c r="G13" s="420" t="s">
        <v>225</v>
      </c>
      <c r="H13" s="91" t="s">
        <v>225</v>
      </c>
      <c r="I13" s="421" t="s">
        <v>226</v>
      </c>
      <c r="J13" s="420" t="s">
        <v>278</v>
      </c>
      <c r="K13" s="91" t="s">
        <v>278</v>
      </c>
      <c r="L13" s="421" t="s">
        <v>278</v>
      </c>
      <c r="M13" s="420" t="s">
        <v>313</v>
      </c>
      <c r="N13" s="91" t="s">
        <v>312</v>
      </c>
      <c r="O13" s="421" t="s">
        <v>312</v>
      </c>
      <c r="P13" s="5"/>
      <c r="Q13" s="420" t="s">
        <v>236</v>
      </c>
      <c r="R13" s="91" t="s">
        <v>238</v>
      </c>
      <c r="S13" s="421" t="s">
        <v>236</v>
      </c>
      <c r="T13" s="420" t="s">
        <v>236</v>
      </c>
      <c r="U13" s="91" t="s">
        <v>236</v>
      </c>
      <c r="V13" s="421" t="s">
        <v>238</v>
      </c>
      <c r="W13" s="420"/>
      <c r="X13" s="91"/>
      <c r="Y13" s="421"/>
      <c r="Z13" s="420" t="s">
        <v>223</v>
      </c>
      <c r="AA13" s="91" t="s">
        <v>220</v>
      </c>
      <c r="AB13" s="421" t="s">
        <v>223</v>
      </c>
    </row>
    <row r="14" ht="18.95" customHeight="1">
      <c r="A14" s="58"/>
      <c r="B14" s="286"/>
      <c r="C14" s="287" t="s">
        <v>229</v>
      </c>
      <c r="D14" s="271" t="s">
        <v>312</v>
      </c>
      <c r="E14" s="92" t="s">
        <v>313</v>
      </c>
      <c r="F14" s="272" t="s">
        <v>313</v>
      </c>
      <c r="G14" s="271" t="s">
        <v>312</v>
      </c>
      <c r="H14" s="92" t="s">
        <v>312</v>
      </c>
      <c r="I14" s="272" t="s">
        <v>312</v>
      </c>
      <c r="J14" s="271" t="s">
        <v>278</v>
      </c>
      <c r="K14" s="92" t="s">
        <v>278</v>
      </c>
      <c r="L14" s="272" t="s">
        <v>278</v>
      </c>
      <c r="M14" s="271" t="s">
        <v>312</v>
      </c>
      <c r="N14" s="92" t="s">
        <v>313</v>
      </c>
      <c r="O14" s="272" t="s">
        <v>313</v>
      </c>
      <c r="P14" s="5"/>
      <c r="Q14" s="271" t="s">
        <v>220</v>
      </c>
      <c r="R14" s="92" t="s">
        <v>220</v>
      </c>
      <c r="S14" s="272" t="s">
        <v>239</v>
      </c>
      <c r="T14" s="271" t="s">
        <v>223</v>
      </c>
      <c r="U14" s="92" t="s">
        <v>220</v>
      </c>
      <c r="V14" s="272" t="s">
        <v>223</v>
      </c>
      <c r="W14" s="271"/>
      <c r="X14" s="92"/>
      <c r="Y14" s="272"/>
      <c r="Z14" s="271" t="s">
        <v>220</v>
      </c>
      <c r="AA14" s="92" t="s">
        <v>220</v>
      </c>
      <c r="AB14" s="272" t="s">
        <v>220</v>
      </c>
    </row>
    <row r="15" ht="18.95" customHeight="1">
      <c r="A15" s="58"/>
      <c r="B15" s="288">
        <v>2022</v>
      </c>
      <c r="C15" s="289" t="s">
        <v>230</v>
      </c>
      <c r="D15" s="420" t="s">
        <v>312</v>
      </c>
      <c r="E15" s="91" t="s">
        <v>311</v>
      </c>
      <c r="F15" s="421" t="s">
        <v>312</v>
      </c>
      <c r="G15" s="420" t="s">
        <v>314</v>
      </c>
      <c r="H15" s="91" t="s">
        <v>315</v>
      </c>
      <c r="I15" s="421" t="s">
        <v>314</v>
      </c>
      <c r="J15" s="420" t="s">
        <v>278</v>
      </c>
      <c r="K15" s="91" t="s">
        <v>278</v>
      </c>
      <c r="L15" s="421" t="s">
        <v>278</v>
      </c>
      <c r="M15" s="420" t="s">
        <v>312</v>
      </c>
      <c r="N15" s="91" t="s">
        <v>311</v>
      </c>
      <c r="O15" s="421" t="s">
        <v>312</v>
      </c>
      <c r="P15" s="5"/>
      <c r="Q15" s="420" t="s">
        <v>303</v>
      </c>
      <c r="R15" s="91" t="s">
        <v>303</v>
      </c>
      <c r="S15" s="421" t="s">
        <v>302</v>
      </c>
      <c r="T15" s="420" t="s">
        <v>225</v>
      </c>
      <c r="U15" s="91" t="s">
        <v>303</v>
      </c>
      <c r="V15" s="421" t="s">
        <v>226</v>
      </c>
      <c r="W15" s="420"/>
      <c r="X15" s="91"/>
      <c r="Y15" s="421"/>
      <c r="Z15" s="420" t="s">
        <v>303</v>
      </c>
      <c r="AA15" s="91" t="s">
        <v>303</v>
      </c>
      <c r="AB15" s="421" t="s">
        <v>303</v>
      </c>
    </row>
    <row r="16" ht="18.95" customHeight="1">
      <c r="A16" s="58"/>
      <c r="B16" s="286"/>
      <c r="C16" s="287" t="s">
        <v>231</v>
      </c>
      <c r="D16" s="271" t="s">
        <v>314</v>
      </c>
      <c r="E16" s="92" t="s">
        <v>313</v>
      </c>
      <c r="F16" s="272" t="s">
        <v>312</v>
      </c>
      <c r="G16" s="271" t="s">
        <v>313</v>
      </c>
      <c r="H16" s="92" t="s">
        <v>315</v>
      </c>
      <c r="I16" s="272" t="s">
        <v>311</v>
      </c>
      <c r="J16" s="271" t="s">
        <v>278</v>
      </c>
      <c r="K16" s="92" t="s">
        <v>278</v>
      </c>
      <c r="L16" s="272" t="s">
        <v>278</v>
      </c>
      <c r="M16" s="271" t="s">
        <v>314</v>
      </c>
      <c r="N16" s="92" t="s">
        <v>313</v>
      </c>
      <c r="O16" s="272" t="s">
        <v>313</v>
      </c>
      <c r="P16" s="5"/>
      <c r="Q16" s="271" t="s">
        <v>226</v>
      </c>
      <c r="R16" s="92" t="s">
        <v>226</v>
      </c>
      <c r="S16" s="272" t="s">
        <v>303</v>
      </c>
      <c r="T16" s="271" t="s">
        <v>226</v>
      </c>
      <c r="U16" s="92" t="s">
        <v>226</v>
      </c>
      <c r="V16" s="272" t="s">
        <v>226</v>
      </c>
      <c r="W16" s="271"/>
      <c r="X16" s="92"/>
      <c r="Y16" s="272"/>
      <c r="Z16" s="271" t="s">
        <v>303</v>
      </c>
      <c r="AA16" s="92" t="s">
        <v>226</v>
      </c>
      <c r="AB16" s="272" t="s">
        <v>303</v>
      </c>
    </row>
    <row r="17" ht="18.95" customHeight="1">
      <c r="A17" s="58"/>
      <c r="B17" s="288"/>
      <c r="C17" s="289" t="s">
        <v>232</v>
      </c>
      <c r="D17" s="420" t="s">
        <v>315</v>
      </c>
      <c r="E17" s="91" t="s">
        <v>311</v>
      </c>
      <c r="F17" s="421" t="s">
        <v>311</v>
      </c>
      <c r="G17" s="420" t="s">
        <v>312</v>
      </c>
      <c r="H17" s="91" t="s">
        <v>311</v>
      </c>
      <c r="I17" s="421" t="s">
        <v>313</v>
      </c>
      <c r="J17" s="420" t="s">
        <v>278</v>
      </c>
      <c r="K17" s="91" t="s">
        <v>278</v>
      </c>
      <c r="L17" s="421" t="s">
        <v>278</v>
      </c>
      <c r="M17" s="420" t="s">
        <v>312</v>
      </c>
      <c r="N17" s="91" t="s">
        <v>311</v>
      </c>
      <c r="O17" s="421" t="s">
        <v>311</v>
      </c>
      <c r="P17" s="5"/>
      <c r="Q17" s="420" t="s">
        <v>303</v>
      </c>
      <c r="R17" s="91" t="s">
        <v>303</v>
      </c>
      <c r="S17" s="421" t="s">
        <v>226</v>
      </c>
      <c r="T17" s="420" t="s">
        <v>225</v>
      </c>
      <c r="U17" s="91" t="s">
        <v>316</v>
      </c>
      <c r="V17" s="421" t="s">
        <v>226</v>
      </c>
      <c r="W17" s="420"/>
      <c r="X17" s="91"/>
      <c r="Y17" s="421"/>
      <c r="Z17" s="420" t="s">
        <v>226</v>
      </c>
      <c r="AA17" s="91" t="s">
        <v>303</v>
      </c>
      <c r="AB17" s="421" t="s">
        <v>303</v>
      </c>
    </row>
    <row r="18" ht="18.95" customHeight="1">
      <c r="A18" s="58"/>
      <c r="B18" s="286"/>
      <c r="C18" s="287" t="s">
        <v>233</v>
      </c>
      <c r="D18" s="271" t="s">
        <v>313</v>
      </c>
      <c r="E18" s="92" t="s">
        <v>313</v>
      </c>
      <c r="F18" s="272" t="s">
        <v>312</v>
      </c>
      <c r="G18" s="271" t="s">
        <v>312</v>
      </c>
      <c r="H18" s="92" t="s">
        <v>311</v>
      </c>
      <c r="I18" s="272" t="s">
        <v>313</v>
      </c>
      <c r="J18" s="271" t="s">
        <v>278</v>
      </c>
      <c r="K18" s="92" t="s">
        <v>278</v>
      </c>
      <c r="L18" s="272" t="s">
        <v>278</v>
      </c>
      <c r="M18" s="271" t="s">
        <v>313</v>
      </c>
      <c r="N18" s="92" t="s">
        <v>313</v>
      </c>
      <c r="O18" s="272" t="s">
        <v>313</v>
      </c>
      <c r="P18" s="5"/>
      <c r="Q18" s="271" t="s">
        <v>226</v>
      </c>
      <c r="R18" s="92" t="s">
        <v>225</v>
      </c>
      <c r="S18" s="272" t="s">
        <v>226</v>
      </c>
      <c r="T18" s="271" t="s">
        <v>303</v>
      </c>
      <c r="U18" s="92" t="s">
        <v>303</v>
      </c>
      <c r="V18" s="272" t="s">
        <v>303</v>
      </c>
      <c r="W18" s="271"/>
      <c r="X18" s="92"/>
      <c r="Y18" s="272"/>
      <c r="Z18" s="271" t="s">
        <v>303</v>
      </c>
      <c r="AA18" s="92" t="s">
        <v>225</v>
      </c>
      <c r="AB18" s="272" t="s">
        <v>303</v>
      </c>
    </row>
    <row r="19" ht="18.95" customHeight="1">
      <c r="A19" s="58"/>
      <c r="B19" s="288"/>
      <c r="C19" s="289" t="s">
        <v>234</v>
      </c>
      <c r="D19" s="420" t="s">
        <v>311</v>
      </c>
      <c r="E19" s="91" t="s">
        <v>313</v>
      </c>
      <c r="F19" s="421" t="s">
        <v>312</v>
      </c>
      <c r="G19" s="420" t="s">
        <v>312</v>
      </c>
      <c r="H19" s="91" t="s">
        <v>312</v>
      </c>
      <c r="I19" s="421" t="s">
        <v>312</v>
      </c>
      <c r="J19" s="420" t="s">
        <v>278</v>
      </c>
      <c r="K19" s="91" t="s">
        <v>278</v>
      </c>
      <c r="L19" s="421" t="s">
        <v>278</v>
      </c>
      <c r="M19" s="420" t="s">
        <v>312</v>
      </c>
      <c r="N19" s="91" t="s">
        <v>313</v>
      </c>
      <c r="O19" s="421" t="s">
        <v>312</v>
      </c>
      <c r="P19" s="5"/>
      <c r="Q19" s="420" t="s">
        <v>303</v>
      </c>
      <c r="R19" s="91" t="s">
        <v>226</v>
      </c>
      <c r="S19" s="421" t="s">
        <v>226</v>
      </c>
      <c r="T19" s="420" t="s">
        <v>225</v>
      </c>
      <c r="U19" s="91" t="s">
        <v>228</v>
      </c>
      <c r="V19" s="421" t="s">
        <v>228</v>
      </c>
      <c r="W19" s="420"/>
      <c r="X19" s="91"/>
      <c r="Y19" s="421"/>
      <c r="Z19" s="420" t="s">
        <v>225</v>
      </c>
      <c r="AA19" s="91" t="s">
        <v>226</v>
      </c>
      <c r="AB19" s="421" t="s">
        <v>225</v>
      </c>
    </row>
    <row r="20" ht="18.95" customHeight="1">
      <c r="A20" s="58"/>
      <c r="B20" s="286"/>
      <c r="C20" s="287" t="s">
        <v>235</v>
      </c>
      <c r="D20" s="271" t="s">
        <v>313</v>
      </c>
      <c r="E20" s="92" t="s">
        <v>313</v>
      </c>
      <c r="F20" s="272" t="s">
        <v>312</v>
      </c>
      <c r="G20" s="271" t="s">
        <v>313</v>
      </c>
      <c r="H20" s="92" t="s">
        <v>311</v>
      </c>
      <c r="I20" s="272" t="s">
        <v>313</v>
      </c>
      <c r="J20" s="271" t="s">
        <v>278</v>
      </c>
      <c r="K20" s="92" t="s">
        <v>278</v>
      </c>
      <c r="L20" s="272" t="s">
        <v>278</v>
      </c>
      <c r="M20" s="271" t="s">
        <v>312</v>
      </c>
      <c r="N20" s="92" t="s">
        <v>311</v>
      </c>
      <c r="O20" s="272" t="s">
        <v>313</v>
      </c>
      <c r="P20" s="5"/>
      <c r="Q20" s="271" t="s">
        <v>225</v>
      </c>
      <c r="R20" s="92" t="s">
        <v>225</v>
      </c>
      <c r="S20" s="272" t="s">
        <v>225</v>
      </c>
      <c r="T20" s="271" t="s">
        <v>225</v>
      </c>
      <c r="U20" s="92" t="s">
        <v>302</v>
      </c>
      <c r="V20" s="272" t="s">
        <v>226</v>
      </c>
      <c r="W20" s="271"/>
      <c r="X20" s="92"/>
      <c r="Y20" s="272"/>
      <c r="Z20" s="271" t="s">
        <v>226</v>
      </c>
      <c r="AA20" s="92" t="s">
        <v>225</v>
      </c>
      <c r="AB20" s="272" t="s">
        <v>226</v>
      </c>
    </row>
    <row r="21" ht="18.95" customHeight="1">
      <c r="A21" s="58"/>
      <c r="B21" s="288"/>
      <c r="C21" s="289" t="s">
        <v>218</v>
      </c>
      <c r="D21" s="420" t="s">
        <v>313</v>
      </c>
      <c r="E21" s="91" t="s">
        <v>313</v>
      </c>
      <c r="F21" s="421" t="s">
        <v>312</v>
      </c>
      <c r="G21" s="420" t="s">
        <v>313</v>
      </c>
      <c r="H21" s="91" t="s">
        <v>311</v>
      </c>
      <c r="I21" s="421" t="s">
        <v>313</v>
      </c>
      <c r="J21" s="420" t="s">
        <v>278</v>
      </c>
      <c r="K21" s="91" t="s">
        <v>278</v>
      </c>
      <c r="L21" s="421" t="s">
        <v>278</v>
      </c>
      <c r="M21" s="420" t="s">
        <v>312</v>
      </c>
      <c r="N21" s="91" t="s">
        <v>313</v>
      </c>
      <c r="O21" s="421" t="s">
        <v>312</v>
      </c>
      <c r="P21" s="5"/>
      <c r="Q21" s="420" t="s">
        <v>302</v>
      </c>
      <c r="R21" s="91" t="s">
        <v>302</v>
      </c>
      <c r="S21" s="421" t="s">
        <v>302</v>
      </c>
      <c r="T21" s="420" t="s">
        <v>225</v>
      </c>
      <c r="U21" s="91" t="s">
        <v>302</v>
      </c>
      <c r="V21" s="421" t="s">
        <v>225</v>
      </c>
      <c r="W21" s="420"/>
      <c r="X21" s="91"/>
      <c r="Y21" s="421"/>
      <c r="Z21" s="420" t="s">
        <v>226</v>
      </c>
      <c r="AA21" s="91" t="s">
        <v>302</v>
      </c>
      <c r="AB21" s="421" t="s">
        <v>302</v>
      </c>
    </row>
    <row r="22" ht="18.95" customHeight="1">
      <c r="A22" s="58"/>
      <c r="B22" s="286"/>
      <c r="C22" s="287" t="s">
        <v>221</v>
      </c>
      <c r="D22" s="271" t="s">
        <v>313</v>
      </c>
      <c r="E22" s="92" t="s">
        <v>312</v>
      </c>
      <c r="F22" s="272" t="s">
        <v>312</v>
      </c>
      <c r="G22" s="271" t="s">
        <v>313</v>
      </c>
      <c r="H22" s="92" t="s">
        <v>318</v>
      </c>
      <c r="I22" s="272" t="s">
        <v>313</v>
      </c>
      <c r="J22" s="271" t="s">
        <v>278</v>
      </c>
      <c r="K22" s="92" t="s">
        <v>278</v>
      </c>
      <c r="L22" s="272" t="s">
        <v>278</v>
      </c>
      <c r="M22" s="271" t="s">
        <v>313</v>
      </c>
      <c r="N22" s="92" t="s">
        <v>313</v>
      </c>
      <c r="O22" s="272" t="s">
        <v>313</v>
      </c>
      <c r="P22" s="5"/>
      <c r="Q22" s="271" t="s">
        <v>303</v>
      </c>
      <c r="R22" s="92" t="s">
        <v>303</v>
      </c>
      <c r="S22" s="272" t="s">
        <v>302</v>
      </c>
      <c r="T22" s="271" t="s">
        <v>226</v>
      </c>
      <c r="U22" s="92" t="s">
        <v>303</v>
      </c>
      <c r="V22" s="272" t="s">
        <v>226</v>
      </c>
      <c r="W22" s="271"/>
      <c r="X22" s="92"/>
      <c r="Y22" s="272"/>
      <c r="Z22" s="271" t="s">
        <v>303</v>
      </c>
      <c r="AA22" s="92" t="s">
        <v>303</v>
      </c>
      <c r="AB22" s="272" t="s">
        <v>302</v>
      </c>
    </row>
    <row r="23" ht="18.95" customHeight="1">
      <c r="A23" s="58"/>
      <c r="B23" s="288"/>
      <c r="C23" s="289" t="s">
        <v>222</v>
      </c>
      <c r="D23" s="420" t="s">
        <v>311</v>
      </c>
      <c r="E23" s="91" t="s">
        <v>312</v>
      </c>
      <c r="F23" s="421" t="s">
        <v>313</v>
      </c>
      <c r="G23" s="420" t="s">
        <v>315</v>
      </c>
      <c r="H23" s="91" t="s">
        <v>312</v>
      </c>
      <c r="I23" s="421" t="s">
        <v>311</v>
      </c>
      <c r="J23" s="420" t="s">
        <v>278</v>
      </c>
      <c r="K23" s="91" t="s">
        <v>278</v>
      </c>
      <c r="L23" s="421" t="s">
        <v>278</v>
      </c>
      <c r="M23" s="420" t="s">
        <v>315</v>
      </c>
      <c r="N23" s="91" t="s">
        <v>312</v>
      </c>
      <c r="O23" s="421" t="s">
        <v>313</v>
      </c>
      <c r="P23" s="5"/>
      <c r="Q23" s="420" t="s">
        <v>302</v>
      </c>
      <c r="R23" s="91" t="s">
        <v>303</v>
      </c>
      <c r="S23" s="421" t="s">
        <v>302</v>
      </c>
      <c r="T23" s="420" t="s">
        <v>225</v>
      </c>
      <c r="U23" s="91" t="s">
        <v>228</v>
      </c>
      <c r="V23" s="421" t="s">
        <v>225</v>
      </c>
      <c r="W23" s="420"/>
      <c r="X23" s="91"/>
      <c r="Y23" s="421"/>
      <c r="Z23" s="420" t="s">
        <v>302</v>
      </c>
      <c r="AA23" s="91" t="s">
        <v>303</v>
      </c>
      <c r="AB23" s="421" t="s">
        <v>316</v>
      </c>
    </row>
    <row r="24" ht="18.95" customHeight="1">
      <c r="A24" s="59"/>
      <c r="B24" s="286"/>
      <c r="C24" s="287" t="s">
        <v>224</v>
      </c>
      <c r="D24" s="271" t="s">
        <v>312</v>
      </c>
      <c r="E24" s="92" t="s">
        <v>313</v>
      </c>
      <c r="F24" s="272" t="s">
        <v>313</v>
      </c>
      <c r="G24" s="271" t="s">
        <v>313</v>
      </c>
      <c r="H24" s="92" t="s">
        <v>313</v>
      </c>
      <c r="I24" s="272" t="s">
        <v>313</v>
      </c>
      <c r="J24" s="271" t="s">
        <v>278</v>
      </c>
      <c r="K24" s="92" t="s">
        <v>278</v>
      </c>
      <c r="L24" s="272" t="s">
        <v>278</v>
      </c>
      <c r="M24" s="271" t="s">
        <v>311</v>
      </c>
      <c r="N24" s="92" t="s">
        <v>313</v>
      </c>
      <c r="O24" s="272" t="s">
        <v>311</v>
      </c>
      <c r="P24" s="93"/>
      <c r="Q24" s="271" t="s">
        <v>315</v>
      </c>
      <c r="R24" s="92" t="s">
        <v>315</v>
      </c>
      <c r="S24" s="272" t="s">
        <v>318</v>
      </c>
      <c r="T24" s="271" t="s">
        <v>312</v>
      </c>
      <c r="U24" s="92" t="s">
        <v>312</v>
      </c>
      <c r="V24" s="272" t="s">
        <v>312</v>
      </c>
      <c r="W24" s="271"/>
      <c r="X24" s="92"/>
      <c r="Y24" s="272"/>
      <c r="Z24" s="271" t="s">
        <v>315</v>
      </c>
      <c r="AA24" s="92" t="s">
        <v>315</v>
      </c>
      <c r="AB24" s="272" t="s">
        <v>317</v>
      </c>
    </row>
    <row r="25" ht="18.95" customHeight="1">
      <c r="A25" s="60"/>
      <c r="B25" s="288"/>
      <c r="C25" s="289" t="s">
        <v>227</v>
      </c>
      <c r="D25" s="420" t="s">
        <v>312</v>
      </c>
      <c r="E25" s="91" t="s">
        <v>313</v>
      </c>
      <c r="F25" s="421" t="s">
        <v>312</v>
      </c>
      <c r="G25" s="420" t="s">
        <v>313</v>
      </c>
      <c r="H25" s="91" t="s">
        <v>313</v>
      </c>
      <c r="I25" s="421" t="s">
        <v>313</v>
      </c>
      <c r="J25" s="420" t="s">
        <v>278</v>
      </c>
      <c r="K25" s="91" t="s">
        <v>278</v>
      </c>
      <c r="L25" s="421" t="s">
        <v>278</v>
      </c>
      <c r="M25" s="420" t="s">
        <v>313</v>
      </c>
      <c r="N25" s="91" t="s">
        <v>313</v>
      </c>
      <c r="O25" s="421" t="s">
        <v>313</v>
      </c>
      <c r="P25" s="93"/>
      <c r="Q25" s="420" t="s">
        <v>226</v>
      </c>
      <c r="R25" s="91" t="s">
        <v>316</v>
      </c>
      <c r="S25" s="421" t="s">
        <v>303</v>
      </c>
      <c r="T25" s="420" t="s">
        <v>303</v>
      </c>
      <c r="U25" s="91" t="s">
        <v>303</v>
      </c>
      <c r="V25" s="421" t="s">
        <v>303</v>
      </c>
      <c r="W25" s="420"/>
      <c r="X25" s="91"/>
      <c r="Y25" s="421"/>
      <c r="Z25" s="420" t="s">
        <v>318</v>
      </c>
      <c r="AA25" s="91" t="s">
        <v>317</v>
      </c>
      <c r="AB25" s="421" t="s">
        <v>317</v>
      </c>
    </row>
    <row r="26" ht="18.95" customHeight="1">
      <c r="A26" s="60"/>
      <c r="B26" s="290"/>
      <c r="C26" s="291" t="s">
        <v>229</v>
      </c>
      <c r="D26" s="273" t="s">
        <v>312</v>
      </c>
      <c r="E26" s="274" t="s">
        <v>312</v>
      </c>
      <c r="F26" s="275" t="s">
        <v>312</v>
      </c>
      <c r="G26" s="273" t="s">
        <v>313</v>
      </c>
      <c r="H26" s="274" t="s">
        <v>315</v>
      </c>
      <c r="I26" s="275" t="s">
        <v>311</v>
      </c>
      <c r="J26" s="273" t="s">
        <v>278</v>
      </c>
      <c r="K26" s="274" t="s">
        <v>278</v>
      </c>
      <c r="L26" s="275" t="s">
        <v>278</v>
      </c>
      <c r="M26" s="273" t="s">
        <v>312</v>
      </c>
      <c r="N26" s="274" t="s">
        <v>313</v>
      </c>
      <c r="O26" s="275" t="s">
        <v>312</v>
      </c>
      <c r="P26" s="184"/>
      <c r="Q26" s="273" t="s">
        <v>318</v>
      </c>
      <c r="R26" s="274" t="s">
        <v>311</v>
      </c>
      <c r="S26" s="275" t="s">
        <v>318</v>
      </c>
      <c r="T26" s="273" t="s">
        <v>311</v>
      </c>
      <c r="U26" s="274" t="s">
        <v>317</v>
      </c>
      <c r="V26" s="275" t="s">
        <v>315</v>
      </c>
      <c r="W26" s="273"/>
      <c r="X26" s="274"/>
      <c r="Y26" s="275"/>
      <c r="Z26" s="273" t="s">
        <v>318</v>
      </c>
      <c r="AA26" s="274" t="s">
        <v>315</v>
      </c>
      <c r="AB26" s="275" t="s">
        <v>318</v>
      </c>
    </row>
    <row r="27" ht="21.95"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95" customHeight="1">
      <c r="A28" s="112"/>
      <c r="B28" s="973" t="s">
        <v>59</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9"/>
    </row>
    <row r="29" ht="18.95" customHeight="1">
      <c r="A29" s="58"/>
      <c r="B29" s="284">
        <v>2020</v>
      </c>
      <c r="C29" s="285"/>
      <c r="D29" s="427" t="s">
        <v>315</v>
      </c>
      <c r="E29" s="428" t="s">
        <v>311</v>
      </c>
      <c r="F29" s="429" t="s">
        <v>315</v>
      </c>
      <c r="G29" s="427" t="s">
        <v>315</v>
      </c>
      <c r="H29" s="428" t="s">
        <v>312</v>
      </c>
      <c r="I29" s="429" t="s">
        <v>311</v>
      </c>
      <c r="J29" s="427" t="s">
        <v>278</v>
      </c>
      <c r="K29" s="428" t="s">
        <v>278</v>
      </c>
      <c r="L29" s="429" t="s">
        <v>278</v>
      </c>
      <c r="M29" s="427" t="s">
        <v>318</v>
      </c>
      <c r="N29" s="428" t="s">
        <v>315</v>
      </c>
      <c r="O29" s="429" t="s">
        <v>315</v>
      </c>
      <c r="P29" s="5"/>
      <c r="Q29" s="427" t="s">
        <v>311</v>
      </c>
      <c r="R29" s="428" t="s">
        <v>311</v>
      </c>
      <c r="S29" s="429" t="s">
        <v>311</v>
      </c>
      <c r="T29" s="427" t="s">
        <v>315</v>
      </c>
      <c r="U29" s="428" t="s">
        <v>312</v>
      </c>
      <c r="V29" s="429" t="s">
        <v>311</v>
      </c>
      <c r="W29" s="427"/>
      <c r="X29" s="428"/>
      <c r="Y29" s="429"/>
      <c r="Z29" s="427" t="s">
        <v>311</v>
      </c>
      <c r="AA29" s="428" t="s">
        <v>313</v>
      </c>
      <c r="AB29" s="429" t="s">
        <v>311</v>
      </c>
    </row>
    <row r="30" ht="18.95" customHeight="1">
      <c r="A30" s="58"/>
      <c r="B30" s="286">
        <v>2021</v>
      </c>
      <c r="C30" s="287"/>
      <c r="D30" s="271" t="s">
        <v>314</v>
      </c>
      <c r="E30" s="92" t="s">
        <v>313</v>
      </c>
      <c r="F30" s="272" t="s">
        <v>312</v>
      </c>
      <c r="G30" s="271" t="s">
        <v>313</v>
      </c>
      <c r="H30" s="92" t="s">
        <v>312</v>
      </c>
      <c r="I30" s="272" t="s">
        <v>313</v>
      </c>
      <c r="J30" s="271" t="s">
        <v>278</v>
      </c>
      <c r="K30" s="92" t="s">
        <v>278</v>
      </c>
      <c r="L30" s="272" t="s">
        <v>278</v>
      </c>
      <c r="M30" s="271" t="s">
        <v>314</v>
      </c>
      <c r="N30" s="92" t="s">
        <v>313</v>
      </c>
      <c r="O30" s="272" t="s">
        <v>312</v>
      </c>
      <c r="P30" s="5"/>
      <c r="Q30" s="271" t="s">
        <v>314</v>
      </c>
      <c r="R30" s="92" t="s">
        <v>313</v>
      </c>
      <c r="S30" s="272" t="s">
        <v>314</v>
      </c>
      <c r="T30" s="271" t="s">
        <v>312</v>
      </c>
      <c r="U30" s="92" t="s">
        <v>313</v>
      </c>
      <c r="V30" s="272" t="s">
        <v>313</v>
      </c>
      <c r="W30" s="271"/>
      <c r="X30" s="92"/>
      <c r="Y30" s="272"/>
      <c r="Z30" s="271" t="s">
        <v>314</v>
      </c>
      <c r="AA30" s="92" t="s">
        <v>313</v>
      </c>
      <c r="AB30" s="272" t="s">
        <v>314</v>
      </c>
    </row>
    <row r="31" ht="18.95" customHeight="1">
      <c r="A31" s="58"/>
      <c r="B31" s="425">
        <v>2022</v>
      </c>
      <c r="C31" s="426"/>
      <c r="D31" s="430" t="s">
        <v>312</v>
      </c>
      <c r="E31" s="431" t="s">
        <v>313</v>
      </c>
      <c r="F31" s="432" t="s">
        <v>312</v>
      </c>
      <c r="G31" s="430" t="s">
        <v>313</v>
      </c>
      <c r="H31" s="431" t="s">
        <v>313</v>
      </c>
      <c r="I31" s="432" t="s">
        <v>313</v>
      </c>
      <c r="J31" s="430" t="s">
        <v>278</v>
      </c>
      <c r="K31" s="431" t="s">
        <v>278</v>
      </c>
      <c r="L31" s="432" t="s">
        <v>278</v>
      </c>
      <c r="M31" s="430" t="s">
        <v>312</v>
      </c>
      <c r="N31" s="431" t="s">
        <v>313</v>
      </c>
      <c r="O31" s="432" t="s">
        <v>313</v>
      </c>
      <c r="P31" s="184"/>
      <c r="Q31" s="430" t="s">
        <v>315</v>
      </c>
      <c r="R31" s="431" t="s">
        <v>311</v>
      </c>
      <c r="S31" s="432" t="s">
        <v>315</v>
      </c>
      <c r="T31" s="430" t="s">
        <v>313</v>
      </c>
      <c r="U31" s="431" t="s">
        <v>315</v>
      </c>
      <c r="V31" s="432" t="s">
        <v>318</v>
      </c>
      <c r="W31" s="430"/>
      <c r="X31" s="431"/>
      <c r="Y31" s="432"/>
      <c r="Z31" s="430" t="s">
        <v>318</v>
      </c>
      <c r="AA31" s="431" t="s">
        <v>311</v>
      </c>
      <c r="AB31" s="432" t="s">
        <v>318</v>
      </c>
    </row>
    <row r="32" ht="21.95"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95"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9"/>
    </row>
    <row r="34" ht="18.95" customHeight="1">
      <c r="A34" s="58"/>
      <c r="B34" s="284">
        <v>2020</v>
      </c>
      <c r="C34" s="285"/>
      <c r="D34" s="427" t="s">
        <v>220</v>
      </c>
      <c r="E34" s="428" t="s">
        <v>223</v>
      </c>
      <c r="F34" s="429" t="s">
        <v>223</v>
      </c>
      <c r="G34" s="427" t="s">
        <v>223</v>
      </c>
      <c r="H34" s="428" t="s">
        <v>223</v>
      </c>
      <c r="I34" s="429" t="s">
        <v>223</v>
      </c>
      <c r="J34" s="427" t="s">
        <v>278</v>
      </c>
      <c r="K34" s="428" t="s">
        <v>278</v>
      </c>
      <c r="L34" s="429" t="s">
        <v>278</v>
      </c>
      <c r="M34" s="427" t="s">
        <v>220</v>
      </c>
      <c r="N34" s="428" t="s">
        <v>223</v>
      </c>
      <c r="O34" s="429" t="s">
        <v>223</v>
      </c>
      <c r="P34" s="5"/>
      <c r="Q34" s="427" t="s">
        <v>219</v>
      </c>
      <c r="R34" s="428" t="s">
        <v>223</v>
      </c>
      <c r="S34" s="429" t="s">
        <v>219</v>
      </c>
      <c r="T34" s="427" t="s">
        <v>223</v>
      </c>
      <c r="U34" s="428" t="s">
        <v>219</v>
      </c>
      <c r="V34" s="429" t="s">
        <v>219</v>
      </c>
      <c r="W34" s="427"/>
      <c r="X34" s="428"/>
      <c r="Y34" s="429"/>
      <c r="Z34" s="427" t="s">
        <v>219</v>
      </c>
      <c r="AA34" s="428" t="s">
        <v>223</v>
      </c>
      <c r="AB34" s="429" t="s">
        <v>219</v>
      </c>
    </row>
    <row r="35" ht="18.95" customHeight="1">
      <c r="A35" s="58"/>
      <c r="B35" s="286">
        <v>2021</v>
      </c>
      <c r="C35" s="287"/>
      <c r="D35" s="271" t="s">
        <v>312</v>
      </c>
      <c r="E35" s="92" t="s">
        <v>313</v>
      </c>
      <c r="F35" s="272" t="s">
        <v>312</v>
      </c>
      <c r="G35" s="271" t="s">
        <v>312</v>
      </c>
      <c r="H35" s="92" t="s">
        <v>312</v>
      </c>
      <c r="I35" s="272" t="s">
        <v>313</v>
      </c>
      <c r="J35" s="271" t="s">
        <v>278</v>
      </c>
      <c r="K35" s="92" t="s">
        <v>278</v>
      </c>
      <c r="L35" s="272" t="s">
        <v>278</v>
      </c>
      <c r="M35" s="271" t="s">
        <v>312</v>
      </c>
      <c r="N35" s="92" t="s">
        <v>313</v>
      </c>
      <c r="O35" s="272" t="s">
        <v>313</v>
      </c>
      <c r="P35" s="5"/>
      <c r="Q35" s="271" t="s">
        <v>220</v>
      </c>
      <c r="R35" s="92" t="s">
        <v>220</v>
      </c>
      <c r="S35" s="272" t="s">
        <v>220</v>
      </c>
      <c r="T35" s="271" t="s">
        <v>220</v>
      </c>
      <c r="U35" s="92" t="s">
        <v>223</v>
      </c>
      <c r="V35" s="272" t="s">
        <v>220</v>
      </c>
      <c r="W35" s="271"/>
      <c r="X35" s="92"/>
      <c r="Y35" s="272"/>
      <c r="Z35" s="271" t="s">
        <v>239</v>
      </c>
      <c r="AA35" s="92" t="s">
        <v>220</v>
      </c>
      <c r="AB35" s="272" t="s">
        <v>220</v>
      </c>
    </row>
    <row r="36" ht="18.95" customHeight="1">
      <c r="A36" s="58"/>
      <c r="B36" s="425">
        <v>2022</v>
      </c>
      <c r="C36" s="426"/>
      <c r="D36" s="430" t="s">
        <v>313</v>
      </c>
      <c r="E36" s="431" t="s">
        <v>313</v>
      </c>
      <c r="F36" s="432" t="s">
        <v>312</v>
      </c>
      <c r="G36" s="430" t="s">
        <v>313</v>
      </c>
      <c r="H36" s="431" t="s">
        <v>311</v>
      </c>
      <c r="I36" s="432" t="s">
        <v>313</v>
      </c>
      <c r="J36" s="430" t="s">
        <v>278</v>
      </c>
      <c r="K36" s="431" t="s">
        <v>278</v>
      </c>
      <c r="L36" s="432" t="s">
        <v>278</v>
      </c>
      <c r="M36" s="430" t="s">
        <v>313</v>
      </c>
      <c r="N36" s="431" t="s">
        <v>313</v>
      </c>
      <c r="O36" s="432" t="s">
        <v>313</v>
      </c>
      <c r="P36" s="184"/>
      <c r="Q36" s="430" t="s">
        <v>315</v>
      </c>
      <c r="R36" s="431" t="s">
        <v>311</v>
      </c>
      <c r="S36" s="432" t="s">
        <v>318</v>
      </c>
      <c r="T36" s="430" t="s">
        <v>318</v>
      </c>
      <c r="U36" s="431" t="s">
        <v>318</v>
      </c>
      <c r="V36" s="432" t="s">
        <v>318</v>
      </c>
      <c r="W36" s="430"/>
      <c r="X36" s="431"/>
      <c r="Y36" s="432"/>
      <c r="Z36" s="430" t="s">
        <v>317</v>
      </c>
      <c r="AA36" s="431" t="s">
        <v>315</v>
      </c>
      <c r="AB36" s="432" t="s">
        <v>317</v>
      </c>
    </row>
    <row r="37" ht="21.9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95" customHeight="1">
      <c r="A38" s="112"/>
      <c r="B38" s="972" t="s">
        <v>45</v>
      </c>
      <c r="C38" s="972"/>
      <c r="D38" s="972"/>
      <c r="E38" s="972"/>
      <c r="F38" s="972"/>
      <c r="G38" s="972"/>
      <c r="H38" s="972"/>
      <c r="I38" s="972"/>
      <c r="J38" s="972"/>
      <c r="K38" s="972"/>
      <c r="L38" s="972"/>
      <c r="M38" s="972"/>
      <c r="N38" s="972"/>
      <c r="O38" s="972"/>
      <c r="P38" s="411"/>
      <c r="Q38" s="971"/>
      <c r="R38" s="971"/>
      <c r="S38" s="971"/>
      <c r="T38" s="971"/>
      <c r="U38" s="971"/>
      <c r="V38" s="971"/>
      <c r="W38" s="971"/>
      <c r="X38" s="971"/>
      <c r="Y38" s="971"/>
      <c r="Z38" s="971"/>
      <c r="AA38" s="971"/>
      <c r="AB38" s="971"/>
      <c r="AC38" s="9"/>
    </row>
    <row r="39" ht="18.95" customHeight="1">
      <c r="A39" s="58"/>
      <c r="B39" s="284">
        <v>2020</v>
      </c>
      <c r="C39" s="285"/>
      <c r="D39" s="427" t="s">
        <v>315</v>
      </c>
      <c r="E39" s="428" t="s">
        <v>311</v>
      </c>
      <c r="F39" s="429" t="s">
        <v>315</v>
      </c>
      <c r="G39" s="427" t="s">
        <v>315</v>
      </c>
      <c r="H39" s="428" t="s">
        <v>312</v>
      </c>
      <c r="I39" s="429" t="s">
        <v>311</v>
      </c>
      <c r="J39" s="427" t="s">
        <v>278</v>
      </c>
      <c r="K39" s="428" t="s">
        <v>278</v>
      </c>
      <c r="L39" s="429" t="s">
        <v>278</v>
      </c>
      <c r="M39" s="427" t="s">
        <v>318</v>
      </c>
      <c r="N39" s="428" t="s">
        <v>315</v>
      </c>
      <c r="O39" s="429" t="s">
        <v>315</v>
      </c>
      <c r="P39" s="5"/>
      <c r="Q39" s="427" t="s">
        <v>311</v>
      </c>
      <c r="R39" s="428" t="s">
        <v>311</v>
      </c>
      <c r="S39" s="429" t="s">
        <v>311</v>
      </c>
      <c r="T39" s="427" t="s">
        <v>315</v>
      </c>
      <c r="U39" s="428" t="s">
        <v>312</v>
      </c>
      <c r="V39" s="429" t="s">
        <v>311</v>
      </c>
      <c r="W39" s="427"/>
      <c r="X39" s="428"/>
      <c r="Y39" s="429"/>
      <c r="Z39" s="427" t="s">
        <v>311</v>
      </c>
      <c r="AA39" s="428" t="s">
        <v>313</v>
      </c>
      <c r="AB39" s="429" t="s">
        <v>311</v>
      </c>
    </row>
    <row r="40" ht="18.95" customHeight="1">
      <c r="A40" s="58"/>
      <c r="B40" s="286">
        <v>2021</v>
      </c>
      <c r="C40" s="287"/>
      <c r="D40" s="271" t="s">
        <v>314</v>
      </c>
      <c r="E40" s="92" t="s">
        <v>313</v>
      </c>
      <c r="F40" s="272" t="s">
        <v>312</v>
      </c>
      <c r="G40" s="271" t="s">
        <v>313</v>
      </c>
      <c r="H40" s="92" t="s">
        <v>312</v>
      </c>
      <c r="I40" s="272" t="s">
        <v>313</v>
      </c>
      <c r="J40" s="271" t="s">
        <v>278</v>
      </c>
      <c r="K40" s="92" t="s">
        <v>278</v>
      </c>
      <c r="L40" s="272" t="s">
        <v>278</v>
      </c>
      <c r="M40" s="271" t="s">
        <v>314</v>
      </c>
      <c r="N40" s="92" t="s">
        <v>313</v>
      </c>
      <c r="O40" s="272" t="s">
        <v>312</v>
      </c>
      <c r="P40" s="5"/>
      <c r="Q40" s="271" t="s">
        <v>314</v>
      </c>
      <c r="R40" s="92" t="s">
        <v>313</v>
      </c>
      <c r="S40" s="272" t="s">
        <v>314</v>
      </c>
      <c r="T40" s="271" t="s">
        <v>312</v>
      </c>
      <c r="U40" s="92" t="s">
        <v>313</v>
      </c>
      <c r="V40" s="272" t="s">
        <v>313</v>
      </c>
      <c r="W40" s="271"/>
      <c r="X40" s="92"/>
      <c r="Y40" s="272"/>
      <c r="Z40" s="271" t="s">
        <v>314</v>
      </c>
      <c r="AA40" s="92" t="s">
        <v>313</v>
      </c>
      <c r="AB40" s="272" t="s">
        <v>314</v>
      </c>
    </row>
    <row r="41" ht="18.95" customHeight="1">
      <c r="A41" s="58"/>
      <c r="B41" s="425">
        <v>2022</v>
      </c>
      <c r="C41" s="426"/>
      <c r="D41" s="430" t="s">
        <v>312</v>
      </c>
      <c r="E41" s="431" t="s">
        <v>313</v>
      </c>
      <c r="F41" s="432" t="s">
        <v>312</v>
      </c>
      <c r="G41" s="430" t="s">
        <v>313</v>
      </c>
      <c r="H41" s="431" t="s">
        <v>313</v>
      </c>
      <c r="I41" s="432" t="s">
        <v>313</v>
      </c>
      <c r="J41" s="430" t="s">
        <v>278</v>
      </c>
      <c r="K41" s="431" t="s">
        <v>278</v>
      </c>
      <c r="L41" s="432" t="s">
        <v>278</v>
      </c>
      <c r="M41" s="430" t="s">
        <v>312</v>
      </c>
      <c r="N41" s="431" t="s">
        <v>313</v>
      </c>
      <c r="O41" s="432" t="s">
        <v>313</v>
      </c>
      <c r="P41" s="184"/>
      <c r="Q41" s="430" t="s">
        <v>315</v>
      </c>
      <c r="R41" s="431" t="s">
        <v>311</v>
      </c>
      <c r="S41" s="432" t="s">
        <v>315</v>
      </c>
      <c r="T41" s="430" t="s">
        <v>313</v>
      </c>
      <c r="U41" s="431" t="s">
        <v>315</v>
      </c>
      <c r="V41" s="432" t="s">
        <v>318</v>
      </c>
      <c r="W41" s="430"/>
      <c r="X41" s="431"/>
      <c r="Y41" s="432"/>
      <c r="Z41" s="430" t="s">
        <v>318</v>
      </c>
      <c r="AA41" s="431" t="s">
        <v>311</v>
      </c>
      <c r="AB41" s="432" t="s">
        <v>318</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c r="AP42" s="236"/>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c r="AP43" s="236"/>
    </row>
    <row r="44" ht="12" customHeight="1">
      <c r="Z44" s="55"/>
      <c r="AA44" s="233"/>
      <c r="AB44" s="233"/>
      <c r="AP44" s="236"/>
    </row>
    <row r="45" ht="12" customHeight="1">
      <c r="AP45" s="236"/>
    </row>
    <row r="46" s="236" customFormat="1">
      <c r="A46"/>
    </row>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sheetData>
  <mergeCells count="21">
    <mergeCell ref="B43:AB43"/>
    <mergeCell ref="T7:V7"/>
    <mergeCell ref="W7:Y7"/>
    <mergeCell ref="Z7:AB7"/>
    <mergeCell ref="B38:O38"/>
    <mergeCell ref="Q28:AB28"/>
    <mergeCell ref="Q7:S7"/>
    <mergeCell ref="Q33:AB33"/>
    <mergeCell ref="G7:I7"/>
    <mergeCell ref="B33:O33"/>
    <mergeCell ref="B8:C8"/>
    <mergeCell ref="Q38:AB38"/>
    <mergeCell ref="M7:O7"/>
    <mergeCell ref="B28:O28"/>
    <mergeCell ref="J7:L7"/>
    <mergeCell ref="D7:F7"/>
    <mergeCell ref="B2:AB2"/>
    <mergeCell ref="Q6:AB6"/>
    <mergeCell ref="D6:O6"/>
    <mergeCell ref="B4:AB4"/>
    <mergeCell ref="B3:AB3"/>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30" max="1048575" man="1"/>
  </colBreaks>
  <drawing r:id="rId55"/>
</worksheet>
</file>

<file path=xl/worksheets/sheet11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8"/>
      <c r="B1" s="656" t="s">
        <v>189</v>
      </c>
      <c r="Y1" s="5"/>
      <c r="AB1" s="685"/>
      <c r="AD1" s="236"/>
    </row>
    <row r="2" ht="15" customHeight="1">
      <c r="A2" s="11"/>
      <c r="B2" s="11" t="s">
        <v>208</v>
      </c>
    </row>
    <row r="3" ht="17.1" customHeight="1">
      <c r="A3" s="11"/>
      <c r="B3" s="11" t="s">
        <v>209</v>
      </c>
      <c r="R3" s="1040" t="s">
        <v>301</v>
      </c>
      <c r="S3" s="1040"/>
      <c r="T3" s="1040"/>
      <c r="U3" s="1040"/>
      <c r="V3" s="1040"/>
      <c r="W3" s="1040"/>
      <c r="X3" s="1040"/>
      <c r="Y3" s="1040"/>
      <c r="Z3" s="1040"/>
      <c r="AA3" s="1040"/>
      <c r="AB3" s="1040"/>
    </row>
    <row r="4" ht="19.5" customHeight="1">
      <c r="A4" s="4"/>
      <c r="B4" s="211" t="s">
        <v>210</v>
      </c>
      <c r="C4" s="5"/>
      <c r="D4" s="5"/>
      <c r="E4" s="5"/>
      <c r="F4" s="5"/>
      <c r="G4" s="5"/>
      <c r="H4" s="212"/>
      <c r="I4" s="212"/>
      <c r="J4" s="212"/>
      <c r="K4" s="212"/>
      <c r="L4" s="212"/>
      <c r="M4" s="212"/>
      <c r="N4" s="212"/>
      <c r="O4" s="212"/>
      <c r="P4" s="212"/>
      <c r="Q4" s="212"/>
      <c r="R4" s="212"/>
      <c r="S4" s="212"/>
      <c r="T4" s="212"/>
      <c r="U4" s="4"/>
      <c r="V4" s="4"/>
    </row>
    <row r="5" ht="12.75" customHeight="1"/>
    <row r="6" ht="15.75">
      <c r="D6" s="978" t="s">
        <v>42</v>
      </c>
      <c r="E6" s="978"/>
      <c r="F6" s="978"/>
      <c r="G6" s="978"/>
      <c r="H6" s="978"/>
      <c r="I6" s="978"/>
      <c r="J6" s="978"/>
      <c r="K6" s="978"/>
      <c r="L6" s="978"/>
      <c r="M6" s="978"/>
      <c r="N6" s="978"/>
      <c r="O6" s="978"/>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1041"/>
      <c r="C8" s="1041"/>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73" t="s">
        <v>22</v>
      </c>
      <c r="C10" s="973"/>
      <c r="D10" s="973"/>
      <c r="E10" s="973"/>
      <c r="F10" s="973"/>
      <c r="G10" s="973"/>
      <c r="H10" s="973"/>
      <c r="I10" s="973"/>
      <c r="J10" s="973"/>
      <c r="K10" s="973"/>
      <c r="L10" s="973"/>
      <c r="M10" s="973"/>
      <c r="N10" s="973"/>
      <c r="O10" s="973"/>
      <c r="P10" s="411"/>
      <c r="Q10" s="971"/>
      <c r="R10" s="971"/>
      <c r="S10" s="971"/>
      <c r="T10" s="971"/>
      <c r="U10" s="971"/>
      <c r="V10" s="971"/>
      <c r="W10" s="971"/>
      <c r="X10" s="971"/>
      <c r="Y10" s="971"/>
      <c r="Z10" s="971"/>
      <c r="AA10" s="971"/>
      <c r="AB10" s="971"/>
      <c r="AC10" s="9"/>
    </row>
    <row r="11" ht="18" customHeight="1">
      <c r="A11" s="58"/>
      <c r="B11" s="1042" t="s">
        <v>43</v>
      </c>
      <c r="C11" s="1042"/>
      <c r="D11" s="427">
        <v>77.651515151515151515151515220</v>
      </c>
      <c r="E11" s="428">
        <v>74.842022116903633491311216500</v>
      </c>
      <c r="F11" s="429">
        <v>54.245783700908125958249793660</v>
      </c>
      <c r="G11" s="427">
        <v>5.3030303030303030303030303100</v>
      </c>
      <c r="H11" s="428">
        <v>2.9225908372827804107424960500</v>
      </c>
      <c r="I11" s="429">
        <v>7.453709163816487793371859900</v>
      </c>
      <c r="J11" s="427">
        <v>0</v>
      </c>
      <c r="K11" s="428">
        <v>0</v>
      </c>
      <c r="L11" s="429">
        <v>9.210991862247906592758580030</v>
      </c>
      <c r="M11" s="427">
        <v>82.95454545454545454545454545</v>
      </c>
      <c r="N11" s="428">
        <v>77.764612954186413902053712480</v>
      </c>
      <c r="O11" s="429">
        <v>70.913433187875928765184573650</v>
      </c>
      <c r="P11" s="5"/>
      <c r="Q11" s="427">
        <v>-15.113871635636073711147967640</v>
      </c>
      <c r="R11" s="428">
        <v>12.911693857258241850741993910</v>
      </c>
      <c r="S11" s="429">
        <v>-10.944003222140939369038057910</v>
      </c>
      <c r="T11" s="427">
        <v>115.38461538647100591717575049</v>
      </c>
      <c r="U11" s="428">
        <v>-28.382337151567588698190678520</v>
      </c>
      <c r="V11" s="429">
        <v>16.154206950456769952265245110</v>
      </c>
      <c r="W11" s="427">
        <v>0</v>
      </c>
      <c r="X11" s="428">
        <v>0</v>
      </c>
      <c r="Y11" s="429">
        <v>21.623936280614913568100565930</v>
      </c>
      <c r="Z11" s="427">
        <v>-11.693548387102471383975025650</v>
      </c>
      <c r="AA11" s="428">
        <v>10.516826067762982954614664420</v>
      </c>
      <c r="AB11" s="429">
        <v>-5.3293068818595477120705322800</v>
      </c>
    </row>
    <row r="12" ht="18" customHeight="1">
      <c r="A12" s="58"/>
      <c r="B12" s="1043" t="s">
        <v>46</v>
      </c>
      <c r="C12" s="1043"/>
      <c r="D12" s="420">
        <v>73.295454545454545454545454610</v>
      </c>
      <c r="E12" s="91">
        <v>64.810426540284360189573459770</v>
      </c>
      <c r="F12" s="421">
        <v>50.669300625073711522585210570</v>
      </c>
      <c r="G12" s="420">
        <v>4.9242424242424242424242424300</v>
      </c>
      <c r="H12" s="91">
        <v>6.6350710900473933649289099600</v>
      </c>
      <c r="I12" s="421">
        <v>8.379525887486731925934662110</v>
      </c>
      <c r="J12" s="420">
        <v>0</v>
      </c>
      <c r="K12" s="91">
        <v>0</v>
      </c>
      <c r="L12" s="421">
        <v>8.771671187640051892911900</v>
      </c>
      <c r="M12" s="420">
        <v>78.219696969696969696969696970</v>
      </c>
      <c r="N12" s="91">
        <v>71.366508688783570300157977880</v>
      </c>
      <c r="O12" s="421">
        <v>67.817549239297086920627432480</v>
      </c>
      <c r="P12" s="5"/>
      <c r="Q12" s="420">
        <v>-19.206680584553846958477342600</v>
      </c>
      <c r="R12" s="91">
        <v>-0.8596869166159150898906882700</v>
      </c>
      <c r="S12" s="421">
        <v>-12.548712808741384046655184340</v>
      </c>
      <c r="T12" s="420">
        <v>85.71428571534693877551626844</v>
      </c>
      <c r="U12" s="91">
        <v>88.16763405873805152899277569</v>
      </c>
      <c r="V12" s="421">
        <v>22.191482281806552487272837150</v>
      </c>
      <c r="W12" s="420">
        <v>0</v>
      </c>
      <c r="X12" s="91">
        <v>0</v>
      </c>
      <c r="Y12" s="421">
        <v>26.168793228323945455184731900</v>
      </c>
      <c r="Z12" s="420">
        <v>-16.227180527372491966640470260</v>
      </c>
      <c r="AA12" s="91">
        <v>3.5819827086618442155050799700</v>
      </c>
      <c r="AB12" s="421">
        <v>-5.4886360982892017258129276900</v>
      </c>
    </row>
    <row r="13" ht="18" customHeight="1">
      <c r="A13" s="58"/>
      <c r="B13" s="1043" t="s">
        <v>47</v>
      </c>
      <c r="C13" s="1043"/>
      <c r="D13" s="420">
        <v>78.219696969696969696969697040</v>
      </c>
      <c r="E13" s="91">
        <v>63.112164296998420221169036390</v>
      </c>
      <c r="F13" s="421">
        <v>53.066399339544757636513739880</v>
      </c>
      <c r="G13" s="420">
        <v>5.6818181818181818181818181900</v>
      </c>
      <c r="H13" s="91">
        <v>11.492890995260663507109004750</v>
      </c>
      <c r="I13" s="421">
        <v>9.464559499941030781931831590</v>
      </c>
      <c r="J13" s="420">
        <v>0</v>
      </c>
      <c r="K13" s="91">
        <v>0</v>
      </c>
      <c r="L13" s="421">
        <v>8.518103549946927703738648430</v>
      </c>
      <c r="M13" s="420">
        <v>83.90151515151515151515151515</v>
      </c>
      <c r="N13" s="91">
        <v>74.526066350710900473933649290</v>
      </c>
      <c r="O13" s="421">
        <v>71.046113928529307701379879700</v>
      </c>
      <c r="P13" s="184"/>
      <c r="Q13" s="420">
        <v>-11.563169164912526537331079140</v>
      </c>
      <c r="R13" s="91">
        <v>-1.5481441993106787457189821800</v>
      </c>
      <c r="S13" s="421">
        <v>-9.588202334479476672427715870</v>
      </c>
      <c r="T13" s="420">
        <v>3.4482758625255648038070095400</v>
      </c>
      <c r="U13" s="91">
        <v>176.26720830792250477697864318</v>
      </c>
      <c r="V13" s="421">
        <v>33.189156907815923595596193750</v>
      </c>
      <c r="W13" s="420">
        <v>0</v>
      </c>
      <c r="X13" s="91">
        <v>0</v>
      </c>
      <c r="Y13" s="421">
        <v>16.477229941477047694933993780</v>
      </c>
      <c r="Z13" s="420">
        <v>-10.685483870973504162330904940</v>
      </c>
      <c r="AA13" s="91">
        <v>9.172252738937867618165393670</v>
      </c>
      <c r="AB13" s="421">
        <v>-2.835258893136345783007449200</v>
      </c>
    </row>
    <row r="14" ht="18" customHeight="1">
      <c r="A14" s="58"/>
      <c r="B14" s="1043" t="s">
        <v>48</v>
      </c>
      <c r="C14" s="1043"/>
      <c r="D14" s="420">
        <v>84.28030303030303030303030311</v>
      </c>
      <c r="E14" s="91">
        <v>68.285939968404423380726698320</v>
      </c>
      <c r="F14" s="421">
        <v>55.413374218657860596768486900</v>
      </c>
      <c r="G14" s="420">
        <v>4.9242424242424242424242424300</v>
      </c>
      <c r="H14" s="91">
        <v>7.6224328593996840442338072700</v>
      </c>
      <c r="I14" s="421">
        <v>11.260172190116759051774973470</v>
      </c>
      <c r="J14" s="420">
        <v>0</v>
      </c>
      <c r="K14" s="91">
        <v>0</v>
      </c>
      <c r="L14" s="421">
        <v>8.804104257577544521759641480</v>
      </c>
      <c r="M14" s="420">
        <v>89.20454545454545454545454545</v>
      </c>
      <c r="N14" s="91">
        <v>75.868878357030015797788309640</v>
      </c>
      <c r="O14" s="421">
        <v>75.474702205448755749498761650</v>
      </c>
      <c r="P14" s="5"/>
      <c r="Q14" s="420">
        <v>-0.669642857160594706632649800</v>
      </c>
      <c r="R14" s="91">
        <v>-2.0717542725275702928139325200</v>
      </c>
      <c r="S14" s="421">
        <v>-10.492440359891199448383203860</v>
      </c>
      <c r="T14" s="420">
        <v>-45.833333333279166666666612440</v>
      </c>
      <c r="U14" s="91">
        <v>33.604309285069334128100630020</v>
      </c>
      <c r="V14" s="421">
        <v>19.021625024797306537408515990</v>
      </c>
      <c r="W14" s="420">
        <v>0</v>
      </c>
      <c r="X14" s="91">
        <v>0</v>
      </c>
      <c r="Y14" s="421">
        <v>23.187516375428006371793532960</v>
      </c>
      <c r="Z14" s="420">
        <v>-5.0403225806512877211238289500</v>
      </c>
      <c r="AA14" s="91">
        <v>0.5740803430613534987454753200</v>
      </c>
      <c r="AB14" s="421">
        <v>-3.8800981523323900370464757300</v>
      </c>
    </row>
    <row r="15" ht="18" customHeight="1">
      <c r="A15" s="58"/>
      <c r="B15" s="1043" t="s">
        <v>49</v>
      </c>
      <c r="C15" s="1043"/>
      <c r="D15" s="420">
        <v>82.27272727272727272727272735</v>
      </c>
      <c r="E15" s="91">
        <v>71.437598736176935229067930560</v>
      </c>
      <c r="F15" s="421">
        <v>58.716829814836655265951173540</v>
      </c>
      <c r="G15" s="420">
        <v>10.606060606060606060606060620</v>
      </c>
      <c r="H15" s="91">
        <v>12.259083728278041074249605070</v>
      </c>
      <c r="I15" s="421">
        <v>13.133624248142469630852694910</v>
      </c>
      <c r="J15" s="420">
        <v>0</v>
      </c>
      <c r="K15" s="91">
        <v>0</v>
      </c>
      <c r="L15" s="421">
        <v>8.590635688170774855525415740</v>
      </c>
      <c r="M15" s="420">
        <v>92.87878787878787878787878788</v>
      </c>
      <c r="N15" s="91">
        <v>83.66508688783570300157977883</v>
      </c>
      <c r="O15" s="421">
        <v>80.44108975114989975232928411</v>
      </c>
      <c r="P15" s="184"/>
      <c r="Q15" s="420">
        <v>-7.6530612244803727613494366900</v>
      </c>
      <c r="R15" s="91">
        <v>0.0380044440737582962661418800</v>
      </c>
      <c r="S15" s="421">
        <v>-5.0621429723868708542878848600</v>
      </c>
      <c r="T15" s="420">
        <v>89.18918918785975164354476956</v>
      </c>
      <c r="U15" s="91">
        <v>163.11162695811913721222721892</v>
      </c>
      <c r="V15" s="421">
        <v>32.972047178498076430821012170</v>
      </c>
      <c r="W15" s="420">
        <v>0</v>
      </c>
      <c r="X15" s="91">
        <v>0</v>
      </c>
      <c r="Y15" s="421">
        <v>21.977215498127641845250413770</v>
      </c>
      <c r="Z15" s="420">
        <v>-1.9200000000313855999999899600</v>
      </c>
      <c r="AA15" s="91">
        <v>9.984728804591857091451657380</v>
      </c>
      <c r="AB15" s="421">
        <v>2.1278567843985193275909125600</v>
      </c>
    </row>
    <row r="16" ht="18" customHeight="1">
      <c r="A16" s="58"/>
      <c r="B16" s="1044" t="s">
        <v>75</v>
      </c>
      <c r="C16" s="1044"/>
      <c r="D16" s="430">
        <v>79.29292929292929292929292936</v>
      </c>
      <c r="E16" s="431">
        <v>68.637628827202286917926728440</v>
      </c>
      <c r="F16" s="432">
        <v>54.626837171948623770772609140</v>
      </c>
      <c r="G16" s="430">
        <v>6.493506493506493506493506500</v>
      </c>
      <c r="H16" s="431">
        <v>8.380350560445347175204995120</v>
      </c>
      <c r="I16" s="432">
        <v>10.090475628864589826967465850</v>
      </c>
      <c r="J16" s="430">
        <v>0</v>
      </c>
      <c r="K16" s="431">
        <v>0</v>
      </c>
      <c r="L16" s="432">
        <v>8.770126755738266529633436120</v>
      </c>
      <c r="M16" s="430">
        <v>85.78643578643578643578643579</v>
      </c>
      <c r="N16" s="431">
        <v>76.972842849620100804934928160</v>
      </c>
      <c r="O16" s="432">
        <v>73.486316333350181681352810020</v>
      </c>
      <c r="P16" s="5"/>
      <c r="Q16" s="430">
        <v>-10.645453369563640267799879790</v>
      </c>
      <c r="R16" s="431">
        <v>1.4293765572828441103911383400</v>
      </c>
      <c r="S16" s="432">
        <v>-9.569686144892208046971127810</v>
      </c>
      <c r="T16" s="430">
        <v>23.249299720409952216182800820</v>
      </c>
      <c r="U16" s="431">
        <v>86.43593987399886872380674124</v>
      </c>
      <c r="V16" s="432">
        <v>24.565736177652585246604874290</v>
      </c>
      <c r="W16" s="430">
        <v>0</v>
      </c>
      <c r="X16" s="431">
        <v>0</v>
      </c>
      <c r="Y16" s="432">
        <v>21.881367036722182202876845480</v>
      </c>
      <c r="Z16" s="629">
        <v>-8.745857317276261903803504040</v>
      </c>
      <c r="AA16" s="214">
        <v>6.6617093670435107566952732900</v>
      </c>
      <c r="AB16" s="630">
        <v>-2.9333053832885057784509529700</v>
      </c>
    </row>
    <row r="17" ht="6" customHeight="1">
      <c r="A17" s="58"/>
      <c r="B17" s="631"/>
      <c r="C17" s="631"/>
      <c r="D17" s="91"/>
      <c r="E17" s="91"/>
      <c r="F17" s="91"/>
      <c r="G17" s="91"/>
      <c r="H17" s="91"/>
      <c r="I17" s="91"/>
      <c r="J17" s="91"/>
      <c r="K17" s="91"/>
      <c r="L17" s="91"/>
      <c r="M17" s="91"/>
      <c r="N17" s="91"/>
      <c r="O17" s="91"/>
      <c r="P17" s="5"/>
      <c r="Q17" s="91"/>
      <c r="R17" s="91"/>
      <c r="S17" s="91"/>
      <c r="T17" s="91"/>
      <c r="U17" s="91"/>
      <c r="V17" s="91"/>
      <c r="W17" s="91"/>
      <c r="X17" s="91"/>
      <c r="Y17" s="91"/>
      <c r="Z17" s="632"/>
      <c r="AA17" s="632"/>
      <c r="AB17" s="632"/>
      <c r="AC17" s="4"/>
    </row>
    <row r="18" ht="18" customHeight="1">
      <c r="A18" s="58"/>
      <c r="B18" s="1045" t="s">
        <v>50</v>
      </c>
      <c r="C18" s="1045"/>
      <c r="D18" s="479">
        <v>80.00000000000000000000000007</v>
      </c>
      <c r="E18" s="480">
        <v>78.325434439178515007898894230</v>
      </c>
      <c r="F18" s="481">
        <v>60.603844793018044580728859590</v>
      </c>
      <c r="G18" s="479">
        <v>7.1212121212121212121212121300</v>
      </c>
      <c r="H18" s="480">
        <v>7.0458135860979462875197472400</v>
      </c>
      <c r="I18" s="481">
        <v>11.428234461611039037622361140</v>
      </c>
      <c r="J18" s="479">
        <v>0</v>
      </c>
      <c r="K18" s="480">
        <v>0</v>
      </c>
      <c r="L18" s="481">
        <v>8.861894091284349569524708110</v>
      </c>
      <c r="M18" s="479">
        <v>87.12121212121212121212121212</v>
      </c>
      <c r="N18" s="480">
        <v>85.37124802527646129541864139</v>
      </c>
      <c r="O18" s="481">
        <v>80.89633211463615992451940087</v>
      </c>
      <c r="P18" s="184"/>
      <c r="Q18" s="479">
        <v>-3.8251366120008360954343170400</v>
      </c>
      <c r="R18" s="480">
        <v>9.440542805916647476398231110</v>
      </c>
      <c r="S18" s="481">
        <v>-6.6052528564801373853898149600</v>
      </c>
      <c r="T18" s="479">
        <v>-16.071428570948979591833994070</v>
      </c>
      <c r="U18" s="480">
        <v>73.668295815288861315413984870</v>
      </c>
      <c r="V18" s="481">
        <v>3.8193575524924434411548400</v>
      </c>
      <c r="W18" s="479">
        <v>0</v>
      </c>
      <c r="X18" s="480">
        <v>0</v>
      </c>
      <c r="Y18" s="481">
        <v>27.890837568797862154672266570</v>
      </c>
      <c r="Z18" s="479">
        <v>-4.9586776859849737039819558800</v>
      </c>
      <c r="AA18" s="480">
        <v>12.886122179249412839112950600</v>
      </c>
      <c r="AB18" s="481">
        <v>-2.3310400021665242088752434700</v>
      </c>
    </row>
    <row r="19" ht="18" customHeight="1">
      <c r="A19" s="58"/>
      <c r="B19" s="1046" t="s">
        <v>51</v>
      </c>
      <c r="C19" s="1046"/>
      <c r="D19" s="271">
        <v>84.39393939393939393939393947</v>
      </c>
      <c r="E19" s="92">
        <v>83.09636650868878357030015805</v>
      </c>
      <c r="F19" s="272">
        <v>61.917678971576836891142823500</v>
      </c>
      <c r="G19" s="271">
        <v>3.4848484848484848484848484900</v>
      </c>
      <c r="H19" s="92">
        <v>4.3285939968404423380726698300</v>
      </c>
      <c r="I19" s="272">
        <v>8.718009199198018634272909550</v>
      </c>
      <c r="J19" s="271">
        <v>0</v>
      </c>
      <c r="K19" s="92">
        <v>0</v>
      </c>
      <c r="L19" s="272">
        <v>9.019931595707040924637339320</v>
      </c>
      <c r="M19" s="271">
        <v>87.87878787878787878787878788</v>
      </c>
      <c r="N19" s="92">
        <v>87.48815165876777251184834123</v>
      </c>
      <c r="O19" s="272">
        <v>79.65797853520462318669654440</v>
      </c>
      <c r="P19" s="5"/>
      <c r="Q19" s="271">
        <v>-4.1720430107724720083246576400</v>
      </c>
      <c r="R19" s="92">
        <v>15.365912578571403541186955250</v>
      </c>
      <c r="S19" s="272">
        <v>-8.690932270622452048730302610</v>
      </c>
      <c r="T19" s="271">
        <v>-40.645161290200041623308800</v>
      </c>
      <c r="U19" s="92">
        <v>-8.190157579597923219468992360</v>
      </c>
      <c r="V19" s="272">
        <v>-8.671561623149769173531704480</v>
      </c>
      <c r="W19" s="271">
        <v>0</v>
      </c>
      <c r="X19" s="92">
        <v>0</v>
      </c>
      <c r="Y19" s="272">
        <v>22.153787280936595618226607300</v>
      </c>
      <c r="Z19" s="271">
        <v>-6.4516129032318418314255979400</v>
      </c>
      <c r="AA19" s="92">
        <v>14.001081459290866818934957330</v>
      </c>
      <c r="AB19" s="272">
        <v>-5.9982481104677319625045812800</v>
      </c>
    </row>
    <row r="20" ht="18" customHeight="1">
      <c r="A20" s="58"/>
      <c r="B20" s="1047" t="s">
        <v>76</v>
      </c>
      <c r="C20" s="1047"/>
      <c r="D20" s="273">
        <v>82.19696969696969696969696977</v>
      </c>
      <c r="E20" s="274">
        <v>80.71090047393364928909952614</v>
      </c>
      <c r="F20" s="275">
        <v>61.260761882297440735935841550</v>
      </c>
      <c r="G20" s="273">
        <v>5.3030303030303030303030303100</v>
      </c>
      <c r="H20" s="274">
        <v>5.6872037914691943127962085400</v>
      </c>
      <c r="I20" s="275">
        <v>10.073121830404528835947635340</v>
      </c>
      <c r="J20" s="273">
        <v>0</v>
      </c>
      <c r="K20" s="274">
        <v>0</v>
      </c>
      <c r="L20" s="275">
        <v>8.940912843495695247081023710</v>
      </c>
      <c r="M20" s="273">
        <v>87.500</v>
      </c>
      <c r="N20" s="274">
        <v>86.42969984202211690363349131</v>
      </c>
      <c r="O20" s="275">
        <v>80.27715532492039155560797264</v>
      </c>
      <c r="P20" s="184"/>
      <c r="Q20" s="273">
        <v>-3.6982248520311176079268767100</v>
      </c>
      <c r="R20" s="274">
        <v>12.452699654363270113510959240</v>
      </c>
      <c r="S20" s="275">
        <v>-7.4446717915435766041196198300</v>
      </c>
      <c r="T20" s="273">
        <v>-27.586206896232104637335093330</v>
      </c>
      <c r="U20" s="274">
        <v>30.759636971007327067509170350</v>
      </c>
      <c r="V20" s="275">
        <v>-2.7504697891956655117514799800</v>
      </c>
      <c r="W20" s="273">
        <v>0</v>
      </c>
      <c r="X20" s="274">
        <v>0</v>
      </c>
      <c r="Y20" s="275">
        <v>25.373810286571239911544450640</v>
      </c>
      <c r="Z20" s="273">
        <v>-5.5858310627032289199563323900</v>
      </c>
      <c r="AA20" s="274">
        <v>13.540195559248293640637133670</v>
      </c>
      <c r="AB20" s="275">
        <v>-4.0638377801249210236507364500</v>
      </c>
    </row>
    <row r="21" ht="6" customHeight="1">
      <c r="A21" s="58"/>
      <c r="B21" s="631"/>
      <c r="C21" s="631"/>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82" t="s">
        <v>12</v>
      </c>
      <c r="C22" s="982"/>
      <c r="D22" s="468">
        <v>80.22971652003910068426197458</v>
      </c>
      <c r="E22" s="469">
        <v>73.373082607144677164551801460</v>
      </c>
      <c r="F22" s="470">
        <v>56.653425479230820083815315880</v>
      </c>
      <c r="G22" s="468">
        <v>6.1094819159335288367546432100</v>
      </c>
      <c r="H22" s="469">
        <v>6.6605513937726137695561331100</v>
      </c>
      <c r="I22" s="470">
        <v>10.118216940296635069982077790</v>
      </c>
      <c r="J22" s="468">
        <v>0</v>
      </c>
      <c r="K22" s="469">
        <v>0</v>
      </c>
      <c r="L22" s="470">
        <v>8.905267136909891003121597840</v>
      </c>
      <c r="M22" s="468">
        <v>86.33919843597262952101661779</v>
      </c>
      <c r="N22" s="469">
        <v>80.03363400091729093410793457</v>
      </c>
      <c r="O22" s="470">
        <v>75.676909556437346156918991510</v>
      </c>
      <c r="P22" s="184"/>
      <c r="Q22" s="468">
        <v>-8.576998050714339454874993020</v>
      </c>
      <c r="R22" s="469">
        <v>6.1340581881904597590220970200</v>
      </c>
      <c r="S22" s="470">
        <v>-8.710803979332324496742305950</v>
      </c>
      <c r="T22" s="468">
        <v>4.1666666665989583333333774100</v>
      </c>
      <c r="U22" s="469">
        <v>59.275117132269097365408447930</v>
      </c>
      <c r="V22" s="470">
        <v>17.751022164531490854711135540</v>
      </c>
      <c r="W22" s="468">
        <v>0</v>
      </c>
      <c r="X22" s="469">
        <v>0</v>
      </c>
      <c r="Y22" s="470">
        <v>20.886672150458701341989883260</v>
      </c>
      <c r="Z22" s="468">
        <v>-7.7786478726522018884396566100</v>
      </c>
      <c r="AA22" s="469">
        <v>9.165184763469721988999390170</v>
      </c>
      <c r="AB22" s="470">
        <v>-3.0017049446005647492289930100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37" t="s">
        <v>9</v>
      </c>
      <c r="C24" s="1037"/>
      <c r="D24" s="1037"/>
      <c r="E24" s="1037"/>
      <c r="F24" s="1037"/>
      <c r="G24" s="1037"/>
      <c r="H24" s="1037"/>
      <c r="I24" s="1037"/>
      <c r="J24" s="1037"/>
      <c r="K24" s="1037"/>
      <c r="L24" s="1037"/>
      <c r="M24" s="1037"/>
      <c r="N24" s="1037"/>
      <c r="O24" s="1037"/>
      <c r="P24" s="411"/>
      <c r="Q24" s="1038"/>
      <c r="R24" s="1038"/>
      <c r="S24" s="1038"/>
      <c r="T24" s="1038"/>
      <c r="U24" s="1038"/>
      <c r="V24" s="1038"/>
      <c r="W24" s="1038"/>
      <c r="X24" s="1038"/>
      <c r="Y24" s="1038"/>
      <c r="Z24" s="1038"/>
      <c r="AA24" s="1038"/>
      <c r="AB24" s="1038"/>
      <c r="AC24" s="9"/>
    </row>
    <row r="25" ht="18" customHeight="1">
      <c r="A25" s="58"/>
      <c r="B25" s="1042" t="s">
        <v>43</v>
      </c>
      <c r="C25" s="1042"/>
      <c r="D25" s="454">
        <v>217.98250556349820721916531785</v>
      </c>
      <c r="E25" s="455">
        <v>232.21050761560415757857304862</v>
      </c>
      <c r="F25" s="456">
        <v>220.96930413789932226460115146</v>
      </c>
      <c r="G25" s="454">
        <v>233.57445973745042733230123263</v>
      </c>
      <c r="H25" s="455">
        <v>368.84115833275946278049763718</v>
      </c>
      <c r="I25" s="456">
        <v>210.18967115304598067633267297</v>
      </c>
      <c r="J25" s="454">
        <v>0</v>
      </c>
      <c r="K25" s="455">
        <v>0</v>
      </c>
      <c r="L25" s="456">
        <v>119.38459037675583629545124467</v>
      </c>
      <c r="M25" s="454">
        <v>218.97925149242665964648907498</v>
      </c>
      <c r="N25" s="455">
        <v>237.34543303615748037437925459</v>
      </c>
      <c r="O25" s="456">
        <v>206.63216525470696448217914723</v>
      </c>
      <c r="P25" s="5"/>
      <c r="Q25" s="427">
        <v>-17.804070277491298720397632060</v>
      </c>
      <c r="R25" s="428">
        <v>-18.207531819553383997870059410</v>
      </c>
      <c r="S25" s="429">
        <v>-4.2280735794624123472764915100</v>
      </c>
      <c r="T25" s="427">
        <v>-13.899624261348367562188251680</v>
      </c>
      <c r="U25" s="428">
        <v>23.116050243571557249494813250</v>
      </c>
      <c r="V25" s="429">
        <v>0.0266922655016245941899972200</v>
      </c>
      <c r="W25" s="427">
        <v>0</v>
      </c>
      <c r="X25" s="428">
        <v>0</v>
      </c>
      <c r="Y25" s="429">
        <v>2.5276920563045970928659761300</v>
      </c>
      <c r="Z25" s="427">
        <v>-17.477831926846862943711572610</v>
      </c>
      <c r="AA25" s="428">
        <v>-16.665868525383110667579465830</v>
      </c>
      <c r="AB25" s="429">
        <v>-4.9515809985714436424894309300</v>
      </c>
    </row>
    <row r="26" ht="18" customHeight="1">
      <c r="A26" s="58"/>
      <c r="B26" s="1043" t="s">
        <v>46</v>
      </c>
      <c r="C26" s="1043"/>
      <c r="D26" s="439">
        <v>218.2205651973702827755220116</v>
      </c>
      <c r="E26" s="95">
        <v>241.95501234325476615858034385</v>
      </c>
      <c r="F26" s="440">
        <v>217.81401328136857987359934972</v>
      </c>
      <c r="G26" s="439">
        <v>179.55247895433544555413328544</v>
      </c>
      <c r="H26" s="95">
        <v>271.15337634295627003285185077</v>
      </c>
      <c r="I26" s="440">
        <v>210.2801020593157226386597827</v>
      </c>
      <c r="J26" s="439">
        <v>0</v>
      </c>
      <c r="K26" s="95">
        <v>0</v>
      </c>
      <c r="L26" s="440">
        <v>131.7017219163841280810984272</v>
      </c>
      <c r="M26" s="439">
        <v>215.78625468328092256303749131</v>
      </c>
      <c r="N26" s="95">
        <v>244.93743358101700311662947159</v>
      </c>
      <c r="O26" s="440">
        <v>205.75464071101852571227962907</v>
      </c>
      <c r="P26" s="5"/>
      <c r="Q26" s="420">
        <v>-12.832220310549080356582078260</v>
      </c>
      <c r="R26" s="91">
        <v>-10.480406861435192811867291730</v>
      </c>
      <c r="S26" s="421">
        <v>-3.5893665555470812708051531300</v>
      </c>
      <c r="T26" s="420">
        <v>-26.467773250946211245883824700</v>
      </c>
      <c r="U26" s="91">
        <v>24.912206027060552902261940860</v>
      </c>
      <c r="V26" s="421">
        <v>4.2742933224206903380232337400</v>
      </c>
      <c r="W26" s="420">
        <v>0</v>
      </c>
      <c r="X26" s="91">
        <v>0</v>
      </c>
      <c r="Y26" s="421">
        <v>13.172738450979901531225333170</v>
      </c>
      <c r="Z26" s="420">
        <v>-13.744296215102948212448698530</v>
      </c>
      <c r="AA26" s="91">
        <v>-8.454652369354096170307578650</v>
      </c>
      <c r="AB26" s="421">
        <v>-3.3886950085076864676330622500</v>
      </c>
    </row>
    <row r="27" ht="18" customHeight="1">
      <c r="A27" s="58"/>
      <c r="B27" s="1043" t="s">
        <v>47</v>
      </c>
      <c r="C27" s="1043"/>
      <c r="D27" s="439">
        <v>234.84491070629994890427395533</v>
      </c>
      <c r="E27" s="95">
        <v>259.90702999421608033586036643</v>
      </c>
      <c r="F27" s="440">
        <v>226.94548698937737904881351955</v>
      </c>
      <c r="G27" s="439">
        <v>178.28388714259501216668403243</v>
      </c>
      <c r="H27" s="95">
        <v>258.59406449768547965604447256</v>
      </c>
      <c r="I27" s="440">
        <v>218.02271431304541825980074528</v>
      </c>
      <c r="J27" s="439">
        <v>0</v>
      </c>
      <c r="K27" s="95">
        <v>0</v>
      </c>
      <c r="L27" s="440">
        <v>129.35875251512155840118185661</v>
      </c>
      <c r="M27" s="439">
        <v>231.01459308347568682272159034</v>
      </c>
      <c r="N27" s="95">
        <v>259.9800247480571123246496063</v>
      </c>
      <c r="O27" s="440">
        <v>214.06603684411836167644092385</v>
      </c>
      <c r="P27" s="93"/>
      <c r="Q27" s="420">
        <v>-7.6303338681118711413300042100</v>
      </c>
      <c r="R27" s="91">
        <v>-8.784443308751165620646384640</v>
      </c>
      <c r="S27" s="421">
        <v>-3.3761713242194125380685657200</v>
      </c>
      <c r="T27" s="420">
        <v>-10.019752257253191004437952120</v>
      </c>
      <c r="U27" s="91">
        <v>41.367364244647008066772592240</v>
      </c>
      <c r="V27" s="421">
        <v>11.488082630400590279370396140</v>
      </c>
      <c r="W27" s="420">
        <v>0</v>
      </c>
      <c r="X27" s="91">
        <v>0</v>
      </c>
      <c r="Y27" s="421">
        <v>11.658884380548780450108064560</v>
      </c>
      <c r="Z27" s="420">
        <v>-7.949155130413145487352615690</v>
      </c>
      <c r="AA27" s="91">
        <v>-6.7237305647421792385977826900</v>
      </c>
      <c r="AB27" s="421">
        <v>-2.3113166802077146541261202800</v>
      </c>
    </row>
    <row r="28" ht="18" customHeight="1">
      <c r="A28" s="58"/>
      <c r="B28" s="1043" t="s">
        <v>48</v>
      </c>
      <c r="C28" s="1043"/>
      <c r="D28" s="439">
        <v>247.55680216583562633798895013</v>
      </c>
      <c r="E28" s="95">
        <v>272.03155647333530303256025508</v>
      </c>
      <c r="F28" s="440">
        <v>242.84827775590740761521715498</v>
      </c>
      <c r="G28" s="439">
        <v>198.5412953363869853115315848</v>
      </c>
      <c r="H28" s="95">
        <v>256.25424372219948889235862672</v>
      </c>
      <c r="I28" s="440">
        <v>224.18658077471712461267567929</v>
      </c>
      <c r="J28" s="439">
        <v>0</v>
      </c>
      <c r="K28" s="95">
        <v>0</v>
      </c>
      <c r="L28" s="440">
        <v>124.91017148820948070547518417</v>
      </c>
      <c r="M28" s="439">
        <v>244.85106293533527672718663272</v>
      </c>
      <c r="N28" s="95">
        <v>270.58804278020887053593019053</v>
      </c>
      <c r="O28" s="440">
        <v>226.31615189416993620606096296</v>
      </c>
      <c r="P28" s="5"/>
      <c r="Q28" s="420">
        <v>-21.654221921767027683423427930</v>
      </c>
      <c r="R28" s="91">
        <v>-23.802134040957732079416103900</v>
      </c>
      <c r="S28" s="421">
        <v>-8.330691053960821437816190650</v>
      </c>
      <c r="T28" s="420">
        <v>-39.666837267822470165152925600</v>
      </c>
      <c r="U28" s="91">
        <v>-3.2637323315027238363682555800</v>
      </c>
      <c r="V28" s="421">
        <v>-8.705259963280187953605657630</v>
      </c>
      <c r="W28" s="420">
        <v>0</v>
      </c>
      <c r="X28" s="91">
        <v>0</v>
      </c>
      <c r="Y28" s="421">
        <v>6.7981004186085483737806718200</v>
      </c>
      <c r="Z28" s="420">
        <v>-22.820061992499175407465797300</v>
      </c>
      <c r="AA28" s="91">
        <v>-22.698124498350123845933506180</v>
      </c>
      <c r="AB28" s="421">
        <v>-9.147531151756766644654541270</v>
      </c>
    </row>
    <row r="29" ht="18" customHeight="1">
      <c r="A29" s="58"/>
      <c r="B29" s="1043" t="s">
        <v>49</v>
      </c>
      <c r="C29" s="1043"/>
      <c r="D29" s="439">
        <v>373.30595607526984784083749359</v>
      </c>
      <c r="E29" s="95">
        <v>349.01537904402363747526575187</v>
      </c>
      <c r="F29" s="440">
        <v>292.94992646338693305451186519</v>
      </c>
      <c r="G29" s="439">
        <v>497.592833768439543903136519</v>
      </c>
      <c r="H29" s="95">
        <v>600.79799562023350662614563454</v>
      </c>
      <c r="I29" s="440">
        <v>269.68574747285372562760838886</v>
      </c>
      <c r="J29" s="439">
        <v>0</v>
      </c>
      <c r="K29" s="95">
        <v>0</v>
      </c>
      <c r="L29" s="440">
        <v>120.25641635266437939184274534</v>
      </c>
      <c r="M29" s="439">
        <v>387.49858484936752928351438069</v>
      </c>
      <c r="N29" s="95">
        <v>386.03980148005590819581585015</v>
      </c>
      <c r="O29" s="440">
        <v>270.70892970525596394937626156</v>
      </c>
      <c r="P29" s="93"/>
      <c r="Q29" s="420">
        <v>1.5684216012823572911079698300</v>
      </c>
      <c r="R29" s="91">
        <v>-11.431798929715749129021440350</v>
      </c>
      <c r="S29" s="421">
        <v>-2.2482952161964356782621443100</v>
      </c>
      <c r="T29" s="420">
        <v>17.624872045123402823537759900</v>
      </c>
      <c r="U29" s="91">
        <v>119.39085719344168994059911151</v>
      </c>
      <c r="V29" s="421">
        <v>7.7291947167003219332380614500</v>
      </c>
      <c r="W29" s="420">
        <v>0</v>
      </c>
      <c r="X29" s="91">
        <v>0</v>
      </c>
      <c r="Y29" s="421">
        <v>1.6928243990653485938693010100</v>
      </c>
      <c r="Z29" s="420">
        <v>4.4959248430129363287603234500</v>
      </c>
      <c r="AA29" s="91">
        <v>-0.1709242114663309659569748900</v>
      </c>
      <c r="AB29" s="421">
        <v>-2.3717078569629367059359232500</v>
      </c>
    </row>
    <row r="30" ht="18" customHeight="1">
      <c r="A30" s="58"/>
      <c r="B30" s="1044" t="s">
        <v>75</v>
      </c>
      <c r="C30" s="1044"/>
      <c r="D30" s="457">
        <v>265.55188591755542510893074803</v>
      </c>
      <c r="E30" s="458">
        <v>275.30522295906865733551114456</v>
      </c>
      <c r="F30" s="459">
        <v>244.16647820662314006167329035</v>
      </c>
      <c r="G30" s="457">
        <v>314.16965545708896447795443579</v>
      </c>
      <c r="H30" s="458">
        <v>386.59387526939176850839730586</v>
      </c>
      <c r="I30" s="459">
        <v>233.01648831634917118568110539</v>
      </c>
      <c r="J30" s="457">
        <v>0</v>
      </c>
      <c r="K30" s="458">
        <v>0</v>
      </c>
      <c r="L30" s="459">
        <v>124.83626789668361776260963573</v>
      </c>
      <c r="M30" s="457">
        <v>269.23195257740237089800739388</v>
      </c>
      <c r="N30" s="458">
        <v>287.58311486792854374976136452</v>
      </c>
      <c r="O30" s="459">
        <v>228.39788922541461166071488585</v>
      </c>
      <c r="P30" s="5"/>
      <c r="Q30" s="430">
        <v>-9.933439327380506349076772370</v>
      </c>
      <c r="R30" s="431">
        <v>-15.350375289456482827098059210</v>
      </c>
      <c r="S30" s="432">
        <v>-4.110032804391012928978243700</v>
      </c>
      <c r="T30" s="430">
        <v>-0.0414993193293479223040349500</v>
      </c>
      <c r="U30" s="431">
        <v>53.338201884006760759022911880</v>
      </c>
      <c r="V30" s="432">
        <v>2.6280355498898577121041307800</v>
      </c>
      <c r="W30" s="430">
        <v>0</v>
      </c>
      <c r="X30" s="431">
        <v>0</v>
      </c>
      <c r="Y30" s="432">
        <v>6.8433237086479208177789490400</v>
      </c>
      <c r="Z30" s="430">
        <v>-9.021818337933264787146503950</v>
      </c>
      <c r="AA30" s="431">
        <v>-10.319503301612708945199523420</v>
      </c>
      <c r="AB30" s="432">
        <v>-4.2651234782222812500038768700</v>
      </c>
    </row>
    <row r="31" ht="6" customHeight="1">
      <c r="A31" s="58"/>
      <c r="B31" s="631"/>
      <c r="C31" s="631"/>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45" t="s">
        <v>50</v>
      </c>
      <c r="C32" s="1045"/>
      <c r="D32" s="493">
        <v>419.77869970466169795088882741</v>
      </c>
      <c r="E32" s="494">
        <v>385.09220640293177790261570307</v>
      </c>
      <c r="F32" s="495">
        <v>320.85175979756572933122992659</v>
      </c>
      <c r="G32" s="493">
        <v>541.11222594552309914113704672</v>
      </c>
      <c r="H32" s="494">
        <v>626.29521335045663273430626327</v>
      </c>
      <c r="I32" s="495">
        <v>275.40691386598275031878595928</v>
      </c>
      <c r="J32" s="493">
        <v>0</v>
      </c>
      <c r="K32" s="494">
        <v>0</v>
      </c>
      <c r="L32" s="495">
        <v>127.69524654707536707042161908</v>
      </c>
      <c r="M32" s="493">
        <v>429.69639663217558639600476882</v>
      </c>
      <c r="N32" s="494">
        <v>404.99904228350100167295878038</v>
      </c>
      <c r="O32" s="495">
        <v>293.26282375311712336964609575</v>
      </c>
      <c r="P32" s="93"/>
      <c r="Q32" s="479">
        <v>-12.981294098360961725309893890</v>
      </c>
      <c r="R32" s="480">
        <v>-17.023439700200198082460647620</v>
      </c>
      <c r="S32" s="481">
        <v>-5.8289699087129494820420493300</v>
      </c>
      <c r="T32" s="479">
        <v>21.282230953103065867281380340</v>
      </c>
      <c r="U32" s="480">
        <v>119.60169784533250298445071551</v>
      </c>
      <c r="V32" s="481">
        <v>9.846316738543456721950872800</v>
      </c>
      <c r="W32" s="479">
        <v>0</v>
      </c>
      <c r="X32" s="480">
        <v>0</v>
      </c>
      <c r="Y32" s="481">
        <v>8.642711310767777742606306710</v>
      </c>
      <c r="Z32" s="479">
        <v>-10.301640386357677913066496310</v>
      </c>
      <c r="AA32" s="480">
        <v>-10.891333995208084531578112320</v>
      </c>
      <c r="AB32" s="481">
        <v>-5.4238287561644523578371137600</v>
      </c>
    </row>
    <row r="33" ht="18" customHeight="1">
      <c r="A33" s="58"/>
      <c r="B33" s="1046" t="s">
        <v>51</v>
      </c>
      <c r="C33" s="1046"/>
      <c r="D33" s="276">
        <v>421.18005732722027463505017637</v>
      </c>
      <c r="E33" s="94">
        <v>377.08079692524533902284177133</v>
      </c>
      <c r="F33" s="277">
        <v>313.19735765244268543644304975</v>
      </c>
      <c r="G33" s="276">
        <v>335.11725113802203717881423495</v>
      </c>
      <c r="H33" s="94">
        <v>606.10701100686271680316229599</v>
      </c>
      <c r="I33" s="277">
        <v>258.79783124699894058260368301</v>
      </c>
      <c r="J33" s="276">
        <v>0</v>
      </c>
      <c r="K33" s="94">
        <v>0</v>
      </c>
      <c r="L33" s="277">
        <v>120.7417276781616209785047425</v>
      </c>
      <c r="M33" s="276">
        <v>417.76722190937275832213047524</v>
      </c>
      <c r="N33" s="94">
        <v>388.13981813699365613293863962</v>
      </c>
      <c r="O33" s="277">
        <v>285.4420594387734629037261379</v>
      </c>
      <c r="P33" s="5"/>
      <c r="Q33" s="271">
        <v>7.969715381830804982245374090</v>
      </c>
      <c r="R33" s="92">
        <v>2.0592266781315006045813129700</v>
      </c>
      <c r="S33" s="272">
        <v>9.362954058534669131105377990</v>
      </c>
      <c r="T33" s="271">
        <v>-12.600204026255983529299638410</v>
      </c>
      <c r="U33" s="92">
        <v>105.48131895238204646659072441</v>
      </c>
      <c r="V33" s="272">
        <v>18.293225820296843216279841640</v>
      </c>
      <c r="W33" s="271">
        <v>0</v>
      </c>
      <c r="X33" s="92">
        <v>0</v>
      </c>
      <c r="Y33" s="272">
        <v>4.6204525211777662592545630300</v>
      </c>
      <c r="Z33" s="271">
        <v>7.2092435483608943302332610600</v>
      </c>
      <c r="AA33" s="92">
        <v>6.3701577001978516259745371100</v>
      </c>
      <c r="AB33" s="272">
        <v>8.175446853851536597707325360</v>
      </c>
    </row>
    <row r="34" ht="18" customHeight="1">
      <c r="A34" s="58"/>
      <c r="B34" s="1047" t="s">
        <v>76</v>
      </c>
      <c r="C34" s="1047"/>
      <c r="D34" s="443">
        <v>420.49810633670328985234308675</v>
      </c>
      <c r="E34" s="444">
        <v>380.96811031244140126260680887</v>
      </c>
      <c r="F34" s="445">
        <v>316.98351852714469276733959454</v>
      </c>
      <c r="G34" s="443">
        <v>473.42816279448703592494526571</v>
      </c>
      <c r="H34" s="444">
        <v>618.61248079192228139384314239</v>
      </c>
      <c r="I34" s="445">
        <v>268.21956234276952460927539926</v>
      </c>
      <c r="J34" s="443">
        <v>0</v>
      </c>
      <c r="K34" s="444">
        <v>0</v>
      </c>
      <c r="L34" s="445">
        <v>124.18775991540063219962751066</v>
      </c>
      <c r="M34" s="633">
        <v>423.70598854626594112947049152</v>
      </c>
      <c r="N34" s="634">
        <v>396.46619789277191379134376121</v>
      </c>
      <c r="O34" s="635">
        <v>289.38260232923036829604827452</v>
      </c>
      <c r="P34" s="93"/>
      <c r="Q34" s="273">
        <v>-4.4472766752073466411652704300</v>
      </c>
      <c r="R34" s="274">
        <v>-9.700169655467246765858621820</v>
      </c>
      <c r="S34" s="275">
        <v>0.3195585037086117031553956700</v>
      </c>
      <c r="T34" s="273">
        <v>11.708246170146171796706044680</v>
      </c>
      <c r="U34" s="274">
        <v>113.38482205297655707652499846</v>
      </c>
      <c r="V34" s="275">
        <v>12.869769248879870351837681020</v>
      </c>
      <c r="W34" s="273">
        <v>0</v>
      </c>
      <c r="X34" s="274">
        <v>0</v>
      </c>
      <c r="Y34" s="275">
        <v>6.5460921371668760112486975100</v>
      </c>
      <c r="Z34" s="273">
        <v>-3.4363689043778992622048089600</v>
      </c>
      <c r="AA34" s="274">
        <v>-4.3163646676852015093944484600</v>
      </c>
      <c r="AB34" s="275">
        <v>0.0348978439126171237819884500</v>
      </c>
    </row>
    <row r="35" ht="6" customHeight="1">
      <c r="A35" s="58"/>
      <c r="B35" s="631"/>
      <c r="C35" s="631"/>
      <c r="D35" s="95"/>
      <c r="E35" s="95"/>
      <c r="F35" s="95"/>
      <c r="G35" s="95"/>
      <c r="H35" s="95"/>
      <c r="I35" s="95"/>
      <c r="J35" s="95"/>
      <c r="K35" s="95"/>
      <c r="L35" s="95"/>
      <c r="M35" s="636"/>
      <c r="N35" s="636"/>
      <c r="O35" s="636"/>
      <c r="P35" s="93"/>
      <c r="Q35" s="91"/>
      <c r="R35" s="91"/>
      <c r="S35" s="91"/>
      <c r="T35" s="91"/>
      <c r="U35" s="91"/>
      <c r="V35" s="91"/>
      <c r="W35" s="91"/>
      <c r="X35" s="91"/>
      <c r="Y35" s="91"/>
      <c r="Z35" s="91"/>
      <c r="AA35" s="91"/>
      <c r="AB35" s="91"/>
    </row>
    <row r="36" ht="18" customHeight="1">
      <c r="A36" s="58"/>
      <c r="B36" s="982" t="s">
        <v>12</v>
      </c>
      <c r="C36" s="982"/>
      <c r="D36" s="482">
        <v>317.6725555893999390801096558</v>
      </c>
      <c r="E36" s="483">
        <v>313.76913460202805945270176411</v>
      </c>
      <c r="F36" s="484">
        <v>270.34708377958992941781987161</v>
      </c>
      <c r="G36" s="482">
        <v>346.78</v>
      </c>
      <c r="H36" s="483">
        <v>454.45218056618209640397857686</v>
      </c>
      <c r="I36" s="484">
        <v>242.09659519614852414811857595</v>
      </c>
      <c r="J36" s="482">
        <v>0</v>
      </c>
      <c r="K36" s="483">
        <v>0</v>
      </c>
      <c r="L36" s="484">
        <v>123.30046212504017062950212001</v>
      </c>
      <c r="M36" s="482">
        <v>319.73223889046136427964902349</v>
      </c>
      <c r="N36" s="483">
        <v>325.47704552690226042661572745</v>
      </c>
      <c r="O36" s="484">
        <v>249.26622795551891250578133483</v>
      </c>
      <c r="P36" s="93"/>
      <c r="Q36" s="468">
        <v>-5.4005767437935339860577036700</v>
      </c>
      <c r="R36" s="469">
        <v>-11.309014908987122098900640230</v>
      </c>
      <c r="S36" s="470">
        <v>-1.2948632213290469463887191700</v>
      </c>
      <c r="T36" s="468">
        <v>-2.2053017484489565707839819500</v>
      </c>
      <c r="U36" s="469">
        <v>69.262098441951788882985813080</v>
      </c>
      <c r="V36" s="470">
        <v>4.2107419475090188027004020600</v>
      </c>
      <c r="W36" s="468">
        <v>0</v>
      </c>
      <c r="X36" s="469">
        <v>0</v>
      </c>
      <c r="Y36" s="470">
        <v>6.6415524388825232854920462700</v>
      </c>
      <c r="Z36" s="468">
        <v>-5.1198492329308838951420960200</v>
      </c>
      <c r="AA36" s="469">
        <v>-6.7168973216714882417544129600</v>
      </c>
      <c r="AB36" s="470">
        <v>-2.0064009084457138550609565300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7" t="s">
        <v>10</v>
      </c>
      <c r="C38" s="1037"/>
      <c r="D38" s="1037"/>
      <c r="E38" s="1037"/>
      <c r="F38" s="1037"/>
      <c r="G38" s="1037"/>
      <c r="H38" s="1037"/>
      <c r="I38" s="1037"/>
      <c r="J38" s="1037"/>
      <c r="K38" s="1037"/>
      <c r="L38" s="1037"/>
      <c r="M38" s="1037"/>
      <c r="N38" s="1037"/>
      <c r="O38" s="1037"/>
      <c r="P38" s="411"/>
      <c r="Q38" s="1038"/>
      <c r="R38" s="1038"/>
      <c r="S38" s="1038"/>
      <c r="T38" s="1038"/>
      <c r="U38" s="1038"/>
      <c r="V38" s="1038"/>
      <c r="W38" s="1038"/>
      <c r="X38" s="1038"/>
      <c r="Y38" s="1038"/>
      <c r="Z38" s="1038"/>
      <c r="AA38" s="1038"/>
      <c r="AB38" s="1038"/>
      <c r="AC38" s="9"/>
    </row>
    <row r="39" ht="18" customHeight="1">
      <c r="A39" s="58"/>
      <c r="B39" s="1042" t="s">
        <v>43</v>
      </c>
      <c r="C39" s="1042"/>
      <c r="D39" s="454">
        <v>169.26671833529216848457912955</v>
      </c>
      <c r="E39" s="455">
        <v>173.79103946744465979912951324</v>
      </c>
      <c r="F39" s="456">
        <v>119.86653076804669569006168146</v>
      </c>
      <c r="G39" s="454">
        <v>12.386524380016310540349307802</v>
      </c>
      <c r="H39" s="455">
        <v>10.779717897560900570994006783</v>
      </c>
      <c r="I39" s="456">
        <v>15.666926780130329023168091691</v>
      </c>
      <c r="J39" s="454">
        <v>0</v>
      </c>
      <c r="K39" s="455">
        <v>0</v>
      </c>
      <c r="L39" s="456">
        <v>10.996504904380977491065859438</v>
      </c>
      <c r="M39" s="454">
        <v>181.6532427153084790249284372</v>
      </c>
      <c r="N39" s="455">
        <v>184.57075736500556037012351986</v>
      </c>
      <c r="O39" s="456">
        <v>146.52996245255800220429563245</v>
      </c>
      <c r="P39" s="5"/>
      <c r="Q39" s="427">
        <v>-30.227057585432902841005635090</v>
      </c>
      <c r="R39" s="428">
        <v>-7.6467387298725295970677517500</v>
      </c>
      <c r="S39" s="429">
        <v>-14.709356292874988705939311690</v>
      </c>
      <c r="T39" s="427">
        <v>85.44696313000297699871543118</v>
      </c>
      <c r="U39" s="428">
        <v>-11.827162225489247915641100710</v>
      </c>
      <c r="V39" s="429">
        <v>16.185211140427661033524157270</v>
      </c>
      <c r="W39" s="427">
        <v>0</v>
      </c>
      <c r="X39" s="428">
        <v>0</v>
      </c>
      <c r="Y39" s="429">
        <v>24.698214856800978274252205600</v>
      </c>
      <c r="Z39" s="427">
        <v>-27.127601580569437688945349510</v>
      </c>
      <c r="AA39" s="428">
        <v>-7.9017628631030098002733566200</v>
      </c>
      <c r="AB39" s="429">
        <v>-10.017002933552605546517337730</v>
      </c>
    </row>
    <row r="40" ht="18" customHeight="1">
      <c r="A40" s="58"/>
      <c r="B40" s="1043" t="s">
        <v>46</v>
      </c>
      <c r="C40" s="1043"/>
      <c r="D40" s="439">
        <v>159.94575517307253680705874729</v>
      </c>
      <c r="E40" s="95">
        <v>156.8120755352610865980372609</v>
      </c>
      <c r="F40" s="440">
        <v>110.36483719307462687604094907</v>
      </c>
      <c r="G40" s="439">
        <v>8.841599342448336334105048155</v>
      </c>
      <c r="H40" s="95">
        <v>17.991219283418899433459364522</v>
      </c>
      <c r="I40" s="440">
        <v>17.620475588293881464178296467</v>
      </c>
      <c r="J40" s="439">
        <v>0</v>
      </c>
      <c r="K40" s="95">
        <v>0</v>
      </c>
      <c r="L40" s="440">
        <v>11.552441994965290159254269999</v>
      </c>
      <c r="M40" s="439">
        <v>168.78735451552087314116379528</v>
      </c>
      <c r="N40" s="95">
        <v>174.80329481867998603149662526</v>
      </c>
      <c r="O40" s="440">
        <v>139.5377547763337984994735154</v>
      </c>
      <c r="P40" s="5"/>
      <c r="Q40" s="420">
        <v>-29.574257328162262785822100980</v>
      </c>
      <c r="R40" s="91">
        <v>-11.249995091419645106454036980</v>
      </c>
      <c r="S40" s="421">
        <v>-15.687660063650181573359543310</v>
      </c>
      <c r="T40" s="420">
        <v>36.559849676902061935443068860</v>
      </c>
      <c r="U40" s="91">
        <v>135.04434273342640569808470704</v>
      </c>
      <c r="V40" s="421">
        <v>27.414304649376073190887974010</v>
      </c>
      <c r="W40" s="420">
        <v>0</v>
      </c>
      <c r="X40" s="91">
        <v>0</v>
      </c>
      <c r="Y40" s="421">
        <v>42.788678368547346322018272480</v>
      </c>
      <c r="Z40" s="420">
        <v>-27.741164983453845005339384350</v>
      </c>
      <c r="AA40" s="91">
        <v>-5.1755138465642953437817186600</v>
      </c>
      <c r="AB40" s="421">
        <v>-8.691337969268278046210415940</v>
      </c>
    </row>
    <row r="41" ht="18" customHeight="1">
      <c r="A41" s="58"/>
      <c r="B41" s="1043" t="s">
        <v>47</v>
      </c>
      <c r="C41" s="1043"/>
      <c r="D41" s="439">
        <v>183.6949775032232554876233781</v>
      </c>
      <c r="E41" s="95">
        <v>164.03295178939861626252166901</v>
      </c>
      <c r="F41" s="440">
        <v>120.43179840885759134687303127</v>
      </c>
      <c r="G41" s="439">
        <v>10.129766314920171145834320033</v>
      </c>
      <c r="H41" s="95">
        <v>29.719933952933046832507480878</v>
      </c>
      <c r="I41" s="440">
        <v>20.634889519544633583381306552</v>
      </c>
      <c r="J41" s="439">
        <v>0</v>
      </c>
      <c r="K41" s="95">
        <v>0</v>
      </c>
      <c r="L41" s="440">
        <v>11.018912490157630092611581086</v>
      </c>
      <c r="M41" s="439">
        <v>193.82474381814342663345769795</v>
      </c>
      <c r="N41" s="95">
        <v>193.75288574233166309502914972</v>
      </c>
      <c r="O41" s="440">
        <v>152.08560041855985502286591877</v>
      </c>
      <c r="P41" s="93"/>
      <c r="Q41" s="420">
        <v>-18.311194619970008032076149060</v>
      </c>
      <c r="R41" s="91">
        <v>-10.196591658470156722616163980</v>
      </c>
      <c r="S41" s="421">
        <v>-12.640659520919383853562726640</v>
      </c>
      <c r="T41" s="420">
        <v>-6.9169850937733765024975197500</v>
      </c>
      <c r="U41" s="91">
        <v>290.55167065172841204222147230</v>
      </c>
      <c r="V41" s="421">
        <v>48.490037308185283964494240320</v>
      </c>
      <c r="W41" s="420">
        <v>0</v>
      </c>
      <c r="X41" s="91">
        <v>0</v>
      </c>
      <c r="Y41" s="421">
        <v>30.057175510397763086370649320</v>
      </c>
      <c r="Z41" s="420">
        <v>-17.785233312034988667452834430</v>
      </c>
      <c r="AA41" s="91">
        <v>1.8318046132885825296880435500</v>
      </c>
      <c r="AB41" s="421">
        <v>-5.0810437616767697477367654200</v>
      </c>
    </row>
    <row r="42" ht="18" customHeight="1">
      <c r="A42" s="58"/>
      <c r="B42" s="1043" t="s">
        <v>48</v>
      </c>
      <c r="C42" s="1043"/>
      <c r="D42" s="439">
        <v>208.64162303749404113713083884</v>
      </c>
      <c r="E42" s="95">
        <v>185.75930534849792217349789947</v>
      </c>
      <c r="F42" s="440">
        <v>134.57042493644662751268991671</v>
      </c>
      <c r="G42" s="439">
        <v>9.776654694594813670643600775</v>
      </c>
      <c r="H42" s="95">
        <v>19.532807677087085843690843207</v>
      </c>
      <c r="I42" s="440">
        <v>25.243795022368342342723446751</v>
      </c>
      <c r="J42" s="439">
        <v>0</v>
      </c>
      <c r="K42" s="95">
        <v>0</v>
      </c>
      <c r="L42" s="440">
        <v>10.997221726140862996419061808</v>
      </c>
      <c r="M42" s="439">
        <v>218.41827773208885480777443941</v>
      </c>
      <c r="N42" s="95">
        <v>205.2921130255850080171887425</v>
      </c>
      <c r="O42" s="440">
        <v>170.81144168495583285183242511</v>
      </c>
      <c r="P42" s="5"/>
      <c r="Q42" s="420">
        <v>-22.178858828546186734647420620</v>
      </c>
      <c r="R42" s="91">
        <v>-25.380766584570974614284407750</v>
      </c>
      <c r="S42" s="421">
        <v>-17.949038623432738974773351230</v>
      </c>
      <c r="T42" s="420">
        <v>-67.319536853433631037813612510</v>
      </c>
      <c r="U42" s="91">
        <v>29.243822247449694144782553300</v>
      </c>
      <c r="V42" s="421">
        <v>8.660483154406040970848682150</v>
      </c>
      <c r="W42" s="420">
        <v>0</v>
      </c>
      <c r="X42" s="91">
        <v>0</v>
      </c>
      <c r="Y42" s="421">
        <v>31.561927441192305521373340750</v>
      </c>
      <c r="Z42" s="420">
        <v>-26.710179835619176647008851870</v>
      </c>
      <c r="AA42" s="91">
        <v>-22.254349626310709677393124130</v>
      </c>
      <c r="AB42" s="421">
        <v>-12.672696116917026917533945380</v>
      </c>
    </row>
    <row r="43" ht="18" customHeight="1">
      <c r="A43" s="58"/>
      <c r="B43" s="1043" t="s">
        <v>49</v>
      </c>
      <c r="C43" s="1043"/>
      <c r="D43" s="439">
        <v>307.12899113465382935996175637</v>
      </c>
      <c r="E43" s="95">
        <v>249.32820600901657008896551839</v>
      </c>
      <c r="F43" s="440">
        <v>172.010909764196035488287861</v>
      </c>
      <c r="G43" s="439">
        <v>52.774997520895103141241752063</v>
      </c>
      <c r="H43" s="95">
        <v>73.652329320900663687502213717</v>
      </c>
      <c r="I43" s="440">
        <v>35.419512723878984415485871226</v>
      </c>
      <c r="J43" s="439">
        <v>0</v>
      </c>
      <c r="K43" s="95">
        <v>0</v>
      </c>
      <c r="L43" s="440">
        <v>10.330790620507221836185665266</v>
      </c>
      <c r="M43" s="439">
        <v>359.90398865554893250120350812</v>
      </c>
      <c r="N43" s="95">
        <v>322.98053532991723377646773182</v>
      </c>
      <c r="O43" s="440">
        <v>217.76121310858224173995939729</v>
      </c>
      <c r="P43" s="93"/>
      <c r="Q43" s="420">
        <v>-6.2046718886033677125803171500</v>
      </c>
      <c r="R43" s="91">
        <v>-11.398139077238051207422072330</v>
      </c>
      <c r="S43" s="421">
        <v>-7.1966262702720662608514468500</v>
      </c>
      <c r="T43" s="420">
        <v>122.53354170716082981612442959</v>
      </c>
      <c r="U43" s="91">
        <v>477.24285375515586698882816305</v>
      </c>
      <c r="V43" s="421">
        <v>43.249715623199937330929571890</v>
      </c>
      <c r="W43" s="420">
        <v>0</v>
      </c>
      <c r="X43" s="91">
        <v>0</v>
      </c>
      <c r="Y43" s="421">
        <v>24.042075564280412297531683010</v>
      </c>
      <c r="Z43" s="420">
        <v>2.4896030860228869517230677900</v>
      </c>
      <c r="AA43" s="91">
        <v>9.796738274198708692969530180</v>
      </c>
      <c r="AB43" s="421">
        <v>-0.2943176190613405521259887400</v>
      </c>
    </row>
    <row r="44" ht="18" customHeight="1">
      <c r="A44" s="58"/>
      <c r="B44" s="1044" t="s">
        <v>75</v>
      </c>
      <c r="C44" s="1044"/>
      <c r="D44" s="457">
        <v>210.56386913664748354597034078</v>
      </c>
      <c r="E44" s="458">
        <v>188.96297707654723760845585541</v>
      </c>
      <c r="F44" s="459">
        <v>133.38042447841344491162388664</v>
      </c>
      <c r="G44" s="457">
        <v>20.40062697773304964142561273</v>
      </c>
      <c r="H44" s="458">
        <v>32.397921992785859483815135729</v>
      </c>
      <c r="I44" s="459">
        <v>23.512471964797317511011139145</v>
      </c>
      <c r="J44" s="457">
        <v>0</v>
      </c>
      <c r="K44" s="458">
        <v>0</v>
      </c>
      <c r="L44" s="459">
        <v>10.948298931672150101825305509</v>
      </c>
      <c r="M44" s="457">
        <v>230.96449611438053318739595333</v>
      </c>
      <c r="N44" s="458">
        <v>221.36089906933309709227099088</v>
      </c>
      <c r="O44" s="459">
        <v>167.84119537488291252446033111</v>
      </c>
      <c r="P44" s="5"/>
      <c r="Q44" s="430">
        <v>-19.521433045347450706103103550</v>
      </c>
      <c r="R44" s="431">
        <v>-14.140413398013773844263930930</v>
      </c>
      <c r="S44" s="432">
        <v>-13.286401709415350199027267390</v>
      </c>
      <c r="T44" s="430">
        <v>23.198152099113969971855895720</v>
      </c>
      <c r="U44" s="431">
        <v>185.87751786583078718439664168</v>
      </c>
      <c r="V44" s="432">
        <v>27.839368007742975608379465850</v>
      </c>
      <c r="W44" s="430">
        <v>0</v>
      </c>
      <c r="X44" s="431">
        <v>0</v>
      </c>
      <c r="Y44" s="432">
        <v>30.222103522844865170147855820</v>
      </c>
      <c r="Z44" s="430">
        <v>-16.978640295944903876926272160</v>
      </c>
      <c r="AA44" s="431">
        <v>-4.3452492526954152282065970100</v>
      </c>
      <c r="AB44" s="432">
        <v>-7.073319764896596319504125600</v>
      </c>
    </row>
    <row r="45" ht="6" customHeight="1">
      <c r="A45" s="58"/>
      <c r="B45" s="631"/>
      <c r="C45" s="631"/>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45" t="s">
        <v>50</v>
      </c>
      <c r="C46" s="1045"/>
      <c r="D46" s="493">
        <v>335.82295976372935836071106223</v>
      </c>
      <c r="E46" s="494">
        <v>301.62514365651433725768857149</v>
      </c>
      <c r="F46" s="495">
        <v>194.44850252338380195087370001</v>
      </c>
      <c r="G46" s="493">
        <v>38.533749423393311605505213968</v>
      </c>
      <c r="H46" s="494">
        <v>44.127593231327592132622526647</v>
      </c>
      <c r="I46" s="495">
        <v>31.474147840091671784279230427</v>
      </c>
      <c r="J46" s="493">
        <v>0</v>
      </c>
      <c r="K46" s="494">
        <v>0</v>
      </c>
      <c r="L46" s="495">
        <v>11.316217508606254371590376774</v>
      </c>
      <c r="M46" s="493">
        <v>374.35670918712266996621627586</v>
      </c>
      <c r="N46" s="494">
        <v>345.75273688784192939031109782</v>
      </c>
      <c r="O46" s="495">
        <v>237.23886787208172810674330699</v>
      </c>
      <c r="P46" s="93"/>
      <c r="Q46" s="479">
        <v>-16.309878477103460028150784740</v>
      </c>
      <c r="R46" s="480">
        <v>-9.190002006278061221340178070</v>
      </c>
      <c r="S46" s="481">
        <v>-12.049204563728571054329541030</v>
      </c>
      <c r="T46" s="479">
        <v>1.7904438355211102056255734100</v>
      </c>
      <c r="U46" s="480">
        <v>281.37852622555272028519127236</v>
      </c>
      <c r="V46" s="481">
        <v>14.041740333262375491431957640</v>
      </c>
      <c r="W46" s="479">
        <v>0</v>
      </c>
      <c r="X46" s="480">
        <v>0</v>
      </c>
      <c r="Y46" s="481">
        <v>38.944073452838608252223076190</v>
      </c>
      <c r="Z46" s="479">
        <v>-14.749492929195859491679041950</v>
      </c>
      <c r="AA46" s="480">
        <v>0.5913175785013270258203482500</v>
      </c>
      <c r="AB46" s="481">
        <v>-7.6284371403540406234022558500</v>
      </c>
    </row>
    <row r="47" ht="18" customHeight="1">
      <c r="A47" s="58"/>
      <c r="B47" s="1046" t="s">
        <v>51</v>
      </c>
      <c r="C47" s="1046"/>
      <c r="D47" s="276">
        <v>355.45044232009347419958022493</v>
      </c>
      <c r="E47" s="94">
        <v>313.3404410468863322685857376</v>
      </c>
      <c r="F47" s="277">
        <v>193.9245344587008018093319982</v>
      </c>
      <c r="G47" s="276">
        <v>11.678328448749252810776859713</v>
      </c>
      <c r="H47" s="94">
        <v>26.235911692872098642032617575</v>
      </c>
      <c r="I47" s="277">
        <v>22.562018735438331982387149742</v>
      </c>
      <c r="J47" s="276">
        <v>0</v>
      </c>
      <c r="K47" s="94">
        <v>0</v>
      </c>
      <c r="L47" s="277">
        <v>10.890821244045053393603069602</v>
      </c>
      <c r="M47" s="276">
        <v>367.1287707688427270103570843</v>
      </c>
      <c r="N47" s="94">
        <v>339.57635273975843091061835485</v>
      </c>
      <c r="O47" s="277">
        <v>227.37737443818418718532221731</v>
      </c>
      <c r="P47" s="5"/>
      <c r="Q47" s="271">
        <v>3.4651724175298190414183677600</v>
      </c>
      <c r="R47" s="92">
        <v>17.741558227899982447965900420</v>
      </c>
      <c r="S47" s="272">
        <v>-0.1417062078314384040830006700</v>
      </c>
      <c r="T47" s="271">
        <v>-48.123992067106321647774173060</v>
      </c>
      <c r="U47" s="92">
        <v>88.65207513363786781837758867</v>
      </c>
      <c r="V47" s="272">
        <v>8.035355846949449292287962130</v>
      </c>
      <c r="W47" s="271">
        <v>0</v>
      </c>
      <c r="X47" s="92">
        <v>0</v>
      </c>
      <c r="Y47" s="272">
        <v>27.797845024936543226155702190</v>
      </c>
      <c r="Z47" s="271">
        <v>0.2925181581374205017773833800</v>
      </c>
      <c r="AA47" s="92">
        <v>21.263130128229664967097707010</v>
      </c>
      <c r="AB47" s="272">
        <v>1.6868151569512692750643804300</v>
      </c>
    </row>
    <row r="48" ht="18" customHeight="1">
      <c r="A48" s="58"/>
      <c r="B48" s="1047" t="s">
        <v>76</v>
      </c>
      <c r="C48" s="1047"/>
      <c r="D48" s="443">
        <v>345.63670104191141628014564356</v>
      </c>
      <c r="E48" s="444">
        <v>307.48279235170033476313715455</v>
      </c>
      <c r="F48" s="445">
        <v>194.18651849104230188010284909</v>
      </c>
      <c r="G48" s="443">
        <v>25.106038936071282208141036839</v>
      </c>
      <c r="H48" s="444">
        <v>35.181752462099845387327572112</v>
      </c>
      <c r="I48" s="445">
        <v>27.018083287765001883333190084</v>
      </c>
      <c r="J48" s="443">
        <v>0</v>
      </c>
      <c r="K48" s="444">
        <v>0</v>
      </c>
      <c r="L48" s="445">
        <v>11.103519376325653882596723189</v>
      </c>
      <c r="M48" s="443">
        <v>370.74273997798269848828668008</v>
      </c>
      <c r="N48" s="444">
        <v>342.66454481380018015046472632</v>
      </c>
      <c r="O48" s="445">
        <v>232.30812115513295764603276214</v>
      </c>
      <c r="P48" s="93"/>
      <c r="Q48" s="273">
        <v>-7.981031236048839988700672500</v>
      </c>
      <c r="R48" s="274">
        <v>1.5445970057806046021264031700</v>
      </c>
      <c r="S48" s="275">
        <v>-7.1489033696527167153478872900</v>
      </c>
      <c r="T48" s="273">
        <v>-19.107821738816887491949639560</v>
      </c>
      <c r="U48" s="274">
        <v>179.02121866651087205093107069</v>
      </c>
      <c r="V48" s="275">
        <v>9.765320344193870291578128560</v>
      </c>
      <c r="W48" s="273">
        <v>0</v>
      </c>
      <c r="X48" s="274">
        <v>0</v>
      </c>
      <c r="Y48" s="275">
        <v>33.580895422224613819113674230</v>
      </c>
      <c r="Z48" s="273">
        <v>-8.830250205357307247423519630</v>
      </c>
      <c r="AA48" s="274">
        <v>8.639386674534143200104232240</v>
      </c>
      <c r="AB48" s="275">
        <v>-4.0303581279890746658072669700</v>
      </c>
    </row>
    <row r="49" ht="6" customHeight="1">
      <c r="A49" s="58"/>
      <c r="B49" s="631"/>
      <c r="C49" s="631"/>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82" t="s">
        <v>12</v>
      </c>
      <c r="C50" s="982"/>
      <c r="D50" s="482">
        <v>254.86779081133919843597262952</v>
      </c>
      <c r="E50" s="483">
        <v>230.22208632726902104673087703</v>
      </c>
      <c r="F50" s="484">
        <v>153.16088364434369263988559124</v>
      </c>
      <c r="G50" s="482">
        <v>21.186461388074291300097751711</v>
      </c>
      <c r="H50" s="483">
        <v>30.269021046730877032054222086</v>
      </c>
      <c r="I50" s="484">
        <v>24.495858707018069602499247198</v>
      </c>
      <c r="J50" s="482">
        <v>0</v>
      </c>
      <c r="K50" s="483">
        <v>0</v>
      </c>
      <c r="L50" s="484">
        <v>10.980235533279229353550470435</v>
      </c>
      <c r="M50" s="482">
        <v>276.05425219941348973607038123</v>
      </c>
      <c r="N50" s="483">
        <v>260.49110737399989807878509912</v>
      </c>
      <c r="O50" s="484">
        <v>188.63697788464099159593530887</v>
      </c>
      <c r="P50" s="93"/>
      <c r="Q50" s="468">
        <v>-13.514367432445502469819601610</v>
      </c>
      <c r="R50" s="469">
        <v>-5.8686582758549563994930931400</v>
      </c>
      <c r="S50" s="470">
        <v>-9.892874203638073771696677160</v>
      </c>
      <c r="T50" s="468">
        <v>1.8694773455825666160817301300</v>
      </c>
      <c r="U50" s="469">
        <v>169.59240555152656109698139022</v>
      </c>
      <c r="V50" s="470">
        <v>22.709213847977726525716780250</v>
      </c>
      <c r="W50" s="468">
        <v>0</v>
      </c>
      <c r="X50" s="469">
        <v>0</v>
      </c>
      <c r="Y50" s="470">
        <v>28.915423872794172209782174690</v>
      </c>
      <c r="Z50" s="468">
        <v>-12.500242062100870585097259470</v>
      </c>
      <c r="AA50" s="469">
        <v>1.8326713918214728831252895300</v>
      </c>
      <c r="AB50" s="470">
        <v>-4.9478796177526001191752861600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48" t="s">
        <v>126</v>
      </c>
      <c r="C52" s="1048"/>
      <c r="D52" s="1048"/>
      <c r="E52" s="1048"/>
      <c r="F52" s="1048"/>
      <c r="G52" s="1048"/>
      <c r="H52" s="1048"/>
      <c r="I52" s="1048"/>
      <c r="J52" s="1048"/>
      <c r="K52" s="1048"/>
      <c r="L52" s="1048"/>
      <c r="M52" s="1048"/>
      <c r="N52" s="1048"/>
      <c r="O52" s="1048"/>
      <c r="P52" s="1048"/>
      <c r="Q52" s="1048"/>
      <c r="R52" s="1048"/>
      <c r="S52" s="1048"/>
      <c r="T52" s="1048"/>
      <c r="U52" s="1048"/>
      <c r="V52" s="1048"/>
      <c r="W52" s="1048"/>
      <c r="X52" s="1048"/>
      <c r="Y52" s="1048"/>
      <c r="Z52" s="1048"/>
      <c r="AA52" s="1048"/>
      <c r="AB52" s="1048"/>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11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8"/>
      <c r="B1" s="656" t="s">
        <v>191</v>
      </c>
      <c r="Y1" s="5"/>
      <c r="AB1" s="685"/>
      <c r="AD1" s="236"/>
    </row>
    <row r="2" ht="15" customHeight="1">
      <c r="A2" s="11"/>
      <c r="B2" s="11" t="s">
        <v>208</v>
      </c>
    </row>
    <row r="3" ht="17.1" customHeight="1">
      <c r="A3" s="11"/>
      <c r="B3" s="11" t="s">
        <v>209</v>
      </c>
      <c r="R3" s="1040" t="s">
        <v>301</v>
      </c>
      <c r="S3" s="1040"/>
      <c r="T3" s="1040"/>
      <c r="U3" s="1040"/>
      <c r="V3" s="1040"/>
      <c r="W3" s="1040"/>
      <c r="X3" s="1040"/>
      <c r="Y3" s="1040"/>
      <c r="Z3" s="1040"/>
      <c r="AA3" s="1040"/>
      <c r="AB3" s="1040"/>
    </row>
    <row r="4" ht="19.5" customHeight="1">
      <c r="A4" s="4"/>
      <c r="B4" s="211" t="s">
        <v>210</v>
      </c>
      <c r="C4" s="5"/>
      <c r="D4" s="5"/>
      <c r="E4" s="5"/>
      <c r="F4" s="5"/>
      <c r="G4" s="5"/>
      <c r="H4" s="212"/>
      <c r="I4" s="212"/>
      <c r="J4" s="212"/>
      <c r="K4" s="212"/>
      <c r="L4" s="212"/>
      <c r="M4" s="212"/>
      <c r="N4" s="212"/>
      <c r="O4" s="212"/>
      <c r="P4" s="212"/>
      <c r="Q4" s="212"/>
      <c r="R4" s="212"/>
      <c r="S4" s="212"/>
      <c r="T4" s="212"/>
      <c r="U4" s="4"/>
      <c r="V4" s="4"/>
    </row>
    <row r="5" ht="12.75" customHeight="1"/>
    <row r="6" ht="15.75">
      <c r="D6" s="978" t="s">
        <v>58</v>
      </c>
      <c r="E6" s="978"/>
      <c r="F6" s="978"/>
      <c r="G6" s="978"/>
      <c r="H6" s="978"/>
      <c r="I6" s="978"/>
      <c r="J6" s="978"/>
      <c r="K6" s="978"/>
      <c r="L6" s="978"/>
      <c r="M6" s="978"/>
      <c r="N6" s="978"/>
      <c r="O6" s="978"/>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1041"/>
      <c r="C8" s="1041"/>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73" t="s">
        <v>22</v>
      </c>
      <c r="C10" s="973"/>
      <c r="D10" s="973"/>
      <c r="E10" s="973"/>
      <c r="F10" s="973"/>
      <c r="G10" s="973"/>
      <c r="H10" s="973"/>
      <c r="I10" s="973"/>
      <c r="J10" s="973"/>
      <c r="K10" s="973"/>
      <c r="L10" s="973"/>
      <c r="M10" s="973"/>
      <c r="N10" s="973"/>
      <c r="O10" s="973"/>
      <c r="P10" s="411"/>
      <c r="Q10" s="971"/>
      <c r="R10" s="971"/>
      <c r="S10" s="971"/>
      <c r="T10" s="971"/>
      <c r="U10" s="971"/>
      <c r="V10" s="971"/>
      <c r="W10" s="971"/>
      <c r="X10" s="971"/>
      <c r="Y10" s="971"/>
      <c r="Z10" s="971"/>
      <c r="AA10" s="971"/>
      <c r="AB10" s="971"/>
      <c r="AC10" s="9"/>
    </row>
    <row r="11" ht="18" customHeight="1">
      <c r="A11" s="58"/>
      <c r="B11" s="1042" t="s">
        <v>43</v>
      </c>
      <c r="C11" s="1042"/>
      <c r="D11" s="427">
        <v>77.112470862470862470862470920</v>
      </c>
      <c r="E11" s="428">
        <v>69.968394065999442419164639140</v>
      </c>
      <c r="F11" s="429">
        <v>53.478335414461108079231901030</v>
      </c>
      <c r="G11" s="427">
        <v>7.648601398601398601398601400</v>
      </c>
      <c r="H11" s="428">
        <v>6.7251587937828685751221050400</v>
      </c>
      <c r="I11" s="429">
        <v>9.562488171690854094505726740</v>
      </c>
      <c r="J11" s="427">
        <v>0</v>
      </c>
      <c r="K11" s="428">
        <v>0</v>
      </c>
      <c r="L11" s="429">
        <v>7.8726400577874565567718783400</v>
      </c>
      <c r="M11" s="427">
        <v>84.76107226107226107226107226</v>
      </c>
      <c r="N11" s="428">
        <v>76.694219899106545918677444840</v>
      </c>
      <c r="O11" s="429">
        <v>70.913779678600534379391207030</v>
      </c>
      <c r="P11" s="5"/>
      <c r="Q11" s="427">
        <v>-8.552176917750772873743496910</v>
      </c>
      <c r="R11" s="428">
        <v>-0.5925310232863480303391073400</v>
      </c>
      <c r="S11" s="429">
        <v>-3.5281728432673403804834783200</v>
      </c>
      <c r="T11" s="427">
        <v>294.73684211457063711933303404</v>
      </c>
      <c r="U11" s="428">
        <v>125.16132207190370360638303332</v>
      </c>
      <c r="V11" s="429">
        <v>87.32789328675238572163058338</v>
      </c>
      <c r="W11" s="427">
        <v>0</v>
      </c>
      <c r="X11" s="428">
        <v>0</v>
      </c>
      <c r="Y11" s="429">
        <v>53.464547889539568065736320670</v>
      </c>
      <c r="Z11" s="427">
        <v>-1.7395710184602986327807793600</v>
      </c>
      <c r="AA11" s="428">
        <v>4.5037651437869680304634077700</v>
      </c>
      <c r="AB11" s="429">
        <v>7.985504644529147429504878990</v>
      </c>
    </row>
    <row r="12" ht="18" customHeight="1">
      <c r="A12" s="58"/>
      <c r="B12" s="1043" t="s">
        <v>46</v>
      </c>
      <c r="C12" s="1043"/>
      <c r="D12" s="420">
        <v>72.333916083916083916083916140</v>
      </c>
      <c r="E12" s="91">
        <v>61.146371482017667690931710570</v>
      </c>
      <c r="F12" s="421">
        <v>48.116404671527436687335944670</v>
      </c>
      <c r="G12" s="420">
        <v>9.775641025641025641025641030</v>
      </c>
      <c r="H12" s="91">
        <v>9.812714751525026041151955340</v>
      </c>
      <c r="I12" s="421">
        <v>11.816905369323127193274513470</v>
      </c>
      <c r="J12" s="420">
        <v>0</v>
      </c>
      <c r="K12" s="91">
        <v>0</v>
      </c>
      <c r="L12" s="421">
        <v>7.3498404599476493926932844600</v>
      </c>
      <c r="M12" s="420">
        <v>82.10955710955710955710955711</v>
      </c>
      <c r="N12" s="91">
        <v>70.950586519175834194371847080</v>
      </c>
      <c r="O12" s="421">
        <v>67.282996338343423887258206950</v>
      </c>
      <c r="P12" s="5"/>
      <c r="Q12" s="420">
        <v>-4.4824932665927976264585492700</v>
      </c>
      <c r="R12" s="91">
        <v>-0.728665467982832706973603700</v>
      </c>
      <c r="S12" s="421">
        <v>-0.6318492934741238377576914500</v>
      </c>
      <c r="T12" s="420">
        <v>255.02645502600419921054898953</v>
      </c>
      <c r="U12" s="91">
        <v>304.45391682748964084217821291</v>
      </c>
      <c r="V12" s="421">
        <v>137.53891583356613804153668507</v>
      </c>
      <c r="W12" s="420">
        <v>0</v>
      </c>
      <c r="X12" s="91">
        <v>0</v>
      </c>
      <c r="Y12" s="421">
        <v>48.683094849691988652772832330</v>
      </c>
      <c r="Z12" s="420">
        <v>4.6222387228976089506432871500</v>
      </c>
      <c r="AA12" s="91">
        <v>10.800204557300949585991145300</v>
      </c>
      <c r="AB12" s="421">
        <v>15.327411090368640393006112240</v>
      </c>
    </row>
    <row r="13" ht="18" customHeight="1">
      <c r="A13" s="58"/>
      <c r="B13" s="1043" t="s">
        <v>47</v>
      </c>
      <c r="C13" s="1043"/>
      <c r="D13" s="420">
        <v>69.915501165501165501165501220</v>
      </c>
      <c r="E13" s="91">
        <v>57.815706839819709328344412690</v>
      </c>
      <c r="F13" s="421">
        <v>49.150037263585245343605918320</v>
      </c>
      <c r="G13" s="420">
        <v>12.703962703962703962703962710</v>
      </c>
      <c r="H13" s="91">
        <v>12.912427772004937972990034670</v>
      </c>
      <c r="I13" s="421">
        <v>13.598028664120324884197356790</v>
      </c>
      <c r="J13" s="420">
        <v>0</v>
      </c>
      <c r="K13" s="91">
        <v>0</v>
      </c>
      <c r="L13" s="421">
        <v>7.401835071573217695433114900</v>
      </c>
      <c r="M13" s="420">
        <v>82.61946386946386946386946387</v>
      </c>
      <c r="N13" s="91">
        <v>70.719625600194493405457971190</v>
      </c>
      <c r="O13" s="421">
        <v>70.150507366461601325736078640</v>
      </c>
      <c r="P13" s="184"/>
      <c r="Q13" s="420">
        <v>-2.8345818991317853311513907200</v>
      </c>
      <c r="R13" s="91">
        <v>-0.8953918278887803456456595400</v>
      </c>
      <c r="S13" s="421">
        <v>4.4491433947766948984882266900</v>
      </c>
      <c r="T13" s="420">
        <v>272.64957264857891737892002905</v>
      </c>
      <c r="U13" s="91">
        <v>357.35330755367090523908235224</v>
      </c>
      <c r="V13" s="421">
        <v>154.24077456051674649335302657</v>
      </c>
      <c r="W13" s="420">
        <v>0</v>
      </c>
      <c r="X13" s="91">
        <v>0</v>
      </c>
      <c r="Y13" s="421">
        <v>48.446226294435714287075768270</v>
      </c>
      <c r="Z13" s="420">
        <v>9.626908950346767930512827170</v>
      </c>
      <c r="AA13" s="91">
        <v>15.627957718593561384848063650</v>
      </c>
      <c r="AB13" s="421">
        <v>22.230309206349232450963381050</v>
      </c>
    </row>
    <row r="14" ht="18" customHeight="1">
      <c r="A14" s="58"/>
      <c r="B14" s="1043" t="s">
        <v>48</v>
      </c>
      <c r="C14" s="1043"/>
      <c r="D14" s="420">
        <v>71.678321678321678321678321730</v>
      </c>
      <c r="E14" s="91">
        <v>59.374103780479088918743065780</v>
      </c>
      <c r="F14" s="421">
        <v>51.211494786082922971921410350</v>
      </c>
      <c r="G14" s="420">
        <v>12.266899766899766899766899780</v>
      </c>
      <c r="H14" s="91">
        <v>12.896447947405356127291344040</v>
      </c>
      <c r="I14" s="421">
        <v>14.656275157468158531858834970</v>
      </c>
      <c r="J14" s="420">
        <v>0</v>
      </c>
      <c r="K14" s="91">
        <v>0</v>
      </c>
      <c r="L14" s="421">
        <v>7.7575219701091860896986194500</v>
      </c>
      <c r="M14" s="420">
        <v>83.94522144522144522144522145</v>
      </c>
      <c r="N14" s="91">
        <v>72.268141485353105627810866660</v>
      </c>
      <c r="O14" s="421">
        <v>73.625463097486561092546854570</v>
      </c>
      <c r="P14" s="5"/>
      <c r="Q14" s="420">
        <v>-3.5294117647067903114186850400</v>
      </c>
      <c r="R14" s="91">
        <v>-1.4924411836624124949597663500</v>
      </c>
      <c r="S14" s="421">
        <v>3.5729896284932512653807907800</v>
      </c>
      <c r="T14" s="420">
        <v>206.18181818260200727272927965</v>
      </c>
      <c r="U14" s="91">
        <v>291.53197846633870025245648633</v>
      </c>
      <c r="V14" s="421">
        <v>137.06031257395472101611646052</v>
      </c>
      <c r="W14" s="420">
        <v>0</v>
      </c>
      <c r="X14" s="91">
        <v>0</v>
      </c>
      <c r="Y14" s="421">
        <v>48.212209981352385741143273580</v>
      </c>
      <c r="Z14" s="420">
        <v>7.2000000000130833860465132300</v>
      </c>
      <c r="AA14" s="91">
        <v>13.699194560961013597568877210</v>
      </c>
      <c r="AB14" s="421">
        <v>20.971854532800875408413927110</v>
      </c>
    </row>
    <row r="15" ht="18" customHeight="1">
      <c r="A15" s="58"/>
      <c r="B15" s="1043" t="s">
        <v>49</v>
      </c>
      <c r="C15" s="1043"/>
      <c r="D15" s="420">
        <v>75.320512820512820512820512880</v>
      </c>
      <c r="E15" s="91">
        <v>67.128989539616334167764627980</v>
      </c>
      <c r="F15" s="421">
        <v>54.581893609464636925996989600</v>
      </c>
      <c r="G15" s="420">
        <v>11.655011655011655011655011660</v>
      </c>
      <c r="H15" s="91">
        <v>10.851370315783347485993729870</v>
      </c>
      <c r="I15" s="421">
        <v>13.793709871036016193371964230</v>
      </c>
      <c r="J15" s="420">
        <v>0</v>
      </c>
      <c r="K15" s="91">
        <v>0</v>
      </c>
      <c r="L15" s="421">
        <v>7.7768528999876872891815208400</v>
      </c>
      <c r="M15" s="420">
        <v>86.97552447552447552447552448</v>
      </c>
      <c r="N15" s="91">
        <v>77.974960495928041813540780360</v>
      </c>
      <c r="O15" s="421">
        <v>76.153095275930171846269097180</v>
      </c>
      <c r="P15" s="184"/>
      <c r="Q15" s="420">
        <v>-8.479376880918305769814146590</v>
      </c>
      <c r="R15" s="91">
        <v>-0.8126148147892795667893540300</v>
      </c>
      <c r="S15" s="421">
        <v>-0.8492868085720466449015415900</v>
      </c>
      <c r="T15" s="420">
        <v>376.19047618122448979609811488</v>
      </c>
      <c r="U15" s="91">
        <v>176.73303107134797789958324337</v>
      </c>
      <c r="V15" s="421">
        <v>90.50368953733927672718654350</v>
      </c>
      <c r="W15" s="420">
        <v>0</v>
      </c>
      <c r="X15" s="91">
        <v>0</v>
      </c>
      <c r="Y15" s="421">
        <v>48.953917640218374218624750760</v>
      </c>
      <c r="Z15" s="420">
        <v>2.6302217638000053727390943800</v>
      </c>
      <c r="AA15" s="91">
        <v>8.877898008453822650822092350</v>
      </c>
      <c r="AB15" s="421">
        <v>12.796159623361654420818299900</v>
      </c>
    </row>
    <row r="16" ht="18" customHeight="1">
      <c r="A16" s="58"/>
      <c r="B16" s="1044" t="s">
        <v>75</v>
      </c>
      <c r="C16" s="1044"/>
      <c r="D16" s="430">
        <v>73.272144522144522144522144530</v>
      </c>
      <c r="E16" s="431">
        <v>63.086717257465688775442908050</v>
      </c>
      <c r="F16" s="432">
        <v>51.307632793101418929958828820</v>
      </c>
      <c r="G16" s="430">
        <v>10.810023310023310023310023310</v>
      </c>
      <c r="H16" s="431">
        <v>10.639653875811120883457644970</v>
      </c>
      <c r="I16" s="432">
        <v>12.685482183792793330003855050</v>
      </c>
      <c r="J16" s="430">
        <v>0</v>
      </c>
      <c r="K16" s="431">
        <v>0</v>
      </c>
      <c r="L16" s="432">
        <v>7.631738195323170590515837200</v>
      </c>
      <c r="M16" s="430">
        <v>84.08216783216783216783216783</v>
      </c>
      <c r="N16" s="431">
        <v>73.721540836544422429406687980</v>
      </c>
      <c r="O16" s="432">
        <v>71.625167873296182522653247090</v>
      </c>
      <c r="P16" s="5"/>
      <c r="Q16" s="430">
        <v>-5.724675714123747730639694100</v>
      </c>
      <c r="R16" s="431">
        <v>-0.8916072863734101215153116400</v>
      </c>
      <c r="S16" s="432">
        <v>0.4438330530543571063610947800</v>
      </c>
      <c r="T16" s="430">
        <v>271.37137137636759883012850904</v>
      </c>
      <c r="U16" s="431">
        <v>244.29506305264814786146166512</v>
      </c>
      <c r="V16" s="432">
        <v>119.83259568402038337132578687</v>
      </c>
      <c r="W16" s="430">
        <v>0</v>
      </c>
      <c r="X16" s="431">
        <v>0</v>
      </c>
      <c r="Y16" s="432">
        <v>49.556701192655272593145353800</v>
      </c>
      <c r="Z16" s="629">
        <v>4.2785386477592262144634846400</v>
      </c>
      <c r="AA16" s="214">
        <v>10.440045752875533426314881110</v>
      </c>
      <c r="AB16" s="630">
        <v>15.607553603384734112843370720</v>
      </c>
    </row>
    <row r="17" ht="6" customHeight="1">
      <c r="A17" s="58"/>
      <c r="B17" s="631"/>
      <c r="C17" s="631"/>
      <c r="D17" s="91"/>
      <c r="E17" s="91"/>
      <c r="F17" s="91"/>
      <c r="G17" s="91"/>
      <c r="H17" s="91"/>
      <c r="I17" s="91"/>
      <c r="J17" s="91"/>
      <c r="K17" s="91"/>
      <c r="L17" s="91"/>
      <c r="M17" s="91"/>
      <c r="N17" s="91"/>
      <c r="O17" s="91"/>
      <c r="P17" s="5"/>
      <c r="Q17" s="91"/>
      <c r="R17" s="91"/>
      <c r="S17" s="91"/>
      <c r="T17" s="91"/>
      <c r="U17" s="91"/>
      <c r="V17" s="91"/>
      <c r="W17" s="91"/>
      <c r="X17" s="91"/>
      <c r="Y17" s="91"/>
      <c r="Z17" s="632"/>
      <c r="AA17" s="632"/>
      <c r="AB17" s="632"/>
      <c r="AC17" s="4"/>
    </row>
    <row r="18" ht="18" customHeight="1">
      <c r="A18" s="58"/>
      <c r="B18" s="1045" t="s">
        <v>50</v>
      </c>
      <c r="C18" s="1045"/>
      <c r="D18" s="479">
        <v>79.210372960372960372960373020</v>
      </c>
      <c r="E18" s="480">
        <v>75.032773967326355677445303250</v>
      </c>
      <c r="F18" s="481">
        <v>60.499922197258796048018261150</v>
      </c>
      <c r="G18" s="479">
        <v>6.7307692307692307692307692400</v>
      </c>
      <c r="H18" s="480">
        <v>6.9769661845529447851698694400</v>
      </c>
      <c r="I18" s="481">
        <v>13.754192285504158169499750200</v>
      </c>
      <c r="J18" s="479">
        <v>0</v>
      </c>
      <c r="K18" s="480">
        <v>0</v>
      </c>
      <c r="L18" s="481">
        <v>7.936429326998479489080208730</v>
      </c>
      <c r="M18" s="479">
        <v>85.94114219114219114219114219</v>
      </c>
      <c r="N18" s="480">
        <v>82.01045338519508933997812082</v>
      </c>
      <c r="O18" s="481">
        <v>82.19272617482877839599919185</v>
      </c>
      <c r="P18" s="184"/>
      <c r="Q18" s="479">
        <v>-7.3008080912516833826439746400</v>
      </c>
      <c r="R18" s="480">
        <v>0.2490284848851382813956319200</v>
      </c>
      <c r="S18" s="481">
        <v>-5.6240494371691164264465795100</v>
      </c>
      <c r="T18" s="479">
        <v>110.21634615541902257899528520</v>
      </c>
      <c r="U18" s="480">
        <v>71.597473781871879920648062950</v>
      </c>
      <c r="V18" s="481">
        <v>63.707464017776475398271360940</v>
      </c>
      <c r="W18" s="479">
        <v>0</v>
      </c>
      <c r="X18" s="480">
        <v>0</v>
      </c>
      <c r="Y18" s="481">
        <v>52.025670146508457681670277900</v>
      </c>
      <c r="Z18" s="479">
        <v>-3.0563961997566900895846299300</v>
      </c>
      <c r="AA18" s="480">
        <v>3.908888180138541057274449500</v>
      </c>
      <c r="AB18" s="481">
        <v>5.7445709007815532574845339200</v>
      </c>
    </row>
    <row r="19" ht="18" customHeight="1">
      <c r="A19" s="58"/>
      <c r="B19" s="1046" t="s">
        <v>51</v>
      </c>
      <c r="C19" s="1046"/>
      <c r="D19" s="271">
        <v>82.86163522012578616352201264</v>
      </c>
      <c r="E19" s="92">
        <v>78.820997690212219303609928810</v>
      </c>
      <c r="F19" s="272">
        <v>62.610536888246698079891213640</v>
      </c>
      <c r="G19" s="271">
        <v>5.8461978273299028016009148100</v>
      </c>
      <c r="H19" s="92">
        <v>6.4759875542117166109638661400</v>
      </c>
      <c r="I19" s="272">
        <v>11.631616710700886044568050370</v>
      </c>
      <c r="J19" s="271">
        <v>0</v>
      </c>
      <c r="K19" s="92">
        <v>0</v>
      </c>
      <c r="L19" s="272">
        <v>7.9075036663341667564293769700</v>
      </c>
      <c r="M19" s="271">
        <v>88.70783304745568896512292739</v>
      </c>
      <c r="N19" s="92">
        <v>85.30069471361698321357225916</v>
      </c>
      <c r="O19" s="272">
        <v>82.15179836245222334084692759</v>
      </c>
      <c r="P19" s="5"/>
      <c r="Q19" s="271">
        <v>-6.6225145048051640286284261300</v>
      </c>
      <c r="R19" s="92">
        <v>-0.051999670484749804441632900</v>
      </c>
      <c r="S19" s="272">
        <v>-6.6467192920229626036652515600</v>
      </c>
      <c r="T19" s="271">
        <v>90.18152553039890524420916851</v>
      </c>
      <c r="U19" s="92">
        <v>63.619702411732393616666686590</v>
      </c>
      <c r="V19" s="272">
        <v>52.320345974327858658871099110</v>
      </c>
      <c r="W19" s="271">
        <v>0</v>
      </c>
      <c r="X19" s="92">
        <v>0</v>
      </c>
      <c r="Y19" s="272">
        <v>51.504824022546770968150197150</v>
      </c>
      <c r="Z19" s="271">
        <v>-3.381376382508274666306042600</v>
      </c>
      <c r="AA19" s="92">
        <v>2.9745917771636849748469832200</v>
      </c>
      <c r="AB19" s="272">
        <v>2.7877308476648071332599885900</v>
      </c>
    </row>
    <row r="20" ht="18" customHeight="1">
      <c r="A20" s="58"/>
      <c r="B20" s="1047" t="s">
        <v>76</v>
      </c>
      <c r="C20" s="1047"/>
      <c r="D20" s="273">
        <v>81.05339105339105339105339108</v>
      </c>
      <c r="E20" s="274">
        <v>76.944872709876427000880528680</v>
      </c>
      <c r="F20" s="275">
        <v>61.565258462749452234592782010</v>
      </c>
      <c r="G20" s="273">
        <v>6.2842712842712842712842712900</v>
      </c>
      <c r="H20" s="274">
        <v>6.7240981706252518353922352200</v>
      </c>
      <c r="I20" s="275">
        <v>12.682818744071927934180614550</v>
      </c>
      <c r="J20" s="273">
        <v>0</v>
      </c>
      <c r="K20" s="274">
        <v>0</v>
      </c>
      <c r="L20" s="275">
        <v>7.9218290518082479370466412200</v>
      </c>
      <c r="M20" s="273">
        <v>87.33766233766233766233766234</v>
      </c>
      <c r="N20" s="274">
        <v>83.67119659277318765331768176</v>
      </c>
      <c r="O20" s="275">
        <v>82.17206779279912307822029849</v>
      </c>
      <c r="P20" s="184"/>
      <c r="Q20" s="273">
        <v>-6.9185516612573676997334863800</v>
      </c>
      <c r="R20" s="274">
        <v>0.1452458829739045345776925100</v>
      </c>
      <c r="S20" s="275">
        <v>-6.1114959663696993366488524800</v>
      </c>
      <c r="T20" s="273">
        <v>100.22988505926642885455434288</v>
      </c>
      <c r="U20" s="274">
        <v>67.579468853181582361655963070</v>
      </c>
      <c r="V20" s="275">
        <v>58.088180519443984717066673190</v>
      </c>
      <c r="W20" s="273">
        <v>0</v>
      </c>
      <c r="X20" s="274">
        <v>0</v>
      </c>
      <c r="Y20" s="275">
        <v>51.762484392270953461124638550</v>
      </c>
      <c r="Z20" s="273">
        <v>-3.1909788868096594886181232700</v>
      </c>
      <c r="AA20" s="274">
        <v>3.4758288105637610096923536100</v>
      </c>
      <c r="AB20" s="275">
        <v>4.2591064899213673009372517400</v>
      </c>
    </row>
    <row r="21" ht="6" customHeight="1">
      <c r="A21" s="58"/>
      <c r="B21" s="631"/>
      <c r="C21" s="631"/>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82" t="s">
        <v>12</v>
      </c>
      <c r="C22" s="982"/>
      <c r="D22" s="468">
        <v>75.514736405147364051473640510</v>
      </c>
      <c r="E22" s="469">
        <v>67.430503543550824086621093330</v>
      </c>
      <c r="F22" s="470">
        <v>54.301719065286990429342385350</v>
      </c>
      <c r="G22" s="468">
        <v>9.514321295143212951432129510</v>
      </c>
      <c r="H22" s="469">
        <v>9.155652147560642991042630840</v>
      </c>
      <c r="I22" s="470">
        <v>12.620436326581320554667718350</v>
      </c>
      <c r="J22" s="468">
        <v>0</v>
      </c>
      <c r="K22" s="469">
        <v>0</v>
      </c>
      <c r="L22" s="470">
        <v>7.7362906069596487733542805100</v>
      </c>
      <c r="M22" s="468">
        <v>85.02905770029057700290577003</v>
      </c>
      <c r="N22" s="469">
        <v>76.586155691111467077663724170</v>
      </c>
      <c r="O22" s="470">
        <v>74.658445998827959757364384210</v>
      </c>
      <c r="P22" s="184"/>
      <c r="Q22" s="468">
        <v>-6.0550506093560076498549292800</v>
      </c>
      <c r="R22" s="469">
        <v>-0.2346810420318046180945992800</v>
      </c>
      <c r="S22" s="470">
        <v>-1.4699850584465622084430409900</v>
      </c>
      <c r="T22" s="468">
        <v>218.33333333204673611111631096</v>
      </c>
      <c r="U22" s="469">
        <v>185.92010464820097798846442821</v>
      </c>
      <c r="V22" s="470">
        <v>99.11452630294373294747349648</v>
      </c>
      <c r="W22" s="468">
        <v>0</v>
      </c>
      <c r="X22" s="469">
        <v>-100</v>
      </c>
      <c r="Y22" s="470">
        <v>44.555934716928877603864139780</v>
      </c>
      <c r="Z22" s="468">
        <v>1.989145588536662112782954400</v>
      </c>
      <c r="AA22" s="469">
        <v>8.170566819870315525329626950</v>
      </c>
      <c r="AB22" s="470">
        <v>11.760965444063486313410496890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37" t="s">
        <v>9</v>
      </c>
      <c r="C24" s="1037"/>
      <c r="D24" s="1037"/>
      <c r="E24" s="1037"/>
      <c r="F24" s="1037"/>
      <c r="G24" s="1037"/>
      <c r="H24" s="1037"/>
      <c r="I24" s="1037"/>
      <c r="J24" s="1037"/>
      <c r="K24" s="1037"/>
      <c r="L24" s="1037"/>
      <c r="M24" s="1037"/>
      <c r="N24" s="1037"/>
      <c r="O24" s="1037"/>
      <c r="P24" s="411"/>
      <c r="Q24" s="1038"/>
      <c r="R24" s="1038"/>
      <c r="S24" s="1038"/>
      <c r="T24" s="1038"/>
      <c r="U24" s="1038"/>
      <c r="V24" s="1038"/>
      <c r="W24" s="1038"/>
      <c r="X24" s="1038"/>
      <c r="Y24" s="1038"/>
      <c r="Z24" s="1038"/>
      <c r="AA24" s="1038"/>
      <c r="AB24" s="1038"/>
      <c r="AC24" s="9"/>
    </row>
    <row r="25" ht="18" customHeight="1">
      <c r="A25" s="58"/>
      <c r="B25" s="1042" t="s">
        <v>43</v>
      </c>
      <c r="C25" s="1042"/>
      <c r="D25" s="454">
        <v>239.2209733315551787067473424</v>
      </c>
      <c r="E25" s="455">
        <v>257.30582348918981596949412679</v>
      </c>
      <c r="F25" s="456">
        <v>225.09077772626891092428543604</v>
      </c>
      <c r="G25" s="454">
        <v>301.1223492595797359827720271</v>
      </c>
      <c r="H25" s="455">
        <v>297.32297538792413188437182692</v>
      </c>
      <c r="I25" s="456">
        <v>235.49459389886663665334125691</v>
      </c>
      <c r="J25" s="454">
        <v>0</v>
      </c>
      <c r="K25" s="455">
        <v>0</v>
      </c>
      <c r="L25" s="456">
        <v>116.83312482365454014048689823</v>
      </c>
      <c r="M25" s="454">
        <v>244.80677985651442459363509754</v>
      </c>
      <c r="N25" s="455">
        <v>260.81487595786275812266702175</v>
      </c>
      <c r="O25" s="456">
        <v>214.47520309446065061507723364</v>
      </c>
      <c r="P25" s="5"/>
      <c r="Q25" s="427">
        <v>16.368691605062622653731677490</v>
      </c>
      <c r="R25" s="428">
        <v>18.749215246453970775443063030</v>
      </c>
      <c r="S25" s="429">
        <v>15.888993150910358752149589280</v>
      </c>
      <c r="T25" s="427">
        <v>15.843704740349395460742993900</v>
      </c>
      <c r="U25" s="428">
        <v>34.334231694186512276601183760</v>
      </c>
      <c r="V25" s="429">
        <v>44.391677969060150504602936830</v>
      </c>
      <c r="W25" s="427">
        <v>0</v>
      </c>
      <c r="X25" s="428">
        <v>0</v>
      </c>
      <c r="Y25" s="429">
        <v>10.516875912667699540697837960</v>
      </c>
      <c r="Z25" s="427">
        <v>18.382639103900401890263109880</v>
      </c>
      <c r="AA25" s="428">
        <v>20.290949585634404549446374070</v>
      </c>
      <c r="AB25" s="429">
        <v>16.000209403798698250565132130</v>
      </c>
    </row>
    <row r="26" ht="18" customHeight="1">
      <c r="A26" s="58"/>
      <c r="B26" s="1043" t="s">
        <v>46</v>
      </c>
      <c r="C26" s="1043"/>
      <c r="D26" s="439">
        <v>211.6453028264944664445085432</v>
      </c>
      <c r="E26" s="95">
        <v>237.51679286352075781472801367</v>
      </c>
      <c r="F26" s="440">
        <v>217.09137637047883881011993261</v>
      </c>
      <c r="G26" s="439">
        <v>249.58578438570816461013545249</v>
      </c>
      <c r="H26" s="95">
        <v>276.5771880416784161559974978</v>
      </c>
      <c r="I26" s="440">
        <v>229.3421904225905542201722045</v>
      </c>
      <c r="J26" s="439">
        <v>0</v>
      </c>
      <c r="K26" s="95">
        <v>0</v>
      </c>
      <c r="L26" s="440">
        <v>137.22641233442797081972355444</v>
      </c>
      <c r="M26" s="439">
        <v>216.16234738402327969311316636</v>
      </c>
      <c r="N26" s="95">
        <v>242.94954938079756601524214175</v>
      </c>
      <c r="O26" s="440">
        <v>210.52015533204690425931955782</v>
      </c>
      <c r="P26" s="5"/>
      <c r="Q26" s="420">
        <v>19.216368513105608351086898620</v>
      </c>
      <c r="R26" s="91">
        <v>26.277997404515992219541690380</v>
      </c>
      <c r="S26" s="421">
        <v>20.699682799653402668374807740</v>
      </c>
      <c r="T26" s="420">
        <v>4.4548811662274321096041003500</v>
      </c>
      <c r="U26" s="91">
        <v>29.367236802623613512802247560</v>
      </c>
      <c r="V26" s="421">
        <v>41.309825835466894750795347220</v>
      </c>
      <c r="W26" s="420">
        <v>0</v>
      </c>
      <c r="X26" s="91">
        <v>0</v>
      </c>
      <c r="Y26" s="421">
        <v>29.199780952856413325634853150</v>
      </c>
      <c r="Z26" s="420">
        <v>20.300738127088237633932373270</v>
      </c>
      <c r="AA26" s="91">
        <v>28.527739457032089665342560660</v>
      </c>
      <c r="AB26" s="421">
        <v>22.309132929551829106461785400</v>
      </c>
    </row>
    <row r="27" ht="18" customHeight="1">
      <c r="A27" s="58"/>
      <c r="B27" s="1043" t="s">
        <v>47</v>
      </c>
      <c r="C27" s="1043"/>
      <c r="D27" s="439">
        <v>221.70509295157089817053351705</v>
      </c>
      <c r="E27" s="95">
        <v>240.48866068774533827446521194</v>
      </c>
      <c r="F27" s="440">
        <v>219.76159312402408182889429296</v>
      </c>
      <c r="G27" s="439">
        <v>240.90435878182156562181079185</v>
      </c>
      <c r="H27" s="95">
        <v>286.95544600192359172127350501</v>
      </c>
      <c r="I27" s="440">
        <v>233.92192077402363849125141694</v>
      </c>
      <c r="J27" s="439">
        <v>0</v>
      </c>
      <c r="K27" s="95">
        <v>0</v>
      </c>
      <c r="L27" s="440">
        <v>122.77161067079050798481635455</v>
      </c>
      <c r="M27" s="439">
        <v>224.65726361000478672943208584</v>
      </c>
      <c r="N27" s="95">
        <v>249.00393019838117837202491426</v>
      </c>
      <c r="O27" s="440">
        <v>212.27192467893756804593532568</v>
      </c>
      <c r="P27" s="93"/>
      <c r="Q27" s="420">
        <v>27.172103221415386046922166270</v>
      </c>
      <c r="R27" s="91">
        <v>26.421472592105807236621152920</v>
      </c>
      <c r="S27" s="421">
        <v>21.772441280986960014513263590</v>
      </c>
      <c r="T27" s="420">
        <v>10.554522438057791461456129250</v>
      </c>
      <c r="U27" s="91">
        <v>30.388718477598703725773118680</v>
      </c>
      <c r="V27" s="421">
        <v>41.979100357209877006542781250</v>
      </c>
      <c r="W27" s="420">
        <v>0</v>
      </c>
      <c r="X27" s="91">
        <v>0</v>
      </c>
      <c r="Y27" s="421">
        <v>18.100436967249828899372127950</v>
      </c>
      <c r="Z27" s="420">
        <v>27.424909444701285379463758640</v>
      </c>
      <c r="AA27" s="91">
        <v>29.956511782270249381531299880</v>
      </c>
      <c r="AB27" s="421">
        <v>23.160119714451340898217037720</v>
      </c>
    </row>
    <row r="28" ht="18" customHeight="1">
      <c r="A28" s="58"/>
      <c r="B28" s="1043" t="s">
        <v>48</v>
      </c>
      <c r="C28" s="1043"/>
      <c r="D28" s="439">
        <v>227.66750378687836089935222189</v>
      </c>
      <c r="E28" s="95">
        <v>247.30353685689201743008491428</v>
      </c>
      <c r="F28" s="440">
        <v>225.2379451527298728762535149</v>
      </c>
      <c r="G28" s="439">
        <v>258.38386525742359738690680892</v>
      </c>
      <c r="H28" s="95">
        <v>296.63732827572510387965200332</v>
      </c>
      <c r="I28" s="440">
        <v>235.34158851545549089541849203</v>
      </c>
      <c r="J28" s="439">
        <v>0</v>
      </c>
      <c r="K28" s="95">
        <v>0</v>
      </c>
      <c r="L28" s="440">
        <v>120.23140603845407512535705287</v>
      </c>
      <c r="M28" s="439">
        <v>232.15608003786744266306637709</v>
      </c>
      <c r="N28" s="95">
        <v>256.11776250311119625900564469</v>
      </c>
      <c r="O28" s="440">
        <v>216.18589708801984068518469242</v>
      </c>
      <c r="P28" s="5"/>
      <c r="Q28" s="420">
        <v>26.028251157832877921753809270</v>
      </c>
      <c r="R28" s="91">
        <v>26.026259248690007626928547680</v>
      </c>
      <c r="S28" s="421">
        <v>21.432423830692109211743712250</v>
      </c>
      <c r="T28" s="420">
        <v>16.223846633238020323060070220</v>
      </c>
      <c r="U28" s="91">
        <v>47.661852293542023938599714820</v>
      </c>
      <c r="V28" s="421">
        <v>37.075559296191488185658556970</v>
      </c>
      <c r="W28" s="420">
        <v>0</v>
      </c>
      <c r="X28" s="91">
        <v>0</v>
      </c>
      <c r="Y28" s="421">
        <v>14.89816183092316338528190200</v>
      </c>
      <c r="Z28" s="420">
        <v>27.014060100053927370693989960</v>
      </c>
      <c r="AA28" s="91">
        <v>30.343982176501444869796737290</v>
      </c>
      <c r="AB28" s="421">
        <v>22.049594514211456855615285930</v>
      </c>
    </row>
    <row r="29" ht="18" customHeight="1">
      <c r="A29" s="58"/>
      <c r="B29" s="1043" t="s">
        <v>49</v>
      </c>
      <c r="C29" s="1043"/>
      <c r="D29" s="439">
        <v>261.16378767302553724000661321</v>
      </c>
      <c r="E29" s="95">
        <v>281.03892109706463039081657685</v>
      </c>
      <c r="F29" s="440">
        <v>240.78274946367537884401360013</v>
      </c>
      <c r="G29" s="439">
        <v>296.43668467670409309792196484</v>
      </c>
      <c r="H29" s="95">
        <v>331.17239989769299807533832921</v>
      </c>
      <c r="I29" s="440">
        <v>237.14493279331962204899136868</v>
      </c>
      <c r="J29" s="439">
        <v>0</v>
      </c>
      <c r="K29" s="95">
        <v>0</v>
      </c>
      <c r="L29" s="440">
        <v>120.42960060107709035651603345</v>
      </c>
      <c r="M29" s="439">
        <v>265.8904740386776050266619367</v>
      </c>
      <c r="N29" s="95">
        <v>288.03770249376135799261738786</v>
      </c>
      <c r="O29" s="440">
        <v>227.83241943873907400913074753</v>
      </c>
      <c r="P29" s="93"/>
      <c r="Q29" s="420">
        <v>23.684467122837893289256524640</v>
      </c>
      <c r="R29" s="91">
        <v>20.622739642561784935943430930</v>
      </c>
      <c r="S29" s="421">
        <v>18.257598361869622287896001860</v>
      </c>
      <c r="T29" s="420">
        <v>7.2569224956287455716684380600</v>
      </c>
      <c r="U29" s="91">
        <v>52.220309521477227993041717020</v>
      </c>
      <c r="V29" s="421">
        <v>35.717800308228869905271702560</v>
      </c>
      <c r="W29" s="420">
        <v>0</v>
      </c>
      <c r="X29" s="91">
        <v>0</v>
      </c>
      <c r="Y29" s="421">
        <v>14.497857948525679490551706800</v>
      </c>
      <c r="Z29" s="420">
        <v>24.809488475657247619919783290</v>
      </c>
      <c r="AA29" s="91">
        <v>24.105532635738908462783074930</v>
      </c>
      <c r="AB29" s="421">
        <v>18.114153170212211379046225230</v>
      </c>
    </row>
    <row r="30" ht="18" customHeight="1">
      <c r="A30" s="58"/>
      <c r="B30" s="1044" t="s">
        <v>75</v>
      </c>
      <c r="C30" s="1044"/>
      <c r="D30" s="457">
        <v>232.6845819522423704723361065</v>
      </c>
      <c r="E30" s="458">
        <v>253.55564596732591936486930576</v>
      </c>
      <c r="F30" s="459">
        <v>225.93744066846958367504024137</v>
      </c>
      <c r="G30" s="457">
        <v>266.93758971157732844870305081</v>
      </c>
      <c r="H30" s="458">
        <v>297.71864709351468569883458081</v>
      </c>
      <c r="I30" s="459">
        <v>234.33475123215833777665701156</v>
      </c>
      <c r="J30" s="457">
        <v>0</v>
      </c>
      <c r="K30" s="458">
        <v>0</v>
      </c>
      <c r="L30" s="459">
        <v>123.33687433526300306582953619</v>
      </c>
      <c r="M30" s="457">
        <v>237.0883196514880541571377617</v>
      </c>
      <c r="N30" s="458">
        <v>259.94821543341961069043119041</v>
      </c>
      <c r="O30" s="459">
        <v>216.49257804988448326331885879</v>
      </c>
      <c r="P30" s="5"/>
      <c r="Q30" s="430">
        <v>21.990418940580116521704336120</v>
      </c>
      <c r="R30" s="431">
        <v>23.148498632574445673472941530</v>
      </c>
      <c r="S30" s="432">
        <v>19.354643761646268956892038390</v>
      </c>
      <c r="T30" s="430">
        <v>11.910013688126642959716389760</v>
      </c>
      <c r="U30" s="431">
        <v>38.729437985666833850767394400</v>
      </c>
      <c r="V30" s="432">
        <v>39.460250901831983902889647990</v>
      </c>
      <c r="W30" s="430">
        <v>0</v>
      </c>
      <c r="X30" s="431">
        <v>0</v>
      </c>
      <c r="Y30" s="432">
        <v>17.309706799342334122993731860</v>
      </c>
      <c r="Z30" s="430">
        <v>23.185014837771049900304362480</v>
      </c>
      <c r="AA30" s="431">
        <v>26.021613129725025912351791730</v>
      </c>
      <c r="AB30" s="432">
        <v>20.018293994199450179028573960</v>
      </c>
    </row>
    <row r="31" ht="6" customHeight="1">
      <c r="A31" s="58"/>
      <c r="B31" s="631"/>
      <c r="C31" s="631"/>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45" t="s">
        <v>50</v>
      </c>
      <c r="C32" s="1045"/>
      <c r="D32" s="493">
        <v>362.61996777091885781953792604</v>
      </c>
      <c r="E32" s="494">
        <v>344.47078548372686140816644379</v>
      </c>
      <c r="F32" s="495">
        <v>280.91357022818597993730994418</v>
      </c>
      <c r="G32" s="493">
        <v>384.89682517684750334320520158</v>
      </c>
      <c r="H32" s="494">
        <v>372.88340343038806496091485505</v>
      </c>
      <c r="I32" s="495">
        <v>233.35271002008599574825063231</v>
      </c>
      <c r="J32" s="493">
        <v>0</v>
      </c>
      <c r="K32" s="494">
        <v>0</v>
      </c>
      <c r="L32" s="495">
        <v>125.99399573993788313523791466</v>
      </c>
      <c r="M32" s="493">
        <v>364.36465468760626826739930612</v>
      </c>
      <c r="N32" s="494">
        <v>346.88798463911200011266882822</v>
      </c>
      <c r="O32" s="495">
        <v>257.98954625646233371017124825</v>
      </c>
      <c r="P32" s="93"/>
      <c r="Q32" s="479">
        <v>11.566040946069057273393104030</v>
      </c>
      <c r="R32" s="480">
        <v>5.1067014298168053140099475400</v>
      </c>
      <c r="S32" s="481">
        <v>14.229512839626850599708012500</v>
      </c>
      <c r="T32" s="479">
        <v>31.967084694427294218548128900</v>
      </c>
      <c r="U32" s="480">
        <v>50.325883426903713946235431290</v>
      </c>
      <c r="V32" s="481">
        <v>31.186456487692323408570054410</v>
      </c>
      <c r="W32" s="479">
        <v>0</v>
      </c>
      <c r="X32" s="480">
        <v>0</v>
      </c>
      <c r="Y32" s="481">
        <v>18.678014355023641917396371240</v>
      </c>
      <c r="Z32" s="479">
        <v>12.520008966144228330386044890</v>
      </c>
      <c r="AA32" s="480">
        <v>7.2047860969480611250253254200</v>
      </c>
      <c r="AB32" s="481">
        <v>12.571506463758429108521866550</v>
      </c>
    </row>
    <row r="33" ht="18" customHeight="1">
      <c r="A33" s="58"/>
      <c r="B33" s="1046" t="s">
        <v>51</v>
      </c>
      <c r="C33" s="1046"/>
      <c r="D33" s="276">
        <v>369.49894856721210534302032981</v>
      </c>
      <c r="E33" s="94">
        <v>351.28808119694339028527143342</v>
      </c>
      <c r="F33" s="277">
        <v>281.66149746029208537302957412</v>
      </c>
      <c r="G33" s="276">
        <v>385.06321997724026895989792819</v>
      </c>
      <c r="H33" s="94">
        <v>370.8269652899407790058075523</v>
      </c>
      <c r="I33" s="277">
        <v>239.86917152513186625211328342</v>
      </c>
      <c r="J33" s="276">
        <v>0</v>
      </c>
      <c r="K33" s="94">
        <v>0</v>
      </c>
      <c r="L33" s="277">
        <v>120.80148715201232269880255074</v>
      </c>
      <c r="M33" s="276">
        <v>370.52469574844019411506398717</v>
      </c>
      <c r="N33" s="94">
        <v>352.75919756482739129581773638</v>
      </c>
      <c r="O33" s="277">
        <v>260.25450397022027101289845057</v>
      </c>
      <c r="P33" s="5"/>
      <c r="Q33" s="271">
        <v>12.524577695174847304073681080</v>
      </c>
      <c r="R33" s="92">
        <v>8.830649526372280957161386210</v>
      </c>
      <c r="S33" s="272">
        <v>15.672318655047354802917276930</v>
      </c>
      <c r="T33" s="271">
        <v>48.513720852929385309756822990</v>
      </c>
      <c r="U33" s="92">
        <v>49.378754144803590961195964400</v>
      </c>
      <c r="V33" s="272">
        <v>37.999500506936184441552760680</v>
      </c>
      <c r="W33" s="271">
        <v>0</v>
      </c>
      <c r="X33" s="92">
        <v>0</v>
      </c>
      <c r="Y33" s="272">
        <v>13.348677670750728676872718810</v>
      </c>
      <c r="Z33" s="271">
        <v>13.637522107285963826348108350</v>
      </c>
      <c r="AA33" s="92">
        <v>10.528185791027365125426556760</v>
      </c>
      <c r="AB33" s="272">
        <v>14.196325267651850155581174010</v>
      </c>
    </row>
    <row r="34" ht="18" customHeight="1">
      <c r="A34" s="58"/>
      <c r="B34" s="1047" t="s">
        <v>76</v>
      </c>
      <c r="C34" s="1047"/>
      <c r="D34" s="443">
        <v>366.16967861978052382395554172</v>
      </c>
      <c r="E34" s="444">
        <v>347.99570391344427960162496951</v>
      </c>
      <c r="F34" s="445">
        <v>281.29749737514280365853634249</v>
      </c>
      <c r="G34" s="443">
        <v>384.97496004867372738135368056</v>
      </c>
      <c r="H34" s="444">
        <v>371.88372043104797877145803731</v>
      </c>
      <c r="I34" s="445">
        <v>236.36928333932352976047209444</v>
      </c>
      <c r="J34" s="443">
        <v>0</v>
      </c>
      <c r="K34" s="444">
        <v>0</v>
      </c>
      <c r="L34" s="445">
        <v>123.37780795502192374358089908</v>
      </c>
      <c r="M34" s="633">
        <v>367.52278891507717647149736564</v>
      </c>
      <c r="N34" s="634">
        <v>349.90918237625234269156170216</v>
      </c>
      <c r="O34" s="635">
        <v>259.13250546220972395677061822</v>
      </c>
      <c r="P34" s="93"/>
      <c r="Q34" s="273">
        <v>12.076128786001376944437175980</v>
      </c>
      <c r="R34" s="274">
        <v>7.0030454726532684332507284400</v>
      </c>
      <c r="S34" s="275">
        <v>14.958863742101076444073801040</v>
      </c>
      <c r="T34" s="273">
        <v>39.507213950076122432995807450</v>
      </c>
      <c r="U34" s="274">
        <v>49.865044596598809508870455400</v>
      </c>
      <c r="V34" s="275">
        <v>34.327540507614424371559463540</v>
      </c>
      <c r="W34" s="273">
        <v>0</v>
      </c>
      <c r="X34" s="274">
        <v>0</v>
      </c>
      <c r="Y34" s="275">
        <v>15.991614868698430977455493460</v>
      </c>
      <c r="Z34" s="273">
        <v>13.101615118271394050371725530</v>
      </c>
      <c r="AA34" s="274">
        <v>8.891999481291063683896865280</v>
      </c>
      <c r="AB34" s="275">
        <v>13.387635332127610146177084730</v>
      </c>
    </row>
    <row r="35" ht="6" customHeight="1">
      <c r="A35" s="58"/>
      <c r="B35" s="631"/>
      <c r="C35" s="631"/>
      <c r="D35" s="95"/>
      <c r="E35" s="95"/>
      <c r="F35" s="95"/>
      <c r="G35" s="95"/>
      <c r="H35" s="95"/>
      <c r="I35" s="95"/>
      <c r="J35" s="95"/>
      <c r="K35" s="95"/>
      <c r="L35" s="95"/>
      <c r="M35" s="636"/>
      <c r="N35" s="636"/>
      <c r="O35" s="636"/>
      <c r="P35" s="93"/>
      <c r="Q35" s="91"/>
      <c r="R35" s="91"/>
      <c r="S35" s="91"/>
      <c r="T35" s="91"/>
      <c r="U35" s="91"/>
      <c r="V35" s="91"/>
      <c r="W35" s="91"/>
      <c r="X35" s="91"/>
      <c r="Y35" s="91"/>
      <c r="Z35" s="91"/>
      <c r="AA35" s="91"/>
      <c r="AB35" s="91"/>
    </row>
    <row r="36" ht="18" customHeight="1">
      <c r="A36" s="58"/>
      <c r="B36" s="982" t="s">
        <v>12</v>
      </c>
      <c r="C36" s="982"/>
      <c r="D36" s="482">
        <v>274.05340406233680565099084737</v>
      </c>
      <c r="E36" s="483">
        <v>285.0048058601026081483181012</v>
      </c>
      <c r="F36" s="484">
        <v>244.17593630657084595203308252</v>
      </c>
      <c r="G36" s="482">
        <v>287.87870855148342059336823735</v>
      </c>
      <c r="H36" s="483">
        <v>311.82551413237367472456075206</v>
      </c>
      <c r="I36" s="484">
        <v>234.47053642710605862295295205</v>
      </c>
      <c r="J36" s="482">
        <v>0</v>
      </c>
      <c r="K36" s="483">
        <v>0</v>
      </c>
      <c r="L36" s="484">
        <v>123.14805454311241383864164468</v>
      </c>
      <c r="M36" s="482">
        <v>275.60038567627602704615910367</v>
      </c>
      <c r="N36" s="483">
        <v>288.21114352095239710346464972</v>
      </c>
      <c r="O36" s="484">
        <v>229.99410822396806199078871219</v>
      </c>
      <c r="P36" s="93"/>
      <c r="Q36" s="468">
        <v>17.492848528244048465463537510</v>
      </c>
      <c r="R36" s="469">
        <v>16.298475049262168731076174690</v>
      </c>
      <c r="S36" s="470">
        <v>17.050502778582077850741477540</v>
      </c>
      <c r="T36" s="468">
        <v>16.476402499019717524184898160</v>
      </c>
      <c r="U36" s="469">
        <v>38.631229516836956733138638210</v>
      </c>
      <c r="V36" s="470">
        <v>36.808343387875545790517068020</v>
      </c>
      <c r="W36" s="468">
        <v>0</v>
      </c>
      <c r="X36" s="469">
        <v>-100</v>
      </c>
      <c r="Y36" s="470">
        <v>18.110232838997879544490380710</v>
      </c>
      <c r="Z36" s="468">
        <v>17.904096670558583726120748430</v>
      </c>
      <c r="AA36" s="469">
        <v>18.053361450747817297656364760</v>
      </c>
      <c r="AB36" s="470">
        <v>16.916544166485128877790553990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7" t="s">
        <v>10</v>
      </c>
      <c r="C38" s="1037"/>
      <c r="D38" s="1037"/>
      <c r="E38" s="1037"/>
      <c r="F38" s="1037"/>
      <c r="G38" s="1037"/>
      <c r="H38" s="1037"/>
      <c r="I38" s="1037"/>
      <c r="J38" s="1037"/>
      <c r="K38" s="1037"/>
      <c r="L38" s="1037"/>
      <c r="M38" s="1037"/>
      <c r="N38" s="1037"/>
      <c r="O38" s="1037"/>
      <c r="P38" s="411"/>
      <c r="Q38" s="1038"/>
      <c r="R38" s="1038"/>
      <c r="S38" s="1038"/>
      <c r="T38" s="1038"/>
      <c r="U38" s="1038"/>
      <c r="V38" s="1038"/>
      <c r="W38" s="1038"/>
      <c r="X38" s="1038"/>
      <c r="Y38" s="1038"/>
      <c r="Z38" s="1038"/>
      <c r="AA38" s="1038"/>
      <c r="AB38" s="1038"/>
      <c r="AC38" s="9"/>
    </row>
    <row r="39" ht="18" customHeight="1">
      <c r="A39" s="58"/>
      <c r="B39" s="1042" t="s">
        <v>43</v>
      </c>
      <c r="C39" s="1042"/>
      <c r="D39" s="454">
        <v>184.46920335721467961754278617</v>
      </c>
      <c r="E39" s="455">
        <v>180.03275253368128666031580581</v>
      </c>
      <c r="F39" s="456">
        <v>120.37480109947320273339599936</v>
      </c>
      <c r="G39" s="454">
        <v>23.031648216969603932248734608</v>
      </c>
      <c r="H39" s="455">
        <v>19.99544222523785375652083722</v>
      </c>
      <c r="I39" s="456">
        <v>22.519142686550533877331261473</v>
      </c>
      <c r="J39" s="454">
        <v>0</v>
      </c>
      <c r="K39" s="455">
        <v>0</v>
      </c>
      <c r="L39" s="456">
        <v>9.197851385631848040304456326</v>
      </c>
      <c r="M39" s="454">
        <v>207.50085157418428354979152061</v>
      </c>
      <c r="N39" s="455">
        <v>200.02993449670523390086147292</v>
      </c>
      <c r="O39" s="456">
        <v>152.09247298763686132943257144</v>
      </c>
      <c r="P39" s="5"/>
      <c r="Q39" s="427">
        <v>6.4166352221305652287252519100</v>
      </c>
      <c r="R39" s="428">
        <v>18.045589306251458143632403520</v>
      </c>
      <c r="S39" s="429">
        <v>11.800229166238379272804332830</v>
      </c>
      <c r="T39" s="427">
        <v>357.27778187213611490529635395</v>
      </c>
      <c r="U39" s="428">
        <v>202.46873208214288653011557700</v>
      </c>
      <c r="V39" s="429">
        <v>170.48588841840191361758083748</v>
      </c>
      <c r="W39" s="427">
        <v>0</v>
      </c>
      <c r="X39" s="428">
        <v>0</v>
      </c>
      <c r="Y39" s="429">
        <v>69.604223961346920675447016740</v>
      </c>
      <c r="Z39" s="427">
        <v>16.323289023254951395885015510</v>
      </c>
      <c r="AA39" s="428">
        <v>25.708571444169897326563175610</v>
      </c>
      <c r="AB39" s="429">
        <v>25.263411513393963770139771210</v>
      </c>
    </row>
    <row r="40" ht="18" customHeight="1">
      <c r="A40" s="58"/>
      <c r="B40" s="1043" t="s">
        <v>46</v>
      </c>
      <c r="C40" s="1043"/>
      <c r="D40" s="439">
        <v>153.09133574206658302695001716</v>
      </c>
      <c r="E40" s="95">
        <v>145.23290049650283157044917458</v>
      </c>
      <c r="F40" s="440">
        <v>104.45656516140828982631956943</v>
      </c>
      <c r="G40" s="439">
        <v>24.398610332577240450670292649</v>
      </c>
      <c r="H40" s="95">
        <v>27.139730530318888231227357067</v>
      </c>
      <c r="I40" s="440">
        <v>27.101149614170373973437192209</v>
      </c>
      <c r="J40" s="439">
        <v>0</v>
      </c>
      <c r="K40" s="95">
        <v>0</v>
      </c>
      <c r="L40" s="440">
        <v>10.085922375490378648622744819</v>
      </c>
      <c r="M40" s="439">
        <v>177.48994607464382347762030967</v>
      </c>
      <c r="N40" s="95">
        <v>172.37413023137059423077427471</v>
      </c>
      <c r="O40" s="440">
        <v>141.64426840353600683414367501</v>
      </c>
      <c r="P40" s="5"/>
      <c r="Q40" s="420">
        <v>13.872502821794932996182524130</v>
      </c>
      <c r="R40" s="91">
        <v>25.357853243824339603385626100</v>
      </c>
      <c r="S40" s="421">
        <v>19.937042706643523506699360620</v>
      </c>
      <c r="T40" s="420">
        <v>270.84246170381649442408201082</v>
      </c>
      <c r="U40" s="91">
        <v>423.23085633482999801570568434</v>
      </c>
      <c r="V40" s="421">
        <v>235.66582825908005941372492148</v>
      </c>
      <c r="W40" s="420">
        <v>0</v>
      </c>
      <c r="X40" s="91">
        <v>0</v>
      </c>
      <c r="Y40" s="421">
        <v>92.09823286051632892995537781</v>
      </c>
      <c r="Z40" s="420">
        <v>25.861325428626309381093816470</v>
      </c>
      <c r="AA40" s="91">
        <v>42.408998231377790002864350050</v>
      </c>
      <c r="AB40" s="421">
        <v>41.055956534640924945975612170</v>
      </c>
    </row>
    <row r="41" ht="18" customHeight="1">
      <c r="A41" s="58"/>
      <c r="B41" s="1043" t="s">
        <v>47</v>
      </c>
      <c r="C41" s="1043"/>
      <c r="D41" s="439">
        <v>155.0062268465309936364205054</v>
      </c>
      <c r="E41" s="95">
        <v>139.04021904623559396092165909</v>
      </c>
      <c r="F41" s="440">
        <v>108.0129049115064265147876918</v>
      </c>
      <c r="G41" s="439">
        <v>30.604399891863112648924681038</v>
      </c>
      <c r="H41" s="95">
        <v>37.052914702833015294054621391</v>
      </c>
      <c r="I41" s="440">
        <v>31.808769838512571308459681448</v>
      </c>
      <c r="J41" s="439">
        <v>0</v>
      </c>
      <c r="K41" s="95">
        <v>0</v>
      </c>
      <c r="L41" s="440">
        <v>9.08735213656589877029241381</v>
      </c>
      <c r="M41" s="439">
        <v>185.61062673839410628534518631</v>
      </c>
      <c r="N41" s="95">
        <v>176.09464716606480282913121558</v>
      </c>
      <c r="O41" s="440">
        <v>148.909832158827920541088589</v>
      </c>
      <c r="P41" s="93"/>
      <c r="Q41" s="420">
        <v>23.567305802687786702761678860</v>
      </c>
      <c r="R41" s="91">
        <v>25.289505057748827495311839040</v>
      </c>
      <c r="S41" s="421">
        <v>27.190271808836463606968083690</v>
      </c>
      <c r="T41" s="420">
        <v>311.98095540969409477227503071</v>
      </c>
      <c r="U41" s="91">
        <v>496.33711662960683376377844294</v>
      </c>
      <c r="V41" s="421">
        <v>260.96876445963847058702043483</v>
      </c>
      <c r="W41" s="420">
        <v>0</v>
      </c>
      <c r="X41" s="91">
        <v>0</v>
      </c>
      <c r="Y41" s="421">
        <v>75.3156419174177319437325900</v>
      </c>
      <c r="Z41" s="420">
        <v>39.691989456958331170909380580</v>
      </c>
      <c r="AA41" s="91">
        <v>50.266060496292450383271588100</v>
      </c>
      <c r="AB41" s="421">
        <v>50.538995145944685180750056080</v>
      </c>
    </row>
    <row r="42" ht="18" customHeight="1">
      <c r="A42" s="58"/>
      <c r="B42" s="1043" t="s">
        <v>48</v>
      </c>
      <c r="C42" s="1043"/>
      <c r="D42" s="439">
        <v>163.18824572136386008520001931</v>
      </c>
      <c r="E42" s="95">
        <v>146.83425862620642035221534908</v>
      </c>
      <c r="F42" s="440">
        <v>115.34771853817057258270235685</v>
      </c>
      <c r="G42" s="439">
        <v>31.695689764969503059407857411</v>
      </c>
      <c r="H42" s="95">
        <v>38.255678633652838244649988467</v>
      </c>
      <c r="I42" s="440">
        <v>34.492310772781639943144834296</v>
      </c>
      <c r="J42" s="439">
        <v>0</v>
      </c>
      <c r="K42" s="95">
        <v>0</v>
      </c>
      <c r="L42" s="440">
        <v>9.326977738404257497052936244</v>
      </c>
      <c r="M42" s="439">
        <v>194.88393548633336314460787657</v>
      </c>
      <c r="N42" s="95">
        <v>185.09154697486904307255598159</v>
      </c>
      <c r="O42" s="440">
        <v>159.16786788251032187451253566</v>
      </c>
      <c r="P42" s="5"/>
      <c r="Q42" s="420">
        <v>21.580195234603845140270143560</v>
      </c>
      <c r="R42" s="91">
        <v>24.145391453496421208842260620</v>
      </c>
      <c r="S42" s="421">
        <v>25.771191739667584236751121500</v>
      </c>
      <c r="T42" s="420">
        <v>255.85628678085695144113466139</v>
      </c>
      <c r="U42" s="91">
        <v>478.14337171835581782210238898</v>
      </c>
      <c r="V42" s="421">
        <v>224.95174933126589978985615197</v>
      </c>
      <c r="W42" s="420">
        <v>0</v>
      </c>
      <c r="X42" s="91">
        <v>0</v>
      </c>
      <c r="Y42" s="421">
        <v>70.293104877388535763894471640</v>
      </c>
      <c r="Z42" s="420">
        <v>36.159072427249619322306111790</v>
      </c>
      <c r="AA42" s="91">
        <v>48.200057893384281282386470180</v>
      </c>
      <c r="AB42" s="421">
        <v>47.645657933533502866488390140</v>
      </c>
    </row>
    <row r="43" ht="18" customHeight="1">
      <c r="A43" s="58"/>
      <c r="B43" s="1043" t="s">
        <v>49</v>
      </c>
      <c r="C43" s="1043"/>
      <c r="D43" s="439">
        <v>196.70990417679808093397934022</v>
      </c>
      <c r="E43" s="95">
        <v>188.65858794549911866655855747</v>
      </c>
      <c r="F43" s="440">
        <v>131.42378414220707894720625154</v>
      </c>
      <c r="G43" s="439">
        <v>34.549730148800010850573655601</v>
      </c>
      <c r="H43" s="95">
        <v>35.936743496565579031884464518</v>
      </c>
      <c r="I43" s="440">
        <v>32.711084003373855312718271484</v>
      </c>
      <c r="J43" s="439">
        <v>0</v>
      </c>
      <c r="K43" s="95">
        <v>0</v>
      </c>
      <c r="L43" s="440">
        <v>9.365632886788452984164477419</v>
      </c>
      <c r="M43" s="439">
        <v>231.25963432559809178455299564</v>
      </c>
      <c r="N43" s="95">
        <v>224.59728473288915905222323364</v>
      </c>
      <c r="O43" s="440">
        <v>173.50143944463982031111897307</v>
      </c>
      <c r="P43" s="93"/>
      <c r="Q43" s="420">
        <v>13.196795012386224727035820990</v>
      </c>
      <c r="R43" s="91">
        <v>19.642541390148185335430950190</v>
      </c>
      <c r="S43" s="421">
        <v>17.253252178797504165189659220</v>
      </c>
      <c r="T43" s="420">
        <v>410.74724998288048105676196355</v>
      </c>
      <c r="U43" s="91">
        <v>321.24387645021810677616030124</v>
      </c>
      <c r="V43" s="421">
        <v>158.54741694799365015075980148</v>
      </c>
      <c r="W43" s="420">
        <v>0</v>
      </c>
      <c r="X43" s="91">
        <v>0</v>
      </c>
      <c r="Y43" s="421">
        <v>70.549045029137517857631370350</v>
      </c>
      <c r="Z43" s="420">
        <v>28.092254804832950242832674720</v>
      </c>
      <c r="AA43" s="91">
        <v>35.123495245967911766730303110</v>
      </c>
      <c r="AB43" s="421">
        <v>33.228228747773990297812552600</v>
      </c>
    </row>
    <row r="44" ht="18" customHeight="1">
      <c r="A44" s="58"/>
      <c r="B44" s="1044" t="s">
        <v>75</v>
      </c>
      <c r="C44" s="1044"/>
      <c r="D44" s="457">
        <v>170.49298316879483946001853353</v>
      </c>
      <c r="E44" s="458">
        <v>159.95993346174760553616250446</v>
      </c>
      <c r="F44" s="459">
        <v>115.92315240030976185958784702</v>
      </c>
      <c r="G44" s="457">
        <v>28.856015671035894188365044249</v>
      </c>
      <c r="H44" s="458">
        <v>31.676233574497568251173188888</v>
      </c>
      <c r="I44" s="459">
        <v>29.726493117990609182656461361</v>
      </c>
      <c r="J44" s="457">
        <v>0</v>
      </c>
      <c r="K44" s="458">
        <v>0</v>
      </c>
      <c r="L44" s="459">
        <v>9.412747347562007463791979217</v>
      </c>
      <c r="M44" s="457">
        <v>199.34899883983073364838357778</v>
      </c>
      <c r="N44" s="458">
        <v>191.63782979461690907604040565</v>
      </c>
      <c r="O44" s="459">
        <v>155.063172461456523998955919</v>
      </c>
      <c r="P44" s="5"/>
      <c r="Q44" s="430">
        <v>15.006863053857986273133266320</v>
      </c>
      <c r="R44" s="431">
        <v>22.050497645696942900953264320</v>
      </c>
      <c r="S44" s="432">
        <v>19.884379121094383497287075520</v>
      </c>
      <c r="T44" s="430">
        <v>315.60175253279383736331731738</v>
      </c>
      <c r="U44" s="431">
        <v>377.63860599029689404188595072</v>
      </c>
      <c r="V44" s="432">
        <v>206.57908950357825354239738601</v>
      </c>
      <c r="W44" s="430">
        <v>0</v>
      </c>
      <c r="X44" s="431">
        <v>0</v>
      </c>
      <c r="Y44" s="432">
        <v>75.444527667957650746139237310</v>
      </c>
      <c r="Z44" s="430">
        <v>28.455533305861634474518829700</v>
      </c>
      <c r="AA44" s="431">
        <v>39.178327198920703715663479250</v>
      </c>
      <c r="AB44" s="432">
        <v>38.750213563231668543866644830</v>
      </c>
    </row>
    <row r="45" ht="6" customHeight="1">
      <c r="A45" s="58"/>
      <c r="B45" s="631"/>
      <c r="C45" s="631"/>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45" t="s">
        <v>50</v>
      </c>
      <c r="C46" s="1045"/>
      <c r="D46" s="493">
        <v>287.23262890012905448205531838</v>
      </c>
      <c r="E46" s="494">
        <v>258.46598585547842345361945518</v>
      </c>
      <c r="F46" s="495">
        <v>169.95249142959446644463209355</v>
      </c>
      <c r="G46" s="493">
        <v>25.906517079210889648100350125</v>
      </c>
      <c r="H46" s="494">
        <v>26.015948965148310606327239122</v>
      </c>
      <c r="I46" s="495">
        <v>32.095780439597556728886642206</v>
      </c>
      <c r="J46" s="493">
        <v>0</v>
      </c>
      <c r="K46" s="494">
        <v>0</v>
      </c>
      <c r="L46" s="495">
        <v>9.999424428161645056264501825</v>
      </c>
      <c r="M46" s="493">
        <v>313.13914597933994413015566824</v>
      </c>
      <c r="N46" s="494">
        <v>284.48440894130164881003726559</v>
      </c>
      <c r="O46" s="495">
        <v>212.04864131425731534916105048</v>
      </c>
      <c r="P46" s="93"/>
      <c r="Q46" s="479">
        <v>3.420818401634927843258646700</v>
      </c>
      <c r="R46" s="480">
        <v>5.3684470559042254373641187400</v>
      </c>
      <c r="S46" s="481">
        <v>7.8051885657336542490737781700</v>
      </c>
      <c r="T46" s="479">
        <v>177.41638357143986824145010384</v>
      </c>
      <c r="U46" s="480">
        <v>157.95541839776276551141625794</v>
      </c>
      <c r="V46" s="481">
        <v>114.76202105014516337668072336</v>
      </c>
      <c r="W46" s="479">
        <v>0</v>
      </c>
      <c r="X46" s="480">
        <v>0</v>
      </c>
      <c r="Y46" s="481">
        <v>80.42104663983024763536186268</v>
      </c>
      <c r="Z46" s="479">
        <v>9.080951688178644107855212440</v>
      </c>
      <c r="AA46" s="480">
        <v>11.395301309187340010464605190</v>
      </c>
      <c r="AB46" s="481">
        <v>19.038256466613696851546502280</v>
      </c>
    </row>
    <row r="47" ht="18" customHeight="1">
      <c r="A47" s="58"/>
      <c r="B47" s="1046" t="s">
        <v>51</v>
      </c>
      <c r="C47" s="1046"/>
      <c r="D47" s="276">
        <v>306.17287090396348980467250622</v>
      </c>
      <c r="E47" s="94">
        <v>276.88877036623357512694231549</v>
      </c>
      <c r="F47" s="277">
        <v>176.34977576736421277105251396</v>
      </c>
      <c r="G47" s="276">
        <v>22.511557600155984849142117317</v>
      </c>
      <c r="H47" s="94">
        <v>24.014708119837567145838756884</v>
      </c>
      <c r="I47" s="277">
        <v>27.900662638937009552956308321</v>
      </c>
      <c r="J47" s="276">
        <v>0</v>
      </c>
      <c r="K47" s="94">
        <v>0</v>
      </c>
      <c r="L47" s="277">
        <v>9.552382025531571821513891973</v>
      </c>
      <c r="M47" s="276">
        <v>328.68442850411947465381462327</v>
      </c>
      <c r="N47" s="94">
        <v>300.90604618897840834795460866</v>
      </c>
      <c r="O47" s="277">
        <v>213.80375533081557318232500004</v>
      </c>
      <c r="P47" s="5"/>
      <c r="Q47" s="271">
        <v>5.0726212157843790397049159400</v>
      </c>
      <c r="R47" s="92">
        <v>8.774057947271045308919749730</v>
      </c>
      <c r="S47" s="272">
        <v>7.983904335463239424576279290</v>
      </c>
      <c r="T47" s="271">
        <v>182.44565994081954973362558832</v>
      </c>
      <c r="U47" s="92">
        <v>144.41307299928748464786795266</v>
      </c>
      <c r="V47" s="272">
        <v>110.20131661510816516285713945</v>
      </c>
      <c r="W47" s="271">
        <v>0</v>
      </c>
      <c r="X47" s="92">
        <v>0</v>
      </c>
      <c r="Y47" s="272">
        <v>71.728714639451060124860285340</v>
      </c>
      <c r="Z47" s="271">
        <v>9.795009773131378105798375880</v>
      </c>
      <c r="AA47" s="92">
        <v>13.815948117041761943438784880</v>
      </c>
      <c r="AB47" s="272">
        <v>17.379811454124678480584629700</v>
      </c>
    </row>
    <row r="48" ht="18" customHeight="1">
      <c r="A48" s="58"/>
      <c r="B48" s="1047" t="s">
        <v>76</v>
      </c>
      <c r="C48" s="1047"/>
      <c r="D48" s="443">
        <v>296.79294153063595993061447022</v>
      </c>
      <c r="E48" s="444">
        <v>267.76485141203816078811406937</v>
      </c>
      <c r="F48" s="445">
        <v>173.18153130825252319390267124</v>
      </c>
      <c r="G48" s="443">
        <v>24.192870865973651987673813556</v>
      </c>
      <c r="H48" s="444">
        <v>25.005826442357223039913654683</v>
      </c>
      <c r="I48" s="445">
        <v>29.978287772588209297807072028</v>
      </c>
      <c r="J48" s="443">
        <v>0</v>
      </c>
      <c r="K48" s="444">
        <v>0</v>
      </c>
      <c r="L48" s="445">
        <v>9.773779034065114356107889913</v>
      </c>
      <c r="M48" s="443">
        <v>320.98581239660961191828828363</v>
      </c>
      <c r="N48" s="444">
        <v>292.77319988219936937142016878</v>
      </c>
      <c r="O48" s="445">
        <v>212.93453806158586496529261065</v>
      </c>
      <c r="P48" s="93"/>
      <c r="Q48" s="273">
        <v>4.3220839159599853617884658800</v>
      </c>
      <c r="R48" s="274">
        <v>7.1584629908902894902918850400</v>
      </c>
      <c r="S48" s="275">
        <v>7.933157421616116639917398910</v>
      </c>
      <c r="T48" s="273">
        <v>179.33513413891897672017564634</v>
      </c>
      <c r="U48" s="274">
        <v>151.14304573065388066826538647</v>
      </c>
      <c r="V48" s="275">
        <v>112.35596472635893913433257129</v>
      </c>
      <c r="W48" s="273">
        <v>0</v>
      </c>
      <c r="X48" s="274">
        <v>0</v>
      </c>
      <c r="Y48" s="275">
        <v>76.031756411972199148643205370</v>
      </c>
      <c r="Z48" s="273">
        <v>9.492566459252921216493442980</v>
      </c>
      <c r="AA48" s="274">
        <v>12.676898971670486786199535010</v>
      </c>
      <c r="AB48" s="275">
        <v>18.216935467419765020236353720</v>
      </c>
    </row>
    <row r="49" ht="6" customHeight="1">
      <c r="A49" s="58"/>
      <c r="B49" s="631"/>
      <c r="C49" s="631"/>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82" t="s">
        <v>12</v>
      </c>
      <c r="C50" s="982"/>
      <c r="D50" s="482">
        <v>206.9507056870070568700705687</v>
      </c>
      <c r="E50" s="483">
        <v>192.18017571478663592959217439</v>
      </c>
      <c r="F50" s="484">
        <v>132.59173095822819947202394618</v>
      </c>
      <c r="G50" s="482">
        <v>27.38970527189705271897052719</v>
      </c>
      <c r="H50" s="483">
        <v>28.549659381302686661247844147</v>
      </c>
      <c r="I50" s="484">
        <v>29.591204754376580955888437289</v>
      </c>
      <c r="J50" s="482">
        <v>0</v>
      </c>
      <c r="K50" s="483">
        <v>0</v>
      </c>
      <c r="L50" s="484">
        <v>9.527091376272350686651316141</v>
      </c>
      <c r="M50" s="482">
        <v>234.34041095890410958904109589</v>
      </c>
      <c r="N50" s="483">
        <v>220.72983509608932259084001853</v>
      </c>
      <c r="O50" s="484">
        <v>171.71002708887713111456369961</v>
      </c>
      <c r="P50" s="93"/>
      <c r="Q50" s="468">
        <v>10.378597087469243380630391810</v>
      </c>
      <c r="R50" s="469">
        <v>16.025544576077280147378005430</v>
      </c>
      <c r="S50" s="470">
        <v>15.329877876840678310107373560</v>
      </c>
      <c r="T50" s="468">
        <v>270.78321462036673486568389740</v>
      </c>
      <c r="U50" s="469">
        <v>296.37455651509818736249394793</v>
      </c>
      <c r="V50" s="470">
        <v>172.40528487719005256899174061</v>
      </c>
      <c r="W50" s="468">
        <v>0</v>
      </c>
      <c r="X50" s="469">
        <v>-100</v>
      </c>
      <c r="Y50" s="470">
        <v>70.735351076024211444498660620</v>
      </c>
      <c r="Z50" s="468">
        <v>20.249380808160366492609650750</v>
      </c>
      <c r="AA50" s="469">
        <v>27.698990231218930414849968600</v>
      </c>
      <c r="AB50" s="470">
        <v>30.667058524252218894808491960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48" t="s">
        <v>126</v>
      </c>
      <c r="C52" s="1048"/>
      <c r="D52" s="1048"/>
      <c r="E52" s="1048"/>
      <c r="F52" s="1048"/>
      <c r="G52" s="1048"/>
      <c r="H52" s="1048"/>
      <c r="I52" s="1048"/>
      <c r="J52" s="1048"/>
      <c r="K52" s="1048"/>
      <c r="L52" s="1048"/>
      <c r="M52" s="1048"/>
      <c r="N52" s="1048"/>
      <c r="O52" s="1048"/>
      <c r="P52" s="1048"/>
      <c r="Q52" s="1048"/>
      <c r="R52" s="1048"/>
      <c r="S52" s="1048"/>
      <c r="T52" s="1048"/>
      <c r="U52" s="1048"/>
      <c r="V52" s="1048"/>
      <c r="W52" s="1048"/>
      <c r="X52" s="1048"/>
      <c r="Y52" s="1048"/>
      <c r="Z52" s="1048"/>
      <c r="AA52" s="1048"/>
      <c r="AB52" s="1048"/>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11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8"/>
      <c r="B1" s="656" t="s">
        <v>193</v>
      </c>
      <c r="Y1" s="5"/>
      <c r="AB1" s="685"/>
      <c r="AD1" s="236"/>
    </row>
    <row r="2" ht="15" customHeight="1">
      <c r="A2" s="11"/>
      <c r="B2" s="11" t="s">
        <v>208</v>
      </c>
    </row>
    <row r="3" ht="17.1" customHeight="1">
      <c r="A3" s="11"/>
      <c r="B3" s="11" t="s">
        <v>209</v>
      </c>
      <c r="R3" s="1040" t="s">
        <v>301</v>
      </c>
      <c r="S3" s="1040"/>
      <c r="T3" s="1040"/>
      <c r="U3" s="1040"/>
      <c r="V3" s="1040"/>
      <c r="W3" s="1040"/>
      <c r="X3" s="1040"/>
      <c r="Y3" s="1040"/>
      <c r="Z3" s="1040"/>
      <c r="AA3" s="1040"/>
      <c r="AB3" s="1040"/>
    </row>
    <row r="4" ht="19.5" customHeight="1">
      <c r="A4" s="4"/>
      <c r="B4" s="211" t="s">
        <v>210</v>
      </c>
      <c r="C4" s="5"/>
      <c r="D4" s="5"/>
      <c r="E4" s="5"/>
      <c r="F4" s="5"/>
      <c r="G4" s="5"/>
      <c r="H4" s="212"/>
      <c r="I4" s="212"/>
      <c r="J4" s="212"/>
      <c r="K4" s="212"/>
      <c r="L4" s="212"/>
      <c r="M4" s="212"/>
      <c r="N4" s="212"/>
      <c r="O4" s="212"/>
      <c r="P4" s="212"/>
      <c r="Q4" s="212"/>
      <c r="R4" s="212"/>
      <c r="S4" s="212"/>
      <c r="T4" s="212"/>
      <c r="U4" s="4"/>
      <c r="V4" s="4"/>
    </row>
    <row r="5" ht="12.75" customHeight="1"/>
    <row r="6" ht="15.75">
      <c r="D6" s="978" t="s">
        <v>44</v>
      </c>
      <c r="E6" s="978"/>
      <c r="F6" s="978"/>
      <c r="G6" s="978"/>
      <c r="H6" s="978"/>
      <c r="I6" s="978"/>
      <c r="J6" s="978"/>
      <c r="K6" s="978"/>
      <c r="L6" s="978"/>
      <c r="M6" s="978"/>
      <c r="N6" s="978"/>
      <c r="O6" s="978"/>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1041"/>
      <c r="C8" s="1041"/>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73" t="s">
        <v>22</v>
      </c>
      <c r="C10" s="973"/>
      <c r="D10" s="973"/>
      <c r="E10" s="973"/>
      <c r="F10" s="973"/>
      <c r="G10" s="973"/>
      <c r="H10" s="973"/>
      <c r="I10" s="973"/>
      <c r="J10" s="973"/>
      <c r="K10" s="973"/>
      <c r="L10" s="973"/>
      <c r="M10" s="973"/>
      <c r="N10" s="973"/>
      <c r="O10" s="973"/>
      <c r="P10" s="411"/>
      <c r="Q10" s="971"/>
      <c r="R10" s="971"/>
      <c r="S10" s="971"/>
      <c r="T10" s="971"/>
      <c r="U10" s="971"/>
      <c r="V10" s="971"/>
      <c r="W10" s="971"/>
      <c r="X10" s="971"/>
      <c r="Y10" s="971"/>
      <c r="Z10" s="971"/>
      <c r="AA10" s="971"/>
      <c r="AB10" s="971"/>
      <c r="AC10" s="9"/>
    </row>
    <row r="11" ht="18" customHeight="1">
      <c r="A11" s="58"/>
      <c r="B11" s="1042" t="s">
        <v>43</v>
      </c>
      <c r="C11" s="1042"/>
      <c r="D11" s="427">
        <v>73.076923076923076923076923140</v>
      </c>
      <c r="E11" s="428">
        <v>69.838376473447563494956859950</v>
      </c>
      <c r="F11" s="429">
        <v>50.926723942409754415887214620</v>
      </c>
      <c r="G11" s="427">
        <v>7.925407925407925407925407930</v>
      </c>
      <c r="H11" s="428">
        <v>8.482197107789524851136225550</v>
      </c>
      <c r="I11" s="429">
        <v>9.804312917887631886924256320</v>
      </c>
      <c r="J11" s="427">
        <v>0</v>
      </c>
      <c r="K11" s="428">
        <v>0</v>
      </c>
      <c r="L11" s="429">
        <v>8.164968655592549919711141560</v>
      </c>
      <c r="M11" s="427">
        <v>81.00233100233100233100233100</v>
      </c>
      <c r="N11" s="428">
        <v>78.320573581237088346093085430</v>
      </c>
      <c r="O11" s="429">
        <v>68.895098297150425939198200080</v>
      </c>
      <c r="P11" s="5"/>
      <c r="Q11" s="427">
        <v>-10.171919770794229932430763420</v>
      </c>
      <c r="R11" s="428">
        <v>13.106456507667120415533161510</v>
      </c>
      <c r="S11" s="429">
        <v>-4.8438099658761489274888104200</v>
      </c>
      <c r="T11" s="427">
        <v>161.53846153872307692307718477</v>
      </c>
      <c r="U11" s="428">
        <v>36.430319363164399984694191990</v>
      </c>
      <c r="V11" s="429">
        <v>66.242923058854911709912020500</v>
      </c>
      <c r="W11" s="427">
        <v>0</v>
      </c>
      <c r="X11" s="428">
        <v>0</v>
      </c>
      <c r="Y11" s="429">
        <v>24.479150209170762686695696800</v>
      </c>
      <c r="Z11" s="427">
        <v>-4.0055248618962199719178258400</v>
      </c>
      <c r="AA11" s="428">
        <v>15.240119298033819354512868030</v>
      </c>
      <c r="AB11" s="429">
        <v>4.4259572156398312348692323100</v>
      </c>
    </row>
    <row r="12" ht="18" customHeight="1">
      <c r="A12" s="58"/>
      <c r="B12" s="1043" t="s">
        <v>46</v>
      </c>
      <c r="C12" s="1043"/>
      <c r="D12" s="420">
        <v>67.948717948717948717948718010</v>
      </c>
      <c r="E12" s="91">
        <v>60.675659253858305991007412870</v>
      </c>
      <c r="F12" s="421">
        <v>46.460486087800629609805220180</v>
      </c>
      <c r="G12" s="420">
        <v>7.925407925407925407925407930</v>
      </c>
      <c r="H12" s="91">
        <v>12.273666302102321059667031240</v>
      </c>
      <c r="I12" s="421">
        <v>12.616691010369510192602538410</v>
      </c>
      <c r="J12" s="420">
        <v>0</v>
      </c>
      <c r="K12" s="91">
        <v>0</v>
      </c>
      <c r="L12" s="421">
        <v>7.4890906946573888430239415100</v>
      </c>
      <c r="M12" s="420">
        <v>75.874125874125874125874125870</v>
      </c>
      <c r="N12" s="91">
        <v>72.925021266253493741645400410</v>
      </c>
      <c r="O12" s="421">
        <v>66.564453355348508078782875340</v>
      </c>
      <c r="P12" s="5"/>
      <c r="Q12" s="420">
        <v>-5.5870445344169307479224374200</v>
      </c>
      <c r="R12" s="91">
        <v>9.365509307807828533102301390</v>
      </c>
      <c r="S12" s="421">
        <v>-6.9687063816741913460134681700</v>
      </c>
      <c r="T12" s="420">
        <v>81.33333333455189333334152216</v>
      </c>
      <c r="U12" s="91">
        <v>158.81975495127028567676789352</v>
      </c>
      <c r="V12" s="421">
        <v>98.54034746804589733605463857</v>
      </c>
      <c r="W12" s="420">
        <v>0</v>
      </c>
      <c r="X12" s="91">
        <v>0</v>
      </c>
      <c r="Y12" s="421">
        <v>20.740274363932691457302922490</v>
      </c>
      <c r="Z12" s="420">
        <v>-0.6106870228664702523162867600</v>
      </c>
      <c r="AA12" s="91">
        <v>21.020422708294835364437277350</v>
      </c>
      <c r="AB12" s="421">
        <v>6.5064034083272538041910030200</v>
      </c>
    </row>
    <row r="13" ht="18" customHeight="1">
      <c r="A13" s="58"/>
      <c r="B13" s="1043" t="s">
        <v>47</v>
      </c>
      <c r="C13" s="1043"/>
      <c r="D13" s="420">
        <v>70.920745920745920745920745980</v>
      </c>
      <c r="E13" s="91">
        <v>56.835581480131243164418519920</v>
      </c>
      <c r="F13" s="421">
        <v>48.336614441107895524689958040</v>
      </c>
      <c r="G13" s="420">
        <v>9.557109557109557109557109570</v>
      </c>
      <c r="H13" s="91">
        <v>16.660590594239883339409405780</v>
      </c>
      <c r="I13" s="421">
        <v>14.844820234606766037359267710</v>
      </c>
      <c r="J13" s="420">
        <v>0</v>
      </c>
      <c r="K13" s="91">
        <v>0</v>
      </c>
      <c r="L13" s="421">
        <v>7.6342456929790341749299173600</v>
      </c>
      <c r="M13" s="420">
        <v>80.47785547785547785547785548</v>
      </c>
      <c r="N13" s="91">
        <v>73.47186778466399319479888200</v>
      </c>
      <c r="O13" s="421">
        <v>70.816587587433206020303555390</v>
      </c>
      <c r="P13" s="184"/>
      <c r="Q13" s="420">
        <v>4.3739279588611896825140045900</v>
      </c>
      <c r="R13" s="91">
        <v>5.1233990713811864497416378200</v>
      </c>
      <c r="S13" s="421">
        <v>-3.547669646633181202278325100</v>
      </c>
      <c r="T13" s="420">
        <v>31.199999999680921600000776180</v>
      </c>
      <c r="U13" s="91">
        <v>188.32663427097635833725912106</v>
      </c>
      <c r="V13" s="421">
        <v>91.80028613902307605332161892</v>
      </c>
      <c r="W13" s="420">
        <v>0</v>
      </c>
      <c r="X13" s="91">
        <v>0</v>
      </c>
      <c r="Y13" s="421">
        <v>18.647648770253688605177232670</v>
      </c>
      <c r="Z13" s="420">
        <v>6.9713400464759317469869759200</v>
      </c>
      <c r="AA13" s="91">
        <v>22.797418793418106300539643920</v>
      </c>
      <c r="AB13" s="421">
        <v>10.151048481408676065213796090</v>
      </c>
    </row>
    <row r="14" ht="18" customHeight="1">
      <c r="A14" s="58"/>
      <c r="B14" s="1043" t="s">
        <v>48</v>
      </c>
      <c r="C14" s="1043"/>
      <c r="D14" s="420">
        <v>73.951048951048951048951049020</v>
      </c>
      <c r="E14" s="91">
        <v>58.731316077287641268683922770</v>
      </c>
      <c r="F14" s="421">
        <v>50.557485915429069102851388550</v>
      </c>
      <c r="G14" s="420">
        <v>8.333333333333333333333333340</v>
      </c>
      <c r="H14" s="91">
        <v>16.879329201604083120670798410</v>
      </c>
      <c r="I14" s="421">
        <v>16.517731590263728487575639380</v>
      </c>
      <c r="J14" s="420">
        <v>0</v>
      </c>
      <c r="K14" s="91">
        <v>0</v>
      </c>
      <c r="L14" s="421">
        <v>7.959937220463225888393950670</v>
      </c>
      <c r="M14" s="420">
        <v>82.28438228438228438228438228</v>
      </c>
      <c r="N14" s="91">
        <v>75.598493134038157734840199300</v>
      </c>
      <c r="O14" s="421">
        <v>75.034247507416513195496566180</v>
      </c>
      <c r="P14" s="5"/>
      <c r="Q14" s="420">
        <v>1.8459069021183918233370963500</v>
      </c>
      <c r="R14" s="91">
        <v>1.7901934886664474679214960400</v>
      </c>
      <c r="S14" s="421">
        <v>-3.4415688143055346834862168800</v>
      </c>
      <c r="T14" s="420">
        <v>11.718750000111718750000111810</v>
      </c>
      <c r="U14" s="91">
        <v>158.80586437624373588041143267</v>
      </c>
      <c r="V14" s="421">
        <v>79.29964349198902533679092093</v>
      </c>
      <c r="W14" s="420">
        <v>0</v>
      </c>
      <c r="X14" s="91">
        <v>0</v>
      </c>
      <c r="Y14" s="421">
        <v>20.634842658121652272662021070</v>
      </c>
      <c r="Z14" s="420">
        <v>2.7656477438522758910013302500</v>
      </c>
      <c r="AA14" s="91">
        <v>17.717243579841328749484452310</v>
      </c>
      <c r="AB14" s="421">
        <v>10.060198356662937354219057680</v>
      </c>
    </row>
    <row r="15" ht="18" customHeight="1">
      <c r="A15" s="58"/>
      <c r="B15" s="1043" t="s">
        <v>49</v>
      </c>
      <c r="C15" s="1043"/>
      <c r="D15" s="420">
        <v>78.030303030303030303030303100</v>
      </c>
      <c r="E15" s="91">
        <v>66.144124437963300522542228770</v>
      </c>
      <c r="F15" s="421">
        <v>53.720050441361916771752837380</v>
      </c>
      <c r="G15" s="420">
        <v>9.032634032634032634032634040</v>
      </c>
      <c r="H15" s="91">
        <v>14.886377445619151780289221060</v>
      </c>
      <c r="I15" s="421">
        <v>14.461066707793916191132844050</v>
      </c>
      <c r="J15" s="420">
        <v>0</v>
      </c>
      <c r="K15" s="91">
        <v>0</v>
      </c>
      <c r="L15" s="421">
        <v>7.9073185335716294555780344300</v>
      </c>
      <c r="M15" s="420">
        <v>87.06293706293706293706293706</v>
      </c>
      <c r="N15" s="91">
        <v>81.01834973872888564831692794</v>
      </c>
      <c r="O15" s="421">
        <v>76.090250120206482985112540480</v>
      </c>
      <c r="P15" s="184"/>
      <c r="Q15" s="420">
        <v>-6.1009817671435240937193109400</v>
      </c>
      <c r="R15" s="91">
        <v>5.4167967290924590476800581600</v>
      </c>
      <c r="S15" s="421">
        <v>-4.2164065659448699506225841500</v>
      </c>
      <c r="T15" s="420">
        <v>103.94736842125657894736862517</v>
      </c>
      <c r="U15" s="91">
        <v>114.60976131257795536214699693</v>
      </c>
      <c r="V15" s="421">
        <v>42.361884167387728050520019120</v>
      </c>
      <c r="W15" s="420">
        <v>0</v>
      </c>
      <c r="X15" s="91">
        <v>0</v>
      </c>
      <c r="Y15" s="421">
        <v>21.151180962907525116905962190</v>
      </c>
      <c r="Z15" s="420">
        <v>-0.5326231690652083950205579200</v>
      </c>
      <c r="AA15" s="91">
        <v>16.228318101979306517244244160</v>
      </c>
      <c r="AB15" s="421">
        <v>4.5632440662574204053393780100</v>
      </c>
    </row>
    <row r="16" ht="18" customHeight="1">
      <c r="A16" s="58"/>
      <c r="B16" s="1044" t="s">
        <v>75</v>
      </c>
      <c r="C16" s="1044"/>
      <c r="D16" s="430">
        <v>72.785547785547785547785547840</v>
      </c>
      <c r="E16" s="431">
        <v>62.445011544537610888321788890</v>
      </c>
      <c r="F16" s="432">
        <v>50.000272165621853084997323760</v>
      </c>
      <c r="G16" s="430">
        <v>8.554778554778554778554778560</v>
      </c>
      <c r="H16" s="431">
        <v>13.836432130270992830234536420</v>
      </c>
      <c r="I16" s="432">
        <v>13.648924492184310559118909180</v>
      </c>
      <c r="J16" s="430">
        <v>0</v>
      </c>
      <c r="K16" s="431">
        <v>0</v>
      </c>
      <c r="L16" s="432">
        <v>7.8311121594527656563273971100</v>
      </c>
      <c r="M16" s="430">
        <v>81.34032634032634032634032634</v>
      </c>
      <c r="N16" s="431">
        <v>76.266861100984323733138899020</v>
      </c>
      <c r="O16" s="432">
        <v>71.480127373511027243778747490</v>
      </c>
      <c r="P16" s="5"/>
      <c r="Q16" s="430">
        <v>-3.4626681094829501967849610200</v>
      </c>
      <c r="R16" s="431">
        <v>7.0236157493780771590160491400</v>
      </c>
      <c r="S16" s="432">
        <v>-4.5856490403844547249135891300</v>
      </c>
      <c r="T16" s="430">
        <v>60.964912280256982917822097030</v>
      </c>
      <c r="U16" s="431">
        <v>129.10830190633114017180544878</v>
      </c>
      <c r="V16" s="432">
        <v>73.384450188009838695780936300</v>
      </c>
      <c r="W16" s="430">
        <v>0</v>
      </c>
      <c r="X16" s="431">
        <v>0</v>
      </c>
      <c r="Y16" s="432">
        <v>21.144323768864451325965316870</v>
      </c>
      <c r="Z16" s="629">
        <v>0.7797833934465035123617188900</v>
      </c>
      <c r="AA16" s="214">
        <v>18.434246102468882708111501010</v>
      </c>
      <c r="AB16" s="630">
        <v>7.1009139943189460736079592800</v>
      </c>
    </row>
    <row r="17" ht="6" customHeight="1">
      <c r="A17" s="58"/>
      <c r="B17" s="631"/>
      <c r="C17" s="631"/>
      <c r="D17" s="91"/>
      <c r="E17" s="91"/>
      <c r="F17" s="91"/>
      <c r="G17" s="91"/>
      <c r="H17" s="91"/>
      <c r="I17" s="91"/>
      <c r="J17" s="91"/>
      <c r="K17" s="91"/>
      <c r="L17" s="91"/>
      <c r="M17" s="91"/>
      <c r="N17" s="91"/>
      <c r="O17" s="91"/>
      <c r="P17" s="5"/>
      <c r="Q17" s="91"/>
      <c r="R17" s="91"/>
      <c r="S17" s="91"/>
      <c r="T17" s="91"/>
      <c r="U17" s="91"/>
      <c r="V17" s="91"/>
      <c r="W17" s="91"/>
      <c r="X17" s="91"/>
      <c r="Y17" s="91"/>
      <c r="Z17" s="632"/>
      <c r="AA17" s="632"/>
      <c r="AB17" s="632"/>
      <c r="AC17" s="4"/>
    </row>
    <row r="18" ht="18" customHeight="1">
      <c r="A18" s="58"/>
      <c r="B18" s="1045" t="s">
        <v>50</v>
      </c>
      <c r="C18" s="1045"/>
      <c r="D18" s="479">
        <v>76.107226107226107226107226170</v>
      </c>
      <c r="E18" s="480">
        <v>73.787823550856726212176449220</v>
      </c>
      <c r="F18" s="481">
        <v>58.970125286907926370127101400</v>
      </c>
      <c r="G18" s="479">
        <v>8.041958041958041958041958050</v>
      </c>
      <c r="H18" s="480">
        <v>10.924778223356422408555109990</v>
      </c>
      <c r="I18" s="481">
        <v>14.312282834514229725929218810</v>
      </c>
      <c r="J18" s="479">
        <v>0</v>
      </c>
      <c r="K18" s="480">
        <v>0</v>
      </c>
      <c r="L18" s="481">
        <v>8.065174594246418754025783160</v>
      </c>
      <c r="M18" s="479">
        <v>84.14918414918414918414918415</v>
      </c>
      <c r="N18" s="480">
        <v>84.71260177421314862073155912</v>
      </c>
      <c r="O18" s="481">
        <v>81.35030437188710570005534034</v>
      </c>
      <c r="P18" s="184"/>
      <c r="Q18" s="479">
        <v>-9.494109494099709688898876960</v>
      </c>
      <c r="R18" s="480">
        <v>10.763234196815164491919638210</v>
      </c>
      <c r="S18" s="481">
        <v>-4.005143939553754994777976700</v>
      </c>
      <c r="T18" s="479">
        <v>37.606837605797910731251920200</v>
      </c>
      <c r="U18" s="480">
        <v>57.181581148743273593258893630</v>
      </c>
      <c r="V18" s="481">
        <v>17.602405273967492776446223310</v>
      </c>
      <c r="W18" s="479">
        <v>0</v>
      </c>
      <c r="X18" s="480">
        <v>0</v>
      </c>
      <c r="Y18" s="481">
        <v>26.318287669536946806056834010</v>
      </c>
      <c r="Z18" s="479">
        <v>-6.4333981301855135172707265200</v>
      </c>
      <c r="AA18" s="480">
        <v>15.130942165135147939667261420</v>
      </c>
      <c r="AB18" s="481">
        <v>1.7043432904613985854521263500</v>
      </c>
    </row>
    <row r="19" ht="18" customHeight="1">
      <c r="A19" s="58"/>
      <c r="B19" s="1046" t="s">
        <v>51</v>
      </c>
      <c r="C19" s="1046"/>
      <c r="D19" s="271">
        <v>78.300865800865800865800865870</v>
      </c>
      <c r="E19" s="92">
        <v>77.138343489054389528323177690</v>
      </c>
      <c r="F19" s="272">
        <v>59.73244823345071015786902100</v>
      </c>
      <c r="G19" s="271">
        <v>6.7099567099567099567099567200</v>
      </c>
      <c r="H19" s="92">
        <v>9.614082599864590385917400150</v>
      </c>
      <c r="I19" s="272">
        <v>12.295081967213114754098360670</v>
      </c>
      <c r="J19" s="271">
        <v>0</v>
      </c>
      <c r="K19" s="92">
        <v>0</v>
      </c>
      <c r="L19" s="272">
        <v>8.099843310363418866780112220</v>
      </c>
      <c r="M19" s="271">
        <v>85.01082251082251082251082251</v>
      </c>
      <c r="N19" s="92">
        <v>86.77499435793274655833897540</v>
      </c>
      <c r="O19" s="272">
        <v>80.12905834582919144777854531</v>
      </c>
      <c r="P19" s="5"/>
      <c r="Q19" s="271">
        <v>-10.543085409891261958248791040</v>
      </c>
      <c r="R19" s="92">
        <v>11.835601208964723172536391630</v>
      </c>
      <c r="S19" s="272">
        <v>-6.636144887891992866985689100</v>
      </c>
      <c r="T19" s="271">
        <v>35.462184873401356401386301940</v>
      </c>
      <c r="U19" s="92">
        <v>29.924743932592992269765487550</v>
      </c>
      <c r="V19" s="272">
        <v>17.799254973053180268358299950</v>
      </c>
      <c r="W19" s="271">
        <v>0</v>
      </c>
      <c r="X19" s="92">
        <v>0</v>
      </c>
      <c r="Y19" s="272">
        <v>22.724124353055962244834813600</v>
      </c>
      <c r="Z19" s="271">
        <v>-8.079035016635787737288228930</v>
      </c>
      <c r="AA19" s="92">
        <v>13.581502906993040803994431790</v>
      </c>
      <c r="AB19" s="272">
        <v>-1.095254124029564682232709900</v>
      </c>
    </row>
    <row r="20" ht="18" customHeight="1">
      <c r="A20" s="58"/>
      <c r="B20" s="1047" t="s">
        <v>76</v>
      </c>
      <c r="C20" s="1047"/>
      <c r="D20" s="273">
        <v>77.244668911335578002244668970</v>
      </c>
      <c r="E20" s="274">
        <v>75.525130185477736820548826970</v>
      </c>
      <c r="F20" s="275">
        <v>59.365403851781962408215504160</v>
      </c>
      <c r="G20" s="273">
        <v>7.3512906846240179573512906900</v>
      </c>
      <c r="H20" s="274">
        <v>10.245158270434731730150371550</v>
      </c>
      <c r="I20" s="275">
        <v>13.266326829246984925720625700</v>
      </c>
      <c r="J20" s="273">
        <v>0</v>
      </c>
      <c r="K20" s="274">
        <v>0</v>
      </c>
      <c r="L20" s="275">
        <v>8.083150965566344738416916750</v>
      </c>
      <c r="M20" s="273">
        <v>84.59595959595959595959595960</v>
      </c>
      <c r="N20" s="274">
        <v>85.78199052132701421800947867</v>
      </c>
      <c r="O20" s="275">
        <v>80.71706569170892793961552070</v>
      </c>
      <c r="P20" s="184"/>
      <c r="Q20" s="273">
        <v>-9.914921465948541278336663870</v>
      </c>
      <c r="R20" s="274">
        <v>11.472030058867992106444741210</v>
      </c>
      <c r="S20" s="275">
        <v>-5.253920724341352544984574500</v>
      </c>
      <c r="T20" s="273">
        <v>35.751295336714413809766744660</v>
      </c>
      <c r="U20" s="274">
        <v>42.953940584996942198896335930</v>
      </c>
      <c r="V20" s="275">
        <v>17.032236434805666093915984670</v>
      </c>
      <c r="W20" s="273">
        <v>0</v>
      </c>
      <c r="X20" s="274">
        <v>0</v>
      </c>
      <c r="Y20" s="275">
        <v>24.577409720920635514415626600</v>
      </c>
      <c r="Z20" s="273">
        <v>-7.2022160664655427751475174300</v>
      </c>
      <c r="AA20" s="274">
        <v>14.472293609516553624430462160</v>
      </c>
      <c r="AB20" s="275">
        <v>0.2911322825885609384072708500</v>
      </c>
    </row>
    <row r="21" ht="6" customHeight="1">
      <c r="A21" s="58"/>
      <c r="B21" s="631"/>
      <c r="C21" s="631"/>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82" t="s">
        <v>12</v>
      </c>
      <c r="C22" s="982"/>
      <c r="D22" s="468">
        <v>74.094202898550724637681159420</v>
      </c>
      <c r="E22" s="469">
        <v>67.508070609245140462943883510</v>
      </c>
      <c r="F22" s="470">
        <v>52.671331283097500395056418030</v>
      </c>
      <c r="G22" s="468">
        <v>8.201581027667984189723320160</v>
      </c>
      <c r="H22" s="469">
        <v>11.554708427776633010508963530</v>
      </c>
      <c r="I22" s="470">
        <v>13.564165742912315740434326750</v>
      </c>
      <c r="J22" s="468">
        <v>0</v>
      </c>
      <c r="K22" s="469">
        <v>0</v>
      </c>
      <c r="L22" s="470">
        <v>7.954958165076089195839344400</v>
      </c>
      <c r="M22" s="468">
        <v>82.29578392621870882740447958</v>
      </c>
      <c r="N22" s="469">
        <v>79.062779037021773473452847040</v>
      </c>
      <c r="O22" s="470">
        <v>74.190455191085905331330089170</v>
      </c>
      <c r="P22" s="184"/>
      <c r="Q22" s="468">
        <v>-5.5030455786709015582525884600</v>
      </c>
      <c r="R22" s="469">
        <v>9.670703418735648219842536460</v>
      </c>
      <c r="S22" s="470">
        <v>-4.7012386600145328808299733300</v>
      </c>
      <c r="T22" s="468">
        <v>52.760736195265625352862094740</v>
      </c>
      <c r="U22" s="469">
        <v>96.19465298446503444309553620</v>
      </c>
      <c r="V22" s="470">
        <v>55.268590898656047528396915790</v>
      </c>
      <c r="W22" s="468">
        <v>0</v>
      </c>
      <c r="X22" s="469">
        <v>-100</v>
      </c>
      <c r="Y22" s="470">
        <v>17.545490299294680790841334210</v>
      </c>
      <c r="Z22" s="468">
        <v>-1.7692156477835750336517015900</v>
      </c>
      <c r="AA22" s="469">
        <v>17.163231956399399334669779050</v>
      </c>
      <c r="AB22" s="470">
        <v>4.8284813780431782273574737900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37" t="s">
        <v>9</v>
      </c>
      <c r="C24" s="1037"/>
      <c r="D24" s="1037"/>
      <c r="E24" s="1037"/>
      <c r="F24" s="1037"/>
      <c r="G24" s="1037"/>
      <c r="H24" s="1037"/>
      <c r="I24" s="1037"/>
      <c r="J24" s="1037"/>
      <c r="K24" s="1037"/>
      <c r="L24" s="1037"/>
      <c r="M24" s="1037"/>
      <c r="N24" s="1037"/>
      <c r="O24" s="1037"/>
      <c r="P24" s="411"/>
      <c r="Q24" s="1038"/>
      <c r="R24" s="1038"/>
      <c r="S24" s="1038"/>
      <c r="T24" s="1038"/>
      <c r="U24" s="1038"/>
      <c r="V24" s="1038"/>
      <c r="W24" s="1038"/>
      <c r="X24" s="1038"/>
      <c r="Y24" s="1038"/>
      <c r="Z24" s="1038"/>
      <c r="AA24" s="1038"/>
      <c r="AB24" s="1038"/>
      <c r="AC24" s="9"/>
    </row>
    <row r="25" ht="18" customHeight="1">
      <c r="A25" s="58"/>
      <c r="B25" s="1042" t="s">
        <v>43</v>
      </c>
      <c r="C25" s="1042"/>
      <c r="D25" s="454">
        <v>206.14031122692949040309794472</v>
      </c>
      <c r="E25" s="455">
        <v>222.28323392047670302739220311</v>
      </c>
      <c r="F25" s="456">
        <v>205.18130030363368772417106928</v>
      </c>
      <c r="G25" s="454">
        <v>246.61206541586771712371439197</v>
      </c>
      <c r="H25" s="455">
        <v>289.75960485602472603570665476</v>
      </c>
      <c r="I25" s="456">
        <v>215.45831035909552878152624727</v>
      </c>
      <c r="J25" s="454">
        <v>0</v>
      </c>
      <c r="K25" s="455">
        <v>0</v>
      </c>
      <c r="L25" s="456">
        <v>113.66682260808348162004314327</v>
      </c>
      <c r="M25" s="454">
        <v>210.10013753606301474410789927</v>
      </c>
      <c r="N25" s="455">
        <v>229.59099294499377363403355103</v>
      </c>
      <c r="O25" s="456">
        <v>195.80084086419686038528180322</v>
      </c>
      <c r="P25" s="5"/>
      <c r="Q25" s="427">
        <v>0.562841726092258702024056600</v>
      </c>
      <c r="R25" s="428">
        <v>1.4732573612907742413542491300</v>
      </c>
      <c r="S25" s="429">
        <v>6.1388272129333310365171882700</v>
      </c>
      <c r="T25" s="427">
        <v>-15.926912249632776832079889130</v>
      </c>
      <c r="U25" s="428">
        <v>17.662999395669546255256280870</v>
      </c>
      <c r="V25" s="429">
        <v>11.955085087931194258986350120</v>
      </c>
      <c r="W25" s="427">
        <v>0</v>
      </c>
      <c r="X25" s="428">
        <v>0</v>
      </c>
      <c r="Y25" s="429">
        <v>0.2883551897650897813317053600</v>
      </c>
      <c r="Z25" s="427">
        <v>0.9324603463528598134438877300</v>
      </c>
      <c r="AA25" s="428">
        <v>3.631855833994266318081636100</v>
      </c>
      <c r="AB25" s="429">
        <v>5.6735262050775301994550704700</v>
      </c>
    </row>
    <row r="26" ht="18" customHeight="1">
      <c r="A26" s="58"/>
      <c r="B26" s="1043" t="s">
        <v>46</v>
      </c>
      <c r="C26" s="1043"/>
      <c r="D26" s="439">
        <v>205.22390964647577780812238185</v>
      </c>
      <c r="E26" s="95">
        <v>226.56668779029046379358628033</v>
      </c>
      <c r="F26" s="440">
        <v>208.4374591265447442717973836</v>
      </c>
      <c r="G26" s="439">
        <v>247.56451199185054532881991374</v>
      </c>
      <c r="H26" s="95">
        <v>297.10535560411004064560579917</v>
      </c>
      <c r="I26" s="440">
        <v>227.1389133931713504747618929</v>
      </c>
      <c r="J26" s="439">
        <v>0</v>
      </c>
      <c r="K26" s="95">
        <v>0</v>
      </c>
      <c r="L26" s="440">
        <v>132.62838885232307212646522447</v>
      </c>
      <c r="M26" s="439">
        <v>209.6465839313997166582106033</v>
      </c>
      <c r="N26" s="95">
        <v>238.51422784487109261347078067</v>
      </c>
      <c r="O26" s="440">
        <v>203.45864056211320905936558472</v>
      </c>
      <c r="P26" s="5"/>
      <c r="Q26" s="420">
        <v>4.0818551487382541556803202300</v>
      </c>
      <c r="R26" s="91">
        <v>3.45399805239062525338135500</v>
      </c>
      <c r="S26" s="421">
        <v>8.796178558291243972236110080</v>
      </c>
      <c r="T26" s="420">
        <v>-16.446010363031613517931807050</v>
      </c>
      <c r="U26" s="91">
        <v>22.353922563605635221680055500</v>
      </c>
      <c r="V26" s="421">
        <v>17.056163580263765638333129130</v>
      </c>
      <c r="W26" s="420">
        <v>0</v>
      </c>
      <c r="X26" s="91">
        <v>0</v>
      </c>
      <c r="Y26" s="421">
        <v>17.064695525074388101314847650</v>
      </c>
      <c r="Z26" s="420">
        <v>3.3504699357218871402992491600</v>
      </c>
      <c r="AA26" s="91">
        <v>8.050067504752142024887856410</v>
      </c>
      <c r="AB26" s="421">
        <v>10.536186662919473792931287190</v>
      </c>
    </row>
    <row r="27" ht="18" customHeight="1">
      <c r="A27" s="58"/>
      <c r="B27" s="1043" t="s">
        <v>47</v>
      </c>
      <c r="C27" s="1043"/>
      <c r="D27" s="439">
        <v>234.88536265401049949067373192</v>
      </c>
      <c r="E27" s="95">
        <v>241.41978885326793401531533919</v>
      </c>
      <c r="F27" s="440">
        <v>219.22709049365665476189226924</v>
      </c>
      <c r="G27" s="439">
        <v>229.52032432911383558781272821</v>
      </c>
      <c r="H27" s="95">
        <v>316.99692544001538109831334296</v>
      </c>
      <c r="I27" s="440">
        <v>231.24699755370558081688830878</v>
      </c>
      <c r="J27" s="439">
        <v>0</v>
      </c>
      <c r="K27" s="95">
        <v>0</v>
      </c>
      <c r="L27" s="440">
        <v>122.65816009660674609695138236</v>
      </c>
      <c r="M27" s="439">
        <v>234.24824007234282904891471338</v>
      </c>
      <c r="N27" s="95">
        <v>258.63763434419371731316861308</v>
      </c>
      <c r="O27" s="440">
        <v>211.33350952082728132599968465</v>
      </c>
      <c r="P27" s="93"/>
      <c r="Q27" s="420">
        <v>12.780186633312330629139056260</v>
      </c>
      <c r="R27" s="91">
        <v>1.6157910960311610740837286400</v>
      </c>
      <c r="S27" s="421">
        <v>8.869240322839567038107432830</v>
      </c>
      <c r="T27" s="420">
        <v>-2.5805060795649124839207256600</v>
      </c>
      <c r="U27" s="91">
        <v>25.805553539654786125419583790</v>
      </c>
      <c r="V27" s="421">
        <v>17.112306899303841451973400590</v>
      </c>
      <c r="W27" s="420">
        <v>0</v>
      </c>
      <c r="X27" s="91">
        <v>0</v>
      </c>
      <c r="Y27" s="421">
        <v>9.254498401915203190224182250</v>
      </c>
      <c r="Z27" s="420">
        <v>11.063044878581509028897226640</v>
      </c>
      <c r="AA27" s="91">
        <v>8.207804042497780317334510740</v>
      </c>
      <c r="AB27" s="421">
        <v>10.084636447019976056108759370</v>
      </c>
    </row>
    <row r="28" ht="18" customHeight="1">
      <c r="A28" s="58"/>
      <c r="B28" s="1043" t="s">
        <v>48</v>
      </c>
      <c r="C28" s="1043"/>
      <c r="D28" s="439">
        <v>245.29278140549233943546790942</v>
      </c>
      <c r="E28" s="95">
        <v>260.86532738636856126788847261</v>
      </c>
      <c r="F28" s="440">
        <v>232.89844035788052102917021609</v>
      </c>
      <c r="G28" s="439">
        <v>255.90264394789191529573681438</v>
      </c>
      <c r="H28" s="95">
        <v>323.79862691817242181921235595</v>
      </c>
      <c r="I28" s="440">
        <v>232.84607104682966823412516449</v>
      </c>
      <c r="J28" s="439">
        <v>0</v>
      </c>
      <c r="K28" s="95">
        <v>0</v>
      </c>
      <c r="L28" s="440">
        <v>118.65997570351033945569051286</v>
      </c>
      <c r="M28" s="439">
        <v>246.36729298025376956862545432</v>
      </c>
      <c r="N28" s="95">
        <v>274.95875583469872215312505232</v>
      </c>
      <c r="O28" s="440">
        <v>220.77084836577106403052356762</v>
      </c>
      <c r="P28" s="5"/>
      <c r="Q28" s="420">
        <v>8.427748153994663182580543250</v>
      </c>
      <c r="R28" s="91">
        <v>0.8064012527397719517292641900</v>
      </c>
      <c r="S28" s="421">
        <v>9.594738805209031275620884890</v>
      </c>
      <c r="T28" s="420">
        <v>9.103129309261839889286794050</v>
      </c>
      <c r="U28" s="91">
        <v>51.119918817695341282351665870</v>
      </c>
      <c r="V28" s="421">
        <v>12.512375733285993289743253620</v>
      </c>
      <c r="W28" s="420">
        <v>0</v>
      </c>
      <c r="X28" s="91">
        <v>0</v>
      </c>
      <c r="Y28" s="421">
        <v>4.7443440395601491179121007400</v>
      </c>
      <c r="Z28" s="420">
        <v>8.530691971070142219303946750</v>
      </c>
      <c r="AA28" s="91">
        <v>8.141636016640208220404066500</v>
      </c>
      <c r="AB28" s="421">
        <v>9.218116713915030438862331180</v>
      </c>
    </row>
    <row r="29" ht="18" customHeight="1">
      <c r="A29" s="58"/>
      <c r="B29" s="1043" t="s">
        <v>49</v>
      </c>
      <c r="C29" s="1043"/>
      <c r="D29" s="439">
        <v>267.46185653256398851621387704</v>
      </c>
      <c r="E29" s="95">
        <v>280.76624616809741025786225242</v>
      </c>
      <c r="F29" s="440">
        <v>245.06465711614270440485197724</v>
      </c>
      <c r="G29" s="439">
        <v>342.23089399868520879029835399</v>
      </c>
      <c r="H29" s="95">
        <v>373.84201776694686294227247046</v>
      </c>
      <c r="I29" s="440">
        <v>232.11881618660192300711717535</v>
      </c>
      <c r="J29" s="439">
        <v>0</v>
      </c>
      <c r="K29" s="95">
        <v>0</v>
      </c>
      <c r="L29" s="440">
        <v>118.26871418665002291847318457</v>
      </c>
      <c r="M29" s="439">
        <v>275.21901905414952341747431474</v>
      </c>
      <c r="N29" s="95">
        <v>297.91017693977262803927223882</v>
      </c>
      <c r="O29" s="440">
        <v>229.42176947420534088992470705</v>
      </c>
      <c r="P29" s="93"/>
      <c r="Q29" s="420">
        <v>3.9830885910421584955516423100</v>
      </c>
      <c r="R29" s="91">
        <v>-1.634196519033641758965728400</v>
      </c>
      <c r="S29" s="421">
        <v>6.2208606643159861381070216800</v>
      </c>
      <c r="T29" s="420">
        <v>12.547890537504294914276790460</v>
      </c>
      <c r="U29" s="91">
        <v>64.799617710200779942760182620</v>
      </c>
      <c r="V29" s="421">
        <v>11.228863400644457677570040530</v>
      </c>
      <c r="W29" s="420">
        <v>0</v>
      </c>
      <c r="X29" s="91">
        <v>0</v>
      </c>
      <c r="Y29" s="421">
        <v>3.1853694048757484028862741400</v>
      </c>
      <c r="Z29" s="420">
        <v>6.0215859067478079513468092900</v>
      </c>
      <c r="AA29" s="91">
        <v>6.5863815638055502491322982400</v>
      </c>
      <c r="AB29" s="421">
        <v>5.6148366010421735343528587200</v>
      </c>
    </row>
    <row r="30" ht="18" customHeight="1">
      <c r="A30" s="58"/>
      <c r="B30" s="1044" t="s">
        <v>75</v>
      </c>
      <c r="C30" s="1044"/>
      <c r="D30" s="457">
        <v>232.67485680976206167121290793</v>
      </c>
      <c r="E30" s="458">
        <v>246.24615167928647826453424508</v>
      </c>
      <c r="F30" s="459">
        <v>222.67741916389126804647748284</v>
      </c>
      <c r="G30" s="457">
        <v>264.97168170540749860998986692</v>
      </c>
      <c r="H30" s="458">
        <v>324.01970185873333713717590624</v>
      </c>
      <c r="I30" s="459">
        <v>228.79102141796402998741592895</v>
      </c>
      <c r="J30" s="457">
        <v>0</v>
      </c>
      <c r="K30" s="458">
        <v>0</v>
      </c>
      <c r="L30" s="459">
        <v>120.99096177792088465087686369</v>
      </c>
      <c r="M30" s="457">
        <v>236.07159982070972619522240612</v>
      </c>
      <c r="N30" s="458">
        <v>260.40301267615284813169600997</v>
      </c>
      <c r="O30" s="459">
        <v>212.70494737189897352369063932</v>
      </c>
      <c r="P30" s="5"/>
      <c r="Q30" s="430">
        <v>5.9098688467535871274731711300</v>
      </c>
      <c r="R30" s="431">
        <v>0.6685587105617837864205991200</v>
      </c>
      <c r="S30" s="432">
        <v>7.9062378971431087837228365300</v>
      </c>
      <c r="T30" s="430">
        <v>0.6410472578599224360071371200</v>
      </c>
      <c r="U30" s="431">
        <v>37.620426408801196474208335920</v>
      </c>
      <c r="V30" s="432">
        <v>13.671555125641436963930027360</v>
      </c>
      <c r="W30" s="430">
        <v>0</v>
      </c>
      <c r="X30" s="431">
        <v>0</v>
      </c>
      <c r="Y30" s="432">
        <v>6.7271697331177916981519078300</v>
      </c>
      <c r="Z30" s="430">
        <v>6.0700955531102223761453605400</v>
      </c>
      <c r="AA30" s="431">
        <v>6.8477440962106723831049692300</v>
      </c>
      <c r="AB30" s="432">
        <v>8.108969261170489323790748520</v>
      </c>
    </row>
    <row r="31" ht="6" customHeight="1">
      <c r="A31" s="58"/>
      <c r="B31" s="631"/>
      <c r="C31" s="631"/>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45" t="s">
        <v>50</v>
      </c>
      <c r="C32" s="1045"/>
      <c r="D32" s="493">
        <v>345.70864834646428834715783747</v>
      </c>
      <c r="E32" s="494">
        <v>326.77662487324648852533951775</v>
      </c>
      <c r="F32" s="495">
        <v>272.97023058477368573923344839</v>
      </c>
      <c r="G32" s="493">
        <v>369.14066848346576090440063684</v>
      </c>
      <c r="H32" s="494">
        <v>369.76882219863469037687599157</v>
      </c>
      <c r="I32" s="495">
        <v>231.91182481529189505268794292</v>
      </c>
      <c r="J32" s="493">
        <v>0</v>
      </c>
      <c r="K32" s="494">
        <v>0</v>
      </c>
      <c r="L32" s="495">
        <v>125.09722144718385037386137679</v>
      </c>
      <c r="M32" s="493">
        <v>347.94799653130237921481677537</v>
      </c>
      <c r="N32" s="494">
        <v>332.32102099941547338612438215</v>
      </c>
      <c r="O32" s="495">
        <v>251.07720759665867863176922054</v>
      </c>
      <c r="P32" s="93"/>
      <c r="Q32" s="479">
        <v>-1.8753795219591981656283629200</v>
      </c>
      <c r="R32" s="480">
        <v>-5.130824120020433913188969200</v>
      </c>
      <c r="S32" s="481">
        <v>3.9685340448956234536039967500</v>
      </c>
      <c r="T32" s="479">
        <v>8.173981991916989001657098870</v>
      </c>
      <c r="U32" s="480">
        <v>50.390124478715618082751254610</v>
      </c>
      <c r="V32" s="481">
        <v>15.891796799331841577780059530</v>
      </c>
      <c r="W32" s="479">
        <v>0</v>
      </c>
      <c r="X32" s="480">
        <v>0</v>
      </c>
      <c r="Y32" s="481">
        <v>9.500900386688723271106622500</v>
      </c>
      <c r="Z32" s="479">
        <v>-1.0377360146175360097254234800</v>
      </c>
      <c r="AA32" s="480">
        <v>-0.8248708004057930581753245100</v>
      </c>
      <c r="AB32" s="481">
        <v>4.0921642133028747374582912300</v>
      </c>
    </row>
    <row r="33" ht="18" customHeight="1">
      <c r="A33" s="58"/>
      <c r="B33" s="1046" t="s">
        <v>51</v>
      </c>
      <c r="C33" s="1046"/>
      <c r="D33" s="276">
        <v>336.49702334504051199641412745</v>
      </c>
      <c r="E33" s="94">
        <v>321.58562541854869236748092838</v>
      </c>
      <c r="F33" s="277">
        <v>266.0976192072619215805833662</v>
      </c>
      <c r="G33" s="276">
        <v>303.10649257897229385916259637</v>
      </c>
      <c r="H33" s="94">
        <v>336.81254633122006998662736207</v>
      </c>
      <c r="I33" s="277">
        <v>228.2534922240726731920792796</v>
      </c>
      <c r="J33" s="276">
        <v>0</v>
      </c>
      <c r="K33" s="94">
        <v>0</v>
      </c>
      <c r="L33" s="277">
        <v>116.52260647247190771222444126</v>
      </c>
      <c r="M33" s="276">
        <v>333.86148813498802374115048017</v>
      </c>
      <c r="N33" s="94">
        <v>323.18902793698288174937661104</v>
      </c>
      <c r="O33" s="277">
        <v>245.16539842882810687235096672</v>
      </c>
      <c r="P33" s="5"/>
      <c r="Q33" s="271">
        <v>6.4319444570564882357096837300</v>
      </c>
      <c r="R33" s="92">
        <v>5.6408477984630270220355206500</v>
      </c>
      <c r="S33" s="272">
        <v>11.460833475446174742263248390</v>
      </c>
      <c r="T33" s="271">
        <v>5.7745581958452699430648455700</v>
      </c>
      <c r="U33" s="92">
        <v>34.676702422417828434364510560</v>
      </c>
      <c r="V33" s="272">
        <v>17.708904002885060345735204060</v>
      </c>
      <c r="W33" s="271">
        <v>0</v>
      </c>
      <c r="X33" s="92">
        <v>0</v>
      </c>
      <c r="Y33" s="272">
        <v>3.7502265316106603417970940400</v>
      </c>
      <c r="Z33" s="271">
        <v>6.130577330164524840749786700</v>
      </c>
      <c r="AA33" s="92">
        <v>8.070000079110324203384279660</v>
      </c>
      <c r="AB33" s="272">
        <v>10.107562422953061749814081520</v>
      </c>
    </row>
    <row r="34" ht="18" customHeight="1">
      <c r="A34" s="58"/>
      <c r="B34" s="1047" t="s">
        <v>76</v>
      </c>
      <c r="C34" s="1047"/>
      <c r="D34" s="443">
        <v>340.86694061778277567751521184</v>
      </c>
      <c r="E34" s="444">
        <v>324.02750244743969161372491308</v>
      </c>
      <c r="F34" s="445">
        <v>269.38462143782872227573824412</v>
      </c>
      <c r="G34" s="443">
        <v>337.88785240652992153947881615</v>
      </c>
      <c r="H34" s="444">
        <v>353.73298722488411552108396854</v>
      </c>
      <c r="I34" s="445">
        <v>230.15378707636843046292851975</v>
      </c>
      <c r="J34" s="443">
        <v>0</v>
      </c>
      <c r="K34" s="444">
        <v>0</v>
      </c>
      <c r="L34" s="445">
        <v>120.64194325308196825056285558</v>
      </c>
      <c r="M34" s="633">
        <v>340.60806131053625899951669254</v>
      </c>
      <c r="N34" s="634">
        <v>327.53110034938432751022298663</v>
      </c>
      <c r="O34" s="635">
        <v>248.03415575116163161241544504</v>
      </c>
      <c r="P34" s="93"/>
      <c r="Q34" s="273">
        <v>1.8892900091840454111763594300</v>
      </c>
      <c r="R34" s="274">
        <v>-0.24569261497177377205316200</v>
      </c>
      <c r="S34" s="275">
        <v>7.392704955666692541085043500</v>
      </c>
      <c r="T34" s="273">
        <v>6.5348833031875328974901295300</v>
      </c>
      <c r="U34" s="274">
        <v>42.651931051905276332730781600</v>
      </c>
      <c r="V34" s="275">
        <v>16.614584095586421787976490790</v>
      </c>
      <c r="W34" s="273">
        <v>0</v>
      </c>
      <c r="X34" s="274">
        <v>0</v>
      </c>
      <c r="Y34" s="275">
        <v>6.4833767699102218987264776300</v>
      </c>
      <c r="Z34" s="273">
        <v>2.1271608839350338130051066900</v>
      </c>
      <c r="AA34" s="274">
        <v>3.1922514442914662131958710600</v>
      </c>
      <c r="AB34" s="275">
        <v>6.8119151290267410187331080100</v>
      </c>
    </row>
    <row r="35" ht="6" customHeight="1">
      <c r="A35" s="58"/>
      <c r="B35" s="631"/>
      <c r="C35" s="631"/>
      <c r="D35" s="95"/>
      <c r="E35" s="95"/>
      <c r="F35" s="95"/>
      <c r="G35" s="95"/>
      <c r="H35" s="95"/>
      <c r="I35" s="95"/>
      <c r="J35" s="95"/>
      <c r="K35" s="95"/>
      <c r="L35" s="95"/>
      <c r="M35" s="636"/>
      <c r="N35" s="636"/>
      <c r="O35" s="636"/>
      <c r="P35" s="93"/>
      <c r="Q35" s="91"/>
      <c r="R35" s="91"/>
      <c r="S35" s="91"/>
      <c r="T35" s="91"/>
      <c r="U35" s="91"/>
      <c r="V35" s="91"/>
      <c r="W35" s="91"/>
      <c r="X35" s="91"/>
      <c r="Y35" s="91"/>
      <c r="Z35" s="91"/>
      <c r="AA35" s="91"/>
      <c r="AB35" s="91"/>
    </row>
    <row r="36" ht="18" customHeight="1">
      <c r="A36" s="58"/>
      <c r="B36" s="982" t="s">
        <v>12</v>
      </c>
      <c r="C36" s="982"/>
      <c r="D36" s="482">
        <v>266.76650366748166259168704156</v>
      </c>
      <c r="E36" s="483">
        <v>272.49974563768632039477031083</v>
      </c>
      <c r="F36" s="484">
        <v>238.59711478719800350618521208</v>
      </c>
      <c r="G36" s="482">
        <v>275.21285140562248995983935743</v>
      </c>
      <c r="H36" s="483">
        <v>335.90801010551344924951701591</v>
      </c>
      <c r="I36" s="484">
        <v>228.27622725857999949542768604</v>
      </c>
      <c r="J36" s="482">
        <v>0</v>
      </c>
      <c r="K36" s="483">
        <v>0</v>
      </c>
      <c r="L36" s="484">
        <v>119.93587159739635292938710367</v>
      </c>
      <c r="M36" s="482">
        <v>267.60826495897538523113868321</v>
      </c>
      <c r="N36" s="483">
        <v>281.76660947375279629911169993</v>
      </c>
      <c r="O36" s="484">
        <v>223.98688693981366287910204307</v>
      </c>
      <c r="P36" s="93"/>
      <c r="Q36" s="468">
        <v>3.9950841868842019094646124600</v>
      </c>
      <c r="R36" s="469">
        <v>0.8801769697436522996996261200</v>
      </c>
      <c r="S36" s="470">
        <v>7.6158198899922061155123294600</v>
      </c>
      <c r="T36" s="468">
        <v>-1.5473698876574309368962688800</v>
      </c>
      <c r="U36" s="469">
        <v>37.713106113524775628402574370</v>
      </c>
      <c r="V36" s="470">
        <v>13.879616961247861606209423090</v>
      </c>
      <c r="W36" s="468">
        <v>0</v>
      </c>
      <c r="X36" s="469">
        <v>-100</v>
      </c>
      <c r="Y36" s="470">
        <v>7.1630476927270719852198004700</v>
      </c>
      <c r="Z36" s="468">
        <v>3.7267022814375971313477932500</v>
      </c>
      <c r="AA36" s="469">
        <v>5.2312464170371224898378230600</v>
      </c>
      <c r="AB36" s="470">
        <v>7.3818239992514517119402932900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7" t="s">
        <v>10</v>
      </c>
      <c r="C38" s="1037"/>
      <c r="D38" s="1037"/>
      <c r="E38" s="1037"/>
      <c r="F38" s="1037"/>
      <c r="G38" s="1037"/>
      <c r="H38" s="1037"/>
      <c r="I38" s="1037"/>
      <c r="J38" s="1037"/>
      <c r="K38" s="1037"/>
      <c r="L38" s="1037"/>
      <c r="M38" s="1037"/>
      <c r="N38" s="1037"/>
      <c r="O38" s="1037"/>
      <c r="P38" s="411"/>
      <c r="Q38" s="1038"/>
      <c r="R38" s="1038"/>
      <c r="S38" s="1038"/>
      <c r="T38" s="1038"/>
      <c r="U38" s="1038"/>
      <c r="V38" s="1038"/>
      <c r="W38" s="1038"/>
      <c r="X38" s="1038"/>
      <c r="Y38" s="1038"/>
      <c r="Z38" s="1038"/>
      <c r="AA38" s="1038"/>
      <c r="AB38" s="1038"/>
      <c r="AC38" s="9"/>
    </row>
    <row r="39" ht="18" customHeight="1">
      <c r="A39" s="58"/>
      <c r="B39" s="1042" t="s">
        <v>43</v>
      </c>
      <c r="C39" s="1042"/>
      <c r="D39" s="454">
        <v>150.64099666583308914072542127</v>
      </c>
      <c r="E39" s="455">
        <v>155.23900174273661590696597309</v>
      </c>
      <c r="F39" s="456">
        <v>104.49211438707827538077188879</v>
      </c>
      <c r="G39" s="454">
        <v>19.545012177481357534280394719</v>
      </c>
      <c r="H39" s="455">
        <v>24.577980822640084915897830261</v>
      </c>
      <c r="I39" s="456">
        <v>21.12420695519922867847219063</v>
      </c>
      <c r="J39" s="454">
        <v>0</v>
      </c>
      <c r="K39" s="455">
        <v>0</v>
      </c>
      <c r="L39" s="456">
        <v>9.28086043775800243661161322</v>
      </c>
      <c r="M39" s="454">
        <v>170.18600884331444667500581584</v>
      </c>
      <c r="N39" s="455">
        <v>179.81698256537670082286380318</v>
      </c>
      <c r="O39" s="456">
        <v>134.89718178003550649585569251</v>
      </c>
      <c r="P39" s="5"/>
      <c r="Q39" s="427">
        <v>-9.666329853481022526778511450</v>
      </c>
      <c r="R39" s="428">
        <v>14.772805704337975617683337260</v>
      </c>
      <c r="S39" s="429">
        <v>0.9976641226748738895534160200</v>
      </c>
      <c r="T39" s="427">
        <v>119.88346026929166732635060864</v>
      </c>
      <c r="U39" s="428">
        <v>60.528005847982711704771886620</v>
      </c>
      <c r="V39" s="429">
        <v>86.11740596260514654570159683</v>
      </c>
      <c r="W39" s="427">
        <v>0</v>
      </c>
      <c r="X39" s="428">
        <v>0</v>
      </c>
      <c r="Y39" s="429">
        <v>24.838092298197864956338826440</v>
      </c>
      <c r="Z39" s="427">
        <v>-3.1104144465526595752645676800</v>
      </c>
      <c r="AA39" s="428">
        <v>19.425474293948000874714056940</v>
      </c>
      <c r="AB39" s="429">
        <v>10.350591263152733532737277860</v>
      </c>
    </row>
    <row r="40" ht="18" customHeight="1">
      <c r="A40" s="58"/>
      <c r="B40" s="1043" t="s">
        <v>46</v>
      </c>
      <c r="C40" s="1043"/>
      <c r="D40" s="439">
        <v>139.44701552901559261321136215</v>
      </c>
      <c r="E40" s="95">
        <v>137.47083146638963248528087238</v>
      </c>
      <c r="F40" s="440">
        <v>96.84105669925344465192092336</v>
      </c>
      <c r="G40" s="439">
        <v>19.620497453899577019067312528</v>
      </c>
      <c r="H40" s="95">
        <v>36.465719912522923933899849004</v>
      </c>
      <c r="I40" s="440">
        <v>28.657414867127237165599296431</v>
      </c>
      <c r="J40" s="439">
        <v>0</v>
      </c>
      <c r="K40" s="95">
        <v>0</v>
      </c>
      <c r="L40" s="440">
        <v>9.932660328013344828435595898</v>
      </c>
      <c r="M40" s="439">
        <v>159.06751298291516963227867453</v>
      </c>
      <c r="N40" s="95">
        <v>173.93655137891255641918072121</v>
      </c>
      <c r="O40" s="440">
        <v>135.43113189439402664595581556</v>
      </c>
      <c r="P40" s="5"/>
      <c r="Q40" s="420">
        <v>-1.73324445063450882697567600</v>
      </c>
      <c r="R40" s="91">
        <v>13.142991869242761685815554560</v>
      </c>
      <c r="S40" s="421">
        <v>1.2144923201334696557398076800</v>
      </c>
      <c r="T40" s="420">
        <v>51.511234541179045268437398530</v>
      </c>
      <c r="U40" s="91">
        <v>216.67612255367795854131563614</v>
      </c>
      <c r="V40" s="421">
        <v>132.40371390568425215156478848</v>
      </c>
      <c r="W40" s="420">
        <v>0</v>
      </c>
      <c r="X40" s="91">
        <v>0</v>
      </c>
      <c r="Y40" s="421">
        <v>41.34423456224190494662933400</v>
      </c>
      <c r="Z40" s="420">
        <v>2.7193220277045679040736832900</v>
      </c>
      <c r="AA40" s="91">
        <v>30.762648430797188071857286200</v>
      </c>
      <c r="AB40" s="421">
        <v>17.72811687932704714064080400</v>
      </c>
    </row>
    <row r="41" ht="18" customHeight="1">
      <c r="A41" s="58"/>
      <c r="B41" s="1043" t="s">
        <v>47</v>
      </c>
      <c r="C41" s="1043"/>
      <c r="D41" s="439">
        <v>166.58245125287341368307105594</v>
      </c>
      <c r="E41" s="95">
        <v>137.21234080285990125041072336</v>
      </c>
      <c r="F41" s="440">
        <v>105.96695348237751699414499276</v>
      </c>
      <c r="G41" s="439">
        <v>21.93550885196659034755319782</v>
      </c>
      <c r="H41" s="95">
        <v>52.813559943888818505989499772</v>
      </c>
      <c r="I41" s="440">
        <v>34.328201084773099321461560237</v>
      </c>
      <c r="J41" s="439">
        <v>0</v>
      </c>
      <c r="K41" s="95">
        <v>0</v>
      </c>
      <c r="L41" s="440">
        <v>9.364025304262528857773920034</v>
      </c>
      <c r="M41" s="439">
        <v>188.5179601048400040306242536</v>
      </c>
      <c r="N41" s="95">
        <v>190.02590074674871975640022296</v>
      </c>
      <c r="O41" s="440">
        <v>149.65917987141314517338047288</v>
      </c>
      <c r="P41" s="93"/>
      <c r="Q41" s="420">
        <v>17.713110748488315660054499820</v>
      </c>
      <c r="R41" s="91">
        <v>6.8219735933861228188182693400</v>
      </c>
      <c r="S41" s="421">
        <v>5.0069193294152895479476186700</v>
      </c>
      <c r="T41" s="420">
        <v>27.814376023655537303005818800</v>
      </c>
      <c r="U41" s="91">
        <v>262.73091824623121165780149205</v>
      </c>
      <c r="V41" s="421">
        <v>124.62173973734701925488604048</v>
      </c>
      <c r="W41" s="420">
        <v>0</v>
      </c>
      <c r="X41" s="91">
        <v>0</v>
      </c>
      <c r="Y41" s="421">
        <v>29.627893530246270998343857490</v>
      </c>
      <c r="Z41" s="420">
        <v>18.805627403057300698765198110</v>
      </c>
      <c r="AA41" s="91">
        <v>32.876390297137755071546397450</v>
      </c>
      <c r="AB41" s="421">
        <v>21.259381263309529972050013390</v>
      </c>
    </row>
    <row r="42" ht="18" customHeight="1">
      <c r="A42" s="58"/>
      <c r="B42" s="1043" t="s">
        <v>48</v>
      </c>
      <c r="C42" s="1043"/>
      <c r="D42" s="439">
        <v>181.39658485056513912797714296</v>
      </c>
      <c r="E42" s="95">
        <v>153.20963996333931906765159671</v>
      </c>
      <c r="F42" s="440">
        <v>117.74759618118941526044977923</v>
      </c>
      <c r="G42" s="439">
        <v>21.325220328990992941311401217</v>
      </c>
      <c r="H42" s="95">
        <v>54.655036187792136821835698488</v>
      </c>
      <c r="I42" s="440">
        <v>38.460889033990109224951390078</v>
      </c>
      <c r="J42" s="439">
        <v>0</v>
      </c>
      <c r="K42" s="95">
        <v>0</v>
      </c>
      <c r="L42" s="440">
        <v>9.445259571816340083502486331</v>
      </c>
      <c r="M42" s="439">
        <v>202.721805179556132069288544</v>
      </c>
      <c r="N42" s="95">
        <v>207.86467615113145588948729499</v>
      </c>
      <c r="O42" s="440">
        <v>165.65374478699586456890365547</v>
      </c>
      <c r="P42" s="5"/>
      <c r="Q42" s="420">
        <v>10.429223440931288586643052940</v>
      </c>
      <c r="R42" s="91">
        <v>2.6110308841587484483455314700</v>
      </c>
      <c r="S42" s="421">
        <v>5.8229604522815569454291431500</v>
      </c>
      <c r="T42" s="420">
        <v>21.888652275320878671917305490</v>
      </c>
      <c r="U42" s="91">
        <v>291.10721214021638110132854265</v>
      </c>
      <c r="V42" s="421">
        <v>101.73428857418159044420450728</v>
      </c>
      <c r="W42" s="420">
        <v>0</v>
      </c>
      <c r="X42" s="91">
        <v>0</v>
      </c>
      <c r="Y42" s="421">
        <v>26.358174625043534046080066830</v>
      </c>
      <c r="Z42" s="420">
        <v>11.532268604900548082275949230</v>
      </c>
      <c r="AA42" s="91">
        <v>27.301353080950484365017047220</v>
      </c>
      <c r="AB42" s="421">
        <v>20.205675896715489397054840390</v>
      </c>
    </row>
    <row r="43" ht="18" customHeight="1">
      <c r="A43" s="58"/>
      <c r="B43" s="1043" t="s">
        <v>49</v>
      </c>
      <c r="C43" s="1043"/>
      <c r="D43" s="439">
        <v>208.70129714283402134219719212</v>
      </c>
      <c r="E43" s="95">
        <v>185.71037524522471795279429352</v>
      </c>
      <c r="F43" s="440">
        <v>131.64885741674248685556991476</v>
      </c>
      <c r="G43" s="439">
        <v>30.91246420151294135343604016</v>
      </c>
      <c r="H43" s="95">
        <v>55.65153381510631997864671002</v>
      </c>
      <c r="I43" s="440">
        <v>33.56685685008604654697531257</v>
      </c>
      <c r="J43" s="439">
        <v>0</v>
      </c>
      <c r="K43" s="95">
        <v>0</v>
      </c>
      <c r="L43" s="440">
        <v>9.351883956297836281105466698</v>
      </c>
      <c r="M43" s="439">
        <v>239.61376134434696269563323206</v>
      </c>
      <c r="N43" s="95">
        <v>241.36190906033103793144100331</v>
      </c>
      <c r="O43" s="440">
        <v>174.56759822312636968365069384</v>
      </c>
      <c r="P43" s="93"/>
      <c r="Q43" s="420">
        <v>-2.3609006848577506652019865100</v>
      </c>
      <c r="R43" s="91">
        <v>3.6940791064558506155038486200</v>
      </c>
      <c r="S43" s="421">
        <v>1.7421573208710583824785320600</v>
      </c>
      <c r="T43" s="420">
        <v>129.53846096490516311989975515</v>
      </c>
      <c r="U43" s="91">
        <v>253.67606620952744603888549538</v>
      </c>
      <c r="V43" s="421">
        <v>58.347505675549962898773360450</v>
      </c>
      <c r="W43" s="420">
        <v>0</v>
      </c>
      <c r="X43" s="91">
        <v>0</v>
      </c>
      <c r="Y43" s="421">
        <v>25.010293615564094583973534560</v>
      </c>
      <c r="Z43" s="420">
        <v>5.4568903759411411006727405400</v>
      </c>
      <c r="AA43" s="91">
        <v>23.883558617289225201910416730</v>
      </c>
      <c r="AB43" s="421">
        <v>10.434299365326069065354790050</v>
      </c>
    </row>
    <row r="44" ht="18" customHeight="1">
      <c r="A44" s="58"/>
      <c r="B44" s="1044" t="s">
        <v>75</v>
      </c>
      <c r="C44" s="1044"/>
      <c r="D44" s="457">
        <v>169.35366908822425118143643485</v>
      </c>
      <c r="E44" s="458">
        <v>153.7684378441100373326206919</v>
      </c>
      <c r="F44" s="459">
        <v>111.3393156333282278285714998</v>
      </c>
      <c r="G44" s="457">
        <v>22.667740602770291839129669284</v>
      </c>
      <c r="H44" s="458">
        <v>44.832766136390056831253917533</v>
      </c>
      <c r="I44" s="459">
        <v>31.227513758235144187491949992</v>
      </c>
      <c r="J44" s="457">
        <v>0</v>
      </c>
      <c r="K44" s="458">
        <v>0</v>
      </c>
      <c r="L44" s="459">
        <v>9.474937919629610497485816439</v>
      </c>
      <c r="M44" s="457">
        <v>192.021409690994543020566104</v>
      </c>
      <c r="N44" s="458">
        <v>198.60120398050009416387460914</v>
      </c>
      <c r="O44" s="459">
        <v>152.04176731119298251354926604</v>
      </c>
      <c r="P44" s="5"/>
      <c r="Q44" s="430">
        <v>2.2425615934583441394653456900</v>
      </c>
      <c r="R44" s="431">
        <v>7.7391314548898117185614961900</v>
      </c>
      <c r="S44" s="432">
        <v>2.9580365344774501443243908600</v>
      </c>
      <c r="T44" s="430">
        <v>61.996773436438439528897840160</v>
      </c>
      <c r="U44" s="431">
        <v>215.29982202254108253853591414</v>
      </c>
      <c r="V44" s="432">
        <v>97.08880087516220544902297641</v>
      </c>
      <c r="W44" s="430">
        <v>0</v>
      </c>
      <c r="X44" s="431">
        <v>0</v>
      </c>
      <c r="Y44" s="432">
        <v>29.293908051204908760624228690</v>
      </c>
      <c r="Z44" s="430">
        <v>6.8972125436814295216768649300</v>
      </c>
      <c r="AA44" s="431">
        <v>26.544320197800861636327192430</v>
      </c>
      <c r="AB44" s="432">
        <v>15.785694188537126704335552500</v>
      </c>
    </row>
    <row r="45" ht="6" customHeight="1">
      <c r="A45" s="58"/>
      <c r="B45" s="631"/>
      <c r="C45" s="631"/>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45" t="s">
        <v>50</v>
      </c>
      <c r="C46" s="1045"/>
      <c r="D46" s="493">
        <v>263.1092626692787649075688439</v>
      </c>
      <c r="E46" s="494">
        <v>241.12135936691611111020312963</v>
      </c>
      <c r="F46" s="495">
        <v>160.97088697180250162606179427</v>
      </c>
      <c r="G46" s="493">
        <v>29.686137675243750002801449842</v>
      </c>
      <c r="H46" s="494">
        <v>40.396423764317971399782660924</v>
      </c>
      <c r="I46" s="495">
        <v>33.191876294247733643764277275</v>
      </c>
      <c r="J46" s="493">
        <v>0</v>
      </c>
      <c r="K46" s="494">
        <v>0</v>
      </c>
      <c r="L46" s="495">
        <v>10.089309322266454043234667013</v>
      </c>
      <c r="M46" s="493">
        <v>292.79540034452251491037029349</v>
      </c>
      <c r="N46" s="494">
        <v>281.51778313123408250998579025</v>
      </c>
      <c r="O46" s="495">
        <v>204.25207258831668931306073835</v>
      </c>
      <c r="P46" s="93"/>
      <c r="Q46" s="479">
        <v>-11.191438430827866432156382320</v>
      </c>
      <c r="R46" s="480">
        <v>5.0801674605093776565077881500</v>
      </c>
      <c r="S46" s="481">
        <v>-0.1955553954466034008226707800</v>
      </c>
      <c r="T46" s="479">
        <v>48.854795732559056154067097520</v>
      </c>
      <c r="U46" s="480">
        <v>136.38557554632668544482550246</v>
      </c>
      <c r="V46" s="481">
        <v>36.291540551202939712244113570</v>
      </c>
      <c r="W46" s="479">
        <v>0</v>
      </c>
      <c r="X46" s="480">
        <v>0</v>
      </c>
      <c r="Y46" s="481">
        <v>38.319662351479493254276066720</v>
      </c>
      <c r="Z46" s="479">
        <v>-7.4043724554097037290850695700</v>
      </c>
      <c r="AA46" s="480">
        <v>14.181260641012100691149629230</v>
      </c>
      <c r="AB46" s="481">
        <v>5.8662520299713791514196944100</v>
      </c>
    </row>
    <row r="47" ht="18" customHeight="1">
      <c r="A47" s="58"/>
      <c r="B47" s="1046" t="s">
        <v>51</v>
      </c>
      <c r="C47" s="1046"/>
      <c r="D47" s="276">
        <v>263.48008267330823639546062924</v>
      </c>
      <c r="E47" s="94">
        <v>248.06582434678389314196565433</v>
      </c>
      <c r="F47" s="277">
        <v>158.94662264342252128445777116</v>
      </c>
      <c r="G47" s="276">
        <v>20.338314437117188548991429644</v>
      </c>
      <c r="H47" s="94">
        <v>32.381436410990690547123280611</v>
      </c>
      <c r="I47" s="277">
        <v>28.063953961976148343288436045</v>
      </c>
      <c r="J47" s="276">
        <v>0</v>
      </c>
      <c r="K47" s="94">
        <v>0</v>
      </c>
      <c r="L47" s="277">
        <v>9.438148545421607944442892557</v>
      </c>
      <c r="M47" s="276">
        <v>283.81839711042542494445205863</v>
      </c>
      <c r="N47" s="94">
        <v>280.44726075777458368908893465</v>
      </c>
      <c r="O47" s="277">
        <v>196.44872515082027757218909956</v>
      </c>
      <c r="P47" s="5"/>
      <c r="Q47" s="271">
        <v>-4.7892663504963401513697363700</v>
      </c>
      <c r="R47" s="92">
        <v>18.144077257713747128098928590</v>
      </c>
      <c r="S47" s="272">
        <v>4.0641310726868590711629939100</v>
      </c>
      <c r="T47" s="271">
        <v>43.284527572718125411865195430</v>
      </c>
      <c r="U47" s="92">
        <v>74.978360757945824102909574150</v>
      </c>
      <c r="V47" s="272">
        <v>38.660211952287928494673998690</v>
      </c>
      <c r="W47" s="271">
        <v>0</v>
      </c>
      <c r="X47" s="92">
        <v>0</v>
      </c>
      <c r="Y47" s="272">
        <v>27.326557024318445750952098710</v>
      </c>
      <c r="Z47" s="271">
        <v>-2.4437491757275325052715614700</v>
      </c>
      <c r="AA47" s="92">
        <v>22.747530281469478747941066120</v>
      </c>
      <c r="AB47" s="272">
        <v>8.901604804600726556935522230</v>
      </c>
    </row>
    <row r="48" ht="18" customHeight="1">
      <c r="A48" s="58"/>
      <c r="B48" s="1047" t="s">
        <v>76</v>
      </c>
      <c r="C48" s="1047"/>
      <c r="D48" s="443">
        <v>263.30153970840515753092013999</v>
      </c>
      <c r="E48" s="444">
        <v>244.7221930601808869785244388</v>
      </c>
      <c r="F48" s="445">
        <v>159.92126843116103033782267119</v>
      </c>
      <c r="G48" s="443">
        <v>24.839118218437384804529587514</v>
      </c>
      <c r="H48" s="444">
        <v>36.240504395926047994700019291</v>
      </c>
      <c r="I48" s="445">
        <v>30.532953603440244969443470714</v>
      </c>
      <c r="J48" s="443">
        <v>0</v>
      </c>
      <c r="K48" s="444">
        <v>0</v>
      </c>
      <c r="L48" s="445">
        <v>9.751670400939496806824117296</v>
      </c>
      <c r="M48" s="443">
        <v>288.14065792684254233544972727</v>
      </c>
      <c r="N48" s="444">
        <v>280.96269745610693497322445773</v>
      </c>
      <c r="O48" s="445">
        <v>200.20589243554077211409025898</v>
      </c>
      <c r="P48" s="93"/>
      <c r="Q48" s="273">
        <v>-8.212953077466855686667681920</v>
      </c>
      <c r="R48" s="274">
        <v>11.198151513285137022959151090</v>
      </c>
      <c r="S48" s="275">
        <v>1.7503773735713593906899769700</v>
      </c>
      <c r="T48" s="273">
        <v>44.622484069624613288988893480</v>
      </c>
      <c r="U48" s="274">
        <v>103.92655675777549163176019934</v>
      </c>
      <c r="V48" s="275">
        <v>36.476655776279955365220451500</v>
      </c>
      <c r="W48" s="273">
        <v>0</v>
      </c>
      <c r="X48" s="274">
        <v>0</v>
      </c>
      <c r="Y48" s="275">
        <v>32.654232563251949118279355180</v>
      </c>
      <c r="Z48" s="273">
        <v>-5.2282579054713881617576500600</v>
      </c>
      <c r="AA48" s="274">
        <v>18.126537055542025551065748660</v>
      </c>
      <c r="AB48" s="275">
        <v>7.1228790956622449847067062800</v>
      </c>
    </row>
    <row r="49" ht="6" customHeight="1">
      <c r="A49" s="58"/>
      <c r="B49" s="631"/>
      <c r="C49" s="631"/>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82" t="s">
        <v>12</v>
      </c>
      <c r="C50" s="982"/>
      <c r="D50" s="482">
        <v>197.6585144927536231884057971</v>
      </c>
      <c r="E50" s="483">
        <v>183.95932069510268562401263823</v>
      </c>
      <c r="F50" s="484">
        <v>125.6722767614774740294155017</v>
      </c>
      <c r="G50" s="482">
        <v>22.571805006587615283267457181</v>
      </c>
      <c r="H50" s="483">
        <v>38.813191153238546603475513428</v>
      </c>
      <c r="I50" s="484">
        <v>30.963765817020974000172235597</v>
      </c>
      <c r="J50" s="482">
        <v>0</v>
      </c>
      <c r="K50" s="483">
        <v>0</v>
      </c>
      <c r="L50" s="484">
        <v>9.540848410492255344989863634</v>
      </c>
      <c r="M50" s="482">
        <v>220.23031949934123847167325428</v>
      </c>
      <c r="N50" s="483">
        <v>222.77251184834123222748815166</v>
      </c>
      <c r="O50" s="484">
        <v>166.17689098899070337457760093</v>
      </c>
      <c r="P50" s="93"/>
      <c r="Q50" s="468">
        <v>-1.7278126955152437039141040100</v>
      </c>
      <c r="R50" s="469">
        <v>10.635999692889305307133669860</v>
      </c>
      <c r="S50" s="470">
        <v>2.5565433610655926064403312500</v>
      </c>
      <c r="T50" s="468">
        <v>50.396962564393653421066723480</v>
      </c>
      <c r="U50" s="469">
        <v>170.18575065288361241331319281</v>
      </c>
      <c r="V50" s="470">
        <v>76.819276575316489532453847230</v>
      </c>
      <c r="W50" s="468">
        <v>0</v>
      </c>
      <c r="X50" s="469">
        <v>-100</v>
      </c>
      <c r="Y50" s="470">
        <v>25.965329830288195725625372490</v>
      </c>
      <c r="Z50" s="468">
        <v>1.8915532337768083904659682600</v>
      </c>
      <c r="AA50" s="469">
        <v>23.292329330122466557728664720</v>
      </c>
      <c r="AB50" s="470">
        <v>12.566735374463852983587407170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48" t="s">
        <v>126</v>
      </c>
      <c r="C52" s="1048"/>
      <c r="D52" s="1048"/>
      <c r="E52" s="1048"/>
      <c r="F52" s="1048"/>
      <c r="G52" s="1048"/>
      <c r="H52" s="1048"/>
      <c r="I52" s="1048"/>
      <c r="J52" s="1048"/>
      <c r="K52" s="1048"/>
      <c r="L52" s="1048"/>
      <c r="M52" s="1048"/>
      <c r="N52" s="1048"/>
      <c r="O52" s="1048"/>
      <c r="P52" s="1048"/>
      <c r="Q52" s="1048"/>
      <c r="R52" s="1048"/>
      <c r="S52" s="1048"/>
      <c r="T52" s="1048"/>
      <c r="U52" s="1048"/>
      <c r="V52" s="1048"/>
      <c r="W52" s="1048"/>
      <c r="X52" s="1048"/>
      <c r="Y52" s="1048"/>
      <c r="Z52" s="1048"/>
      <c r="AA52" s="1048"/>
      <c r="AB52" s="1048"/>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12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8"/>
      <c r="B1" s="656" t="s">
        <v>195</v>
      </c>
      <c r="Y1" s="5"/>
      <c r="AB1" s="685"/>
      <c r="AD1" s="236"/>
    </row>
    <row r="2" ht="15" customHeight="1">
      <c r="A2" s="11"/>
      <c r="B2" s="11" t="s">
        <v>208</v>
      </c>
    </row>
    <row r="3" ht="17.1" customHeight="1">
      <c r="A3" s="11"/>
      <c r="B3" s="11" t="s">
        <v>209</v>
      </c>
      <c r="R3" s="1040" t="s">
        <v>301</v>
      </c>
      <c r="S3" s="1040"/>
      <c r="T3" s="1040"/>
      <c r="U3" s="1040"/>
      <c r="V3" s="1040"/>
      <c r="W3" s="1040"/>
      <c r="X3" s="1040"/>
      <c r="Y3" s="1040"/>
      <c r="Z3" s="1040"/>
      <c r="AA3" s="1040"/>
      <c r="AB3" s="1040"/>
    </row>
    <row r="4" ht="19.5" customHeight="1">
      <c r="A4" s="4"/>
      <c r="B4" s="211" t="s">
        <v>210</v>
      </c>
      <c r="C4" s="5"/>
      <c r="D4" s="5"/>
      <c r="E4" s="5"/>
      <c r="F4" s="5"/>
      <c r="G4" s="5"/>
      <c r="H4" s="212"/>
      <c r="I4" s="212"/>
      <c r="J4" s="212"/>
      <c r="K4" s="212"/>
      <c r="L4" s="212"/>
      <c r="M4" s="212"/>
      <c r="N4" s="212"/>
      <c r="O4" s="212"/>
      <c r="P4" s="212"/>
      <c r="Q4" s="212"/>
      <c r="R4" s="212"/>
      <c r="S4" s="212"/>
      <c r="T4" s="212"/>
      <c r="U4" s="4"/>
      <c r="V4" s="4"/>
    </row>
    <row r="5" ht="12.75" customHeight="1"/>
    <row r="6" ht="15.75">
      <c r="D6" s="978" t="s">
        <v>45</v>
      </c>
      <c r="E6" s="978"/>
      <c r="F6" s="978"/>
      <c r="G6" s="978"/>
      <c r="H6" s="978"/>
      <c r="I6" s="978"/>
      <c r="J6" s="978"/>
      <c r="K6" s="978"/>
      <c r="L6" s="978"/>
      <c r="M6" s="978"/>
      <c r="N6" s="978"/>
      <c r="O6" s="978"/>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1041"/>
      <c r="C8" s="1041"/>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73" t="s">
        <v>22</v>
      </c>
      <c r="C10" s="973"/>
      <c r="D10" s="973"/>
      <c r="E10" s="973"/>
      <c r="F10" s="973"/>
      <c r="G10" s="973"/>
      <c r="H10" s="973"/>
      <c r="I10" s="973"/>
      <c r="J10" s="973"/>
      <c r="K10" s="973"/>
      <c r="L10" s="973"/>
      <c r="M10" s="973"/>
      <c r="N10" s="973"/>
      <c r="O10" s="973"/>
      <c r="P10" s="411"/>
      <c r="Q10" s="971"/>
      <c r="R10" s="971"/>
      <c r="S10" s="971"/>
      <c r="T10" s="971"/>
      <c r="U10" s="971"/>
      <c r="V10" s="971"/>
      <c r="W10" s="971"/>
      <c r="X10" s="971"/>
      <c r="Y10" s="971"/>
      <c r="Z10" s="971"/>
      <c r="AA10" s="971"/>
      <c r="AB10" s="971"/>
      <c r="AC10" s="9"/>
    </row>
    <row r="11" ht="18" customHeight="1">
      <c r="A11" s="58"/>
      <c r="B11" s="1042" t="s">
        <v>43</v>
      </c>
      <c r="C11" s="1042"/>
      <c r="D11" s="427">
        <v>77.112470862470862470862470920</v>
      </c>
      <c r="E11" s="428">
        <v>69.968394065999442419164639140</v>
      </c>
      <c r="F11" s="429">
        <v>53.478335414461108079231901030</v>
      </c>
      <c r="G11" s="427">
        <v>7.648601398601398601398601400</v>
      </c>
      <c r="H11" s="428">
        <v>6.7251587937828685751221050400</v>
      </c>
      <c r="I11" s="429">
        <v>9.562488171690854094505726740</v>
      </c>
      <c r="J11" s="427">
        <v>0</v>
      </c>
      <c r="K11" s="428">
        <v>0</v>
      </c>
      <c r="L11" s="429">
        <v>7.8726400577874565567718783400</v>
      </c>
      <c r="M11" s="427">
        <v>84.76107226107226107226107226</v>
      </c>
      <c r="N11" s="428">
        <v>76.694219899106545918677444840</v>
      </c>
      <c r="O11" s="429">
        <v>70.913779678600534379391207030</v>
      </c>
      <c r="P11" s="5"/>
      <c r="Q11" s="427">
        <v>-8.552176917750772873743496910</v>
      </c>
      <c r="R11" s="428">
        <v>-0.5925310232863480303391073400</v>
      </c>
      <c r="S11" s="429">
        <v>-3.5281728432673403804834783200</v>
      </c>
      <c r="T11" s="427">
        <v>294.73684211457063711933303404</v>
      </c>
      <c r="U11" s="428">
        <v>125.16132207190370360638303332</v>
      </c>
      <c r="V11" s="429">
        <v>87.32789328675238572163058338</v>
      </c>
      <c r="W11" s="427">
        <v>0</v>
      </c>
      <c r="X11" s="428">
        <v>0</v>
      </c>
      <c r="Y11" s="429">
        <v>53.464547889539568065736320670</v>
      </c>
      <c r="Z11" s="427">
        <v>-1.7395710184602986327807793600</v>
      </c>
      <c r="AA11" s="428">
        <v>4.5037651437869680304634077700</v>
      </c>
      <c r="AB11" s="429">
        <v>7.985504644529147429504878990</v>
      </c>
    </row>
    <row r="12" ht="18" customHeight="1">
      <c r="A12" s="58"/>
      <c r="B12" s="1043" t="s">
        <v>46</v>
      </c>
      <c r="C12" s="1043"/>
      <c r="D12" s="420">
        <v>72.333916083916083916083916140</v>
      </c>
      <c r="E12" s="91">
        <v>61.146371482017667690931710570</v>
      </c>
      <c r="F12" s="421">
        <v>48.116404671527436687335944670</v>
      </c>
      <c r="G12" s="420">
        <v>9.775641025641025641025641030</v>
      </c>
      <c r="H12" s="91">
        <v>9.812714751525026041151955340</v>
      </c>
      <c r="I12" s="421">
        <v>11.816905369323127193274513470</v>
      </c>
      <c r="J12" s="420">
        <v>0</v>
      </c>
      <c r="K12" s="91">
        <v>0</v>
      </c>
      <c r="L12" s="421">
        <v>7.3498404599476493926932844600</v>
      </c>
      <c r="M12" s="420">
        <v>82.10955710955710955710955711</v>
      </c>
      <c r="N12" s="91">
        <v>70.950586519175834194371847080</v>
      </c>
      <c r="O12" s="421">
        <v>67.282996338343423887258206950</v>
      </c>
      <c r="P12" s="5"/>
      <c r="Q12" s="420">
        <v>-4.4824932665927976264585492700</v>
      </c>
      <c r="R12" s="91">
        <v>-0.728665467982832706973603700</v>
      </c>
      <c r="S12" s="421">
        <v>-0.6318492934741238377576914500</v>
      </c>
      <c r="T12" s="420">
        <v>255.02645502600419921054898953</v>
      </c>
      <c r="U12" s="91">
        <v>304.45391682748964084217821291</v>
      </c>
      <c r="V12" s="421">
        <v>137.53891583356613804153668507</v>
      </c>
      <c r="W12" s="420">
        <v>0</v>
      </c>
      <c r="X12" s="91">
        <v>0</v>
      </c>
      <c r="Y12" s="421">
        <v>48.683094849691988652772832330</v>
      </c>
      <c r="Z12" s="420">
        <v>4.6222387228976089506432871500</v>
      </c>
      <c r="AA12" s="91">
        <v>10.800204557300949585991145300</v>
      </c>
      <c r="AB12" s="421">
        <v>15.327411090368640393006112240</v>
      </c>
    </row>
    <row r="13" ht="18" customHeight="1">
      <c r="A13" s="58"/>
      <c r="B13" s="1043" t="s">
        <v>47</v>
      </c>
      <c r="C13" s="1043"/>
      <c r="D13" s="420">
        <v>69.915501165501165501165501220</v>
      </c>
      <c r="E13" s="91">
        <v>57.815706839819709328344412690</v>
      </c>
      <c r="F13" s="421">
        <v>49.150037263585245343605918320</v>
      </c>
      <c r="G13" s="420">
        <v>12.703962703962703962703962710</v>
      </c>
      <c r="H13" s="91">
        <v>12.912427772004937972990034670</v>
      </c>
      <c r="I13" s="421">
        <v>13.598028664120324884197356790</v>
      </c>
      <c r="J13" s="420">
        <v>0</v>
      </c>
      <c r="K13" s="91">
        <v>0</v>
      </c>
      <c r="L13" s="421">
        <v>7.401835071573217695433114900</v>
      </c>
      <c r="M13" s="420">
        <v>82.61946386946386946386946387</v>
      </c>
      <c r="N13" s="91">
        <v>70.719625600194493405457971190</v>
      </c>
      <c r="O13" s="421">
        <v>70.150507366461601325736078640</v>
      </c>
      <c r="P13" s="184"/>
      <c r="Q13" s="420">
        <v>-2.8345818991317853311513907200</v>
      </c>
      <c r="R13" s="91">
        <v>-0.8953918278887803456456595400</v>
      </c>
      <c r="S13" s="421">
        <v>4.4491433947766948984882266900</v>
      </c>
      <c r="T13" s="420">
        <v>272.64957264857891737892002905</v>
      </c>
      <c r="U13" s="91">
        <v>357.35330755367090523908235224</v>
      </c>
      <c r="V13" s="421">
        <v>154.24077456051674649335302657</v>
      </c>
      <c r="W13" s="420">
        <v>0</v>
      </c>
      <c r="X13" s="91">
        <v>0</v>
      </c>
      <c r="Y13" s="421">
        <v>48.446226294435714287075768270</v>
      </c>
      <c r="Z13" s="420">
        <v>9.626908950346767930512827170</v>
      </c>
      <c r="AA13" s="91">
        <v>15.627957718593561384848063650</v>
      </c>
      <c r="AB13" s="421">
        <v>22.230309206349232450963381050</v>
      </c>
    </row>
    <row r="14" ht="18" customHeight="1">
      <c r="A14" s="58"/>
      <c r="B14" s="1043" t="s">
        <v>48</v>
      </c>
      <c r="C14" s="1043"/>
      <c r="D14" s="420">
        <v>71.678321678321678321678321730</v>
      </c>
      <c r="E14" s="91">
        <v>59.374103780479088918743065780</v>
      </c>
      <c r="F14" s="421">
        <v>51.211494786082922971921410350</v>
      </c>
      <c r="G14" s="420">
        <v>12.266899766899766899766899780</v>
      </c>
      <c r="H14" s="91">
        <v>12.896447947405356127291344040</v>
      </c>
      <c r="I14" s="421">
        <v>14.656275157468158531858834970</v>
      </c>
      <c r="J14" s="420">
        <v>0</v>
      </c>
      <c r="K14" s="91">
        <v>0</v>
      </c>
      <c r="L14" s="421">
        <v>7.7575219701091860896986194500</v>
      </c>
      <c r="M14" s="420">
        <v>83.94522144522144522144522145</v>
      </c>
      <c r="N14" s="91">
        <v>72.268141485353105627810866660</v>
      </c>
      <c r="O14" s="421">
        <v>73.625463097486561092546854570</v>
      </c>
      <c r="P14" s="5"/>
      <c r="Q14" s="420">
        <v>-3.5294117647067903114186850400</v>
      </c>
      <c r="R14" s="91">
        <v>-1.4924411836624124949597663500</v>
      </c>
      <c r="S14" s="421">
        <v>3.5729896284932512653807907800</v>
      </c>
      <c r="T14" s="420">
        <v>206.18181818260200727272927965</v>
      </c>
      <c r="U14" s="91">
        <v>291.53197846633870025245648633</v>
      </c>
      <c r="V14" s="421">
        <v>137.06031257395472101611646052</v>
      </c>
      <c r="W14" s="420">
        <v>0</v>
      </c>
      <c r="X14" s="91">
        <v>0</v>
      </c>
      <c r="Y14" s="421">
        <v>48.212209981352385741143273580</v>
      </c>
      <c r="Z14" s="420">
        <v>7.2000000000130833860465132300</v>
      </c>
      <c r="AA14" s="91">
        <v>13.699194560961013597568877210</v>
      </c>
      <c r="AB14" s="421">
        <v>20.971854532800875408413927110</v>
      </c>
    </row>
    <row r="15" ht="18" customHeight="1">
      <c r="A15" s="58"/>
      <c r="B15" s="1043" t="s">
        <v>49</v>
      </c>
      <c r="C15" s="1043"/>
      <c r="D15" s="420">
        <v>75.320512820512820512820512880</v>
      </c>
      <c r="E15" s="91">
        <v>67.128989539616334167764627980</v>
      </c>
      <c r="F15" s="421">
        <v>54.581893609464636925996989600</v>
      </c>
      <c r="G15" s="420">
        <v>11.655011655011655011655011660</v>
      </c>
      <c r="H15" s="91">
        <v>10.851370315783347485993729870</v>
      </c>
      <c r="I15" s="421">
        <v>13.793709871036016193371964230</v>
      </c>
      <c r="J15" s="420">
        <v>0</v>
      </c>
      <c r="K15" s="91">
        <v>0</v>
      </c>
      <c r="L15" s="421">
        <v>7.7768528999876872891815208400</v>
      </c>
      <c r="M15" s="420">
        <v>86.97552447552447552447552448</v>
      </c>
      <c r="N15" s="91">
        <v>77.974960495928041813540780360</v>
      </c>
      <c r="O15" s="421">
        <v>76.153095275930171846269097180</v>
      </c>
      <c r="P15" s="184"/>
      <c r="Q15" s="420">
        <v>-8.479376880918305769814146590</v>
      </c>
      <c r="R15" s="91">
        <v>-0.8126148147892795667893540300</v>
      </c>
      <c r="S15" s="421">
        <v>-0.8492868085720466449015415900</v>
      </c>
      <c r="T15" s="420">
        <v>376.19047618122448979609811488</v>
      </c>
      <c r="U15" s="91">
        <v>176.73303107134797789958324337</v>
      </c>
      <c r="V15" s="421">
        <v>90.50368953733927672718654350</v>
      </c>
      <c r="W15" s="420">
        <v>0</v>
      </c>
      <c r="X15" s="91">
        <v>0</v>
      </c>
      <c r="Y15" s="421">
        <v>48.953917640218374218624750760</v>
      </c>
      <c r="Z15" s="420">
        <v>2.6302217638000053727390943800</v>
      </c>
      <c r="AA15" s="91">
        <v>8.877898008453822650822092350</v>
      </c>
      <c r="AB15" s="421">
        <v>12.796159623361654420818299900</v>
      </c>
    </row>
    <row r="16" ht="18" customHeight="1">
      <c r="A16" s="58"/>
      <c r="B16" s="1044" t="s">
        <v>75</v>
      </c>
      <c r="C16" s="1044"/>
      <c r="D16" s="430">
        <v>73.272144522144522144522144530</v>
      </c>
      <c r="E16" s="431">
        <v>63.086717257465688775442908050</v>
      </c>
      <c r="F16" s="432">
        <v>51.307632793101418929958828820</v>
      </c>
      <c r="G16" s="430">
        <v>10.810023310023310023310023310</v>
      </c>
      <c r="H16" s="431">
        <v>10.639653875811120883457644970</v>
      </c>
      <c r="I16" s="432">
        <v>12.685482183792793330003855050</v>
      </c>
      <c r="J16" s="430">
        <v>0</v>
      </c>
      <c r="K16" s="431">
        <v>0</v>
      </c>
      <c r="L16" s="432">
        <v>7.631738195323170590515837200</v>
      </c>
      <c r="M16" s="430">
        <v>84.08216783216783216783216783</v>
      </c>
      <c r="N16" s="431">
        <v>73.721540836544422429406687980</v>
      </c>
      <c r="O16" s="432">
        <v>71.625167873296182522653247090</v>
      </c>
      <c r="P16" s="5"/>
      <c r="Q16" s="430">
        <v>-5.724675714123747730639694100</v>
      </c>
      <c r="R16" s="431">
        <v>-0.8916072863734101215153116400</v>
      </c>
      <c r="S16" s="432">
        <v>0.4438330530543571063610947800</v>
      </c>
      <c r="T16" s="430">
        <v>271.37137137636759883012850904</v>
      </c>
      <c r="U16" s="431">
        <v>244.29506305264814786146166512</v>
      </c>
      <c r="V16" s="432">
        <v>119.83259568402038337132578687</v>
      </c>
      <c r="W16" s="430">
        <v>0</v>
      </c>
      <c r="X16" s="431">
        <v>0</v>
      </c>
      <c r="Y16" s="432">
        <v>49.556701192655272593145353800</v>
      </c>
      <c r="Z16" s="629">
        <v>4.2785386477592262144634846400</v>
      </c>
      <c r="AA16" s="214">
        <v>10.440045752875533426314881110</v>
      </c>
      <c r="AB16" s="630">
        <v>15.607553603384734112843370720</v>
      </c>
    </row>
    <row r="17" ht="6" customHeight="1">
      <c r="A17" s="58"/>
      <c r="B17" s="631"/>
      <c r="C17" s="631"/>
      <c r="D17" s="91"/>
      <c r="E17" s="91"/>
      <c r="F17" s="91"/>
      <c r="G17" s="91"/>
      <c r="H17" s="91"/>
      <c r="I17" s="91"/>
      <c r="J17" s="91"/>
      <c r="K17" s="91"/>
      <c r="L17" s="91"/>
      <c r="M17" s="91"/>
      <c r="N17" s="91"/>
      <c r="O17" s="91"/>
      <c r="P17" s="5"/>
      <c r="Q17" s="91"/>
      <c r="R17" s="91"/>
      <c r="S17" s="91"/>
      <c r="T17" s="91"/>
      <c r="U17" s="91"/>
      <c r="V17" s="91"/>
      <c r="W17" s="91"/>
      <c r="X17" s="91"/>
      <c r="Y17" s="91"/>
      <c r="Z17" s="632"/>
      <c r="AA17" s="632"/>
      <c r="AB17" s="632"/>
      <c r="AC17" s="4"/>
    </row>
    <row r="18" ht="18" customHeight="1">
      <c r="A18" s="58"/>
      <c r="B18" s="1045" t="s">
        <v>50</v>
      </c>
      <c r="C18" s="1045"/>
      <c r="D18" s="479">
        <v>79.210372960372960372960373020</v>
      </c>
      <c r="E18" s="480">
        <v>75.032773967326355677445303250</v>
      </c>
      <c r="F18" s="481">
        <v>60.499922197258796048018261150</v>
      </c>
      <c r="G18" s="479">
        <v>6.7307692307692307692307692400</v>
      </c>
      <c r="H18" s="480">
        <v>6.9769661845529447851698694400</v>
      </c>
      <c r="I18" s="481">
        <v>13.754192285504158169499750200</v>
      </c>
      <c r="J18" s="479">
        <v>0</v>
      </c>
      <c r="K18" s="480">
        <v>0</v>
      </c>
      <c r="L18" s="481">
        <v>7.936429326998479489080208730</v>
      </c>
      <c r="M18" s="479">
        <v>85.94114219114219114219114219</v>
      </c>
      <c r="N18" s="480">
        <v>82.01045338519508933997812082</v>
      </c>
      <c r="O18" s="481">
        <v>82.19272617482877839599919185</v>
      </c>
      <c r="P18" s="184"/>
      <c r="Q18" s="479">
        <v>-7.3008080912516833826439746400</v>
      </c>
      <c r="R18" s="480">
        <v>0.2490284848851382813956319200</v>
      </c>
      <c r="S18" s="481">
        <v>-5.6240494371691164264465795100</v>
      </c>
      <c r="T18" s="479">
        <v>110.21634615541902257899528520</v>
      </c>
      <c r="U18" s="480">
        <v>71.597473781871879920648062950</v>
      </c>
      <c r="V18" s="481">
        <v>63.707464017776475398271360940</v>
      </c>
      <c r="W18" s="479">
        <v>0</v>
      </c>
      <c r="X18" s="480">
        <v>0</v>
      </c>
      <c r="Y18" s="481">
        <v>52.025670146508457681670277900</v>
      </c>
      <c r="Z18" s="479">
        <v>-3.0563961997566900895846299300</v>
      </c>
      <c r="AA18" s="480">
        <v>3.908888180138541057274449500</v>
      </c>
      <c r="AB18" s="481">
        <v>5.7445709007815532574845339200</v>
      </c>
    </row>
    <row r="19" ht="18" customHeight="1">
      <c r="A19" s="58"/>
      <c r="B19" s="1046" t="s">
        <v>51</v>
      </c>
      <c r="C19" s="1046"/>
      <c r="D19" s="271">
        <v>82.86163522012578616352201264</v>
      </c>
      <c r="E19" s="92">
        <v>78.820997690212219303609928810</v>
      </c>
      <c r="F19" s="272">
        <v>62.610536888246698079891213640</v>
      </c>
      <c r="G19" s="271">
        <v>5.8461978273299028016009148100</v>
      </c>
      <c r="H19" s="92">
        <v>6.4759875542117166109638661400</v>
      </c>
      <c r="I19" s="272">
        <v>11.631616710700886044568050370</v>
      </c>
      <c r="J19" s="271">
        <v>0</v>
      </c>
      <c r="K19" s="92">
        <v>0</v>
      </c>
      <c r="L19" s="272">
        <v>7.9075036663341667564293769700</v>
      </c>
      <c r="M19" s="271">
        <v>88.70783304745568896512292739</v>
      </c>
      <c r="N19" s="92">
        <v>85.30069471361698321357225916</v>
      </c>
      <c r="O19" s="272">
        <v>82.15179836245222334084692759</v>
      </c>
      <c r="P19" s="5"/>
      <c r="Q19" s="271">
        <v>-6.6225145048051640286284261300</v>
      </c>
      <c r="R19" s="92">
        <v>-0.051999670484749804441632900</v>
      </c>
      <c r="S19" s="272">
        <v>-6.6467192920229626036652515600</v>
      </c>
      <c r="T19" s="271">
        <v>90.18152553039890524420916851</v>
      </c>
      <c r="U19" s="92">
        <v>63.619702411732393616666686590</v>
      </c>
      <c r="V19" s="272">
        <v>52.320345974327858658871099110</v>
      </c>
      <c r="W19" s="271">
        <v>0</v>
      </c>
      <c r="X19" s="92">
        <v>0</v>
      </c>
      <c r="Y19" s="272">
        <v>51.504824022546770968150197150</v>
      </c>
      <c r="Z19" s="271">
        <v>-3.381376382508274666306042600</v>
      </c>
      <c r="AA19" s="92">
        <v>2.9745917771636849748469832200</v>
      </c>
      <c r="AB19" s="272">
        <v>2.7877308476648071332599885900</v>
      </c>
    </row>
    <row r="20" ht="18" customHeight="1">
      <c r="A20" s="58"/>
      <c r="B20" s="1047" t="s">
        <v>76</v>
      </c>
      <c r="C20" s="1047"/>
      <c r="D20" s="273">
        <v>81.05339105339105339105339108</v>
      </c>
      <c r="E20" s="274">
        <v>76.944872709876427000880528680</v>
      </c>
      <c r="F20" s="275">
        <v>61.565258462749452234592782010</v>
      </c>
      <c r="G20" s="273">
        <v>6.2842712842712842712842712900</v>
      </c>
      <c r="H20" s="274">
        <v>6.7240981706252518353922352200</v>
      </c>
      <c r="I20" s="275">
        <v>12.682818744071927934180614550</v>
      </c>
      <c r="J20" s="273">
        <v>0</v>
      </c>
      <c r="K20" s="274">
        <v>0</v>
      </c>
      <c r="L20" s="275">
        <v>7.9218290518082479370466412200</v>
      </c>
      <c r="M20" s="273">
        <v>87.33766233766233766233766234</v>
      </c>
      <c r="N20" s="274">
        <v>83.67119659277318765331768176</v>
      </c>
      <c r="O20" s="275">
        <v>82.17206779279912307822029849</v>
      </c>
      <c r="P20" s="184"/>
      <c r="Q20" s="273">
        <v>-6.9185516612573676997334863800</v>
      </c>
      <c r="R20" s="274">
        <v>0.1452458829739045345776925100</v>
      </c>
      <c r="S20" s="275">
        <v>-6.1114959663696993366488524800</v>
      </c>
      <c r="T20" s="273">
        <v>100.22988505926642885455434288</v>
      </c>
      <c r="U20" s="274">
        <v>67.579468853181582361655963070</v>
      </c>
      <c r="V20" s="275">
        <v>58.088180519443984717066673190</v>
      </c>
      <c r="W20" s="273">
        <v>0</v>
      </c>
      <c r="X20" s="274">
        <v>0</v>
      </c>
      <c r="Y20" s="275">
        <v>51.762484392270953461124638550</v>
      </c>
      <c r="Z20" s="273">
        <v>-3.1909788868096594886181232700</v>
      </c>
      <c r="AA20" s="274">
        <v>3.4758288105637610096923536100</v>
      </c>
      <c r="AB20" s="275">
        <v>4.2591064899213673009372517400</v>
      </c>
    </row>
    <row r="21" ht="6" customHeight="1">
      <c r="A21" s="58"/>
      <c r="B21" s="631"/>
      <c r="C21" s="631"/>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82" t="s">
        <v>12</v>
      </c>
      <c r="C22" s="982"/>
      <c r="D22" s="468">
        <v>75.514736405147364051473640510</v>
      </c>
      <c r="E22" s="469">
        <v>67.430503543550824086621093330</v>
      </c>
      <c r="F22" s="470">
        <v>54.301719065286990429342385350</v>
      </c>
      <c r="G22" s="468">
        <v>9.514321295143212951432129510</v>
      </c>
      <c r="H22" s="469">
        <v>9.155652147560642991042630840</v>
      </c>
      <c r="I22" s="470">
        <v>12.620436326581320554667718350</v>
      </c>
      <c r="J22" s="468">
        <v>0</v>
      </c>
      <c r="K22" s="469">
        <v>0</v>
      </c>
      <c r="L22" s="470">
        <v>7.7362906069596487733542805100</v>
      </c>
      <c r="M22" s="468">
        <v>85.02905770029057700290577003</v>
      </c>
      <c r="N22" s="469">
        <v>76.586155691111467077663724170</v>
      </c>
      <c r="O22" s="470">
        <v>74.658445998827959757364384210</v>
      </c>
      <c r="P22" s="184"/>
      <c r="Q22" s="468">
        <v>-6.0550506093560076498549292800</v>
      </c>
      <c r="R22" s="469">
        <v>-0.2346810420318046180945992800</v>
      </c>
      <c r="S22" s="470">
        <v>-1.4699850584465622084430409900</v>
      </c>
      <c r="T22" s="468">
        <v>218.33333333204673611111631096</v>
      </c>
      <c r="U22" s="469">
        <v>185.92010464820097798846442821</v>
      </c>
      <c r="V22" s="470">
        <v>99.11452630294373294747349648</v>
      </c>
      <c r="W22" s="468">
        <v>0</v>
      </c>
      <c r="X22" s="469">
        <v>-100</v>
      </c>
      <c r="Y22" s="470">
        <v>44.555934716928877603864139780</v>
      </c>
      <c r="Z22" s="468">
        <v>1.989145588536662112782954400</v>
      </c>
      <c r="AA22" s="469">
        <v>8.170566819870315525329626950</v>
      </c>
      <c r="AB22" s="470">
        <v>11.760965444063486313410496890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37" t="s">
        <v>9</v>
      </c>
      <c r="C24" s="1037"/>
      <c r="D24" s="1037"/>
      <c r="E24" s="1037"/>
      <c r="F24" s="1037"/>
      <c r="G24" s="1037"/>
      <c r="H24" s="1037"/>
      <c r="I24" s="1037"/>
      <c r="J24" s="1037"/>
      <c r="K24" s="1037"/>
      <c r="L24" s="1037"/>
      <c r="M24" s="1037"/>
      <c r="N24" s="1037"/>
      <c r="O24" s="1037"/>
      <c r="P24" s="411"/>
      <c r="Q24" s="1038"/>
      <c r="R24" s="1038"/>
      <c r="S24" s="1038"/>
      <c r="T24" s="1038"/>
      <c r="U24" s="1038"/>
      <c r="V24" s="1038"/>
      <c r="W24" s="1038"/>
      <c r="X24" s="1038"/>
      <c r="Y24" s="1038"/>
      <c r="Z24" s="1038"/>
      <c r="AA24" s="1038"/>
      <c r="AB24" s="1038"/>
      <c r="AC24" s="9"/>
    </row>
    <row r="25" ht="18" customHeight="1">
      <c r="A25" s="58"/>
      <c r="B25" s="1042" t="s">
        <v>43</v>
      </c>
      <c r="C25" s="1042"/>
      <c r="D25" s="454">
        <v>239.2209733315551787067473424</v>
      </c>
      <c r="E25" s="455">
        <v>257.30582348918981596949412679</v>
      </c>
      <c r="F25" s="456">
        <v>225.09077772626891092428543604</v>
      </c>
      <c r="G25" s="454">
        <v>301.1223492595797359827720271</v>
      </c>
      <c r="H25" s="455">
        <v>297.32297538792413188437182692</v>
      </c>
      <c r="I25" s="456">
        <v>235.49459389886663665334125691</v>
      </c>
      <c r="J25" s="454">
        <v>0</v>
      </c>
      <c r="K25" s="455">
        <v>0</v>
      </c>
      <c r="L25" s="456">
        <v>116.83312482365454014048689823</v>
      </c>
      <c r="M25" s="454">
        <v>244.80677985651442459363509754</v>
      </c>
      <c r="N25" s="455">
        <v>260.81487595786275812266702175</v>
      </c>
      <c r="O25" s="456">
        <v>214.47520309446065061507723364</v>
      </c>
      <c r="P25" s="5"/>
      <c r="Q25" s="427">
        <v>16.368691605062622653731677490</v>
      </c>
      <c r="R25" s="428">
        <v>18.749215246453970775443063030</v>
      </c>
      <c r="S25" s="429">
        <v>15.888993150910358752149589280</v>
      </c>
      <c r="T25" s="427">
        <v>15.843704740349395460742993900</v>
      </c>
      <c r="U25" s="428">
        <v>34.334231694186512276601183760</v>
      </c>
      <c r="V25" s="429">
        <v>44.391677969060150504602936830</v>
      </c>
      <c r="W25" s="427">
        <v>0</v>
      </c>
      <c r="X25" s="428">
        <v>0</v>
      </c>
      <c r="Y25" s="429">
        <v>10.516875912667699540697837960</v>
      </c>
      <c r="Z25" s="427">
        <v>18.382639103900401890263109880</v>
      </c>
      <c r="AA25" s="428">
        <v>20.290949585634404549446374070</v>
      </c>
      <c r="AB25" s="429">
        <v>16.000209403798698250565132130</v>
      </c>
    </row>
    <row r="26" ht="18" customHeight="1">
      <c r="A26" s="58"/>
      <c r="B26" s="1043" t="s">
        <v>46</v>
      </c>
      <c r="C26" s="1043"/>
      <c r="D26" s="439">
        <v>211.6453028264944664445085432</v>
      </c>
      <c r="E26" s="95">
        <v>237.51679286352075781472801367</v>
      </c>
      <c r="F26" s="440">
        <v>217.09137637047883881011993261</v>
      </c>
      <c r="G26" s="439">
        <v>249.58578438570816461013545249</v>
      </c>
      <c r="H26" s="95">
        <v>276.5771880416784161559974978</v>
      </c>
      <c r="I26" s="440">
        <v>229.3421904225905542201722045</v>
      </c>
      <c r="J26" s="439">
        <v>0</v>
      </c>
      <c r="K26" s="95">
        <v>0</v>
      </c>
      <c r="L26" s="440">
        <v>137.22641233442797081972355444</v>
      </c>
      <c r="M26" s="439">
        <v>216.16234738402327969311316636</v>
      </c>
      <c r="N26" s="95">
        <v>242.94954938079756601524214175</v>
      </c>
      <c r="O26" s="440">
        <v>210.52015533204690425931955782</v>
      </c>
      <c r="P26" s="5"/>
      <c r="Q26" s="420">
        <v>19.216368513105608351086898620</v>
      </c>
      <c r="R26" s="91">
        <v>26.277997404515992219541690380</v>
      </c>
      <c r="S26" s="421">
        <v>20.699682799653402668374807740</v>
      </c>
      <c r="T26" s="420">
        <v>4.4548811662274321096041003500</v>
      </c>
      <c r="U26" s="91">
        <v>29.367236802623613512802247560</v>
      </c>
      <c r="V26" s="421">
        <v>41.309825835466894750795347220</v>
      </c>
      <c r="W26" s="420">
        <v>0</v>
      </c>
      <c r="X26" s="91">
        <v>0</v>
      </c>
      <c r="Y26" s="421">
        <v>29.199780952856413325634853150</v>
      </c>
      <c r="Z26" s="420">
        <v>20.300738127088237633932373270</v>
      </c>
      <c r="AA26" s="91">
        <v>28.527739457032089665342560660</v>
      </c>
      <c r="AB26" s="421">
        <v>22.309132929551829106461785400</v>
      </c>
    </row>
    <row r="27" ht="18" customHeight="1">
      <c r="A27" s="58"/>
      <c r="B27" s="1043" t="s">
        <v>47</v>
      </c>
      <c r="C27" s="1043"/>
      <c r="D27" s="439">
        <v>221.70509295157089817053351705</v>
      </c>
      <c r="E27" s="95">
        <v>240.48866068774533827446521194</v>
      </c>
      <c r="F27" s="440">
        <v>219.76159312402408182889429296</v>
      </c>
      <c r="G27" s="439">
        <v>240.90435878182156562181079185</v>
      </c>
      <c r="H27" s="95">
        <v>286.95544600192359172127350501</v>
      </c>
      <c r="I27" s="440">
        <v>233.92192077402363849125141694</v>
      </c>
      <c r="J27" s="439">
        <v>0</v>
      </c>
      <c r="K27" s="95">
        <v>0</v>
      </c>
      <c r="L27" s="440">
        <v>122.77161067079050798481635455</v>
      </c>
      <c r="M27" s="439">
        <v>224.65726361000478672943208584</v>
      </c>
      <c r="N27" s="95">
        <v>249.00393019838117837202491426</v>
      </c>
      <c r="O27" s="440">
        <v>212.27192467893756804593532568</v>
      </c>
      <c r="P27" s="93"/>
      <c r="Q27" s="420">
        <v>27.172103221415386046922166270</v>
      </c>
      <c r="R27" s="91">
        <v>26.421472592105807236621152920</v>
      </c>
      <c r="S27" s="421">
        <v>21.772441280986960014513263590</v>
      </c>
      <c r="T27" s="420">
        <v>10.554522438057791461456129250</v>
      </c>
      <c r="U27" s="91">
        <v>30.388718477598703725773118680</v>
      </c>
      <c r="V27" s="421">
        <v>41.979100357209877006542781250</v>
      </c>
      <c r="W27" s="420">
        <v>0</v>
      </c>
      <c r="X27" s="91">
        <v>0</v>
      </c>
      <c r="Y27" s="421">
        <v>18.100436967249828899372127950</v>
      </c>
      <c r="Z27" s="420">
        <v>27.424909444701285379463758640</v>
      </c>
      <c r="AA27" s="91">
        <v>29.956511782270249381531299880</v>
      </c>
      <c r="AB27" s="421">
        <v>23.160119714451340898217037720</v>
      </c>
    </row>
    <row r="28" ht="18" customHeight="1">
      <c r="A28" s="58"/>
      <c r="B28" s="1043" t="s">
        <v>48</v>
      </c>
      <c r="C28" s="1043"/>
      <c r="D28" s="439">
        <v>227.66750378687836089935222189</v>
      </c>
      <c r="E28" s="95">
        <v>247.30353685689201743008491428</v>
      </c>
      <c r="F28" s="440">
        <v>225.2379451527298728762535149</v>
      </c>
      <c r="G28" s="439">
        <v>258.38386525742359738690680892</v>
      </c>
      <c r="H28" s="95">
        <v>296.63732827572510387965200332</v>
      </c>
      <c r="I28" s="440">
        <v>235.34158851545549089541849203</v>
      </c>
      <c r="J28" s="439">
        <v>0</v>
      </c>
      <c r="K28" s="95">
        <v>0</v>
      </c>
      <c r="L28" s="440">
        <v>120.23140603845407512535705287</v>
      </c>
      <c r="M28" s="439">
        <v>232.15608003786744266306637709</v>
      </c>
      <c r="N28" s="95">
        <v>256.11776250311119625900564469</v>
      </c>
      <c r="O28" s="440">
        <v>216.18589708801984068518469242</v>
      </c>
      <c r="P28" s="5"/>
      <c r="Q28" s="420">
        <v>26.028251157832877921753809270</v>
      </c>
      <c r="R28" s="91">
        <v>26.026259248690007626928547680</v>
      </c>
      <c r="S28" s="421">
        <v>21.432423830692109211743712250</v>
      </c>
      <c r="T28" s="420">
        <v>16.223846633238020323060070220</v>
      </c>
      <c r="U28" s="91">
        <v>47.661852293542023938599714820</v>
      </c>
      <c r="V28" s="421">
        <v>37.075559296191488185658556970</v>
      </c>
      <c r="W28" s="420">
        <v>0</v>
      </c>
      <c r="X28" s="91">
        <v>0</v>
      </c>
      <c r="Y28" s="421">
        <v>14.89816183092316338528190200</v>
      </c>
      <c r="Z28" s="420">
        <v>27.014060100053927370693989960</v>
      </c>
      <c r="AA28" s="91">
        <v>30.343982176501444869796737290</v>
      </c>
      <c r="AB28" s="421">
        <v>22.049594514211456855615285930</v>
      </c>
    </row>
    <row r="29" ht="18" customHeight="1">
      <c r="A29" s="58"/>
      <c r="B29" s="1043" t="s">
        <v>49</v>
      </c>
      <c r="C29" s="1043"/>
      <c r="D29" s="439">
        <v>261.16378767302553724000661321</v>
      </c>
      <c r="E29" s="95">
        <v>281.03892109706463039081657685</v>
      </c>
      <c r="F29" s="440">
        <v>240.78274946367537884401360013</v>
      </c>
      <c r="G29" s="439">
        <v>296.43668467670409309792196484</v>
      </c>
      <c r="H29" s="95">
        <v>331.17239989769299807533832921</v>
      </c>
      <c r="I29" s="440">
        <v>237.14493279331962204899136868</v>
      </c>
      <c r="J29" s="439">
        <v>0</v>
      </c>
      <c r="K29" s="95">
        <v>0</v>
      </c>
      <c r="L29" s="440">
        <v>120.42960060107709035651603345</v>
      </c>
      <c r="M29" s="439">
        <v>265.8904740386776050266619367</v>
      </c>
      <c r="N29" s="95">
        <v>288.03770249376135799261738786</v>
      </c>
      <c r="O29" s="440">
        <v>227.83241943873907400913074753</v>
      </c>
      <c r="P29" s="93"/>
      <c r="Q29" s="420">
        <v>23.684467122837893289256524640</v>
      </c>
      <c r="R29" s="91">
        <v>20.622739642561784935943430930</v>
      </c>
      <c r="S29" s="421">
        <v>18.257598361869622287896001860</v>
      </c>
      <c r="T29" s="420">
        <v>7.2569224956287455716684380600</v>
      </c>
      <c r="U29" s="91">
        <v>52.220309521477227993041717020</v>
      </c>
      <c r="V29" s="421">
        <v>35.717800308228869905271702560</v>
      </c>
      <c r="W29" s="420">
        <v>0</v>
      </c>
      <c r="X29" s="91">
        <v>0</v>
      </c>
      <c r="Y29" s="421">
        <v>14.497857948525679490551706800</v>
      </c>
      <c r="Z29" s="420">
        <v>24.809488475657247619919783290</v>
      </c>
      <c r="AA29" s="91">
        <v>24.105532635738908462783074930</v>
      </c>
      <c r="AB29" s="421">
        <v>18.114153170212211379046225230</v>
      </c>
    </row>
    <row r="30" ht="18" customHeight="1">
      <c r="A30" s="58"/>
      <c r="B30" s="1044" t="s">
        <v>75</v>
      </c>
      <c r="C30" s="1044"/>
      <c r="D30" s="457">
        <v>232.6845819522423704723361065</v>
      </c>
      <c r="E30" s="458">
        <v>253.55564596732591936486930576</v>
      </c>
      <c r="F30" s="459">
        <v>225.93744066846958367504024137</v>
      </c>
      <c r="G30" s="457">
        <v>266.93758971157732844870305081</v>
      </c>
      <c r="H30" s="458">
        <v>297.71864709351468569883458081</v>
      </c>
      <c r="I30" s="459">
        <v>234.33475123215833777665701156</v>
      </c>
      <c r="J30" s="457">
        <v>0</v>
      </c>
      <c r="K30" s="458">
        <v>0</v>
      </c>
      <c r="L30" s="459">
        <v>123.33687433526300306582953619</v>
      </c>
      <c r="M30" s="457">
        <v>237.0883196514880541571377617</v>
      </c>
      <c r="N30" s="458">
        <v>259.94821543341961069043119041</v>
      </c>
      <c r="O30" s="459">
        <v>216.49257804988448326331885879</v>
      </c>
      <c r="P30" s="5"/>
      <c r="Q30" s="430">
        <v>21.990418940580116521704336120</v>
      </c>
      <c r="R30" s="431">
        <v>23.148498632574445673472941530</v>
      </c>
      <c r="S30" s="432">
        <v>19.354643761646268956892038390</v>
      </c>
      <c r="T30" s="430">
        <v>11.910013688126642959716389760</v>
      </c>
      <c r="U30" s="431">
        <v>38.729437985666833850767394400</v>
      </c>
      <c r="V30" s="432">
        <v>39.460250901831983902889647990</v>
      </c>
      <c r="W30" s="430">
        <v>0</v>
      </c>
      <c r="X30" s="431">
        <v>0</v>
      </c>
      <c r="Y30" s="432">
        <v>17.309706799342334122993731860</v>
      </c>
      <c r="Z30" s="430">
        <v>23.185014837771049900304362480</v>
      </c>
      <c r="AA30" s="431">
        <v>26.021613129725025912351791730</v>
      </c>
      <c r="AB30" s="432">
        <v>20.018293994199450179028573960</v>
      </c>
    </row>
    <row r="31" ht="6" customHeight="1">
      <c r="A31" s="58"/>
      <c r="B31" s="631"/>
      <c r="C31" s="631"/>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45" t="s">
        <v>50</v>
      </c>
      <c r="C32" s="1045"/>
      <c r="D32" s="493">
        <v>362.61996777091885781953792604</v>
      </c>
      <c r="E32" s="494">
        <v>344.47078548372686140816644379</v>
      </c>
      <c r="F32" s="495">
        <v>280.91357022818597993730994418</v>
      </c>
      <c r="G32" s="493">
        <v>384.89682517684750334320520158</v>
      </c>
      <c r="H32" s="494">
        <v>372.88340343038806496091485505</v>
      </c>
      <c r="I32" s="495">
        <v>233.35271002008599574825063231</v>
      </c>
      <c r="J32" s="493">
        <v>0</v>
      </c>
      <c r="K32" s="494">
        <v>0</v>
      </c>
      <c r="L32" s="495">
        <v>125.99399573993788313523791466</v>
      </c>
      <c r="M32" s="493">
        <v>364.36465468760626826739930612</v>
      </c>
      <c r="N32" s="494">
        <v>346.88798463911200011266882822</v>
      </c>
      <c r="O32" s="495">
        <v>257.98954625646233371017124825</v>
      </c>
      <c r="P32" s="93"/>
      <c r="Q32" s="479">
        <v>11.566040946069057273393104030</v>
      </c>
      <c r="R32" s="480">
        <v>5.1067014298168053140099475400</v>
      </c>
      <c r="S32" s="481">
        <v>14.229512839626850599708012500</v>
      </c>
      <c r="T32" s="479">
        <v>31.967084694427294218548128900</v>
      </c>
      <c r="U32" s="480">
        <v>50.325883426903713946235431290</v>
      </c>
      <c r="V32" s="481">
        <v>31.186456487692323408570054410</v>
      </c>
      <c r="W32" s="479">
        <v>0</v>
      </c>
      <c r="X32" s="480">
        <v>0</v>
      </c>
      <c r="Y32" s="481">
        <v>18.678014355023641917396371240</v>
      </c>
      <c r="Z32" s="479">
        <v>12.520008966144228330386044890</v>
      </c>
      <c r="AA32" s="480">
        <v>7.2047860969480611250253254200</v>
      </c>
      <c r="AB32" s="481">
        <v>12.571506463758429108521866550</v>
      </c>
    </row>
    <row r="33" ht="18" customHeight="1">
      <c r="A33" s="58"/>
      <c r="B33" s="1046" t="s">
        <v>51</v>
      </c>
      <c r="C33" s="1046"/>
      <c r="D33" s="276">
        <v>369.49894856721210534302032981</v>
      </c>
      <c r="E33" s="94">
        <v>351.28808119694339028527143342</v>
      </c>
      <c r="F33" s="277">
        <v>281.66149746029208537302957412</v>
      </c>
      <c r="G33" s="276">
        <v>385.06321997724026895989792819</v>
      </c>
      <c r="H33" s="94">
        <v>370.8269652899407790058075523</v>
      </c>
      <c r="I33" s="277">
        <v>239.86917152513186625211328342</v>
      </c>
      <c r="J33" s="276">
        <v>0</v>
      </c>
      <c r="K33" s="94">
        <v>0</v>
      </c>
      <c r="L33" s="277">
        <v>120.80148715201232269880255074</v>
      </c>
      <c r="M33" s="276">
        <v>370.52469574844019411506398717</v>
      </c>
      <c r="N33" s="94">
        <v>352.75919756482739129581773638</v>
      </c>
      <c r="O33" s="277">
        <v>260.25450397022027101289845057</v>
      </c>
      <c r="P33" s="5"/>
      <c r="Q33" s="271">
        <v>12.524577695174847304073681080</v>
      </c>
      <c r="R33" s="92">
        <v>8.830649526372280957161386210</v>
      </c>
      <c r="S33" s="272">
        <v>15.672318655047354802917276930</v>
      </c>
      <c r="T33" s="271">
        <v>48.513720852929385309756822990</v>
      </c>
      <c r="U33" s="92">
        <v>49.378754144803590961195964400</v>
      </c>
      <c r="V33" s="272">
        <v>37.999500506936184441552760680</v>
      </c>
      <c r="W33" s="271">
        <v>0</v>
      </c>
      <c r="X33" s="92">
        <v>0</v>
      </c>
      <c r="Y33" s="272">
        <v>13.348677670750728676872718810</v>
      </c>
      <c r="Z33" s="271">
        <v>13.637522107285963826348108350</v>
      </c>
      <c r="AA33" s="92">
        <v>10.528185791027365125426556760</v>
      </c>
      <c r="AB33" s="272">
        <v>14.196325267651850155581174010</v>
      </c>
    </row>
    <row r="34" ht="18" customHeight="1">
      <c r="A34" s="58"/>
      <c r="B34" s="1047" t="s">
        <v>76</v>
      </c>
      <c r="C34" s="1047"/>
      <c r="D34" s="443">
        <v>366.16967861978052382395554172</v>
      </c>
      <c r="E34" s="444">
        <v>347.99570391344427960162496951</v>
      </c>
      <c r="F34" s="445">
        <v>281.29749737514280365853634249</v>
      </c>
      <c r="G34" s="443">
        <v>384.97496004867372738135368056</v>
      </c>
      <c r="H34" s="444">
        <v>371.88372043104797877145803731</v>
      </c>
      <c r="I34" s="445">
        <v>236.36928333932352976047209444</v>
      </c>
      <c r="J34" s="443">
        <v>0</v>
      </c>
      <c r="K34" s="444">
        <v>0</v>
      </c>
      <c r="L34" s="445">
        <v>123.37780795502192374358089908</v>
      </c>
      <c r="M34" s="633">
        <v>367.52278891507717647149736564</v>
      </c>
      <c r="N34" s="634">
        <v>349.90918237625234269156170216</v>
      </c>
      <c r="O34" s="635">
        <v>259.13250546220972395677061822</v>
      </c>
      <c r="P34" s="93"/>
      <c r="Q34" s="273">
        <v>12.076128786001376944437175980</v>
      </c>
      <c r="R34" s="274">
        <v>7.0030454726532684332507284400</v>
      </c>
      <c r="S34" s="275">
        <v>14.958863742101076444073801040</v>
      </c>
      <c r="T34" s="273">
        <v>39.507213950076122432995807450</v>
      </c>
      <c r="U34" s="274">
        <v>49.865044596598809508870455400</v>
      </c>
      <c r="V34" s="275">
        <v>34.327540507614424371559463540</v>
      </c>
      <c r="W34" s="273">
        <v>0</v>
      </c>
      <c r="X34" s="274">
        <v>0</v>
      </c>
      <c r="Y34" s="275">
        <v>15.991614868698430977455493460</v>
      </c>
      <c r="Z34" s="273">
        <v>13.101615118271394050371725530</v>
      </c>
      <c r="AA34" s="274">
        <v>8.891999481291063683896865280</v>
      </c>
      <c r="AB34" s="275">
        <v>13.387635332127610146177084730</v>
      </c>
    </row>
    <row r="35" ht="6" customHeight="1">
      <c r="A35" s="58"/>
      <c r="B35" s="631"/>
      <c r="C35" s="631"/>
      <c r="D35" s="95"/>
      <c r="E35" s="95"/>
      <c r="F35" s="95"/>
      <c r="G35" s="95"/>
      <c r="H35" s="95"/>
      <c r="I35" s="95"/>
      <c r="J35" s="95"/>
      <c r="K35" s="95"/>
      <c r="L35" s="95"/>
      <c r="M35" s="636"/>
      <c r="N35" s="636"/>
      <c r="O35" s="636"/>
      <c r="P35" s="93"/>
      <c r="Q35" s="91"/>
      <c r="R35" s="91"/>
      <c r="S35" s="91"/>
      <c r="T35" s="91"/>
      <c r="U35" s="91"/>
      <c r="V35" s="91"/>
      <c r="W35" s="91"/>
      <c r="X35" s="91"/>
      <c r="Y35" s="91"/>
      <c r="Z35" s="91"/>
      <c r="AA35" s="91"/>
      <c r="AB35" s="91"/>
    </row>
    <row r="36" ht="18" customHeight="1">
      <c r="A36" s="58"/>
      <c r="B36" s="982" t="s">
        <v>12</v>
      </c>
      <c r="C36" s="982"/>
      <c r="D36" s="482">
        <v>274.05340406233680565099084737</v>
      </c>
      <c r="E36" s="483">
        <v>285.0048058601026081483181012</v>
      </c>
      <c r="F36" s="484">
        <v>244.17593630657084595203308252</v>
      </c>
      <c r="G36" s="482">
        <v>287.87870855148342059336823735</v>
      </c>
      <c r="H36" s="483">
        <v>311.82551413237367472456075206</v>
      </c>
      <c r="I36" s="484">
        <v>234.47053642710605862295295205</v>
      </c>
      <c r="J36" s="482">
        <v>0</v>
      </c>
      <c r="K36" s="483">
        <v>0</v>
      </c>
      <c r="L36" s="484">
        <v>123.14805454311241383864164468</v>
      </c>
      <c r="M36" s="482">
        <v>275.60038567627602704615910367</v>
      </c>
      <c r="N36" s="483">
        <v>288.21114352095239710346464972</v>
      </c>
      <c r="O36" s="484">
        <v>229.99410822396806199078871219</v>
      </c>
      <c r="P36" s="93"/>
      <c r="Q36" s="468">
        <v>17.492848528244048465463537510</v>
      </c>
      <c r="R36" s="469">
        <v>16.298475049262168731076174690</v>
      </c>
      <c r="S36" s="470">
        <v>17.050502778582077850741477540</v>
      </c>
      <c r="T36" s="468">
        <v>16.476402499019717524184898160</v>
      </c>
      <c r="U36" s="469">
        <v>38.631229516836956733138638210</v>
      </c>
      <c r="V36" s="470">
        <v>36.808343387875545790517068020</v>
      </c>
      <c r="W36" s="468">
        <v>0</v>
      </c>
      <c r="X36" s="469">
        <v>-100</v>
      </c>
      <c r="Y36" s="470">
        <v>18.110232838997879544490380710</v>
      </c>
      <c r="Z36" s="468">
        <v>17.904096670558583726120748430</v>
      </c>
      <c r="AA36" s="469">
        <v>18.053361450747817297656364760</v>
      </c>
      <c r="AB36" s="470">
        <v>16.916544166485128877790553990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7" t="s">
        <v>10</v>
      </c>
      <c r="C38" s="1037"/>
      <c r="D38" s="1037"/>
      <c r="E38" s="1037"/>
      <c r="F38" s="1037"/>
      <c r="G38" s="1037"/>
      <c r="H38" s="1037"/>
      <c r="I38" s="1037"/>
      <c r="J38" s="1037"/>
      <c r="K38" s="1037"/>
      <c r="L38" s="1037"/>
      <c r="M38" s="1037"/>
      <c r="N38" s="1037"/>
      <c r="O38" s="1037"/>
      <c r="P38" s="411"/>
      <c r="Q38" s="1038"/>
      <c r="R38" s="1038"/>
      <c r="S38" s="1038"/>
      <c r="T38" s="1038"/>
      <c r="U38" s="1038"/>
      <c r="V38" s="1038"/>
      <c r="W38" s="1038"/>
      <c r="X38" s="1038"/>
      <c r="Y38" s="1038"/>
      <c r="Z38" s="1038"/>
      <c r="AA38" s="1038"/>
      <c r="AB38" s="1038"/>
      <c r="AC38" s="9"/>
    </row>
    <row r="39" ht="18" customHeight="1">
      <c r="A39" s="58"/>
      <c r="B39" s="1042" t="s">
        <v>43</v>
      </c>
      <c r="C39" s="1042"/>
      <c r="D39" s="454">
        <v>184.46920335721467961754278617</v>
      </c>
      <c r="E39" s="455">
        <v>180.03275253368128666031580581</v>
      </c>
      <c r="F39" s="456">
        <v>120.37480109947320273339599936</v>
      </c>
      <c r="G39" s="454">
        <v>23.031648216969603932248734608</v>
      </c>
      <c r="H39" s="455">
        <v>19.99544222523785375652083722</v>
      </c>
      <c r="I39" s="456">
        <v>22.519142686550533877331261473</v>
      </c>
      <c r="J39" s="454">
        <v>0</v>
      </c>
      <c r="K39" s="455">
        <v>0</v>
      </c>
      <c r="L39" s="456">
        <v>9.197851385631848040304456326</v>
      </c>
      <c r="M39" s="454">
        <v>207.50085157418428354979152061</v>
      </c>
      <c r="N39" s="455">
        <v>200.02993449670523390086147292</v>
      </c>
      <c r="O39" s="456">
        <v>152.09247298763686132943257144</v>
      </c>
      <c r="P39" s="5"/>
      <c r="Q39" s="427">
        <v>6.4166352221305652287252519100</v>
      </c>
      <c r="R39" s="428">
        <v>18.045589306251458143632403520</v>
      </c>
      <c r="S39" s="429">
        <v>11.800229166238379272804332830</v>
      </c>
      <c r="T39" s="427">
        <v>357.27778187213611490529635395</v>
      </c>
      <c r="U39" s="428">
        <v>202.46873208214288653011557700</v>
      </c>
      <c r="V39" s="429">
        <v>170.48588841840191361758083748</v>
      </c>
      <c r="W39" s="427">
        <v>0</v>
      </c>
      <c r="X39" s="428">
        <v>0</v>
      </c>
      <c r="Y39" s="429">
        <v>69.604223961346920675447016740</v>
      </c>
      <c r="Z39" s="427">
        <v>16.323289023254951395885015510</v>
      </c>
      <c r="AA39" s="428">
        <v>25.708571444169897326563175610</v>
      </c>
      <c r="AB39" s="429">
        <v>25.263411513393963770139771210</v>
      </c>
    </row>
    <row r="40" ht="18" customHeight="1">
      <c r="A40" s="58"/>
      <c r="B40" s="1043" t="s">
        <v>46</v>
      </c>
      <c r="C40" s="1043"/>
      <c r="D40" s="439">
        <v>153.09133574206658302695001716</v>
      </c>
      <c r="E40" s="95">
        <v>145.23290049650283157044917458</v>
      </c>
      <c r="F40" s="440">
        <v>104.45656516140828982631956943</v>
      </c>
      <c r="G40" s="439">
        <v>24.398610332577240450670292649</v>
      </c>
      <c r="H40" s="95">
        <v>27.139730530318888231227357067</v>
      </c>
      <c r="I40" s="440">
        <v>27.101149614170373973437192209</v>
      </c>
      <c r="J40" s="439">
        <v>0</v>
      </c>
      <c r="K40" s="95">
        <v>0</v>
      </c>
      <c r="L40" s="440">
        <v>10.085922375490378648622744819</v>
      </c>
      <c r="M40" s="439">
        <v>177.48994607464382347762030967</v>
      </c>
      <c r="N40" s="95">
        <v>172.37413023137059423077427471</v>
      </c>
      <c r="O40" s="440">
        <v>141.64426840353600683414367501</v>
      </c>
      <c r="P40" s="5"/>
      <c r="Q40" s="420">
        <v>13.872502821794932996182524130</v>
      </c>
      <c r="R40" s="91">
        <v>25.357853243824339603385626100</v>
      </c>
      <c r="S40" s="421">
        <v>19.937042706643523506699360620</v>
      </c>
      <c r="T40" s="420">
        <v>270.84246170381649442408201082</v>
      </c>
      <c r="U40" s="91">
        <v>423.23085633482999801570568434</v>
      </c>
      <c r="V40" s="421">
        <v>235.66582825908005941372492148</v>
      </c>
      <c r="W40" s="420">
        <v>0</v>
      </c>
      <c r="X40" s="91">
        <v>0</v>
      </c>
      <c r="Y40" s="421">
        <v>92.09823286051632892995537781</v>
      </c>
      <c r="Z40" s="420">
        <v>25.861325428626309381093816470</v>
      </c>
      <c r="AA40" s="91">
        <v>42.408998231377790002864350050</v>
      </c>
      <c r="AB40" s="421">
        <v>41.055956534640924945975612170</v>
      </c>
    </row>
    <row r="41" ht="18" customHeight="1">
      <c r="A41" s="58"/>
      <c r="B41" s="1043" t="s">
        <v>47</v>
      </c>
      <c r="C41" s="1043"/>
      <c r="D41" s="439">
        <v>155.0062268465309936364205054</v>
      </c>
      <c r="E41" s="95">
        <v>139.04021904623559396092165909</v>
      </c>
      <c r="F41" s="440">
        <v>108.0129049115064265147876918</v>
      </c>
      <c r="G41" s="439">
        <v>30.604399891863112648924681038</v>
      </c>
      <c r="H41" s="95">
        <v>37.052914702833015294054621391</v>
      </c>
      <c r="I41" s="440">
        <v>31.808769838512571308459681448</v>
      </c>
      <c r="J41" s="439">
        <v>0</v>
      </c>
      <c r="K41" s="95">
        <v>0</v>
      </c>
      <c r="L41" s="440">
        <v>9.08735213656589877029241381</v>
      </c>
      <c r="M41" s="439">
        <v>185.61062673839410628534518631</v>
      </c>
      <c r="N41" s="95">
        <v>176.09464716606480282913121558</v>
      </c>
      <c r="O41" s="440">
        <v>148.909832158827920541088589</v>
      </c>
      <c r="P41" s="93"/>
      <c r="Q41" s="420">
        <v>23.567305802687786702761678860</v>
      </c>
      <c r="R41" s="91">
        <v>25.289505057748827495311839040</v>
      </c>
      <c r="S41" s="421">
        <v>27.190271808836463606968083690</v>
      </c>
      <c r="T41" s="420">
        <v>311.98095540969409477227503071</v>
      </c>
      <c r="U41" s="91">
        <v>496.33711662960683376377844294</v>
      </c>
      <c r="V41" s="421">
        <v>260.96876445963847058702043483</v>
      </c>
      <c r="W41" s="420">
        <v>0</v>
      </c>
      <c r="X41" s="91">
        <v>0</v>
      </c>
      <c r="Y41" s="421">
        <v>75.3156419174177319437325900</v>
      </c>
      <c r="Z41" s="420">
        <v>39.691989456958331170909380580</v>
      </c>
      <c r="AA41" s="91">
        <v>50.266060496292450383271588100</v>
      </c>
      <c r="AB41" s="421">
        <v>50.538995145944685180750056080</v>
      </c>
    </row>
    <row r="42" ht="18" customHeight="1">
      <c r="A42" s="58"/>
      <c r="B42" s="1043" t="s">
        <v>48</v>
      </c>
      <c r="C42" s="1043"/>
      <c r="D42" s="439">
        <v>163.18824572136386008520001931</v>
      </c>
      <c r="E42" s="95">
        <v>146.83425862620642035221534908</v>
      </c>
      <c r="F42" s="440">
        <v>115.34771853817057258270235685</v>
      </c>
      <c r="G42" s="439">
        <v>31.695689764969503059407857411</v>
      </c>
      <c r="H42" s="95">
        <v>38.255678633652838244649988467</v>
      </c>
      <c r="I42" s="440">
        <v>34.492310772781639943144834296</v>
      </c>
      <c r="J42" s="439">
        <v>0</v>
      </c>
      <c r="K42" s="95">
        <v>0</v>
      </c>
      <c r="L42" s="440">
        <v>9.326977738404257497052936244</v>
      </c>
      <c r="M42" s="439">
        <v>194.88393548633336314460787657</v>
      </c>
      <c r="N42" s="95">
        <v>185.09154697486904307255598159</v>
      </c>
      <c r="O42" s="440">
        <v>159.16786788251032187451253566</v>
      </c>
      <c r="P42" s="5"/>
      <c r="Q42" s="420">
        <v>21.580195234603845140270143560</v>
      </c>
      <c r="R42" s="91">
        <v>24.145391453496421208842260620</v>
      </c>
      <c r="S42" s="421">
        <v>25.771191739667584236751121500</v>
      </c>
      <c r="T42" s="420">
        <v>255.85628678085695144113466139</v>
      </c>
      <c r="U42" s="91">
        <v>478.14337171835581782210238898</v>
      </c>
      <c r="V42" s="421">
        <v>224.95174933126589978985615197</v>
      </c>
      <c r="W42" s="420">
        <v>0</v>
      </c>
      <c r="X42" s="91">
        <v>0</v>
      </c>
      <c r="Y42" s="421">
        <v>70.293104877388535763894471640</v>
      </c>
      <c r="Z42" s="420">
        <v>36.159072427249619322306111790</v>
      </c>
      <c r="AA42" s="91">
        <v>48.200057893384281282386470180</v>
      </c>
      <c r="AB42" s="421">
        <v>47.645657933533502866488390140</v>
      </c>
    </row>
    <row r="43" ht="18" customHeight="1">
      <c r="A43" s="58"/>
      <c r="B43" s="1043" t="s">
        <v>49</v>
      </c>
      <c r="C43" s="1043"/>
      <c r="D43" s="439">
        <v>196.70990417679808093397934022</v>
      </c>
      <c r="E43" s="95">
        <v>188.65858794549911866655855747</v>
      </c>
      <c r="F43" s="440">
        <v>131.42378414220707894720625154</v>
      </c>
      <c r="G43" s="439">
        <v>34.549730148800010850573655601</v>
      </c>
      <c r="H43" s="95">
        <v>35.936743496565579031884464518</v>
      </c>
      <c r="I43" s="440">
        <v>32.711084003373855312718271484</v>
      </c>
      <c r="J43" s="439">
        <v>0</v>
      </c>
      <c r="K43" s="95">
        <v>0</v>
      </c>
      <c r="L43" s="440">
        <v>9.365632886788452984164477419</v>
      </c>
      <c r="M43" s="439">
        <v>231.25963432559809178455299564</v>
      </c>
      <c r="N43" s="95">
        <v>224.59728473288915905222323364</v>
      </c>
      <c r="O43" s="440">
        <v>173.50143944463982031111897307</v>
      </c>
      <c r="P43" s="93"/>
      <c r="Q43" s="420">
        <v>13.196795012386224727035820990</v>
      </c>
      <c r="R43" s="91">
        <v>19.642541390148185335430950190</v>
      </c>
      <c r="S43" s="421">
        <v>17.253252178797504165189659220</v>
      </c>
      <c r="T43" s="420">
        <v>410.74724998288048105676196355</v>
      </c>
      <c r="U43" s="91">
        <v>321.24387645021810677616030124</v>
      </c>
      <c r="V43" s="421">
        <v>158.54741694799365015075980148</v>
      </c>
      <c r="W43" s="420">
        <v>0</v>
      </c>
      <c r="X43" s="91">
        <v>0</v>
      </c>
      <c r="Y43" s="421">
        <v>70.549045029137517857631370350</v>
      </c>
      <c r="Z43" s="420">
        <v>28.092254804832950242832674720</v>
      </c>
      <c r="AA43" s="91">
        <v>35.123495245967911766730303110</v>
      </c>
      <c r="AB43" s="421">
        <v>33.228228747773990297812552600</v>
      </c>
    </row>
    <row r="44" ht="18" customHeight="1">
      <c r="A44" s="58"/>
      <c r="B44" s="1044" t="s">
        <v>75</v>
      </c>
      <c r="C44" s="1044"/>
      <c r="D44" s="457">
        <v>170.49298316879483946001853353</v>
      </c>
      <c r="E44" s="458">
        <v>159.95993346174760553616250446</v>
      </c>
      <c r="F44" s="459">
        <v>115.92315240030976185958784702</v>
      </c>
      <c r="G44" s="457">
        <v>28.856015671035894188365044249</v>
      </c>
      <c r="H44" s="458">
        <v>31.676233574497568251173188888</v>
      </c>
      <c r="I44" s="459">
        <v>29.726493117990609182656461361</v>
      </c>
      <c r="J44" s="457">
        <v>0</v>
      </c>
      <c r="K44" s="458">
        <v>0</v>
      </c>
      <c r="L44" s="459">
        <v>9.412747347562007463791979217</v>
      </c>
      <c r="M44" s="457">
        <v>199.34899883983073364838357778</v>
      </c>
      <c r="N44" s="458">
        <v>191.63782979461690907604040565</v>
      </c>
      <c r="O44" s="459">
        <v>155.063172461456523998955919</v>
      </c>
      <c r="P44" s="5"/>
      <c r="Q44" s="430">
        <v>15.006863053857986273133266320</v>
      </c>
      <c r="R44" s="431">
        <v>22.050497645696942900953264320</v>
      </c>
      <c r="S44" s="432">
        <v>19.884379121094383497287075520</v>
      </c>
      <c r="T44" s="430">
        <v>315.60175253279383736331731738</v>
      </c>
      <c r="U44" s="431">
        <v>377.63860599029689404188595072</v>
      </c>
      <c r="V44" s="432">
        <v>206.57908950357825354239738601</v>
      </c>
      <c r="W44" s="430">
        <v>0</v>
      </c>
      <c r="X44" s="431">
        <v>0</v>
      </c>
      <c r="Y44" s="432">
        <v>75.444527667957650746139237310</v>
      </c>
      <c r="Z44" s="430">
        <v>28.455533305861634474518829700</v>
      </c>
      <c r="AA44" s="431">
        <v>39.178327198920703715663479250</v>
      </c>
      <c r="AB44" s="432">
        <v>38.750213563231668543866644830</v>
      </c>
    </row>
    <row r="45" ht="6" customHeight="1">
      <c r="A45" s="58"/>
      <c r="B45" s="631"/>
      <c r="C45" s="631"/>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45" t="s">
        <v>50</v>
      </c>
      <c r="C46" s="1045"/>
      <c r="D46" s="493">
        <v>287.23262890012905448205531838</v>
      </c>
      <c r="E46" s="494">
        <v>258.46598585547842345361945518</v>
      </c>
      <c r="F46" s="495">
        <v>169.95249142959446644463209355</v>
      </c>
      <c r="G46" s="493">
        <v>25.906517079210889648100350125</v>
      </c>
      <c r="H46" s="494">
        <v>26.015948965148310606327239122</v>
      </c>
      <c r="I46" s="495">
        <v>32.095780439597556728886642206</v>
      </c>
      <c r="J46" s="493">
        <v>0</v>
      </c>
      <c r="K46" s="494">
        <v>0</v>
      </c>
      <c r="L46" s="495">
        <v>9.999424428161645056264501825</v>
      </c>
      <c r="M46" s="493">
        <v>313.13914597933994413015566824</v>
      </c>
      <c r="N46" s="494">
        <v>284.48440894130164881003726559</v>
      </c>
      <c r="O46" s="495">
        <v>212.04864131425731534916105048</v>
      </c>
      <c r="P46" s="93"/>
      <c r="Q46" s="479">
        <v>3.420818401634927843258646700</v>
      </c>
      <c r="R46" s="480">
        <v>5.3684470559042254373641187400</v>
      </c>
      <c r="S46" s="481">
        <v>7.8051885657336542490737781700</v>
      </c>
      <c r="T46" s="479">
        <v>177.41638357143986824145010384</v>
      </c>
      <c r="U46" s="480">
        <v>157.95541839776276551141625794</v>
      </c>
      <c r="V46" s="481">
        <v>114.76202105014516337668072336</v>
      </c>
      <c r="W46" s="479">
        <v>0</v>
      </c>
      <c r="X46" s="480">
        <v>0</v>
      </c>
      <c r="Y46" s="481">
        <v>80.42104663983024763536186268</v>
      </c>
      <c r="Z46" s="479">
        <v>9.080951688178644107855212440</v>
      </c>
      <c r="AA46" s="480">
        <v>11.395301309187340010464605190</v>
      </c>
      <c r="AB46" s="481">
        <v>19.038256466613696851546502280</v>
      </c>
    </row>
    <row r="47" ht="18" customHeight="1">
      <c r="A47" s="58"/>
      <c r="B47" s="1046" t="s">
        <v>51</v>
      </c>
      <c r="C47" s="1046"/>
      <c r="D47" s="276">
        <v>306.17287090396348980467250622</v>
      </c>
      <c r="E47" s="94">
        <v>276.88877036623357512694231549</v>
      </c>
      <c r="F47" s="277">
        <v>176.34977576736421277105251396</v>
      </c>
      <c r="G47" s="276">
        <v>22.511557600155984849142117317</v>
      </c>
      <c r="H47" s="94">
        <v>24.014708119837567145838756884</v>
      </c>
      <c r="I47" s="277">
        <v>27.900662638937009552956308321</v>
      </c>
      <c r="J47" s="276">
        <v>0</v>
      </c>
      <c r="K47" s="94">
        <v>0</v>
      </c>
      <c r="L47" s="277">
        <v>9.552382025531571821513891973</v>
      </c>
      <c r="M47" s="276">
        <v>328.68442850411947465381462327</v>
      </c>
      <c r="N47" s="94">
        <v>300.90604618897840834795460866</v>
      </c>
      <c r="O47" s="277">
        <v>213.80375533081557318232500004</v>
      </c>
      <c r="P47" s="5"/>
      <c r="Q47" s="271">
        <v>5.0726212157843790397049159400</v>
      </c>
      <c r="R47" s="92">
        <v>8.774057947271045308919749730</v>
      </c>
      <c r="S47" s="272">
        <v>7.983904335463239424576279290</v>
      </c>
      <c r="T47" s="271">
        <v>182.44565994081954973362558832</v>
      </c>
      <c r="U47" s="92">
        <v>144.41307299928748464786795266</v>
      </c>
      <c r="V47" s="272">
        <v>110.20131661510816516285713945</v>
      </c>
      <c r="W47" s="271">
        <v>0</v>
      </c>
      <c r="X47" s="92">
        <v>0</v>
      </c>
      <c r="Y47" s="272">
        <v>71.728714639451060124860285340</v>
      </c>
      <c r="Z47" s="271">
        <v>9.795009773131378105798375880</v>
      </c>
      <c r="AA47" s="92">
        <v>13.815948117041761943438784880</v>
      </c>
      <c r="AB47" s="272">
        <v>17.379811454124678480584629700</v>
      </c>
    </row>
    <row r="48" ht="18" customHeight="1">
      <c r="A48" s="58"/>
      <c r="B48" s="1047" t="s">
        <v>76</v>
      </c>
      <c r="C48" s="1047"/>
      <c r="D48" s="443">
        <v>296.79294153063595993061447022</v>
      </c>
      <c r="E48" s="444">
        <v>267.76485141203816078811406937</v>
      </c>
      <c r="F48" s="445">
        <v>173.18153130825252319390267124</v>
      </c>
      <c r="G48" s="443">
        <v>24.192870865973651987673813556</v>
      </c>
      <c r="H48" s="444">
        <v>25.005826442357223039913654683</v>
      </c>
      <c r="I48" s="445">
        <v>29.978287772588209297807072028</v>
      </c>
      <c r="J48" s="443">
        <v>0</v>
      </c>
      <c r="K48" s="444">
        <v>0</v>
      </c>
      <c r="L48" s="445">
        <v>9.773779034065114356107889913</v>
      </c>
      <c r="M48" s="443">
        <v>320.98581239660961191828828363</v>
      </c>
      <c r="N48" s="444">
        <v>292.77319988219936937142016878</v>
      </c>
      <c r="O48" s="445">
        <v>212.93453806158586496529261065</v>
      </c>
      <c r="P48" s="93"/>
      <c r="Q48" s="273">
        <v>4.3220839159599853617884658800</v>
      </c>
      <c r="R48" s="274">
        <v>7.1584629908902894902918850400</v>
      </c>
      <c r="S48" s="275">
        <v>7.933157421616116639917398910</v>
      </c>
      <c r="T48" s="273">
        <v>179.33513413891897672017564634</v>
      </c>
      <c r="U48" s="274">
        <v>151.14304573065388066826538647</v>
      </c>
      <c r="V48" s="275">
        <v>112.35596472635893913433257129</v>
      </c>
      <c r="W48" s="273">
        <v>0</v>
      </c>
      <c r="X48" s="274">
        <v>0</v>
      </c>
      <c r="Y48" s="275">
        <v>76.031756411972199148643205370</v>
      </c>
      <c r="Z48" s="273">
        <v>9.492566459252921216493442980</v>
      </c>
      <c r="AA48" s="274">
        <v>12.676898971670486786199535010</v>
      </c>
      <c r="AB48" s="275">
        <v>18.216935467419765020236353720</v>
      </c>
    </row>
    <row r="49" ht="6" customHeight="1">
      <c r="A49" s="58"/>
      <c r="B49" s="631"/>
      <c r="C49" s="631"/>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82" t="s">
        <v>12</v>
      </c>
      <c r="C50" s="982"/>
      <c r="D50" s="482">
        <v>206.9507056870070568700705687</v>
      </c>
      <c r="E50" s="483">
        <v>192.18017571478663592959217439</v>
      </c>
      <c r="F50" s="484">
        <v>132.59173095822819947202394618</v>
      </c>
      <c r="G50" s="482">
        <v>27.38970527189705271897052719</v>
      </c>
      <c r="H50" s="483">
        <v>28.549659381302686661247844147</v>
      </c>
      <c r="I50" s="484">
        <v>29.591204754376580955888437289</v>
      </c>
      <c r="J50" s="482">
        <v>0</v>
      </c>
      <c r="K50" s="483">
        <v>0</v>
      </c>
      <c r="L50" s="484">
        <v>9.527091376272350686651316141</v>
      </c>
      <c r="M50" s="482">
        <v>234.34041095890410958904109589</v>
      </c>
      <c r="N50" s="483">
        <v>220.72983509608932259084001853</v>
      </c>
      <c r="O50" s="484">
        <v>171.71002708887713111456369961</v>
      </c>
      <c r="P50" s="93"/>
      <c r="Q50" s="468">
        <v>10.378597087469243380630391810</v>
      </c>
      <c r="R50" s="469">
        <v>16.025544576077280147378005430</v>
      </c>
      <c r="S50" s="470">
        <v>15.329877876840678310107373560</v>
      </c>
      <c r="T50" s="468">
        <v>270.78321462036673486568389740</v>
      </c>
      <c r="U50" s="469">
        <v>296.37455651509818736249394793</v>
      </c>
      <c r="V50" s="470">
        <v>172.40528487719005256899174061</v>
      </c>
      <c r="W50" s="468">
        <v>0</v>
      </c>
      <c r="X50" s="469">
        <v>-100</v>
      </c>
      <c r="Y50" s="470">
        <v>70.735351076024211444498660620</v>
      </c>
      <c r="Z50" s="468">
        <v>20.249380808160366492609650750</v>
      </c>
      <c r="AA50" s="469">
        <v>27.698990231218930414849968600</v>
      </c>
      <c r="AB50" s="470">
        <v>30.667058524252218894808491960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48" t="s">
        <v>126</v>
      </c>
      <c r="C52" s="1048"/>
      <c r="D52" s="1048"/>
      <c r="E52" s="1048"/>
      <c r="F52" s="1048"/>
      <c r="G52" s="1048"/>
      <c r="H52" s="1048"/>
      <c r="I52" s="1048"/>
      <c r="J52" s="1048"/>
      <c r="K52" s="1048"/>
      <c r="L52" s="1048"/>
      <c r="M52" s="1048"/>
      <c r="N52" s="1048"/>
      <c r="O52" s="1048"/>
      <c r="P52" s="1048"/>
      <c r="Q52" s="1048"/>
      <c r="R52" s="1048"/>
      <c r="S52" s="1048"/>
      <c r="T52" s="1048"/>
      <c r="U52" s="1048"/>
      <c r="V52" s="1048"/>
      <c r="W52" s="1048"/>
      <c r="X52" s="1048"/>
      <c r="Y52" s="1048"/>
      <c r="Z52" s="1048"/>
      <c r="AA52" s="1048"/>
      <c r="AB52" s="1048"/>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12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4">
    <pageSetUpPr fitToPage="1"/>
  </sheetPr>
  <dimension ref="A1:AI86"/>
  <sheetViews>
    <sheetView showGridLines="0" zoomScale="75" workbookViewId="0"/>
  </sheetViews>
  <sheetFormatPr defaultRowHeight="12.75"/>
  <cols>
    <col min="1" max="1" width="1.7109375" customWidth="1"/>
    <col min="2" max="2" width="6.7109375" customWidth="1"/>
    <col min="3" max="3" width="6.7109375" style="26"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9" width="9.140625" style="236" customWidth="1"/>
  </cols>
  <sheetData>
    <row r="1" ht="39.95" customHeight="1">
      <c r="B1" s="656" t="s">
        <v>197</v>
      </c>
      <c r="AD1" s="5"/>
      <c r="AG1" s="685"/>
      <c r="AI1" s="236"/>
    </row>
    <row r="2" ht="21" customHeight="1">
      <c r="B2" s="11" t="s">
        <v>208</v>
      </c>
    </row>
    <row r="3" ht="21" customHeight="1">
      <c r="B3" s="11" t="s">
        <v>209</v>
      </c>
      <c r="U3" s="1040" t="s">
        <v>301</v>
      </c>
      <c r="V3" s="1040"/>
      <c r="W3" s="1040"/>
      <c r="X3" s="1040"/>
      <c r="Y3" s="1040"/>
      <c r="Z3" s="1040"/>
      <c r="AA3" s="1040"/>
      <c r="AB3" s="1040"/>
      <c r="AC3" s="1040"/>
      <c r="AD3" s="1040"/>
      <c r="AE3" s="1040"/>
      <c r="AF3" s="1040"/>
      <c r="AG3" s="1040"/>
    </row>
    <row r="4" ht="21" customHeight="1">
      <c r="A4" s="4"/>
      <c r="B4" s="211" t="s">
        <v>210</v>
      </c>
      <c r="C4" s="5"/>
      <c r="D4" s="5"/>
      <c r="E4" s="5"/>
      <c r="F4" s="5"/>
      <c r="G4" s="5"/>
      <c r="H4" s="212"/>
      <c r="I4" s="212"/>
      <c r="J4" s="212"/>
      <c r="K4" s="212"/>
      <c r="L4" s="212"/>
      <c r="M4" s="212"/>
      <c r="N4" s="212"/>
      <c r="O4" s="212"/>
      <c r="P4" s="212"/>
      <c r="Q4" s="212"/>
      <c r="R4" s="212"/>
      <c r="S4" s="212"/>
      <c r="T4" s="212"/>
      <c r="U4" s="212"/>
      <c r="V4" s="212"/>
      <c r="W4" s="212"/>
      <c r="X4" s="4"/>
      <c r="Y4" s="4"/>
      <c r="AC4" s="212"/>
    </row>
    <row r="5" ht="24.95" customHeight="1"/>
    <row r="6" ht="24.95" customHeight="1">
      <c r="D6" s="960" t="s">
        <v>91</v>
      </c>
      <c r="E6" s="960"/>
      <c r="F6" s="960"/>
      <c r="G6" s="960"/>
      <c r="H6" s="960"/>
      <c r="I6" s="960"/>
      <c r="J6" s="960"/>
      <c r="K6" s="960"/>
      <c r="L6" s="960"/>
      <c r="M6" s="960"/>
      <c r="N6" s="960"/>
      <c r="O6" s="960"/>
      <c r="Q6" s="960" t="s">
        <v>70</v>
      </c>
      <c r="R6" s="960"/>
      <c r="S6" s="960"/>
      <c r="T6" s="960"/>
      <c r="U6" s="960"/>
      <c r="V6" s="960"/>
      <c r="W6" s="960"/>
      <c r="X6" s="960"/>
      <c r="Y6" s="960"/>
      <c r="Z6" s="960"/>
      <c r="AA6" s="960"/>
      <c r="AB6" s="960"/>
      <c r="AD6" s="960" t="s">
        <v>77</v>
      </c>
      <c r="AE6" s="960"/>
      <c r="AF6" s="960"/>
      <c r="AG6" s="960"/>
    </row>
    <row r="7" ht="24.95" customHeight="1">
      <c r="D7" s="283" t="s">
        <v>20</v>
      </c>
      <c r="E7" s="283"/>
      <c r="F7" s="283"/>
      <c r="G7" s="283" t="s">
        <v>18</v>
      </c>
      <c r="H7" s="283"/>
      <c r="I7" s="283"/>
      <c r="J7" s="283" t="s">
        <v>17</v>
      </c>
      <c r="K7" s="283"/>
      <c r="L7" s="283"/>
      <c r="M7" s="283" t="s">
        <v>101</v>
      </c>
      <c r="N7" s="283"/>
      <c r="O7" s="283"/>
      <c r="Q7" s="283" t="s">
        <v>20</v>
      </c>
      <c r="R7" s="283"/>
      <c r="S7" s="283"/>
      <c r="T7" s="283" t="s">
        <v>18</v>
      </c>
      <c r="U7" s="283"/>
      <c r="V7" s="283"/>
      <c r="W7" s="283" t="s">
        <v>17</v>
      </c>
      <c r="X7" s="283"/>
      <c r="Y7" s="283"/>
      <c r="Z7" s="283" t="s">
        <v>101</v>
      </c>
      <c r="AA7" s="283"/>
      <c r="AB7" s="283"/>
      <c r="AD7" s="283" t="s">
        <v>78</v>
      </c>
      <c r="AE7" s="283"/>
      <c r="AF7" s="283"/>
      <c r="AG7" s="283"/>
    </row>
    <row r="8" ht="30" customHeight="1">
      <c r="A8" s="57"/>
      <c r="B8" s="944"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c r="AC8" s="63"/>
      <c r="AD8" s="412" t="s">
        <v>20</v>
      </c>
      <c r="AE8" s="413" t="s">
        <v>18</v>
      </c>
      <c r="AF8" s="413" t="s">
        <v>17</v>
      </c>
      <c r="AG8" s="414" t="s">
        <v>12</v>
      </c>
    </row>
    <row r="9" ht="20.1" customHeight="1">
      <c r="A9" s="57"/>
      <c r="B9" s="284">
        <v>2021</v>
      </c>
      <c r="C9" s="285" t="s">
        <v>218</v>
      </c>
      <c r="D9" s="434">
        <v>267.21810005621135469364811692</v>
      </c>
      <c r="E9" s="435">
        <v>243.863366193099449115685706</v>
      </c>
      <c r="F9" s="436">
        <v>205.24939347791839521083862837</v>
      </c>
      <c r="G9" s="434">
        <v>42.230747611017425519955030916</v>
      </c>
      <c r="H9" s="435">
        <v>58.817629709759420624816861728</v>
      </c>
      <c r="I9" s="436">
        <v>33.069034215902920734846290185</v>
      </c>
      <c r="J9" s="434">
        <v>25.591905564924114671163575042</v>
      </c>
      <c r="K9" s="435">
        <v>19.201786334433000454806920811</v>
      </c>
      <c r="L9" s="436">
        <v>19.931468095973198094464074716</v>
      </c>
      <c r="M9" s="434">
        <v>335.04075323215289488476672288</v>
      </c>
      <c r="N9" s="435">
        <v>321.88278223729187019530948854</v>
      </c>
      <c r="O9" s="436">
        <v>258.24989578979451404014899327</v>
      </c>
      <c r="P9" s="5"/>
      <c r="Q9" s="415">
        <v>94.56747579283222250525818635</v>
      </c>
      <c r="R9" s="416">
        <v>95.22101359561158124362157758</v>
      </c>
      <c r="S9" s="417">
        <v>81.34520602196220431315120058</v>
      </c>
      <c r="T9" s="415">
        <v>367.58274570401827540705064231</v>
      </c>
      <c r="U9" s="416"/>
      <c r="V9" s="417">
        <v>69.813684112425754321312261500</v>
      </c>
      <c r="W9" s="415">
        <v>60.154832257255328750860985100</v>
      </c>
      <c r="X9" s="416"/>
      <c r="Y9" s="417">
        <v>-14.682766927605936959597901440</v>
      </c>
      <c r="Z9" s="415">
        <v>106.36847130818900732347904345</v>
      </c>
      <c r="AA9" s="416"/>
      <c r="AB9" s="417">
        <v>65.526866578158002579872453030</v>
      </c>
      <c r="AC9" s="5"/>
      <c r="AD9" s="427" t="s">
        <v>225</v>
      </c>
      <c r="AE9" s="428" t="s">
        <v>223</v>
      </c>
      <c r="AF9" s="428" t="s">
        <v>220</v>
      </c>
      <c r="AG9" s="429" t="s">
        <v>223</v>
      </c>
    </row>
    <row r="10" ht="20.1" customHeight="1">
      <c r="A10" s="58"/>
      <c r="B10" s="286"/>
      <c r="C10" s="287" t="s">
        <v>221</v>
      </c>
      <c r="D10" s="276">
        <v>206.73171670515781370284834488</v>
      </c>
      <c r="E10" s="94">
        <v>200.90484273589615576635047428</v>
      </c>
      <c r="F10" s="277">
        <v>167.34759534561756271219962422</v>
      </c>
      <c r="G10" s="276">
        <v>38.190531177829099307159353349</v>
      </c>
      <c r="H10" s="94">
        <v>81.565211723257236555507396</v>
      </c>
      <c r="I10" s="277">
        <v>34.477564965191538929053553649</v>
      </c>
      <c r="J10" s="276">
        <v>24.960739030023094688221709007</v>
      </c>
      <c r="K10" s="94">
        <v>31.203075743470023015323874476</v>
      </c>
      <c r="L10" s="277">
        <v>20.580156104438131289832155694</v>
      </c>
      <c r="M10" s="276">
        <v>269.88298691301000769822940724</v>
      </c>
      <c r="N10" s="94">
        <v>313.67313020262341533718174475</v>
      </c>
      <c r="O10" s="277">
        <v>222.40531641524723293108533356</v>
      </c>
      <c r="P10" s="5"/>
      <c r="Q10" s="271">
        <v>87.50565808009448037464337649</v>
      </c>
      <c r="R10" s="92">
        <v>94.61407693311956021689054908</v>
      </c>
      <c r="S10" s="272">
        <v>51.981440731285173536237678020</v>
      </c>
      <c r="T10" s="271">
        <v>325.10763827123644092977880746</v>
      </c>
      <c r="U10" s="92"/>
      <c r="V10" s="272">
        <v>77.798424865587101504968208700</v>
      </c>
      <c r="W10" s="271">
        <v>-0.1570438799076212471131639700</v>
      </c>
      <c r="X10" s="92"/>
      <c r="Y10" s="272">
        <v>13.841496877529413560686719650</v>
      </c>
      <c r="Z10" s="271">
        <v>87.11037187783456623826852017</v>
      </c>
      <c r="AA10" s="92"/>
      <c r="AB10" s="272">
        <v>50.701704003559402272051245170</v>
      </c>
      <c r="AC10" s="5"/>
      <c r="AD10" s="271" t="s">
        <v>225</v>
      </c>
      <c r="AE10" s="92" t="s">
        <v>236</v>
      </c>
      <c r="AF10" s="92" t="s">
        <v>236</v>
      </c>
      <c r="AG10" s="272" t="s">
        <v>238</v>
      </c>
    </row>
    <row r="11" ht="20.1" customHeight="1">
      <c r="A11" s="58"/>
      <c r="B11" s="288"/>
      <c r="C11" s="289" t="s">
        <v>222</v>
      </c>
      <c r="D11" s="439">
        <v>182.90093936806148590947907771</v>
      </c>
      <c r="E11" s="95">
        <v>186.20061962134251290877796902</v>
      </c>
      <c r="F11" s="442">
        <v>157.66694268169360866442923512</v>
      </c>
      <c r="G11" s="439">
        <v>38.356105892399658411614005124</v>
      </c>
      <c r="H11" s="95">
        <v>72.74430070301429062557309964</v>
      </c>
      <c r="I11" s="442">
        <v>36.170525551580443944975643724</v>
      </c>
      <c r="J11" s="439">
        <v>23.562339880444064901793339026</v>
      </c>
      <c r="K11" s="95">
        <v>18.89730231616948933328328428</v>
      </c>
      <c r="L11" s="442">
        <v>23.355384944471091920903392359</v>
      </c>
      <c r="M11" s="439">
        <v>244.81938514090520922288642186</v>
      </c>
      <c r="N11" s="95">
        <v>277.84222264052629286763435294</v>
      </c>
      <c r="O11" s="442">
        <v>217.1928531777451445303082712</v>
      </c>
      <c r="P11" s="5"/>
      <c r="Q11" s="497">
        <v>62.854565603148828120779834780</v>
      </c>
      <c r="R11" s="216">
        <v>49.776874831092768091764475470</v>
      </c>
      <c r="S11" s="498">
        <v>36.625824246936828589026390030</v>
      </c>
      <c r="T11" s="497">
        <v>373.96214545219227973150038222</v>
      </c>
      <c r="U11" s="216"/>
      <c r="V11" s="498">
        <v>60.730018842760147625542746580</v>
      </c>
      <c r="W11" s="497">
        <v>-1.8627760134360865599498341300</v>
      </c>
      <c r="X11" s="216"/>
      <c r="Y11" s="498">
        <v>-15.455333552600608333290887760</v>
      </c>
      <c r="Z11" s="497">
        <v>69.528882319527005397993780250</v>
      </c>
      <c r="AA11" s="216"/>
      <c r="AB11" s="498">
        <v>31.211082536902368643990589220</v>
      </c>
      <c r="AC11" s="5"/>
      <c r="AD11" s="420" t="s">
        <v>225</v>
      </c>
      <c r="AE11" s="91" t="s">
        <v>236</v>
      </c>
      <c r="AF11" s="91" t="s">
        <v>236</v>
      </c>
      <c r="AG11" s="421" t="s">
        <v>236</v>
      </c>
    </row>
    <row r="12" ht="20.1" customHeight="1">
      <c r="A12" s="58"/>
      <c r="B12" s="286"/>
      <c r="C12" s="287" t="s">
        <v>224</v>
      </c>
      <c r="D12" s="276">
        <v>185.16122584943371085942704863</v>
      </c>
      <c r="E12" s="94">
        <v>197.81733651226158038147138966</v>
      </c>
      <c r="F12" s="277">
        <v>168.82767779540384977724291766</v>
      </c>
      <c r="G12" s="276">
        <v>39.429380413057961359093937375</v>
      </c>
      <c r="H12" s="94">
        <v>58.71137652271561575798899981</v>
      </c>
      <c r="I12" s="277">
        <v>41.428235333212462919807631731</v>
      </c>
      <c r="J12" s="276">
        <v>22.919720186542305129913391073</v>
      </c>
      <c r="K12" s="94">
        <v>15.282217807171933272745857606</v>
      </c>
      <c r="L12" s="277">
        <v>19.059783763844209934966191126</v>
      </c>
      <c r="M12" s="276">
        <v>247.51032644903397734843437708</v>
      </c>
      <c r="N12" s="94">
        <v>271.81093084214912941220624708</v>
      </c>
      <c r="O12" s="277">
        <v>229.31569689246052263201674052</v>
      </c>
      <c r="P12" s="5"/>
      <c r="Q12" s="271">
        <v>55.268010149497998698846866090</v>
      </c>
      <c r="R12" s="92">
        <v>53.523895258817064313935972400</v>
      </c>
      <c r="S12" s="272">
        <v>42.114996168168317656453011340</v>
      </c>
      <c r="T12" s="271">
        <v>241.11731705899959382475174714</v>
      </c>
      <c r="U12" s="92"/>
      <c r="V12" s="272">
        <v>60.486770350420436518213741290</v>
      </c>
      <c r="W12" s="271">
        <v>-4.8290258656023985550536030200</v>
      </c>
      <c r="X12" s="92"/>
      <c r="Y12" s="272">
        <v>-20.879203369783592385946827480</v>
      </c>
      <c r="Z12" s="271">
        <v>59.793126133102157570413504250</v>
      </c>
      <c r="AA12" s="92"/>
      <c r="AB12" s="272">
        <v>35.930968917848658068233993380</v>
      </c>
      <c r="AC12" s="5"/>
      <c r="AD12" s="271" t="s">
        <v>312</v>
      </c>
      <c r="AE12" s="92" t="s">
        <v>223</v>
      </c>
      <c r="AF12" s="92" t="s">
        <v>220</v>
      </c>
      <c r="AG12" s="272" t="s">
        <v>220</v>
      </c>
    </row>
    <row r="13" ht="20.1" customHeight="1">
      <c r="A13" s="58"/>
      <c r="B13" s="288"/>
      <c r="C13" s="289" t="s">
        <v>227</v>
      </c>
      <c r="D13" s="439">
        <v>232.85902424423825202035318767</v>
      </c>
      <c r="E13" s="95">
        <v>241.59813583925433570173428071</v>
      </c>
      <c r="F13" s="442">
        <v>193.28462060540247047644902946</v>
      </c>
      <c r="G13" s="439">
        <v>45.228674049685722837473810236</v>
      </c>
      <c r="H13" s="95">
        <v>56.40942383137255862412747202</v>
      </c>
      <c r="I13" s="442">
        <v>44.189124780817107065686627425</v>
      </c>
      <c r="J13" s="439">
        <v>20.830888955402574079616881173</v>
      </c>
      <c r="K13" s="95">
        <v>27.33220703691293360190515424</v>
      </c>
      <c r="L13" s="442">
        <v>19.05685642336725436427482004</v>
      </c>
      <c r="M13" s="439">
        <v>298.91858724932654893744387908</v>
      </c>
      <c r="N13" s="95">
        <v>325.33976670753982792776690697</v>
      </c>
      <c r="O13" s="442">
        <v>256.53060180958683190641047692</v>
      </c>
      <c r="P13" s="5"/>
      <c r="Q13" s="420">
        <v>84.30857304858609216838980761</v>
      </c>
      <c r="R13" s="91">
        <v>91.77261984577808263038825024</v>
      </c>
      <c r="S13" s="498">
        <v>63.028743966457563735996518730</v>
      </c>
      <c r="T13" s="420">
        <v>236.53897221510090501100582272</v>
      </c>
      <c r="U13" s="91"/>
      <c r="V13" s="498">
        <v>117.39335069977052423445607120</v>
      </c>
      <c r="W13" s="420">
        <v>-12.404622863713235298959173440</v>
      </c>
      <c r="X13" s="91"/>
      <c r="Y13" s="498">
        <v>-3.3389232615890880428982261500</v>
      </c>
      <c r="Z13" s="420">
        <v>82.75540574784789358958688622</v>
      </c>
      <c r="AA13" s="91"/>
      <c r="AB13" s="498">
        <v>61.746350343846822988563509410</v>
      </c>
      <c r="AC13" s="5"/>
      <c r="AD13" s="420" t="s">
        <v>312</v>
      </c>
      <c r="AE13" s="91" t="s">
        <v>223</v>
      </c>
      <c r="AF13" s="91" t="s">
        <v>239</v>
      </c>
      <c r="AG13" s="421" t="s">
        <v>220</v>
      </c>
    </row>
    <row r="14" ht="20.1" customHeight="1">
      <c r="A14" s="58"/>
      <c r="B14" s="286"/>
      <c r="C14" s="287" t="s">
        <v>229</v>
      </c>
      <c r="D14" s="276">
        <v>336.98538240668232837379274341</v>
      </c>
      <c r="E14" s="94">
        <v>348.91318597029495851056411687</v>
      </c>
      <c r="F14" s="277">
        <v>254.36990810252999261494519898</v>
      </c>
      <c r="G14" s="276">
        <v>55.808144087705559906029757244</v>
      </c>
      <c r="H14" s="94">
        <v>75.961749839601938272211855693</v>
      </c>
      <c r="I14" s="277">
        <v>46.549761632212722176503027227</v>
      </c>
      <c r="J14" s="276">
        <v>23.361785434612372748629600626</v>
      </c>
      <c r="K14" s="94">
        <v>17.272937834639626892973595537</v>
      </c>
      <c r="L14" s="277">
        <v>19.698439062833795560226904122</v>
      </c>
      <c r="M14" s="276">
        <v>416.15531192900026102845210128</v>
      </c>
      <c r="N14" s="94">
        <v>442.1478736445365236757495681</v>
      </c>
      <c r="O14" s="277">
        <v>320.61810879757651035167513033</v>
      </c>
      <c r="P14" s="5"/>
      <c r="Q14" s="271">
        <v>103.97519524991013283641442340</v>
      </c>
      <c r="R14" s="92">
        <v>96.1496906260328225603953300</v>
      </c>
      <c r="S14" s="272">
        <v>68.232584494329951884435292440</v>
      </c>
      <c r="T14" s="271">
        <v>221.12784785549498123732471312</v>
      </c>
      <c r="U14" s="92"/>
      <c r="V14" s="272">
        <v>106.50146279280276545202084470</v>
      </c>
      <c r="W14" s="271">
        <v>4.9521599702573256314312728300</v>
      </c>
      <c r="X14" s="92"/>
      <c r="Y14" s="272">
        <v>-9.027786261783185146622485810</v>
      </c>
      <c r="Z14" s="271">
        <v>103.15396033866002340902672808</v>
      </c>
      <c r="AA14" s="92"/>
      <c r="AB14" s="272">
        <v>64.085752603750362389152047340</v>
      </c>
      <c r="AC14" s="5"/>
      <c r="AD14" s="271" t="s">
        <v>313</v>
      </c>
      <c r="AE14" s="92" t="s">
        <v>225</v>
      </c>
      <c r="AF14" s="92" t="s">
        <v>225</v>
      </c>
      <c r="AG14" s="272" t="s">
        <v>226</v>
      </c>
    </row>
    <row r="15" ht="20.1" customHeight="1">
      <c r="A15" s="58"/>
      <c r="B15" s="288">
        <v>2022</v>
      </c>
      <c r="C15" s="289" t="s">
        <v>230</v>
      </c>
      <c r="D15" s="439">
        <v>272.61063829787234042553191489</v>
      </c>
      <c r="E15" s="95">
        <v>325.30975103734439834024896268</v>
      </c>
      <c r="F15" s="442">
        <v>234.94315109516426064517573566</v>
      </c>
      <c r="G15" s="439">
        <v>48.246276595744680851063829787</v>
      </c>
      <c r="H15" s="95">
        <v>73.882481841431610535147985185</v>
      </c>
      <c r="I15" s="442">
        <v>43.800214618452532790053256049</v>
      </c>
      <c r="J15" s="439">
        <v>22.39547872340425531914893617</v>
      </c>
      <c r="K15" s="95">
        <v>27.121588895224667828525870441</v>
      </c>
      <c r="L15" s="442">
        <v>23.312772224775353485020090911</v>
      </c>
      <c r="M15" s="439">
        <v>343.25239361702127659574468085</v>
      </c>
      <c r="N15" s="95">
        <v>426.31382177400067670392281831</v>
      </c>
      <c r="O15" s="442">
        <v>302.05613793839214692024908262</v>
      </c>
      <c r="P15" s="5"/>
      <c r="Q15" s="420">
        <v>62.573534812503983902355966970</v>
      </c>
      <c r="R15" s="91">
        <v>76.471648620080000263949452070</v>
      </c>
      <c r="S15" s="498">
        <v>45.539693264829258931072888500</v>
      </c>
      <c r="T15" s="420">
        <v>157.72567885837909393045880524</v>
      </c>
      <c r="U15" s="91">
        <v>-2.8974322920152557201255897200</v>
      </c>
      <c r="V15" s="498">
        <v>76.654258828156704016270533500</v>
      </c>
      <c r="W15" s="420">
        <v>-5.3979185391307909347422180600</v>
      </c>
      <c r="X15" s="91">
        <v>-25.113586924329983372387441740</v>
      </c>
      <c r="Y15" s="498">
        <v>1.0210276570822067974642657800</v>
      </c>
      <c r="Z15" s="420">
        <v>63.392933094221633081787957730</v>
      </c>
      <c r="AA15" s="91">
        <v>43.711732641464213133994025450</v>
      </c>
      <c r="AB15" s="498">
        <v>44.317051053396029197889213080</v>
      </c>
      <c r="AC15" s="5"/>
      <c r="AD15" s="420" t="s">
        <v>311</v>
      </c>
      <c r="AE15" s="91" t="s">
        <v>223</v>
      </c>
      <c r="AF15" s="91" t="s">
        <v>220</v>
      </c>
      <c r="AG15" s="421" t="s">
        <v>220</v>
      </c>
    </row>
    <row r="16" ht="20.1" customHeight="1">
      <c r="A16" s="58"/>
      <c r="B16" s="286"/>
      <c r="C16" s="287" t="s">
        <v>231</v>
      </c>
      <c r="D16" s="276">
        <v>360.40734510793383795906924586</v>
      </c>
      <c r="E16" s="94">
        <v>386.81839809674861221252973833</v>
      </c>
      <c r="F16" s="277">
        <v>293.00395363139751825647439442</v>
      </c>
      <c r="G16" s="276">
        <v>77.062797869358003924866834875</v>
      </c>
      <c r="H16" s="94">
        <v>73.188522817388796770240069214</v>
      </c>
      <c r="I16" s="277">
        <v>51.998094972638645466290818014</v>
      </c>
      <c r="J16" s="276">
        <v>22.520325203252032520325203252</v>
      </c>
      <c r="K16" s="94">
        <v>21.592891644438036190613510203</v>
      </c>
      <c r="L16" s="277">
        <v>22.612839833504153582270604576</v>
      </c>
      <c r="M16" s="276">
        <v>459.99046818054387440426128399</v>
      </c>
      <c r="N16" s="94">
        <v>481.59981255857544517338331775</v>
      </c>
      <c r="O16" s="277">
        <v>367.61488843754031730503581701</v>
      </c>
      <c r="P16" s="5"/>
      <c r="Q16" s="271">
        <v>77.237971075308441506482345590</v>
      </c>
      <c r="R16" s="92">
        <v>82.81600535924909870075829732</v>
      </c>
      <c r="S16" s="272">
        <v>66.876034430160056317628574600</v>
      </c>
      <c r="T16" s="271">
        <v>126.93826313582854492628833109</v>
      </c>
      <c r="U16" s="92">
        <v>-13.291481576258301078173480140</v>
      </c>
      <c r="V16" s="272">
        <v>99.84274084007794052619378825</v>
      </c>
      <c r="W16" s="271">
        <v>22.950142291345216228627069350</v>
      </c>
      <c r="X16" s="92">
        <v>0.431856937234633248967184600</v>
      </c>
      <c r="Y16" s="272">
        <v>8.711205435640085434010376890</v>
      </c>
      <c r="Z16" s="271">
        <v>79.95031937421019155881287386</v>
      </c>
      <c r="AA16" s="92">
        <v>51.686657375742698824601082110</v>
      </c>
      <c r="AB16" s="272">
        <v>65.292867834055812892768038140</v>
      </c>
      <c r="AC16" s="5"/>
      <c r="AD16" s="271" t="s">
        <v>313</v>
      </c>
      <c r="AE16" s="92" t="s">
        <v>312</v>
      </c>
      <c r="AF16" s="92" t="s">
        <v>312</v>
      </c>
      <c r="AG16" s="272" t="s">
        <v>313</v>
      </c>
    </row>
    <row r="17" ht="20.1" customHeight="1">
      <c r="A17" s="58"/>
      <c r="B17" s="288"/>
      <c r="C17" s="289" t="s">
        <v>232</v>
      </c>
      <c r="D17" s="439">
        <v>335.71802853437094682230869001</v>
      </c>
      <c r="E17" s="95">
        <v>388.95400714330471834074816715</v>
      </c>
      <c r="F17" s="442">
        <v>298.76376692300346077410376865</v>
      </c>
      <c r="G17" s="439">
        <v>79.70090791180285343709468223</v>
      </c>
      <c r="H17" s="95">
        <v>80.35158844539131524531612256</v>
      </c>
      <c r="I17" s="442">
        <v>56.422799245620250844622371872</v>
      </c>
      <c r="J17" s="439">
        <v>22.543450064850843060959792477</v>
      </c>
      <c r="K17" s="95">
        <v>11.994047246068049376527351337</v>
      </c>
      <c r="L17" s="442">
        <v>19.80061714523101530415938744</v>
      </c>
      <c r="M17" s="439">
        <v>437.96238651102464332036316472</v>
      </c>
      <c r="N17" s="95">
        <v>481.29964283476408296259164105</v>
      </c>
      <c r="O17" s="442">
        <v>374.98718331385472692288552796</v>
      </c>
      <c r="P17" s="5"/>
      <c r="Q17" s="420">
        <v>41.999754707629583918543983940</v>
      </c>
      <c r="R17" s="91">
        <v>46.813966894327075211556800240</v>
      </c>
      <c r="S17" s="498">
        <v>46.063719315118038056085057200</v>
      </c>
      <c r="T17" s="420">
        <v>104.66055763978465626180737795</v>
      </c>
      <c r="U17" s="91"/>
      <c r="V17" s="498">
        <v>108.15436185898000666633160941</v>
      </c>
      <c r="W17" s="420">
        <v>2.5058242819270360772797208600</v>
      </c>
      <c r="X17" s="91"/>
      <c r="Y17" s="498">
        <v>1.9003115302220698967538700900</v>
      </c>
      <c r="Z17" s="420">
        <v>47.285098137298859534563940200</v>
      </c>
      <c r="AA17" s="91"/>
      <c r="AB17" s="498">
        <v>49.349065397550297786836071300</v>
      </c>
      <c r="AC17" s="5"/>
      <c r="AD17" s="420" t="s">
        <v>311</v>
      </c>
      <c r="AE17" s="91" t="s">
        <v>312</v>
      </c>
      <c r="AF17" s="91" t="s">
        <v>312</v>
      </c>
      <c r="AG17" s="421" t="s">
        <v>313</v>
      </c>
    </row>
    <row r="18" ht="20.1" customHeight="1">
      <c r="A18" s="58"/>
      <c r="B18" s="286"/>
      <c r="C18" s="287" t="s">
        <v>233</v>
      </c>
      <c r="D18" s="276">
        <v>354.76223581757508342602892102</v>
      </c>
      <c r="E18" s="94">
        <v>368.16835228343488912620139455</v>
      </c>
      <c r="F18" s="277">
        <v>272.49100010448427511659495246</v>
      </c>
      <c r="G18" s="276">
        <v>77.347052280311457174638487208</v>
      </c>
      <c r="H18" s="94">
        <v>90.59932465320899936829873175</v>
      </c>
      <c r="I18" s="277">
        <v>54.127244570547317906956779538</v>
      </c>
      <c r="J18" s="276">
        <v>23.857063403781979977753058954</v>
      </c>
      <c r="K18" s="94">
        <v>19.599961712833164368339539192</v>
      </c>
      <c r="L18" s="277">
        <v>19.913404672585069810135010813</v>
      </c>
      <c r="M18" s="276">
        <v>455.96635150166852057842046719</v>
      </c>
      <c r="N18" s="94">
        <v>478.3676386494770528628396655</v>
      </c>
      <c r="O18" s="277">
        <v>346.53164934761666283368674281</v>
      </c>
      <c r="P18" s="5"/>
      <c r="Q18" s="271">
        <v>47.627193746327478596713406380</v>
      </c>
      <c r="R18" s="92">
        <v>43.442102444104158628404014290</v>
      </c>
      <c r="S18" s="272">
        <v>32.169441112747475936012335680</v>
      </c>
      <c r="T18" s="271">
        <v>75.372667320887031661579397560</v>
      </c>
      <c r="U18" s="92">
        <v>29.400979357973246432212857750</v>
      </c>
      <c r="V18" s="272">
        <v>68.847087687340374141957564160</v>
      </c>
      <c r="W18" s="271">
        <v>1.1657953948231542413388663100</v>
      </c>
      <c r="X18" s="92">
        <v>-5.326768161736697935979482200</v>
      </c>
      <c r="Y18" s="272">
        <v>5.8549338968536348305560511500</v>
      </c>
      <c r="Z18" s="271">
        <v>48.042906568618928960209536410</v>
      </c>
      <c r="AA18" s="92">
        <v>37.705711484459220216216546790</v>
      </c>
      <c r="AB18" s="272">
        <v>34.817878318462868376049441620</v>
      </c>
      <c r="AC18" s="5"/>
      <c r="AD18" s="271" t="s">
        <v>313</v>
      </c>
      <c r="AE18" s="92" t="s">
        <v>225</v>
      </c>
      <c r="AF18" s="92" t="s">
        <v>225</v>
      </c>
      <c r="AG18" s="272" t="s">
        <v>226</v>
      </c>
    </row>
    <row r="19" ht="20.1" customHeight="1">
      <c r="A19" s="58"/>
      <c r="B19" s="288"/>
      <c r="C19" s="289" t="s">
        <v>234</v>
      </c>
      <c r="D19" s="439">
        <v>316.9294710327455919395465995</v>
      </c>
      <c r="E19" s="95">
        <v>315.60388580491673275178429818</v>
      </c>
      <c r="F19" s="442">
        <v>246.5949452861101559497562653</v>
      </c>
      <c r="G19" s="439">
        <v>69.830954380072767982087881332</v>
      </c>
      <c r="H19" s="95">
        <v>72.929337930265906934679695559</v>
      </c>
      <c r="I19" s="442">
        <v>56.175705476279530040002279193</v>
      </c>
      <c r="J19" s="439">
        <v>22.58158410299468233977050098</v>
      </c>
      <c r="K19" s="95">
        <v>14.015586983144817374320974358</v>
      </c>
      <c r="L19" s="442">
        <v>21.632248741400979331440975866</v>
      </c>
      <c r="M19" s="439">
        <v>409.34200951581304226140498181</v>
      </c>
      <c r="N19" s="95">
        <v>402.54881071832745706078496809</v>
      </c>
      <c r="O19" s="442">
        <v>324.40289950379066532119952035</v>
      </c>
      <c r="P19" s="5"/>
      <c r="Q19" s="420">
        <v>17.329605123397602146698247530</v>
      </c>
      <c r="R19" s="91">
        <v>13.700991920860840086838315710</v>
      </c>
      <c r="S19" s="498">
        <v>12.961558114266492611570465390</v>
      </c>
      <c r="T19" s="420">
        <v>83.49007411326432205465569019</v>
      </c>
      <c r="U19" s="91">
        <v>5.2396007044978242261093922100</v>
      </c>
      <c r="V19" s="498">
        <v>67.036922496687325465789285840</v>
      </c>
      <c r="W19" s="420">
        <v>-0.1117574964101888037773454300</v>
      </c>
      <c r="X19" s="91">
        <v>-30.853084265318502650237426680</v>
      </c>
      <c r="Y19" s="498">
        <v>11.211457150778944537772030240</v>
      </c>
      <c r="Z19" s="420">
        <v>23.749465301898977169066981030</v>
      </c>
      <c r="AA19" s="91">
        <v>9.644133200547732595609590270</v>
      </c>
      <c r="AB19" s="498">
        <v>19.537346665855938135296282700</v>
      </c>
      <c r="AC19" s="5"/>
      <c r="AD19" s="420" t="s">
        <v>313</v>
      </c>
      <c r="AE19" s="91" t="s">
        <v>225</v>
      </c>
      <c r="AF19" s="91" t="s">
        <v>225</v>
      </c>
      <c r="AG19" s="421" t="s">
        <v>226</v>
      </c>
    </row>
    <row r="20" ht="20.1" customHeight="1">
      <c r="A20" s="58"/>
      <c r="B20" s="286"/>
      <c r="C20" s="287" t="s">
        <v>235</v>
      </c>
      <c r="D20" s="276">
        <v>212.63477718915550015581177937</v>
      </c>
      <c r="E20" s="94">
        <v>227.67923722783549167496798064</v>
      </c>
      <c r="F20" s="277">
        <v>190.27995344266255263779160101</v>
      </c>
      <c r="G20" s="276">
        <v>55.302898099096291679650981614</v>
      </c>
      <c r="H20" s="94">
        <v>96.59919225796954574478871258</v>
      </c>
      <c r="I20" s="277">
        <v>50.026259399618316608675926963</v>
      </c>
      <c r="J20" s="276">
        <v>21.436272982237457151760673107</v>
      </c>
      <c r="K20" s="94">
        <v>22.036632515223238289038112279</v>
      </c>
      <c r="L20" s="277">
        <v>23.20827468384652940086117028</v>
      </c>
      <c r="M20" s="276">
        <v>289.37394827048924898722343409</v>
      </c>
      <c r="N20" s="94">
        <v>346.3150620010282757087948055</v>
      </c>
      <c r="O20" s="277">
        <v>263.51448752612739864732869826</v>
      </c>
      <c r="P20" s="5"/>
      <c r="Q20" s="271">
        <v>-7.5738200557158284056744327100</v>
      </c>
      <c r="R20" s="92">
        <v>-8.086854656068601818428451710</v>
      </c>
      <c r="S20" s="272">
        <v>-7.1557813975970680721520806300</v>
      </c>
      <c r="T20" s="271">
        <v>45.521265377513086775825206830</v>
      </c>
      <c r="U20" s="92">
        <v>69.729926430005910985793936490</v>
      </c>
      <c r="V20" s="272">
        <v>39.509735722618804933975827980</v>
      </c>
      <c r="W20" s="271">
        <v>-22.171319410796067555414006540</v>
      </c>
      <c r="X20" s="92">
        <v>10.676428710689607916255437760</v>
      </c>
      <c r="Y20" s="272">
        <v>18.156372395911399903668408990</v>
      </c>
      <c r="Z20" s="271">
        <v>-2.10797788284653278631811100</v>
      </c>
      <c r="AA20" s="92">
        <v>6.7109546744968946390791367300</v>
      </c>
      <c r="AB20" s="272">
        <v>1.1781612944391182317141996100</v>
      </c>
      <c r="AC20" s="5"/>
      <c r="AD20" s="271" t="s">
        <v>311</v>
      </c>
      <c r="AE20" s="92" t="s">
        <v>223</v>
      </c>
      <c r="AF20" s="92" t="s">
        <v>223</v>
      </c>
      <c r="AG20" s="272" t="s">
        <v>223</v>
      </c>
    </row>
    <row r="21" ht="20.1" customHeight="1">
      <c r="A21" s="58"/>
      <c r="B21" s="288"/>
      <c r="C21" s="289" t="s">
        <v>218</v>
      </c>
      <c r="D21" s="439">
        <v>229.13482501434308663224325875</v>
      </c>
      <c r="E21" s="95">
        <v>217.80484357936660885205884242</v>
      </c>
      <c r="F21" s="442">
        <v>186.03759799228997956068407027</v>
      </c>
      <c r="G21" s="439">
        <v>57.35312679288582903040734366</v>
      </c>
      <c r="H21" s="95">
        <v>91.02602778020212334431165528</v>
      </c>
      <c r="I21" s="442">
        <v>36.527157605803137013479790115</v>
      </c>
      <c r="J21" s="439">
        <v>26.154618473895582329317269076</v>
      </c>
      <c r="K21" s="95">
        <v>29.026011688593832824536638372</v>
      </c>
      <c r="L21" s="442">
        <v>20.270347504982105501407780202</v>
      </c>
      <c r="M21" s="439">
        <v>312.64257028112449799196787149</v>
      </c>
      <c r="N21" s="95">
        <v>337.85688304816256502090713607</v>
      </c>
      <c r="O21" s="442">
        <v>242.83510310307522207557164059</v>
      </c>
      <c r="P21" s="5"/>
      <c r="Q21" s="420">
        <v>-14.251757285096864985392944240</v>
      </c>
      <c r="R21" s="91">
        <v>-10.685706106877608117473657890</v>
      </c>
      <c r="S21" s="498">
        <v>-9.360220344660180024106053940</v>
      </c>
      <c r="T21" s="420">
        <v>35.808930784703528772220824940</v>
      </c>
      <c r="U21" s="91">
        <v>54.75976884705312427321505800</v>
      </c>
      <c r="V21" s="498">
        <v>10.457285711236249486213378580</v>
      </c>
      <c r="W21" s="420">
        <v>2.1987925344932442581548042700</v>
      </c>
      <c r="X21" s="91">
        <v>51.163080262973935992994591290</v>
      </c>
      <c r="Y21" s="498">
        <v>1.7002230209530547438495129800</v>
      </c>
      <c r="Z21" s="420">
        <v>-6.685211495913883919225817300</v>
      </c>
      <c r="AA21" s="91">
        <v>4.9627074489141392609915629500</v>
      </c>
      <c r="AB21" s="498">
        <v>-5.9689443976664753616486608800</v>
      </c>
      <c r="AC21" s="5"/>
      <c r="AD21" s="420" t="s">
        <v>313</v>
      </c>
      <c r="AE21" s="91" t="s">
        <v>236</v>
      </c>
      <c r="AF21" s="91" t="s">
        <v>236</v>
      </c>
      <c r="AG21" s="421" t="s">
        <v>236</v>
      </c>
    </row>
    <row r="22" ht="20.1" customHeight="1">
      <c r="A22" s="58"/>
      <c r="B22" s="286"/>
      <c r="C22" s="287" t="s">
        <v>221</v>
      </c>
      <c r="D22" s="276">
        <v>193.212000000</v>
      </c>
      <c r="E22" s="94">
        <v>187.10648852437330511277200874</v>
      </c>
      <c r="F22" s="277">
        <v>169.26024937060508724715687126</v>
      </c>
      <c r="G22" s="276">
        <v>44.247384615384615384615384615</v>
      </c>
      <c r="H22" s="94">
        <v>77.98147896391587840127638888</v>
      </c>
      <c r="I22" s="277">
        <v>37.169675009597684658261765901</v>
      </c>
      <c r="J22" s="276">
        <v>25.852307692307692307692307692</v>
      </c>
      <c r="K22" s="94">
        <v>35.549247067657450404365401006</v>
      </c>
      <c r="L22" s="277">
        <v>21.331200064567534713782112015</v>
      </c>
      <c r="M22" s="276">
        <v>263.31169230769230769230769231</v>
      </c>
      <c r="N22" s="94">
        <v>300.63721455594663391841379863</v>
      </c>
      <c r="O22" s="277">
        <v>227.76112444477030661920074918</v>
      </c>
      <c r="P22" s="5"/>
      <c r="Q22" s="271">
        <v>-6.5397399686276264166636040100</v>
      </c>
      <c r="R22" s="92">
        <v>-6.8681043341824061622067149100</v>
      </c>
      <c r="S22" s="272">
        <v>1.1429229210345960645931644600</v>
      </c>
      <c r="T22" s="271">
        <v>15.859568460533587924678673060</v>
      </c>
      <c r="U22" s="92">
        <v>-4.3937025156527472270099202300</v>
      </c>
      <c r="V22" s="272">
        <v>7.80829518301240642124837800</v>
      </c>
      <c r="W22" s="271">
        <v>3.5718840745705769581627154700</v>
      </c>
      <c r="X22" s="92">
        <v>13.928663186554016270307622040</v>
      </c>
      <c r="Y22" s="272">
        <v>3.6493598802535947676847497100</v>
      </c>
      <c r="Z22" s="271">
        <v>-2.4348680442854397139974741100</v>
      </c>
      <c r="AA22" s="92">
        <v>-4.15589172022274571507445300</v>
      </c>
      <c r="AB22" s="272">
        <v>2.4081294979350911485291344100</v>
      </c>
      <c r="AC22" s="5"/>
      <c r="AD22" s="271" t="s">
        <v>313</v>
      </c>
      <c r="AE22" s="92" t="s">
        <v>236</v>
      </c>
      <c r="AF22" s="92" t="s">
        <v>238</v>
      </c>
      <c r="AG22" s="272" t="s">
        <v>236</v>
      </c>
    </row>
    <row r="23" ht="20.1" customHeight="1">
      <c r="A23" s="58"/>
      <c r="B23" s="288"/>
      <c r="C23" s="289" t="s">
        <v>222</v>
      </c>
      <c r="D23" s="439">
        <v>184.57228240567799775868509526</v>
      </c>
      <c r="E23" s="95">
        <v>186.75794342913475392431940549</v>
      </c>
      <c r="F23" s="442">
        <v>170.88192967051099966408740799</v>
      </c>
      <c r="G23" s="439">
        <v>43.204333208815838625326858424</v>
      </c>
      <c r="H23" s="95">
        <v>92.16356526382060188029052081</v>
      </c>
      <c r="I23" s="442">
        <v>52.958489308923262343794062609</v>
      </c>
      <c r="J23" s="439">
        <v>26.465819947702652222637280538</v>
      </c>
      <c r="K23" s="95">
        <v>30.623080798895718055583704221</v>
      </c>
      <c r="L23" s="442">
        <v>25.559446800728722992003200895</v>
      </c>
      <c r="M23" s="439">
        <v>254.24243556219648860664923422</v>
      </c>
      <c r="N23" s="95">
        <v>309.54458949185107386019363052</v>
      </c>
      <c r="O23" s="442">
        <v>249.3998657801629849998846715</v>
      </c>
      <c r="P23" s="5"/>
      <c r="Q23" s="420">
        <v>0.9137968582076615383711579200</v>
      </c>
      <c r="R23" s="91">
        <v>0.2993136161245083870198277300</v>
      </c>
      <c r="S23" s="498">
        <v>8.381583839987042196135028320</v>
      </c>
      <c r="T23" s="420">
        <v>12.640040493204712167640606470</v>
      </c>
      <c r="U23" s="91">
        <v>26.695238490373919733864873370</v>
      </c>
      <c r="V23" s="498">
        <v>46.413380788105934090261974820</v>
      </c>
      <c r="W23" s="420">
        <v>12.322545562284631811312883970</v>
      </c>
      <c r="X23" s="91">
        <v>62.050012676378765460138425240</v>
      </c>
      <c r="Y23" s="498">
        <v>9.437060709837545756419938230</v>
      </c>
      <c r="Z23" s="420">
        <v>3.8489805110299068297259612400</v>
      </c>
      <c r="AA23" s="91">
        <v>11.410204881772328898392507070</v>
      </c>
      <c r="AB23" s="498">
        <v>14.828762609473284023231945750</v>
      </c>
      <c r="AC23" s="5"/>
      <c r="AD23" s="420" t="s">
        <v>312</v>
      </c>
      <c r="AE23" s="91" t="s">
        <v>236</v>
      </c>
      <c r="AF23" s="91" t="s">
        <v>236</v>
      </c>
      <c r="AG23" s="421" t="s">
        <v>236</v>
      </c>
    </row>
    <row r="24" ht="20.1" customHeight="1">
      <c r="A24" s="59"/>
      <c r="B24" s="286"/>
      <c r="C24" s="287" t="s">
        <v>224</v>
      </c>
      <c r="D24" s="276">
        <v>212.23740533421139282186368126</v>
      </c>
      <c r="E24" s="94">
        <v>235.56753570933296352794341978</v>
      </c>
      <c r="F24" s="277">
        <v>199.96778282285365892791246169</v>
      </c>
      <c r="G24" s="276">
        <v>46.308528152782351004280540007</v>
      </c>
      <c r="H24" s="94">
        <v>116.18779322009026387023311963</v>
      </c>
      <c r="I24" s="277">
        <v>58.173867688537285205349731507</v>
      </c>
      <c r="J24" s="276">
        <v>23.584129074744813961145867633</v>
      </c>
      <c r="K24" s="94">
        <v>20.048906457525236536301197264</v>
      </c>
      <c r="L24" s="277">
        <v>19.248565111773436344290508699</v>
      </c>
      <c r="M24" s="276">
        <v>282.1300625617385577872900889</v>
      </c>
      <c r="N24" s="94">
        <v>371.80423538694846393447773667</v>
      </c>
      <c r="O24" s="277">
        <v>277.3902156231643804775527019</v>
      </c>
      <c r="P24" s="93"/>
      <c r="Q24" s="271">
        <v>14.623028855314273128633840750</v>
      </c>
      <c r="R24" s="92">
        <v>19.083362390073283568836448220</v>
      </c>
      <c r="S24" s="272">
        <v>18.444905144754721352076299700</v>
      </c>
      <c r="T24" s="271">
        <v>17.446755864814010584832584940</v>
      </c>
      <c r="U24" s="92">
        <v>97.89655787608342862198466993</v>
      </c>
      <c r="V24" s="272">
        <v>40.420819812031851204038992480</v>
      </c>
      <c r="W24" s="271">
        <v>2.8988525289072204840805272900</v>
      </c>
      <c r="X24" s="92">
        <v>31.191079138261455993294196030</v>
      </c>
      <c r="Y24" s="272">
        <v>0.9904695158818449401285263700</v>
      </c>
      <c r="Z24" s="271">
        <v>13.987188578926634789333798820</v>
      </c>
      <c r="AA24" s="92">
        <v>36.787815793521720093165985550</v>
      </c>
      <c r="AB24" s="272">
        <v>20.964338412996230376468144510</v>
      </c>
      <c r="AC24" s="93"/>
      <c r="AD24" s="271" t="s">
        <v>313</v>
      </c>
      <c r="AE24" s="92" t="s">
        <v>236</v>
      </c>
      <c r="AF24" s="92" t="s">
        <v>237</v>
      </c>
      <c r="AG24" s="272" t="s">
        <v>236</v>
      </c>
    </row>
    <row r="25" ht="20.1" customHeight="1">
      <c r="A25" s="60"/>
      <c r="B25" s="288"/>
      <c r="C25" s="289" t="s">
        <v>227</v>
      </c>
      <c r="D25" s="439">
        <v>262.937500000</v>
      </c>
      <c r="E25" s="95">
        <v>280.49811510429756220155818046</v>
      </c>
      <c r="F25" s="442">
        <v>221.200369219919207214308309</v>
      </c>
      <c r="G25" s="439">
        <v>59.242698598130841121495327103</v>
      </c>
      <c r="H25" s="95">
        <v>103.62357567633937389221679383</v>
      </c>
      <c r="I25" s="442">
        <v>67.766177626763497163933669787</v>
      </c>
      <c r="J25" s="439">
        <v>24.851051401869158878504672897</v>
      </c>
      <c r="K25" s="95">
        <v>24.095691101366495264007776791</v>
      </c>
      <c r="L25" s="442">
        <v>21.134873719656810742511632047</v>
      </c>
      <c r="M25" s="439">
        <v>347.031250000</v>
      </c>
      <c r="N25" s="95">
        <v>408.21738188200343135778275109</v>
      </c>
      <c r="O25" s="442">
        <v>310.10142056633951512075361084</v>
      </c>
      <c r="P25" s="93"/>
      <c r="Q25" s="420">
        <v>12.917032463494567736462841820</v>
      </c>
      <c r="R25" s="91">
        <v>16.101109029612730295297409930</v>
      </c>
      <c r="S25" s="498">
        <v>14.442819365080562942933887310</v>
      </c>
      <c r="T25" s="420">
        <v>30.984822886984005205777813680</v>
      </c>
      <c r="U25" s="91">
        <v>83.69904997798944402464913745</v>
      </c>
      <c r="V25" s="498">
        <v>53.354876257263265384536913800</v>
      </c>
      <c r="W25" s="420">
        <v>19.299044102613827706875304530</v>
      </c>
      <c r="X25" s="91">
        <v>-11.841399895603118235255106110</v>
      </c>
      <c r="Y25" s="498">
        <v>10.904302630444357690535215180</v>
      </c>
      <c r="Z25" s="420">
        <v>16.095574113821745629435344600</v>
      </c>
      <c r="AA25" s="91">
        <v>25.474173050912459629228693550</v>
      </c>
      <c r="AB25" s="498">
        <v>20.882818025936882431725410670</v>
      </c>
      <c r="AC25" s="93"/>
      <c r="AD25" s="420" t="s">
        <v>313</v>
      </c>
      <c r="AE25" s="91" t="s">
        <v>236</v>
      </c>
      <c r="AF25" s="91" t="s">
        <v>236</v>
      </c>
      <c r="AG25" s="421" t="s">
        <v>236</v>
      </c>
    </row>
    <row r="26" ht="20.1" customHeight="1">
      <c r="A26" s="60"/>
      <c r="B26" s="290"/>
      <c r="C26" s="291" t="s">
        <v>229</v>
      </c>
      <c r="D26" s="443">
        <v>319.73223889046136427964902349</v>
      </c>
      <c r="E26" s="444">
        <v>325.47704552690226042661572745</v>
      </c>
      <c r="F26" s="445">
        <v>249.26622795551891250578133483</v>
      </c>
      <c r="G26" s="443">
        <v>53.470138692329465043872063402</v>
      </c>
      <c r="H26" s="444">
        <v>114.05129322594197827101948919</v>
      </c>
      <c r="I26" s="445">
        <v>61.937652509817008134919911169</v>
      </c>
      <c r="J26" s="443">
        <v>26.12935182564392867251627512</v>
      </c>
      <c r="K26" s="444">
        <v>39.214128246486663055365813666</v>
      </c>
      <c r="L26" s="445">
        <v>25.55374343970519645103972306</v>
      </c>
      <c r="M26" s="443">
        <v>399.33172940843475799603736202</v>
      </c>
      <c r="N26" s="444">
        <v>478.74246699933090175300103031</v>
      </c>
      <c r="O26" s="445">
        <v>336.75762390504111709174096906</v>
      </c>
      <c r="P26" s="184"/>
      <c r="Q26" s="273">
        <v>-5.1198492329308838951420960200</v>
      </c>
      <c r="R26" s="274">
        <v>-6.7168973216714882417544129600</v>
      </c>
      <c r="S26" s="275">
        <v>-2.0064009084457138550609565300</v>
      </c>
      <c r="T26" s="273">
        <v>-4.1893623835554612705805035600</v>
      </c>
      <c r="U26" s="274">
        <v>50.143056823692768289596658220</v>
      </c>
      <c r="V26" s="275">
        <v>33.056862888364820937915262760</v>
      </c>
      <c r="W26" s="273">
        <v>11.846553418579990849875704650</v>
      </c>
      <c r="X26" s="274">
        <v>127.02639598421717262726825738</v>
      </c>
      <c r="Y26" s="275">
        <v>29.724712492386208906305641110</v>
      </c>
      <c r="Z26" s="273">
        <v>-4.0426211172418010603705370300</v>
      </c>
      <c r="AA26" s="274">
        <v>8.276550795821318329384484830</v>
      </c>
      <c r="AB26" s="275">
        <v>5.0338750883312334271559768700</v>
      </c>
      <c r="AC26" s="184"/>
      <c r="AD26" s="273" t="s">
        <v>313</v>
      </c>
      <c r="AE26" s="274" t="s">
        <v>236</v>
      </c>
      <c r="AF26" s="274" t="s">
        <v>238</v>
      </c>
      <c r="AG26" s="275" t="s">
        <v>236</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115"/>
      <c r="AD27" s="113"/>
      <c r="AE27" s="113"/>
      <c r="AF27" s="113"/>
      <c r="AG27" s="113"/>
      <c r="AH27" s="9"/>
    </row>
    <row r="28" ht="24.95" customHeight="1">
      <c r="A28" s="112"/>
      <c r="B28" s="973" t="s">
        <v>58</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411"/>
      <c r="AD28" s="971"/>
      <c r="AE28" s="971"/>
      <c r="AF28" s="971"/>
      <c r="AG28" s="971"/>
      <c r="AH28" s="9"/>
    </row>
    <row r="29" ht="20.1" customHeight="1">
      <c r="A29" s="58"/>
      <c r="B29" s="284">
        <v>2020</v>
      </c>
      <c r="C29" s="285"/>
      <c r="D29" s="454">
        <v>205.63515078286260887076473846</v>
      </c>
      <c r="E29" s="455">
        <v>223.18590302999951209887041139</v>
      </c>
      <c r="F29" s="436">
        <v>186.66460907780639368664792193</v>
      </c>
      <c r="G29" s="454">
        <v>31.634647334239540854855761969</v>
      </c>
      <c r="H29" s="455"/>
      <c r="I29" s="436">
        <v>39.801827682740584667877784894</v>
      </c>
      <c r="J29" s="454">
        <v>26.686401852690932890298545033</v>
      </c>
      <c r="K29" s="455"/>
      <c r="L29" s="436">
        <v>19.342631520603397779757121588</v>
      </c>
      <c r="M29" s="454">
        <v>263.95619996979308261591904546</v>
      </c>
      <c r="N29" s="455"/>
      <c r="O29" s="436">
        <v>245.80906828115037613428282842</v>
      </c>
      <c r="P29" s="217"/>
      <c r="Q29" s="427">
        <v>5.6208548544613259021366218100</v>
      </c>
      <c r="R29" s="428">
        <v>6.3579455426976815210186014800</v>
      </c>
      <c r="S29" s="417">
        <v>2.0554258137590537445109074500</v>
      </c>
      <c r="T29" s="427">
        <v>0.1979013839834753353400674900</v>
      </c>
      <c r="U29" s="428"/>
      <c r="V29" s="417">
        <v>-20.230402711837920101877725470</v>
      </c>
      <c r="W29" s="427">
        <v>-14.629017354815327465157417590</v>
      </c>
      <c r="X29" s="428"/>
      <c r="Y29" s="417">
        <v>15.172744388698650730668777520</v>
      </c>
      <c r="Z29" s="427">
        <v>2.4979843858277179333469982800</v>
      </c>
      <c r="AA29" s="428"/>
      <c r="AB29" s="417">
        <v>-1.5170543744912634139456955500</v>
      </c>
      <c r="AC29" s="5"/>
      <c r="AD29" s="427" t="s">
        <v>315</v>
      </c>
      <c r="AE29" s="428"/>
      <c r="AF29" s="428"/>
      <c r="AG29" s="429"/>
    </row>
    <row r="30" ht="20.1" customHeight="1">
      <c r="A30" s="58"/>
      <c r="B30" s="286">
        <v>2021</v>
      </c>
      <c r="C30" s="287"/>
      <c r="D30" s="276">
        <v>233.74962656841266679944234216</v>
      </c>
      <c r="E30" s="94">
        <v>244.13632952012674883858320578</v>
      </c>
      <c r="F30" s="277">
        <v>196.71647829114544472893073168</v>
      </c>
      <c r="G30" s="276">
        <v>39.433006373232423819956184027</v>
      </c>
      <c r="H30" s="94">
        <v>75.899413615784371988264432906</v>
      </c>
      <c r="I30" s="277">
        <v>35.309007765250794374759827804</v>
      </c>
      <c r="J30" s="276">
        <v>23.235510854411471818362875921</v>
      </c>
      <c r="K30" s="94">
        <v>23.989312630362792478133018795</v>
      </c>
      <c r="L30" s="277">
        <v>20.070250883743762155095310642</v>
      </c>
      <c r="M30" s="276">
        <v>296.41814379605656243776140211</v>
      </c>
      <c r="N30" s="94">
        <v>344.02505576627391330498065748</v>
      </c>
      <c r="O30" s="277">
        <v>252.09573694014000125878587012</v>
      </c>
      <c r="P30" s="217"/>
      <c r="Q30" s="271">
        <v>13.672018464972760852009297750</v>
      </c>
      <c r="R30" s="92">
        <v>9.386984664219878367191158250</v>
      </c>
      <c r="S30" s="272">
        <v>5.3849892933672944177066669500</v>
      </c>
      <c r="T30" s="271">
        <v>24.651322825406279821767560300</v>
      </c>
      <c r="U30" s="92"/>
      <c r="V30" s="272">
        <v>-11.287973892219087990760973070</v>
      </c>
      <c r="W30" s="271">
        <v>-12.931271204474438576725225460</v>
      </c>
      <c r="X30" s="92"/>
      <c r="Y30" s="272">
        <v>3.7617392564648913890725934400</v>
      </c>
      <c r="Z30" s="271">
        <v>12.298231233049509073907850560</v>
      </c>
      <c r="AA30" s="92"/>
      <c r="AB30" s="272">
        <v>2.5575413888913955254178279100</v>
      </c>
      <c r="AC30" s="5"/>
      <c r="AD30" s="271" t="s">
        <v>313</v>
      </c>
      <c r="AE30" s="92" t="s">
        <v>223</v>
      </c>
      <c r="AF30" s="92" t="s">
        <v>220</v>
      </c>
      <c r="AG30" s="272" t="s">
        <v>220</v>
      </c>
    </row>
    <row r="31" ht="20.1" customHeight="1">
      <c r="A31" s="58"/>
      <c r="B31" s="425">
        <v>2022</v>
      </c>
      <c r="C31" s="426"/>
      <c r="D31" s="457">
        <v>275.60038567627602704615910367</v>
      </c>
      <c r="E31" s="458">
        <v>288.21114352095239710346464972</v>
      </c>
      <c r="F31" s="499">
        <v>229.99410822396806199078871219</v>
      </c>
      <c r="G31" s="457">
        <v>60.059071935948446310444992311</v>
      </c>
      <c r="H31" s="458">
        <v>90.55182943759505934574642557</v>
      </c>
      <c r="I31" s="499">
        <v>52.44709634074418973560478426</v>
      </c>
      <c r="J31" s="457">
        <v>23.965118265921351331559547929</v>
      </c>
      <c r="K31" s="458">
        <v>24.495030676876248996957896666</v>
      </c>
      <c r="L31" s="499">
        <v>21.891505905569562416828002244</v>
      </c>
      <c r="M31" s="457">
        <v>359.62457587814582468816364391</v>
      </c>
      <c r="N31" s="458">
        <v>403.25800363542370544616897196</v>
      </c>
      <c r="O31" s="499">
        <v>304.33271047028181414322149869</v>
      </c>
      <c r="P31" s="496"/>
      <c r="Q31" s="430">
        <v>17.904096670558583726120748430</v>
      </c>
      <c r="R31" s="431">
        <v>18.053361450747817297656364760</v>
      </c>
      <c r="S31" s="500">
        <v>16.916544166485128877790553990</v>
      </c>
      <c r="T31" s="430">
        <v>52.306601651266984180502514440</v>
      </c>
      <c r="U31" s="431">
        <v>19.305044826782248371830412040</v>
      </c>
      <c r="V31" s="500">
        <v>48.537440330698506714643978440</v>
      </c>
      <c r="W31" s="430">
        <v>3.1400532404614163625296218100</v>
      </c>
      <c r="X31" s="431">
        <v>2.1080972775993065535679729100</v>
      </c>
      <c r="Y31" s="500">
        <v>9.074400875320844940235898940</v>
      </c>
      <c r="Z31" s="430">
        <v>21.323401891864028790921246240</v>
      </c>
      <c r="AA31" s="431">
        <v>17.217626122372115156098573550</v>
      </c>
      <c r="AB31" s="500">
        <v>20.721085633666920927658520590</v>
      </c>
      <c r="AC31" s="184"/>
      <c r="AD31" s="430" t="s">
        <v>313</v>
      </c>
      <c r="AE31" s="431" t="s">
        <v>236</v>
      </c>
      <c r="AF31" s="431" t="s">
        <v>236</v>
      </c>
      <c r="AG31" s="432" t="s">
        <v>236</v>
      </c>
    </row>
    <row r="32" ht="21" customHeight="1"/>
    <row r="33" ht="24.95"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411"/>
      <c r="AD33" s="971"/>
      <c r="AE33" s="971"/>
      <c r="AF33" s="971"/>
      <c r="AG33" s="971"/>
      <c r="AH33" s="9"/>
    </row>
    <row r="34" ht="20.1" customHeight="1">
      <c r="A34" s="58"/>
      <c r="B34" s="284">
        <v>2020</v>
      </c>
      <c r="C34" s="285"/>
      <c r="D34" s="454">
        <v>140.13704377010208362466787862</v>
      </c>
      <c r="E34" s="455">
        <v>147.0165127562998904366880576</v>
      </c>
      <c r="F34" s="436">
        <v>131.26160948276807351119006108</v>
      </c>
      <c r="G34" s="454">
        <v>14.485806180953712767445112572</v>
      </c>
      <c r="H34" s="455"/>
      <c r="I34" s="436">
        <v>22.80393770104154950365443509</v>
      </c>
      <c r="J34" s="454">
        <v>23.248217032582855544679065865</v>
      </c>
      <c r="K34" s="455"/>
      <c r="L34" s="436">
        <v>21.756456878762611396039217423</v>
      </c>
      <c r="M34" s="454">
        <v>177.87106698363865193679205705</v>
      </c>
      <c r="N34" s="455"/>
      <c r="O34" s="436">
        <v>175.82200406257223441088371359</v>
      </c>
      <c r="P34" s="5"/>
      <c r="Q34" s="427">
        <v>-27.274979319885839337582836260</v>
      </c>
      <c r="R34" s="428">
        <v>-29.549216201614025138658809960</v>
      </c>
      <c r="S34" s="417">
        <v>-27.839869216687380902128997490</v>
      </c>
      <c r="T34" s="427">
        <v>-65.626126484090669982102957330</v>
      </c>
      <c r="U34" s="428"/>
      <c r="V34" s="417">
        <v>-56.675007340134743455292572310</v>
      </c>
      <c r="W34" s="427">
        <v>-29.732205092715338199734110820</v>
      </c>
      <c r="X34" s="428"/>
      <c r="Y34" s="417">
        <v>-4.9363860017193516544105069800</v>
      </c>
      <c r="Z34" s="427">
        <v>-33.610747034354466552560983700</v>
      </c>
      <c r="AA34" s="428"/>
      <c r="AB34" s="417">
        <v>-31.699462653706250997143415490</v>
      </c>
      <c r="AC34" s="5"/>
      <c r="AD34" s="427" t="s">
        <v>223</v>
      </c>
      <c r="AE34" s="428"/>
      <c r="AF34" s="428"/>
      <c r="AG34" s="429"/>
    </row>
    <row r="35" ht="20.1" customHeight="1">
      <c r="A35" s="58"/>
      <c r="B35" s="286">
        <v>2021</v>
      </c>
      <c r="C35" s="287"/>
      <c r="D35" s="276">
        <v>257.99361116571653233733045017</v>
      </c>
      <c r="E35" s="94">
        <v>267.75945269821820595292796244</v>
      </c>
      <c r="F35" s="277">
        <v>208.58919936149942784419284453</v>
      </c>
      <c r="G35" s="276">
        <v>47.5011794770984863377236092</v>
      </c>
      <c r="H35" s="94">
        <v>64.257334172189181805657260365</v>
      </c>
      <c r="I35" s="277">
        <v>44.240512064621505232231821471</v>
      </c>
      <c r="J35" s="276">
        <v>22.40023589541969726754472184</v>
      </c>
      <c r="K35" s="94">
        <v>20.037188577121240147613168152</v>
      </c>
      <c r="L35" s="277">
        <v>19.294873437898273347198753814</v>
      </c>
      <c r="M35" s="276">
        <v>327.89502653823471594259878121</v>
      </c>
      <c r="N35" s="94">
        <v>352.05397544752862790619839094</v>
      </c>
      <c r="O35" s="277">
        <v>272.12458486401920642362341983</v>
      </c>
      <c r="P35" s="5"/>
      <c r="Q35" s="271">
        <v>84.10093735740892845007746608</v>
      </c>
      <c r="R35" s="92">
        <v>82.12882871332022514184467911</v>
      </c>
      <c r="S35" s="272">
        <v>58.911048084346495930099380530</v>
      </c>
      <c r="T35" s="271">
        <v>227.91533231614267680725093363</v>
      </c>
      <c r="U35" s="92"/>
      <c r="V35" s="272">
        <v>94.00382795591248678368690949</v>
      </c>
      <c r="W35" s="271">
        <v>-3.6475104133414374861778412500</v>
      </c>
      <c r="X35" s="92"/>
      <c r="Y35" s="272">
        <v>-11.314266172174160772024273260</v>
      </c>
      <c r="Z35" s="271">
        <v>84.34421747099946705095252721</v>
      </c>
      <c r="AA35" s="92"/>
      <c r="AB35" s="272">
        <v>54.772769378246566222075974840</v>
      </c>
      <c r="AC35" s="5"/>
      <c r="AD35" s="271" t="s">
        <v>313</v>
      </c>
      <c r="AE35" s="92" t="s">
        <v>223</v>
      </c>
      <c r="AF35" s="92" t="s">
        <v>239</v>
      </c>
      <c r="AG35" s="272" t="s">
        <v>220</v>
      </c>
    </row>
    <row r="36" ht="20.1" customHeight="1">
      <c r="A36" s="58"/>
      <c r="B36" s="425">
        <v>2022</v>
      </c>
      <c r="C36" s="426"/>
      <c r="D36" s="457">
        <v>267.60826495897538523113868321</v>
      </c>
      <c r="E36" s="458">
        <v>281.76660947375279629911169993</v>
      </c>
      <c r="F36" s="499">
        <v>223.98688693981366287910204307</v>
      </c>
      <c r="G36" s="457">
        <v>53.27156293776265759455673404</v>
      </c>
      <c r="H36" s="458">
        <v>111.11588611511365526033024824</v>
      </c>
      <c r="I36" s="499">
        <v>62.663736087405304222897888061</v>
      </c>
      <c r="J36" s="457">
        <v>24.917950770462277366419851911</v>
      </c>
      <c r="K36" s="458">
        <v>27.984932185366964429620219056</v>
      </c>
      <c r="L36" s="499">
        <v>22.044234843593292079846426993</v>
      </c>
      <c r="M36" s="457">
        <v>345.79777866720032019211526916</v>
      </c>
      <c r="N36" s="458">
        <v>420.86742777423341598906216723</v>
      </c>
      <c r="O36" s="499">
        <v>308.69485787081225918184635811</v>
      </c>
      <c r="P36" s="184"/>
      <c r="Q36" s="430">
        <v>3.7267022814375971313477932500</v>
      </c>
      <c r="R36" s="431">
        <v>5.2312464170371224898378230600</v>
      </c>
      <c r="S36" s="500">
        <v>7.3818239992514517119402932900</v>
      </c>
      <c r="T36" s="430">
        <v>12.147874061620976705784616790</v>
      </c>
      <c r="U36" s="431">
        <v>72.923274123603972146563391820</v>
      </c>
      <c r="V36" s="500">
        <v>41.643333594113265961073683440</v>
      </c>
      <c r="W36" s="430">
        <v>11.239680183811379659957846140</v>
      </c>
      <c r="X36" s="431">
        <v>39.664963862995436167358198840</v>
      </c>
      <c r="Y36" s="500">
        <v>14.249180822781934127704999390</v>
      </c>
      <c r="Z36" s="430">
        <v>5.4599035301057355450967409500</v>
      </c>
      <c r="AA36" s="431">
        <v>19.546279015671905818967216230</v>
      </c>
      <c r="AB36" s="500">
        <v>13.438797903941323174165449850</v>
      </c>
      <c r="AC36" s="184"/>
      <c r="AD36" s="430" t="s">
        <v>313</v>
      </c>
      <c r="AE36" s="431" t="s">
        <v>236</v>
      </c>
      <c r="AF36" s="431" t="s">
        <v>236</v>
      </c>
      <c r="AG36" s="432" t="s">
        <v>236</v>
      </c>
    </row>
    <row r="37" ht="21" customHeight="1"/>
    <row r="38" ht="24.95" customHeight="1">
      <c r="A38" s="112"/>
      <c r="B38" s="972" t="s">
        <v>45</v>
      </c>
      <c r="C38" s="972"/>
      <c r="D38" s="972"/>
      <c r="E38" s="972"/>
      <c r="F38" s="972"/>
      <c r="G38" s="972"/>
      <c r="H38" s="972"/>
      <c r="I38" s="972"/>
      <c r="J38" s="972"/>
      <c r="K38" s="972"/>
      <c r="L38" s="972"/>
      <c r="M38" s="972"/>
      <c r="N38" s="972"/>
      <c r="O38" s="972"/>
      <c r="P38" s="411"/>
      <c r="Q38" s="971"/>
      <c r="R38" s="971"/>
      <c r="S38" s="971"/>
      <c r="T38" s="971"/>
      <c r="U38" s="971"/>
      <c r="V38" s="971"/>
      <c r="W38" s="971"/>
      <c r="X38" s="971"/>
      <c r="Y38" s="971"/>
      <c r="Z38" s="971"/>
      <c r="AA38" s="971"/>
      <c r="AB38" s="971"/>
      <c r="AC38" s="411"/>
      <c r="AD38" s="971"/>
      <c r="AE38" s="971"/>
      <c r="AF38" s="971"/>
      <c r="AG38" s="971"/>
      <c r="AH38" s="9"/>
    </row>
    <row r="39" ht="20.1" customHeight="1">
      <c r="A39" s="58"/>
      <c r="B39" s="284">
        <v>2020</v>
      </c>
      <c r="C39" s="285"/>
      <c r="D39" s="454">
        <v>205.63515078286260887076473846</v>
      </c>
      <c r="E39" s="455">
        <v>223.18590302999951209887041139</v>
      </c>
      <c r="F39" s="436">
        <v>186.66460907780639368664792193</v>
      </c>
      <c r="G39" s="454">
        <v>31.634647334239540854855761969</v>
      </c>
      <c r="H39" s="455"/>
      <c r="I39" s="436">
        <v>39.801827682740584667877784894</v>
      </c>
      <c r="J39" s="454">
        <v>26.686401852690932890298545033</v>
      </c>
      <c r="K39" s="455"/>
      <c r="L39" s="436">
        <v>19.342631520603397779757121588</v>
      </c>
      <c r="M39" s="454">
        <v>263.95619996979308261591904546</v>
      </c>
      <c r="N39" s="455"/>
      <c r="O39" s="436">
        <v>245.80906828115037613428282842</v>
      </c>
      <c r="P39" s="5"/>
      <c r="Q39" s="427">
        <v>5.6208548544613259021366218100</v>
      </c>
      <c r="R39" s="428">
        <v>6.3579455426976815210186014800</v>
      </c>
      <c r="S39" s="417">
        <v>2.0554258137590537445109074500</v>
      </c>
      <c r="T39" s="427">
        <v>0.1979013839834753353400674900</v>
      </c>
      <c r="U39" s="428"/>
      <c r="V39" s="417">
        <v>-20.230402711837920101877725470</v>
      </c>
      <c r="W39" s="427">
        <v>-14.629017354815327465157417590</v>
      </c>
      <c r="X39" s="428"/>
      <c r="Y39" s="417">
        <v>15.172744388698650730668777520</v>
      </c>
      <c r="Z39" s="427">
        <v>2.4979843858277179333469982800</v>
      </c>
      <c r="AA39" s="428"/>
      <c r="AB39" s="417">
        <v>-1.5170543744912634139456955500</v>
      </c>
      <c r="AC39" s="5"/>
      <c r="AD39" s="427" t="s">
        <v>315</v>
      </c>
      <c r="AE39" s="428"/>
      <c r="AF39" s="428"/>
      <c r="AG39" s="429"/>
    </row>
    <row r="40" ht="20.1" customHeight="1">
      <c r="A40" s="58"/>
      <c r="B40" s="286">
        <v>2021</v>
      </c>
      <c r="C40" s="287"/>
      <c r="D40" s="276">
        <v>233.74962656841266679944234216</v>
      </c>
      <c r="E40" s="94">
        <v>244.13632952012674883858320578</v>
      </c>
      <c r="F40" s="277">
        <v>196.71647829114544472893073168</v>
      </c>
      <c r="G40" s="276">
        <v>39.433006373232423819956184027</v>
      </c>
      <c r="H40" s="94">
        <v>75.899413615784371988264432906</v>
      </c>
      <c r="I40" s="277">
        <v>35.309007765250794374759827804</v>
      </c>
      <c r="J40" s="276">
        <v>23.235510854411471818362875921</v>
      </c>
      <c r="K40" s="94">
        <v>23.989312630362792478133018795</v>
      </c>
      <c r="L40" s="277">
        <v>20.070250883743762155095310642</v>
      </c>
      <c r="M40" s="276">
        <v>296.41814379605656243776140211</v>
      </c>
      <c r="N40" s="94">
        <v>344.02505576627391330498065748</v>
      </c>
      <c r="O40" s="277">
        <v>252.09573694014000125878587012</v>
      </c>
      <c r="P40" s="5"/>
      <c r="Q40" s="271">
        <v>13.672018464972760852009297750</v>
      </c>
      <c r="R40" s="92">
        <v>9.386984664219878367191158250</v>
      </c>
      <c r="S40" s="272">
        <v>5.3849892933672944177066669500</v>
      </c>
      <c r="T40" s="271">
        <v>24.651322825406279821767560300</v>
      </c>
      <c r="U40" s="92"/>
      <c r="V40" s="272">
        <v>-11.287973892219087990760973070</v>
      </c>
      <c r="W40" s="271">
        <v>-12.931271204474438576725225460</v>
      </c>
      <c r="X40" s="92"/>
      <c r="Y40" s="272">
        <v>3.7617392564648913890725934400</v>
      </c>
      <c r="Z40" s="271">
        <v>12.298231233049509073907850560</v>
      </c>
      <c r="AA40" s="92"/>
      <c r="AB40" s="272">
        <v>2.5575413888913955254178279100</v>
      </c>
      <c r="AC40" s="5"/>
      <c r="AD40" s="271" t="s">
        <v>313</v>
      </c>
      <c r="AE40" s="92" t="s">
        <v>223</v>
      </c>
      <c r="AF40" s="92" t="s">
        <v>220</v>
      </c>
      <c r="AG40" s="272" t="s">
        <v>220</v>
      </c>
    </row>
    <row r="41" ht="20.1" customHeight="1">
      <c r="A41" s="58"/>
      <c r="B41" s="425">
        <v>2022</v>
      </c>
      <c r="C41" s="426"/>
      <c r="D41" s="457">
        <v>275.60038567627602704615910367</v>
      </c>
      <c r="E41" s="458">
        <v>288.21114352095239710346464972</v>
      </c>
      <c r="F41" s="499">
        <v>229.99410822396806199078871219</v>
      </c>
      <c r="G41" s="457">
        <v>60.059071935948446310444992311</v>
      </c>
      <c r="H41" s="458">
        <v>90.55182943759505934574642557</v>
      </c>
      <c r="I41" s="499">
        <v>52.44709634074418973560478426</v>
      </c>
      <c r="J41" s="457">
        <v>23.965118265921351331559547929</v>
      </c>
      <c r="K41" s="458">
        <v>24.495030676876248996957896666</v>
      </c>
      <c r="L41" s="499">
        <v>21.891505905569562416828002244</v>
      </c>
      <c r="M41" s="457">
        <v>359.62457587814582468816364391</v>
      </c>
      <c r="N41" s="458">
        <v>403.25800363542370544616897196</v>
      </c>
      <c r="O41" s="499">
        <v>304.33271047028181414322149869</v>
      </c>
      <c r="P41" s="184"/>
      <c r="Q41" s="430">
        <v>17.904096670558583726120748430</v>
      </c>
      <c r="R41" s="431">
        <v>18.053361450747817297656364760</v>
      </c>
      <c r="S41" s="500">
        <v>16.916544166485128877790553990</v>
      </c>
      <c r="T41" s="430">
        <v>52.306601651266984180502514440</v>
      </c>
      <c r="U41" s="431">
        <v>19.305044826782248371830412040</v>
      </c>
      <c r="V41" s="500">
        <v>48.537440330698506714643978440</v>
      </c>
      <c r="W41" s="430">
        <v>3.1400532404614163625296218100</v>
      </c>
      <c r="X41" s="431">
        <v>2.1080972775993065535679729100</v>
      </c>
      <c r="Y41" s="500">
        <v>9.074400875320844940235898940</v>
      </c>
      <c r="Z41" s="430">
        <v>21.323401891864028790921246240</v>
      </c>
      <c r="AA41" s="431">
        <v>17.217626122372115156098573550</v>
      </c>
      <c r="AB41" s="500">
        <v>20.721085633666920927658520590</v>
      </c>
      <c r="AC41" s="184"/>
      <c r="AD41" s="430" t="s">
        <v>313</v>
      </c>
      <c r="AE41" s="431" t="s">
        <v>236</v>
      </c>
      <c r="AF41" s="431" t="s">
        <v>236</v>
      </c>
      <c r="AG41" s="432" t="s">
        <v>236</v>
      </c>
    </row>
    <row r="42" ht="14.1" customHeight="1"/>
    <row r="43" ht="20.1" customHeight="1">
      <c r="B43" s="7" t="s">
        <v>102</v>
      </c>
    </row>
    <row r="44" ht="14.1" customHeight="1">
      <c r="B44" s="7"/>
    </row>
    <row r="45" ht="24" customHeight="1">
      <c r="B45" s="1048" t="s">
        <v>126</v>
      </c>
      <c r="C45" s="1048"/>
      <c r="D45" s="1048"/>
      <c r="E45" s="1048"/>
      <c r="F45" s="1048"/>
      <c r="G45" s="1048"/>
      <c r="H45" s="1048"/>
      <c r="I45" s="1048"/>
      <c r="J45" s="1048"/>
      <c r="K45" s="1048"/>
      <c r="L45" s="1048"/>
      <c r="M45" s="1048"/>
      <c r="N45" s="1048"/>
      <c r="O45" s="1048"/>
      <c r="P45" s="1048"/>
      <c r="Q45" s="1048"/>
      <c r="R45" s="1048"/>
      <c r="S45" s="1048"/>
      <c r="T45" s="1048"/>
      <c r="U45" s="1048"/>
      <c r="V45" s="1048"/>
      <c r="W45" s="1048"/>
      <c r="X45" s="1048"/>
      <c r="Y45" s="1048"/>
      <c r="Z45" s="1048"/>
      <c r="AA45" s="1048"/>
      <c r="AB45" s="1048"/>
      <c r="AC45" s="1048"/>
      <c r="AD45" s="1048"/>
      <c r="AE45" s="1048"/>
      <c r="AF45" s="1048"/>
      <c r="AG45" s="1048"/>
    </row>
    <row r="46" ht="14.1" customHeight="1"/>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c r="AD47" s="236"/>
      <c r="AE47" s="236"/>
      <c r="AF47" s="236"/>
      <c r="AG47" s="236"/>
      <c r="AH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c r="AD48" s="236"/>
      <c r="AE48" s="236"/>
      <c r="AF48" s="236"/>
      <c r="AG48" s="236"/>
      <c r="AH48" s="236"/>
    </row>
    <row r="49">
      <c r="A49" s="236"/>
      <c r="B49" s="236"/>
      <c r="C49" s="236"/>
      <c r="D49" s="236"/>
      <c r="E49" s="236"/>
      <c r="F49" s="236"/>
      <c r="G49" s="236"/>
      <c r="H49" s="236"/>
      <c r="I49" s="236"/>
      <c r="J49" s="236"/>
      <c r="K49" s="236"/>
      <c r="L49" s="236"/>
      <c r="M49" s="236"/>
      <c r="N49" s="236"/>
      <c r="O49" s="236"/>
      <c r="P49" s="236"/>
      <c r="Q49" s="236"/>
      <c r="R49" s="236"/>
      <c r="S49" s="236"/>
      <c r="T49" s="236"/>
      <c r="U49" s="236"/>
      <c r="V49" s="236"/>
      <c r="W49" s="236"/>
      <c r="X49" s="236"/>
      <c r="Y49" s="236"/>
      <c r="Z49" s="236"/>
      <c r="AA49" s="236"/>
      <c r="AB49" s="236"/>
      <c r="AC49" s="236"/>
      <c r="AD49" s="236"/>
      <c r="AE49" s="236"/>
      <c r="AF49" s="236"/>
      <c r="AG49" s="236"/>
      <c r="AH49" s="236"/>
    </row>
    <row r="50">
      <c r="A50" s="236"/>
      <c r="B50" s="236"/>
      <c r="C50" s="236"/>
      <c r="D50" s="236"/>
      <c r="E50" s="236"/>
      <c r="F50" s="236"/>
      <c r="G50" s="236"/>
      <c r="H50" s="236"/>
      <c r="I50" s="236"/>
      <c r="J50" s="236"/>
      <c r="K50" s="236"/>
      <c r="L50" s="236"/>
      <c r="M50" s="236"/>
      <c r="N50" s="236"/>
      <c r="O50" s="236"/>
      <c r="P50" s="236"/>
      <c r="Q50" s="236"/>
      <c r="R50" s="236"/>
      <c r="S50" s="236"/>
      <c r="T50" s="236"/>
      <c r="U50" s="236"/>
      <c r="V50" s="236"/>
      <c r="W50" s="236"/>
      <c r="X50" s="236"/>
      <c r="Y50" s="236"/>
      <c r="Z50" s="236"/>
      <c r="AA50" s="236"/>
      <c r="AB50" s="236"/>
      <c r="AC50" s="236"/>
      <c r="AD50" s="236"/>
      <c r="AE50" s="236"/>
      <c r="AF50" s="236"/>
      <c r="AG50" s="236"/>
      <c r="AH50" s="236"/>
    </row>
    <row r="51">
      <c r="A51" s="236"/>
      <c r="B51" s="236"/>
      <c r="C51" s="236"/>
      <c r="D51" s="236"/>
      <c r="E51" s="236"/>
      <c r="F51" s="236"/>
      <c r="G51" s="236"/>
      <c r="H51" s="236"/>
      <c r="I51" s="236"/>
      <c r="J51" s="236"/>
      <c r="K51" s="236"/>
      <c r="L51" s="236"/>
      <c r="M51" s="236"/>
      <c r="N51" s="236"/>
      <c r="O51" s="236"/>
      <c r="P51" s="236"/>
      <c r="Q51" s="236"/>
      <c r="R51" s="236"/>
      <c r="S51" s="236"/>
      <c r="T51" s="236"/>
      <c r="U51" s="236"/>
      <c r="V51" s="236"/>
      <c r="W51" s="236"/>
      <c r="X51" s="236"/>
      <c r="Y51" s="236"/>
      <c r="Z51" s="236"/>
      <c r="AA51" s="236"/>
      <c r="AB51" s="236"/>
      <c r="AC51" s="236"/>
      <c r="AD51" s="236"/>
      <c r="AE51" s="236"/>
      <c r="AF51" s="236"/>
      <c r="AG51" s="236"/>
      <c r="AH51" s="236"/>
    </row>
    <row r="52">
      <c r="A52" s="236"/>
      <c r="B52" s="236"/>
      <c r="C52" s="236"/>
      <c r="D52" s="236"/>
      <c r="E52" s="236"/>
      <c r="F52" s="236"/>
      <c r="G52" s="236"/>
      <c r="H52" s="236"/>
      <c r="I52" s="236"/>
      <c r="J52" s="236"/>
      <c r="K52" s="236"/>
      <c r="L52" s="236"/>
      <c r="M52" s="236"/>
      <c r="N52" s="236"/>
      <c r="O52" s="236"/>
      <c r="P52" s="236"/>
      <c r="Q52" s="236"/>
      <c r="R52" s="236"/>
      <c r="S52" s="236"/>
      <c r="T52" s="236"/>
      <c r="U52" s="236"/>
      <c r="V52" s="236"/>
      <c r="W52" s="236"/>
      <c r="X52" s="236"/>
      <c r="Y52" s="236"/>
      <c r="Z52" s="236"/>
      <c r="AA52" s="236"/>
      <c r="AB52" s="236"/>
      <c r="AC52" s="236"/>
      <c r="AD52" s="236"/>
      <c r="AE52" s="236"/>
      <c r="AF52" s="236"/>
      <c r="AG52" s="236"/>
      <c r="AH52" s="236"/>
    </row>
    <row r="53">
      <c r="A53" s="236"/>
      <c r="B53" s="236"/>
      <c r="C53" s="236"/>
      <c r="D53" s="236"/>
      <c r="E53" s="236"/>
      <c r="F53" s="236"/>
      <c r="G53" s="236"/>
      <c r="H53" s="236"/>
      <c r="I53" s="236"/>
      <c r="J53" s="236"/>
      <c r="K53" s="236"/>
      <c r="L53" s="236"/>
      <c r="M53" s="236"/>
      <c r="N53" s="236"/>
      <c r="O53" s="236"/>
      <c r="P53" s="236"/>
      <c r="Q53" s="236"/>
      <c r="R53" s="236"/>
      <c r="S53" s="236"/>
      <c r="T53" s="236"/>
      <c r="U53" s="236"/>
      <c r="V53" s="236"/>
      <c r="W53" s="236"/>
      <c r="X53" s="236"/>
      <c r="Y53" s="236"/>
      <c r="Z53" s="236"/>
      <c r="AA53" s="236"/>
      <c r="AB53" s="236"/>
      <c r="AC53" s="236"/>
      <c r="AD53" s="236"/>
      <c r="AE53" s="236"/>
      <c r="AF53" s="236"/>
      <c r="AG53" s="236"/>
      <c r="AH53" s="236"/>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c r="AD54" s="236"/>
      <c r="AE54" s="236"/>
      <c r="AF54" s="236"/>
      <c r="AG54" s="236"/>
      <c r="AH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c r="AD55" s="236"/>
      <c r="AE55" s="236"/>
      <c r="AF55" s="236"/>
      <c r="AG55" s="236"/>
      <c r="AH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c r="AD56" s="236"/>
      <c r="AE56" s="236"/>
      <c r="AF56" s="236"/>
      <c r="AG56" s="236"/>
      <c r="AH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c r="AD57" s="236"/>
      <c r="AE57" s="236"/>
      <c r="AF57" s="236"/>
      <c r="AG57" s="236"/>
      <c r="AH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c r="AD58" s="236"/>
      <c r="AE58" s="236"/>
      <c r="AF58" s="236"/>
      <c r="AG58" s="236"/>
      <c r="AH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c r="AD59" s="236"/>
      <c r="AE59" s="236"/>
      <c r="AF59" s="236"/>
      <c r="AG59" s="236"/>
      <c r="AH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c r="AD60" s="236"/>
      <c r="AE60" s="236"/>
      <c r="AF60" s="236"/>
      <c r="AG60" s="236"/>
      <c r="AH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c r="AD61" s="236"/>
      <c r="AE61" s="236"/>
      <c r="AF61" s="236"/>
      <c r="AG61" s="236"/>
      <c r="AH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c r="AD62" s="236"/>
      <c r="AE62" s="236"/>
      <c r="AF62" s="236"/>
      <c r="AG62" s="236"/>
      <c r="AH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c r="AD63" s="236"/>
      <c r="AE63" s="236"/>
      <c r="AF63" s="236"/>
      <c r="AG63" s="236"/>
      <c r="AH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c r="AD64" s="236"/>
      <c r="AE64" s="236"/>
      <c r="AF64" s="236"/>
      <c r="AG64" s="236"/>
      <c r="AH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sheetData>
  <mergeCells count="24">
    <mergeCell ref="U3:AG3"/>
    <mergeCell ref="AD6:AG6"/>
    <mergeCell ref="Q6:AB6"/>
    <mergeCell ref="Q7:S7"/>
    <mergeCell ref="AD7:AG7"/>
    <mergeCell ref="M7:O7"/>
    <mergeCell ref="T7:V7"/>
    <mergeCell ref="W7:Y7"/>
    <mergeCell ref="D6:O6"/>
    <mergeCell ref="Z7:AB7"/>
    <mergeCell ref="D7:F7"/>
    <mergeCell ref="G7:I7"/>
    <mergeCell ref="J7:L7"/>
    <mergeCell ref="B45:AG45"/>
    <mergeCell ref="B33:O33"/>
    <mergeCell ref="Q28:AB28"/>
    <mergeCell ref="B38:O38"/>
    <mergeCell ref="B28:O28"/>
    <mergeCell ref="Q33:AB33"/>
    <mergeCell ref="B8:C8"/>
    <mergeCell ref="AD38:AG38"/>
    <mergeCell ref="AD33:AG33"/>
    <mergeCell ref="AD28:AG28"/>
    <mergeCell ref="Q38:AB38"/>
  </mergeCells>
  <phoneticPr fontId="0" type="noConversion"/>
  <printOptions horizontalCentered="1" verticalCentered="1"/>
  <pageMargins left="0.25" right="0.25" top="0.25" bottom="0.25" header="0" footer="0"/>
  <pageSetup scale="59" fitToWidth="1" fitToHeight="1" orientation="landscape" r:id="rId1"/>
  <headerFooter alignWithMargins="0">
    <oddHeader/>
    <oddFooter/>
  </headerFooter>
  <rowBreaks count="1" manualBreakCount="1">
    <brk id="47" max="16383" man="1"/>
  </rowBreaks>
  <colBreaks count="1" manualBreakCount="1">
    <brk id="35" max="1048575" man="1"/>
  </colBreaks>
  <drawing r:id="rId129"/>
</worksheet>
</file>

<file path=xl/worksheets/sheet13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5">
    <pageSetUpPr fitToPage="1"/>
  </sheetPr>
  <dimension ref="A1:AW78"/>
  <sheetViews>
    <sheetView showGridLines="0" zoomScale="75" workbookViewId="0"/>
  </sheetViews>
  <sheetFormatPr defaultRowHeight="12.75"/>
  <cols>
    <col min="1" max="1" width="1.7109375" customWidth="1"/>
    <col min="2" max="2" width="6.7109375" customWidth="1"/>
    <col min="3" max="3" width="6.7109375" style="26"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8" width="9.140625" style="236" customWidth="1"/>
  </cols>
  <sheetData>
    <row r="1" ht="39.95" customHeight="1">
      <c r="B1" s="656" t="s">
        <v>199</v>
      </c>
      <c r="AD1" s="5"/>
      <c r="AG1" s="685"/>
      <c r="AI1" s="236"/>
    </row>
    <row r="2" ht="21" customHeight="1">
      <c r="B2" s="11" t="s">
        <v>208</v>
      </c>
    </row>
    <row r="3" ht="21" customHeight="1">
      <c r="B3" s="11" t="s">
        <v>209</v>
      </c>
      <c r="U3" s="1040" t="s">
        <v>301</v>
      </c>
      <c r="V3" s="1040"/>
      <c r="W3" s="1040"/>
      <c r="X3" s="1040"/>
      <c r="Y3" s="1040"/>
      <c r="Z3" s="1040"/>
      <c r="AA3" s="1040"/>
      <c r="AB3" s="1040"/>
      <c r="AC3" s="1040"/>
      <c r="AD3" s="1040"/>
      <c r="AE3" s="1040"/>
      <c r="AF3" s="1040"/>
      <c r="AG3" s="1040"/>
    </row>
    <row r="4" ht="21" customHeight="1">
      <c r="A4" s="4"/>
      <c r="B4" s="211" t="s">
        <v>210</v>
      </c>
      <c r="C4" s="5"/>
      <c r="D4" s="5"/>
      <c r="E4" s="5"/>
      <c r="F4" s="5"/>
      <c r="G4" s="5"/>
      <c r="H4" s="212"/>
      <c r="I4" s="212"/>
      <c r="J4" s="212"/>
      <c r="K4" s="212"/>
      <c r="L4" s="212"/>
      <c r="M4" s="212"/>
      <c r="N4" s="212"/>
      <c r="O4" s="212"/>
      <c r="P4" s="212"/>
      <c r="Q4" s="212"/>
      <c r="R4" s="212"/>
      <c r="S4" s="212"/>
      <c r="T4" s="212"/>
      <c r="U4" s="212"/>
      <c r="V4" s="212"/>
      <c r="W4" s="212"/>
      <c r="X4" s="4"/>
      <c r="Y4" s="4"/>
      <c r="AC4" s="212"/>
    </row>
    <row r="5" ht="24.95" customHeight="1"/>
    <row r="6" ht="24.95" customHeight="1">
      <c r="D6" s="960" t="s">
        <v>92</v>
      </c>
      <c r="E6" s="960"/>
      <c r="F6" s="960"/>
      <c r="G6" s="960"/>
      <c r="H6" s="960"/>
      <c r="I6" s="960"/>
      <c r="J6" s="960"/>
      <c r="K6" s="960"/>
      <c r="L6" s="960"/>
      <c r="M6" s="960"/>
      <c r="N6" s="960"/>
      <c r="O6" s="960"/>
      <c r="Q6" s="960" t="s">
        <v>70</v>
      </c>
      <c r="R6" s="960"/>
      <c r="S6" s="960"/>
      <c r="T6" s="960"/>
      <c r="U6" s="960"/>
      <c r="V6" s="960"/>
      <c r="W6" s="960"/>
      <c r="X6" s="960"/>
      <c r="Y6" s="960"/>
      <c r="Z6" s="960"/>
      <c r="AA6" s="960"/>
      <c r="AB6" s="960"/>
      <c r="AD6" s="960" t="s">
        <v>77</v>
      </c>
      <c r="AE6" s="960"/>
      <c r="AF6" s="960"/>
      <c r="AG6" s="960"/>
    </row>
    <row r="7" ht="24.95" customHeight="1">
      <c r="D7" s="283" t="s">
        <v>20</v>
      </c>
      <c r="E7" s="283"/>
      <c r="F7" s="283"/>
      <c r="G7" s="283" t="s">
        <v>18</v>
      </c>
      <c r="H7" s="283"/>
      <c r="I7" s="283"/>
      <c r="J7" s="283" t="s">
        <v>17</v>
      </c>
      <c r="K7" s="283"/>
      <c r="L7" s="283"/>
      <c r="M7" s="283" t="s">
        <v>103</v>
      </c>
      <c r="N7" s="283"/>
      <c r="O7" s="283"/>
      <c r="Q7" s="283" t="s">
        <v>20</v>
      </c>
      <c r="R7" s="283"/>
      <c r="S7" s="283"/>
      <c r="T7" s="283" t="s">
        <v>18</v>
      </c>
      <c r="U7" s="283"/>
      <c r="V7" s="283"/>
      <c r="W7" s="283" t="s">
        <v>17</v>
      </c>
      <c r="X7" s="283"/>
      <c r="Y7" s="283"/>
      <c r="Z7" s="283" t="s">
        <v>103</v>
      </c>
      <c r="AA7" s="283"/>
      <c r="AB7" s="283"/>
      <c r="AD7" s="283" t="s">
        <v>78</v>
      </c>
      <c r="AE7" s="283"/>
      <c r="AF7" s="283"/>
      <c r="AG7" s="283"/>
    </row>
    <row r="8" ht="30" customHeight="1">
      <c r="A8" s="57"/>
      <c r="B8" s="944"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c r="AC8" s="63"/>
      <c r="AD8" s="412" t="s">
        <v>20</v>
      </c>
      <c r="AE8" s="413" t="s">
        <v>18</v>
      </c>
      <c r="AF8" s="413" t="s">
        <v>17</v>
      </c>
      <c r="AG8" s="414" t="s">
        <v>12</v>
      </c>
    </row>
    <row r="9" ht="20.1" customHeight="1">
      <c r="A9" s="57"/>
      <c r="B9" s="284">
        <v>2021</v>
      </c>
      <c r="C9" s="285" t="s">
        <v>218</v>
      </c>
      <c r="D9" s="434">
        <v>232.34652981427174975562072336</v>
      </c>
      <c r="E9" s="435">
        <v>194.49294716152156318649554862</v>
      </c>
      <c r="F9" s="436">
        <v>150.3669840537057341258391521</v>
      </c>
      <c r="G9" s="434">
        <v>36.71969696969696969696969697</v>
      </c>
      <c r="H9" s="435">
        <v>46.909932909922590295986439149</v>
      </c>
      <c r="I9" s="436">
        <v>24.22658043639522648176189832</v>
      </c>
      <c r="J9" s="434">
        <v>22.252199413489736070381231672</v>
      </c>
      <c r="K9" s="435">
        <v>15.314362600869330227454982051</v>
      </c>
      <c r="L9" s="436">
        <v>14.601917669864297278661179711</v>
      </c>
      <c r="M9" s="434">
        <v>291.318426197458455522971652</v>
      </c>
      <c r="N9" s="435">
        <v>256.71724267231348370993696982</v>
      </c>
      <c r="O9" s="436">
        <v>189.19548215996525788626223013</v>
      </c>
      <c r="P9" s="5"/>
      <c r="Q9" s="415">
        <v>1191.5505202801207504013161454</v>
      </c>
      <c r="R9" s="416">
        <v>720.50859042908301143931776231</v>
      </c>
      <c r="S9" s="417">
        <v>451.21352836034635521662459549</v>
      </c>
      <c r="T9" s="415">
        <v>3003.8421813710765371236682563</v>
      </c>
      <c r="U9" s="416"/>
      <c r="V9" s="417">
        <v>416.16252801102491123922255706</v>
      </c>
      <c r="W9" s="415">
        <v>963.1173380029068344165307703</v>
      </c>
      <c r="X9" s="416"/>
      <c r="Y9" s="417">
        <v>159.32868093713284464484713557</v>
      </c>
      <c r="Z9" s="415">
        <v>1269.8862330486771850872017988</v>
      </c>
      <c r="AA9" s="416"/>
      <c r="AB9" s="417">
        <v>403.13239686203022949812206831</v>
      </c>
      <c r="AC9" s="5"/>
      <c r="AD9" s="427" t="s">
        <v>225</v>
      </c>
      <c r="AE9" s="428" t="s">
        <v>223</v>
      </c>
      <c r="AF9" s="428" t="s">
        <v>223</v>
      </c>
      <c r="AG9" s="429" t="s">
        <v>223</v>
      </c>
    </row>
    <row r="10" ht="20.1" customHeight="1">
      <c r="A10" s="58"/>
      <c r="B10" s="286"/>
      <c r="C10" s="287" t="s">
        <v>221</v>
      </c>
      <c r="D10" s="276">
        <v>131.2534213098729227761485826</v>
      </c>
      <c r="E10" s="94">
        <v>116.31760897213550699502832697</v>
      </c>
      <c r="F10" s="277">
        <v>97.65564468040086944813126359</v>
      </c>
      <c r="G10" s="276">
        <v>24.247067448680351906158357771</v>
      </c>
      <c r="H10" s="94">
        <v>47.223701896659800214094494791</v>
      </c>
      <c r="I10" s="277">
        <v>20.119373850174384297818640372</v>
      </c>
      <c r="J10" s="276">
        <v>15.847507331378299120234604106</v>
      </c>
      <c r="K10" s="94">
        <v>18.065603166311266071133576302</v>
      </c>
      <c r="L10" s="277">
        <v>12.009544611928743511640181339</v>
      </c>
      <c r="M10" s="276">
        <v>171.34799608993157380254154448</v>
      </c>
      <c r="N10" s="94">
        <v>181.60691403510657328025639806</v>
      </c>
      <c r="O10" s="277">
        <v>129.78456314250399725759008529</v>
      </c>
      <c r="P10" s="5"/>
      <c r="Q10" s="271">
        <v>366.16239204917050126020932647</v>
      </c>
      <c r="R10" s="92">
        <v>248.20292808074107292126647958</v>
      </c>
      <c r="S10" s="272">
        <v>198.46153221724371015780560113</v>
      </c>
      <c r="T10" s="271">
        <v>956.8704729309900703634946702</v>
      </c>
      <c r="U10" s="92"/>
      <c r="V10" s="272">
        <v>249.16099002827997979987636569</v>
      </c>
      <c r="W10" s="271">
        <v>148.22200956745492307228888512</v>
      </c>
      <c r="X10" s="92"/>
      <c r="Y10" s="272">
        <v>123.56221538760304635843779161</v>
      </c>
      <c r="Z10" s="271">
        <v>365.17966137669825758639040158</v>
      </c>
      <c r="AA10" s="92"/>
      <c r="AB10" s="272">
        <v>195.94838204102410312371258516</v>
      </c>
      <c r="AC10" s="5"/>
      <c r="AD10" s="271" t="s">
        <v>225</v>
      </c>
      <c r="AE10" s="92" t="s">
        <v>236</v>
      </c>
      <c r="AF10" s="92" t="s">
        <v>236</v>
      </c>
      <c r="AG10" s="272" t="s">
        <v>238</v>
      </c>
    </row>
    <row r="11" ht="20.1" customHeight="1">
      <c r="A11" s="58"/>
      <c r="B11" s="288"/>
      <c r="C11" s="289" t="s">
        <v>222</v>
      </c>
      <c r="D11" s="439">
        <v>108.17020202020202020202020202</v>
      </c>
      <c r="E11" s="95">
        <v>96.93777777777777777777777778</v>
      </c>
      <c r="F11" s="442">
        <v>85.53439475253428741800834824</v>
      </c>
      <c r="G11" s="439">
        <v>22.684343434343434343434343434</v>
      </c>
      <c r="H11" s="95">
        <v>37.871360849866758829263414777</v>
      </c>
      <c r="I11" s="442">
        <v>19.622528085557451255794260371</v>
      </c>
      <c r="J11" s="439">
        <v>13.93510101010101010101010101</v>
      </c>
      <c r="K11" s="95">
        <v>9.838111689690388264012175777</v>
      </c>
      <c r="L11" s="442">
        <v>12.670307938112470801343678559</v>
      </c>
      <c r="M11" s="439">
        <v>144.78964646464646464646464646</v>
      </c>
      <c r="N11" s="95">
        <v>144.64725031733492487105336833</v>
      </c>
      <c r="O11" s="442">
        <v>117.82723077620420947514628717</v>
      </c>
      <c r="P11" s="5"/>
      <c r="Q11" s="497">
        <v>103.09126338784837961539329120</v>
      </c>
      <c r="R11" s="216">
        <v>84.07643879695223462130536812</v>
      </c>
      <c r="S11" s="498">
        <v>138.93811182584476265641747863</v>
      </c>
      <c r="T11" s="497">
        <v>491.06461376170223532333313673</v>
      </c>
      <c r="U11" s="216"/>
      <c r="V11" s="498">
        <v>181.09273944139359441611228162</v>
      </c>
      <c r="W11" s="497">
        <v>22.384120647202853994828183390</v>
      </c>
      <c r="X11" s="216"/>
      <c r="Y11" s="498">
        <v>47.855964106422413137103037500</v>
      </c>
      <c r="Z11" s="497">
        <v>111.41461256248705681293762810</v>
      </c>
      <c r="AA11" s="216"/>
      <c r="AB11" s="498">
        <v>129.46853923692563254259635979</v>
      </c>
      <c r="AC11" s="5"/>
      <c r="AD11" s="420" t="s">
        <v>225</v>
      </c>
      <c r="AE11" s="91" t="s">
        <v>236</v>
      </c>
      <c r="AF11" s="91" t="s">
        <v>236</v>
      </c>
      <c r="AG11" s="421" t="s">
        <v>238</v>
      </c>
    </row>
    <row r="12" ht="20.1" customHeight="1">
      <c r="A12" s="58"/>
      <c r="B12" s="286"/>
      <c r="C12" s="287" t="s">
        <v>224</v>
      </c>
      <c r="D12" s="276">
        <v>135.83919843597262952101661779</v>
      </c>
      <c r="E12" s="94">
        <v>118.76523695107612085271714125</v>
      </c>
      <c r="F12" s="277">
        <v>105.20533506042942577842417632</v>
      </c>
      <c r="G12" s="276">
        <v>28.926441837732160312805474096</v>
      </c>
      <c r="H12" s="94">
        <v>35.249036648574827026318839206</v>
      </c>
      <c r="I12" s="277">
        <v>25.816095062770524649876830177</v>
      </c>
      <c r="J12" s="276">
        <v>16.814516129032258064516129032</v>
      </c>
      <c r="K12" s="94">
        <v>9.175112004878440997654892475</v>
      </c>
      <c r="L12" s="277">
        <v>11.877145757371496159067263802</v>
      </c>
      <c r="M12" s="276">
        <v>181.58015640273704789833822092</v>
      </c>
      <c r="N12" s="94">
        <v>163.18938560452938887669087293</v>
      </c>
      <c r="O12" s="277">
        <v>142.89857588057144658736827029</v>
      </c>
      <c r="P12" s="5"/>
      <c r="Q12" s="271">
        <v>115.29541176373315822828155812</v>
      </c>
      <c r="R12" s="92">
        <v>98.26139665604776981942451741</v>
      </c>
      <c r="S12" s="272">
        <v>134.48325989837705085625640024</v>
      </c>
      <c r="T12" s="271">
        <v>372.99500499883053702344708495</v>
      </c>
      <c r="U12" s="92"/>
      <c r="V12" s="272">
        <v>164.79584911599278946712688394</v>
      </c>
      <c r="W12" s="271">
        <v>31.964556282186816438640044220</v>
      </c>
      <c r="X12" s="92"/>
      <c r="Y12" s="272">
        <v>30.545704674336566395326390620</v>
      </c>
      <c r="Z12" s="271">
        <v>121.56996057809962781078959439</v>
      </c>
      <c r="AA12" s="92"/>
      <c r="AB12" s="272">
        <v>124.27989707230394873508405279</v>
      </c>
      <c r="AC12" s="5"/>
      <c r="AD12" s="271" t="s">
        <v>313</v>
      </c>
      <c r="AE12" s="92" t="s">
        <v>223</v>
      </c>
      <c r="AF12" s="92" t="s">
        <v>223</v>
      </c>
      <c r="AG12" s="272" t="s">
        <v>220</v>
      </c>
    </row>
    <row r="13" ht="20.1" customHeight="1">
      <c r="A13" s="58"/>
      <c r="B13" s="288"/>
      <c r="C13" s="289" t="s">
        <v>227</v>
      </c>
      <c r="D13" s="439">
        <v>196.46010101010101010101010101</v>
      </c>
      <c r="E13" s="95">
        <v>167.05113576333861595351294242</v>
      </c>
      <c r="F13" s="442">
        <v>139.32212046495244804508629799</v>
      </c>
      <c r="G13" s="439">
        <v>38.158838383838383838383838384</v>
      </c>
      <c r="H13" s="95">
        <v>39.003853593704987841056760761</v>
      </c>
      <c r="I13" s="442">
        <v>31.852107770760403482536239701</v>
      </c>
      <c r="J13" s="439">
        <v>17.574747474747474747474747475</v>
      </c>
      <c r="K13" s="95">
        <v>18.898640142955804961190521068</v>
      </c>
      <c r="L13" s="442">
        <v>13.736435097544769568863508203</v>
      </c>
      <c r="M13" s="439">
        <v>252.19368686868686868686868687</v>
      </c>
      <c r="N13" s="95">
        <v>224.95362949999940875576022425</v>
      </c>
      <c r="O13" s="442">
        <v>184.9106633332576210964860459</v>
      </c>
      <c r="P13" s="5"/>
      <c r="Q13" s="420">
        <v>199.93908551160459557406122292</v>
      </c>
      <c r="R13" s="91">
        <v>122.84496293181194681969929195</v>
      </c>
      <c r="S13" s="498">
        <v>193.71225252899554154277850490</v>
      </c>
      <c r="T13" s="420">
        <v>447.67496647648062037554790111</v>
      </c>
      <c r="U13" s="91"/>
      <c r="V13" s="498">
        <v>291.65541710971923761122680600</v>
      </c>
      <c r="W13" s="420">
        <v>42.550489533266920169235246160</v>
      </c>
      <c r="X13" s="91"/>
      <c r="Y13" s="498">
        <v>74.144398651399688519579601430</v>
      </c>
      <c r="Z13" s="420">
        <v>197.41150053757605355688118469</v>
      </c>
      <c r="AA13" s="91"/>
      <c r="AB13" s="498">
        <v>191.40189479450768632910306397</v>
      </c>
      <c r="AC13" s="5"/>
      <c r="AD13" s="420" t="s">
        <v>312</v>
      </c>
      <c r="AE13" s="91" t="s">
        <v>223</v>
      </c>
      <c r="AF13" s="91" t="s">
        <v>220</v>
      </c>
      <c r="AG13" s="421" t="s">
        <v>220</v>
      </c>
    </row>
    <row r="14" ht="20.1" customHeight="1">
      <c r="A14" s="58"/>
      <c r="B14" s="286"/>
      <c r="C14" s="287" t="s">
        <v>229</v>
      </c>
      <c r="D14" s="276">
        <v>315.4914467253176930596285435</v>
      </c>
      <c r="E14" s="94">
        <v>255.8030775522723787127447472</v>
      </c>
      <c r="F14" s="277">
        <v>198.45635965414348619092317437</v>
      </c>
      <c r="G14" s="276">
        <v>52.248533724340175953079178886</v>
      </c>
      <c r="H14" s="94">
        <v>55.690785463408383863902163616</v>
      </c>
      <c r="I14" s="277">
        <v>36.317567220150181495543413189</v>
      </c>
      <c r="J14" s="276">
        <v>21.871700879765395894428152493</v>
      </c>
      <c r="K14" s="94">
        <v>12.663524435691779012940766505</v>
      </c>
      <c r="L14" s="277">
        <v>15.368486533805099616188230825</v>
      </c>
      <c r="M14" s="276">
        <v>389.61168132942326490713587488</v>
      </c>
      <c r="N14" s="94">
        <v>324.15738745137254158958767732</v>
      </c>
      <c r="O14" s="277">
        <v>250.14241340809876730265481838</v>
      </c>
      <c r="P14" s="5"/>
      <c r="Q14" s="271">
        <v>166.42651653680275745749143577</v>
      </c>
      <c r="R14" s="92">
        <v>115.90316842936280909928418534</v>
      </c>
      <c r="S14" s="272">
        <v>178.37844677258443545282236254</v>
      </c>
      <c r="T14" s="271">
        <v>319.44793219667389215058157632</v>
      </c>
      <c r="U14" s="92"/>
      <c r="V14" s="272">
        <v>241.70286714115931675457812832</v>
      </c>
      <c r="W14" s="271">
        <v>37.085484093500888810361212500</v>
      </c>
      <c r="X14" s="92"/>
      <c r="Y14" s="272">
        <v>50.533879248854343575337989880</v>
      </c>
      <c r="Z14" s="271">
        <v>165.35384318356320342739081900</v>
      </c>
      <c r="AA14" s="92"/>
      <c r="AB14" s="272">
        <v>171.51658571158774712863741254</v>
      </c>
      <c r="AC14" s="5"/>
      <c r="AD14" s="271" t="s">
        <v>313</v>
      </c>
      <c r="AE14" s="92" t="s">
        <v>225</v>
      </c>
      <c r="AF14" s="92" t="s">
        <v>225</v>
      </c>
      <c r="AG14" s="272" t="s">
        <v>226</v>
      </c>
    </row>
    <row r="15" ht="20.1" customHeight="1">
      <c r="A15" s="58"/>
      <c r="B15" s="288">
        <v>2022</v>
      </c>
      <c r="C15" s="289" t="s">
        <v>230</v>
      </c>
      <c r="D15" s="439">
        <v>250.49266862170087976539589443</v>
      </c>
      <c r="E15" s="95">
        <v>200.39785798272071979960124738</v>
      </c>
      <c r="F15" s="442">
        <v>160.15460900356387890443157276</v>
      </c>
      <c r="G15" s="439">
        <v>44.331867057673509286412512219</v>
      </c>
      <c r="H15" s="95">
        <v>45.513210274998768311872257114</v>
      </c>
      <c r="I15" s="442">
        <v>29.857462172409039166076085914</v>
      </c>
      <c r="J15" s="439">
        <v>20.578445747800586510263929619</v>
      </c>
      <c r="K15" s="95">
        <v>16.707486641146017449707925913</v>
      </c>
      <c r="L15" s="442">
        <v>15.891707858024421059492182441</v>
      </c>
      <c r="M15" s="439">
        <v>315.40298142717497556207233627</v>
      </c>
      <c r="N15" s="95">
        <v>262.61855489886550556118143041</v>
      </c>
      <c r="O15" s="442">
        <v>205.90377903399733912999984112</v>
      </c>
      <c r="P15" s="5"/>
      <c r="Q15" s="420">
        <v>75.000426823618269348541443790</v>
      </c>
      <c r="R15" s="91">
        <v>87.11162383909695597469606873</v>
      </c>
      <c r="S15" s="498">
        <v>101.13581470712041369404969461</v>
      </c>
      <c r="T15" s="420">
        <v>177.42586673667418279340359799</v>
      </c>
      <c r="U15" s="91">
        <v>2.9571563753462042305704986200</v>
      </c>
      <c r="V15" s="498">
        <v>144.13613546754950225431905741</v>
      </c>
      <c r="W15" s="420">
        <v>1.8333313178901919981026392500</v>
      </c>
      <c r="X15" s="91">
        <v>-20.598473105251652973180653790</v>
      </c>
      <c r="Y15" s="498">
        <v>39.611031496506912485410737470</v>
      </c>
      <c r="Z15" s="420">
        <v>75.882458755937737351800392050</v>
      </c>
      <c r="AA15" s="91">
        <v>52.376519795347918659777842270</v>
      </c>
      <c r="AB15" s="498">
        <v>99.44612351856586833131555476</v>
      </c>
      <c r="AC15" s="5"/>
      <c r="AD15" s="420" t="s">
        <v>312</v>
      </c>
      <c r="AE15" s="91" t="s">
        <v>223</v>
      </c>
      <c r="AF15" s="91" t="s">
        <v>223</v>
      </c>
      <c r="AG15" s="421" t="s">
        <v>220</v>
      </c>
    </row>
    <row r="16" ht="20.1" customHeight="1">
      <c r="A16" s="58"/>
      <c r="B16" s="286"/>
      <c r="C16" s="287" t="s">
        <v>231</v>
      </c>
      <c r="D16" s="276">
        <v>347.82819264069264069264069264</v>
      </c>
      <c r="E16" s="94">
        <v>302.72839088241931843827578425</v>
      </c>
      <c r="F16" s="277">
        <v>239.45049162048925530477091499</v>
      </c>
      <c r="G16" s="276">
        <v>74.373106060606060606060606061</v>
      </c>
      <c r="H16" s="94">
        <v>57.278153915594673888512751072</v>
      </c>
      <c r="I16" s="277">
        <v>42.494202723935537856505141109</v>
      </c>
      <c r="J16" s="276">
        <v>21.734307359307359307359307359</v>
      </c>
      <c r="K16" s="94">
        <v>16.898837734145791017828932521</v>
      </c>
      <c r="L16" s="277">
        <v>18.479803934248797088687179396</v>
      </c>
      <c r="M16" s="276">
        <v>443.93560606060606060606060606</v>
      </c>
      <c r="N16" s="94">
        <v>376.90538253215978334461746784</v>
      </c>
      <c r="O16" s="277">
        <v>300.42449827867359024996323549</v>
      </c>
      <c r="P16" s="5"/>
      <c r="Q16" s="271">
        <v>87.43191308197637322132585219</v>
      </c>
      <c r="R16" s="92">
        <v>92.12597662430101675181104559</v>
      </c>
      <c r="S16" s="272">
        <v>106.99588368026483219268363383</v>
      </c>
      <c r="T16" s="271">
        <v>139.99074551017906887767129831</v>
      </c>
      <c r="U16" s="92">
        <v>-8.875818881026226416310548930</v>
      </c>
      <c r="V16" s="272">
        <v>147.88834944835941531150770256</v>
      </c>
      <c r="W16" s="271">
        <v>30.021689165199713974231179150</v>
      </c>
      <c r="X16" s="92">
        <v>5.5463856149358053943239634600</v>
      </c>
      <c r="Y16" s="272">
        <v>34.847236225443921281456659760</v>
      </c>
      <c r="Z16" s="271">
        <v>90.30026362514070602020667499</v>
      </c>
      <c r="AA16" s="92">
        <v>59.411355323697856631187871110</v>
      </c>
      <c r="AB16" s="272">
        <v>105.03209679081737720010862167</v>
      </c>
      <c r="AC16" s="5"/>
      <c r="AD16" s="271" t="s">
        <v>313</v>
      </c>
      <c r="AE16" s="92" t="s">
        <v>312</v>
      </c>
      <c r="AF16" s="92" t="s">
        <v>312</v>
      </c>
      <c r="AG16" s="272" t="s">
        <v>313</v>
      </c>
    </row>
    <row r="17" ht="20.1" customHeight="1">
      <c r="A17" s="58"/>
      <c r="B17" s="288"/>
      <c r="C17" s="289" t="s">
        <v>232</v>
      </c>
      <c r="D17" s="439">
        <v>316.2739491691104594330400782</v>
      </c>
      <c r="E17" s="95">
        <v>316.32864495744789277888192427</v>
      </c>
      <c r="F17" s="442">
        <v>250.6775223791753474209574395</v>
      </c>
      <c r="G17" s="439">
        <v>75.084799608993157380254154448</v>
      </c>
      <c r="H17" s="95">
        <v>65.348366712531213372063394996</v>
      </c>
      <c r="I17" s="442">
        <v>47.341508865882055522396526241</v>
      </c>
      <c r="J17" s="439">
        <v>21.237781036168132942326490714</v>
      </c>
      <c r="K17" s="95">
        <v>9.75452275391122662182133211</v>
      </c>
      <c r="L17" s="442">
        <v>16.61369348320048401702389471</v>
      </c>
      <c r="M17" s="439">
        <v>412.59652981427174975562072336</v>
      </c>
      <c r="N17" s="95">
        <v>391.43153442389033277276665138</v>
      </c>
      <c r="O17" s="442">
        <v>314.63272472825788696037786045</v>
      </c>
      <c r="P17" s="5"/>
      <c r="Q17" s="420">
        <v>49.361269958515153617240792630</v>
      </c>
      <c r="R17" s="91">
        <v>48.472214584828088289740549600</v>
      </c>
      <c r="S17" s="498">
        <v>76.865537608195404066443804130</v>
      </c>
      <c r="T17" s="420">
        <v>115.27051833608628809948991025</v>
      </c>
      <c r="U17" s="91"/>
      <c r="V17" s="498">
        <v>152.04981283621937457709674419</v>
      </c>
      <c r="W17" s="420">
        <v>7.8199052133958843588255776900</v>
      </c>
      <c r="X17" s="91"/>
      <c r="Y17" s="498">
        <v>23.388980272993957874469012940</v>
      </c>
      <c r="Z17" s="420">
        <v>54.920614821057749839854610900</v>
      </c>
      <c r="AA17" s="91"/>
      <c r="AB17" s="498">
        <v>80.84369524939533743839870681</v>
      </c>
      <c r="AC17" s="5"/>
      <c r="AD17" s="420" t="s">
        <v>311</v>
      </c>
      <c r="AE17" s="91" t="s">
        <v>312</v>
      </c>
      <c r="AF17" s="91" t="s">
        <v>312</v>
      </c>
      <c r="AG17" s="421" t="s">
        <v>313</v>
      </c>
    </row>
    <row r="18" ht="20.1" customHeight="1">
      <c r="A18" s="58"/>
      <c r="B18" s="286"/>
      <c r="C18" s="287" t="s">
        <v>233</v>
      </c>
      <c r="D18" s="276">
        <v>322.15277777777777777777777778</v>
      </c>
      <c r="E18" s="94">
        <v>308.62938388625592417061611374</v>
      </c>
      <c r="F18" s="277">
        <v>226.22490339878558473306521568</v>
      </c>
      <c r="G18" s="276">
        <v>70.237373737373737373737373737</v>
      </c>
      <c r="H18" s="94">
        <v>75.947901482592630908054107994</v>
      </c>
      <c r="I18" s="277">
        <v>44.937009550844973440000810606</v>
      </c>
      <c r="J18" s="276">
        <v>21.664141414141414141414141414</v>
      </c>
      <c r="K18" s="94">
        <v>16.430320721779417776703376745</v>
      </c>
      <c r="L18" s="277">
        <v>16.532318669861080076817315696</v>
      </c>
      <c r="M18" s="276">
        <v>414.05429292929292929292929293</v>
      </c>
      <c r="N18" s="94">
        <v>401.00760609062797285537359848</v>
      </c>
      <c r="O18" s="277">
        <v>287.69423161949163824988334198</v>
      </c>
      <c r="P18" s="5"/>
      <c r="Q18" s="271">
        <v>48.577494741631318605552856180</v>
      </c>
      <c r="R18" s="92">
        <v>52.261974947536136724011247160</v>
      </c>
      <c r="S18" s="272">
        <v>55.007002557277757761375303080</v>
      </c>
      <c r="T18" s="271">
        <v>76.501570580920467999755119740</v>
      </c>
      <c r="U18" s="92">
        <v>37.357500632409093262079170530</v>
      </c>
      <c r="V18" s="272">
        <v>98.02218071408673496674831290</v>
      </c>
      <c r="W18" s="271">
        <v>1.8170165799520727952859066400</v>
      </c>
      <c r="X18" s="92">
        <v>0.4944364920561823863960545100</v>
      </c>
      <c r="Y18" s="272">
        <v>24.145610899435367533090481190</v>
      </c>
      <c r="Z18" s="271">
        <v>48.995883576998137683261897430</v>
      </c>
      <c r="AA18" s="92">
        <v>46.172868599405360285728155440</v>
      </c>
      <c r="AB18" s="272">
        <v>58.113063302129426146094565970</v>
      </c>
      <c r="AC18" s="5"/>
      <c r="AD18" s="271" t="s">
        <v>313</v>
      </c>
      <c r="AE18" s="92" t="s">
        <v>225</v>
      </c>
      <c r="AF18" s="92" t="s">
        <v>225</v>
      </c>
      <c r="AG18" s="272" t="s">
        <v>226</v>
      </c>
    </row>
    <row r="19" ht="20.1" customHeight="1">
      <c r="A19" s="58"/>
      <c r="B19" s="288"/>
      <c r="C19" s="289" t="s">
        <v>234</v>
      </c>
      <c r="D19" s="439">
        <v>276.73240469208211143695014663</v>
      </c>
      <c r="E19" s="95">
        <v>243.37349029200428069102583703</v>
      </c>
      <c r="F19" s="442">
        <v>185.50528758368837492391965916</v>
      </c>
      <c r="G19" s="439">
        <v>60.974095796676441837732160313</v>
      </c>
      <c r="H19" s="95">
        <v>56.238431512041161073004798104</v>
      </c>
      <c r="I19" s="442">
        <v>42.259140338432496738400375548</v>
      </c>
      <c r="J19" s="439">
        <v>19.717497556207233626588465298</v>
      </c>
      <c r="K19" s="95">
        <v>10.80792244962275781013224196</v>
      </c>
      <c r="L19" s="442">
        <v>16.273231064000654552147145555</v>
      </c>
      <c r="M19" s="439">
        <v>357.42399804496578690127077224</v>
      </c>
      <c r="N19" s="95">
        <v>310.41984425366819957416287709</v>
      </c>
      <c r="O19" s="442">
        <v>244.03765898612152621446718026</v>
      </c>
      <c r="P19" s="5"/>
      <c r="Q19" s="420">
        <v>11.287146032878493029340349550</v>
      </c>
      <c r="R19" s="91">
        <v>3.1046856002279718550569580800</v>
      </c>
      <c r="S19" s="498">
        <v>13.220507956712946817610200570</v>
      </c>
      <c r="T19" s="420">
        <v>74.040359651538263325671813940</v>
      </c>
      <c r="U19" s="91">
        <v>-4.5681505498195151189858682600</v>
      </c>
      <c r="V19" s="498">
        <v>67.419833156635620467326015480</v>
      </c>
      <c r="W19" s="420">
        <v>-5.2559887269381597174800997800</v>
      </c>
      <c r="X19" s="91">
        <v>-37.297196034978996332632613320</v>
      </c>
      <c r="Y19" s="498">
        <v>11.466395112200458735208433390</v>
      </c>
      <c r="Z19" s="420">
        <v>17.376384264327276136800467710</v>
      </c>
      <c r="AA19" s="91">
        <v>-0.5740962275611614984530118100</v>
      </c>
      <c r="AB19" s="498">
        <v>19.811370657782621322649647800</v>
      </c>
      <c r="AC19" s="5"/>
      <c r="AD19" s="420" t="s">
        <v>312</v>
      </c>
      <c r="AE19" s="91" t="s">
        <v>225</v>
      </c>
      <c r="AF19" s="91" t="s">
        <v>225</v>
      </c>
      <c r="AG19" s="421" t="s">
        <v>226</v>
      </c>
    </row>
    <row r="20" ht="20.1" customHeight="1">
      <c r="A20" s="58"/>
      <c r="B20" s="286"/>
      <c r="C20" s="287" t="s">
        <v>235</v>
      </c>
      <c r="D20" s="276">
        <v>172.30934343434343434343434343</v>
      </c>
      <c r="E20" s="94">
        <v>168.49942074776197998946814113</v>
      </c>
      <c r="F20" s="277">
        <v>136.23341588050314465408805031</v>
      </c>
      <c r="G20" s="276">
        <v>44.81489898989898989898989899</v>
      </c>
      <c r="H20" s="94">
        <v>71.490523854318272559097449537</v>
      </c>
      <c r="I20" s="277">
        <v>35.816953275573426908100794076</v>
      </c>
      <c r="J20" s="276">
        <v>17.370959595959595959595959596</v>
      </c>
      <c r="K20" s="94">
        <v>16.308732668191015845926362822</v>
      </c>
      <c r="L20" s="277">
        <v>16.616267135182746507870496918</v>
      </c>
      <c r="M20" s="276">
        <v>234.49520202020202020202020202</v>
      </c>
      <c r="N20" s="94">
        <v>256.29867727027126839449195349</v>
      </c>
      <c r="O20" s="277">
        <v>188.66663629125931807005934131</v>
      </c>
      <c r="P20" s="5"/>
      <c r="Q20" s="271">
        <v>-18.180520981732806616930937140</v>
      </c>
      <c r="R20" s="92">
        <v>-17.065061077215393479582843440</v>
      </c>
      <c r="S20" s="272">
        <v>-6.7670663125032874701336255900</v>
      </c>
      <c r="T20" s="271">
        <v>28.821445681623055904214341580</v>
      </c>
      <c r="U20" s="92">
        <v>53.150466444714050948343784320</v>
      </c>
      <c r="V20" s="272">
        <v>40.093827437181786397751508140</v>
      </c>
      <c r="W20" s="271">
        <v>-31.102831445427194316663002070</v>
      </c>
      <c r="X20" s="92">
        <v>-0.134601846922162154024846600</v>
      </c>
      <c r="Y20" s="272">
        <v>18.651063018419772604009971330</v>
      </c>
      <c r="Z20" s="271">
        <v>-13.341931317524963644159772440</v>
      </c>
      <c r="AA20" s="92">
        <v>-3.712722753592116291306751200</v>
      </c>
      <c r="AB20" s="272">
        <v>1.6017684739658687390467765500</v>
      </c>
      <c r="AC20" s="5"/>
      <c r="AD20" s="271" t="s">
        <v>313</v>
      </c>
      <c r="AE20" s="92" t="s">
        <v>223</v>
      </c>
      <c r="AF20" s="92" t="s">
        <v>223</v>
      </c>
      <c r="AG20" s="272" t="s">
        <v>223</v>
      </c>
    </row>
    <row r="21" ht="20.1" customHeight="1">
      <c r="A21" s="58"/>
      <c r="B21" s="288"/>
      <c r="C21" s="289" t="s">
        <v>218</v>
      </c>
      <c r="D21" s="439">
        <v>195.20136852394916911045943304</v>
      </c>
      <c r="E21" s="95">
        <v>172.78540488202619375222952658</v>
      </c>
      <c r="F21" s="442">
        <v>136.76466828971393791844187462</v>
      </c>
      <c r="G21" s="439">
        <v>48.859481915933528836754643206</v>
      </c>
      <c r="H21" s="95">
        <v>72.2112915687920529022524353</v>
      </c>
      <c r="I21" s="442">
        <v>26.852768727592381480295331858</v>
      </c>
      <c r="J21" s="439">
        <v>22.281280547409579667644183773</v>
      </c>
      <c r="K21" s="95">
        <v>23.026444680035682392068585311</v>
      </c>
      <c r="L21" s="442">
        <v>14.901650970310852094775412976</v>
      </c>
      <c r="M21" s="439">
        <v>266.34213098729227761485826002</v>
      </c>
      <c r="N21" s="95">
        <v>268.02314113085392904655054719</v>
      </c>
      <c r="O21" s="442">
        <v>178.51908798761717149351261945</v>
      </c>
      <c r="P21" s="5"/>
      <c r="Q21" s="420">
        <v>-15.986966243928251136143642570</v>
      </c>
      <c r="R21" s="91">
        <v>-11.161094834687572547168018260</v>
      </c>
      <c r="S21" s="498">
        <v>-9.046078731703708177476801750</v>
      </c>
      <c r="T21" s="420">
        <v>33.060689352232175855048565600</v>
      </c>
      <c r="U21" s="91">
        <v>53.936036761102221194827834430</v>
      </c>
      <c r="V21" s="498">
        <v>10.840111331793986721800492700</v>
      </c>
      <c r="W21" s="420">
        <v>0.1306888068418831386192303700</v>
      </c>
      <c r="X21" s="91">
        <v>50.358492090832797463285152550</v>
      </c>
      <c r="Y21" s="498">
        <v>2.0526981947632416213327151100</v>
      </c>
      <c r="Z21" s="420">
        <v>-8.573537738829807267650440560</v>
      </c>
      <c r="AA21" s="91">
        <v>4.4040276924390029362667936600</v>
      </c>
      <c r="AB21" s="498">
        <v>-5.6430492158126427993598452200</v>
      </c>
      <c r="AC21" s="5"/>
      <c r="AD21" s="420" t="s">
        <v>312</v>
      </c>
      <c r="AE21" s="91" t="s">
        <v>236</v>
      </c>
      <c r="AF21" s="91" t="s">
        <v>236</v>
      </c>
      <c r="AG21" s="421" t="s">
        <v>236</v>
      </c>
    </row>
    <row r="22" ht="20.1" customHeight="1">
      <c r="A22" s="58"/>
      <c r="B22" s="286"/>
      <c r="C22" s="287" t="s">
        <v>221</v>
      </c>
      <c r="D22" s="276">
        <v>153.45527859237536656891495601</v>
      </c>
      <c r="E22" s="94">
        <v>144.16057687407633898996076033</v>
      </c>
      <c r="F22" s="277">
        <v>118.66760879488740109555690809</v>
      </c>
      <c r="G22" s="276">
        <v>35.142717497556207233626588465</v>
      </c>
      <c r="H22" s="94">
        <v>60.082657109282177319925481496</v>
      </c>
      <c r="I22" s="277">
        <v>26.059494000946788166677862533</v>
      </c>
      <c r="J22" s="276">
        <v>20.532746823069403714565004888</v>
      </c>
      <c r="K22" s="94">
        <v>27.389750110376241790939229362</v>
      </c>
      <c r="L22" s="277">
        <v>14.955209588785966668780045545</v>
      </c>
      <c r="M22" s="276">
        <v>209.13074291300097751710654936</v>
      </c>
      <c r="N22" s="94">
        <v>231.63298409373475810082547119</v>
      </c>
      <c r="O22" s="277">
        <v>159.68231238462015593101481617</v>
      </c>
      <c r="P22" s="5"/>
      <c r="Q22" s="271">
        <v>16.915259854487888951753103750</v>
      </c>
      <c r="R22" s="92">
        <v>23.937018778175510149174169890</v>
      </c>
      <c r="S22" s="272">
        <v>21.516384621957866693046008800</v>
      </c>
      <c r="T22" s="271">
        <v>44.935949767568178974175183360</v>
      </c>
      <c r="U22" s="92">
        <v>27.229875456842918979211364670</v>
      </c>
      <c r="V22" s="272">
        <v>29.524378815038219537074639600</v>
      </c>
      <c r="W22" s="271">
        <v>29.564520108384139381544156930</v>
      </c>
      <c r="X22" s="92">
        <v>51.612707631427021837444850560</v>
      </c>
      <c r="Y22" s="272">
        <v>24.527699193249762899280325420</v>
      </c>
      <c r="Z22" s="271">
        <v>22.050299790653961313506484280</v>
      </c>
      <c r="AA22" s="92">
        <v>27.546346637973260440346922460</v>
      </c>
      <c r="AB22" s="272">
        <v>23.036444796052687788947392820</v>
      </c>
      <c r="AC22" s="5"/>
      <c r="AD22" s="271" t="s">
        <v>313</v>
      </c>
      <c r="AE22" s="92" t="s">
        <v>236</v>
      </c>
      <c r="AF22" s="92" t="s">
        <v>236</v>
      </c>
      <c r="AG22" s="272" t="s">
        <v>236</v>
      </c>
    </row>
    <row r="23" ht="20.1" customHeight="1">
      <c r="A23" s="58"/>
      <c r="B23" s="288"/>
      <c r="C23" s="289" t="s">
        <v>222</v>
      </c>
      <c r="D23" s="439">
        <v>124.77272727272727272727272727</v>
      </c>
      <c r="E23" s="95">
        <v>129.68809899947340705634544497</v>
      </c>
      <c r="F23" s="442">
        <v>113.97972484276729559748427673</v>
      </c>
      <c r="G23" s="439">
        <v>29.206565656565656565656565657</v>
      </c>
      <c r="H23" s="95">
        <v>64.000049243496697050836813997</v>
      </c>
      <c r="I23" s="442">
        <v>35.323770343409047237937826659</v>
      </c>
      <c r="J23" s="439">
        <v>17.891161616161616161616161616</v>
      </c>
      <c r="K23" s="95">
        <v>21.265222037653387782990116247</v>
      </c>
      <c r="L23" s="442">
        <v>17.048372049037951329968738798</v>
      </c>
      <c r="M23" s="439">
        <v>171.87045454545454545454545455</v>
      </c>
      <c r="N23" s="95">
        <v>214.95337028062349189017237521</v>
      </c>
      <c r="O23" s="442">
        <v>166.35186723521429416539084219</v>
      </c>
      <c r="P23" s="5"/>
      <c r="Q23" s="420">
        <v>15.348520149224526415444220890</v>
      </c>
      <c r="R23" s="91">
        <v>33.784889619342658948222263930</v>
      </c>
      <c r="S23" s="498">
        <v>33.256013762154896470382055660</v>
      </c>
      <c r="T23" s="420">
        <v>28.752087276212238216759529170</v>
      </c>
      <c r="U23" s="91">
        <v>68.993265114384423595254033290</v>
      </c>
      <c r="V23" s="498">
        <v>80.01640863661910149901111506</v>
      </c>
      <c r="W23" s="420">
        <v>28.389177826513845871215882710</v>
      </c>
      <c r="X23" s="91">
        <v>116.15145983671834246578137064</v>
      </c>
      <c r="Y23" s="498">
        <v>34.553730914250156869821837800</v>
      </c>
      <c r="Z23" s="420">
        <v>18.703552872805448262157738770</v>
      </c>
      <c r="AA23" s="91">
        <v>48.605223956279235365275427910</v>
      </c>
      <c r="AB23" s="498">
        <v>41.182871004735365014211858290</v>
      </c>
      <c r="AC23" s="5"/>
      <c r="AD23" s="420" t="s">
        <v>313</v>
      </c>
      <c r="AE23" s="91" t="s">
        <v>236</v>
      </c>
      <c r="AF23" s="91" t="s">
        <v>236</v>
      </c>
      <c r="AG23" s="421" t="s">
        <v>236</v>
      </c>
    </row>
    <row r="24" ht="20.1" customHeight="1">
      <c r="A24" s="59"/>
      <c r="B24" s="286"/>
      <c r="C24" s="287" t="s">
        <v>224</v>
      </c>
      <c r="D24" s="276">
        <v>157.51832844574780058651026393</v>
      </c>
      <c r="E24" s="94">
        <v>173.1312745247923355246394537</v>
      </c>
      <c r="F24" s="277">
        <v>142.24964142910948871785702057</v>
      </c>
      <c r="G24" s="276">
        <v>34.369257086999022482893450635</v>
      </c>
      <c r="H24" s="94">
        <v>85.39266951129500002734047043</v>
      </c>
      <c r="I24" s="277">
        <v>41.382725269148408877269832288</v>
      </c>
      <c r="J24" s="276">
        <v>17.503665689149560117302052786</v>
      </c>
      <c r="K24" s="94">
        <v>14.735021603752176595145281911</v>
      </c>
      <c r="L24" s="277">
        <v>13.692713128695596715573517902</v>
      </c>
      <c r="M24" s="276">
        <v>209.39125122189638318670576735</v>
      </c>
      <c r="N24" s="94">
        <v>273.25896563983951214712520604</v>
      </c>
      <c r="O24" s="277">
        <v>197.32507982695349431070037076</v>
      </c>
      <c r="P24" s="93"/>
      <c r="Q24" s="271">
        <v>15.959406606747477838533219660</v>
      </c>
      <c r="R24" s="92">
        <v>45.776052799083645447018605560</v>
      </c>
      <c r="S24" s="272">
        <v>35.211433286574091525649596850</v>
      </c>
      <c r="T24" s="271">
        <v>18.816055150638574880311438460</v>
      </c>
      <c r="U24" s="92">
        <v>142.25532845785325774498979404</v>
      </c>
      <c r="V24" s="272">
        <v>60.298159611208297155053936990</v>
      </c>
      <c r="W24" s="271">
        <v>4.0985393505376209170012494100</v>
      </c>
      <c r="X24" s="92">
        <v>60.597729988286658797399264770</v>
      </c>
      <c r="Y24" s="272">
        <v>15.286226239704231749748501260</v>
      </c>
      <c r="Z24" s="271">
        <v>15.316153135983777053313632550</v>
      </c>
      <c r="AA24" s="92">
        <v>67.448982436946136732965694730</v>
      </c>
      <c r="AB24" s="272">
        <v>38.087506198683167221993921360</v>
      </c>
      <c r="AC24" s="93"/>
      <c r="AD24" s="271" t="s">
        <v>311</v>
      </c>
      <c r="AE24" s="92" t="s">
        <v>236</v>
      </c>
      <c r="AF24" s="92" t="s">
        <v>237</v>
      </c>
      <c r="AG24" s="272" t="s">
        <v>236</v>
      </c>
    </row>
    <row r="25" ht="20.1" customHeight="1">
      <c r="A25" s="60"/>
      <c r="B25" s="288"/>
      <c r="C25" s="289" t="s">
        <v>227</v>
      </c>
      <c r="D25" s="439">
        <v>227.3479797979797979797979798</v>
      </c>
      <c r="E25" s="95">
        <v>235.09257503949447077409162717</v>
      </c>
      <c r="F25" s="442">
        <v>167.69295907536266069111923576</v>
      </c>
      <c r="G25" s="439">
        <v>51.223989898989898989898989899</v>
      </c>
      <c r="H25" s="95">
        <v>86.84954346838427987722603952</v>
      </c>
      <c r="I25" s="442">
        <v>51.373833106763557139583303644</v>
      </c>
      <c r="J25" s="439">
        <v>21.487373737373737373737373737</v>
      </c>
      <c r="K25" s="95">
        <v>20.195209034720860380302673796</v>
      </c>
      <c r="L25" s="442">
        <v>16.022439411978219628003304683</v>
      </c>
      <c r="M25" s="439">
        <v>300.05934343434343434343434343</v>
      </c>
      <c r="N25" s="95">
        <v>342.13732754259961103162034049</v>
      </c>
      <c r="O25" s="442">
        <v>235.08923159410443745870584409</v>
      </c>
      <c r="P25" s="93"/>
      <c r="Q25" s="420">
        <v>15.722214652781764730878877820</v>
      </c>
      <c r="R25" s="91">
        <v>40.730904920397861120006609500</v>
      </c>
      <c r="S25" s="498">
        <v>20.363484646711130353107230650</v>
      </c>
      <c r="T25" s="420">
        <v>34.238860690100551964640724800</v>
      </c>
      <c r="U25" s="91">
        <v>122.66913514005302130210379997</v>
      </c>
      <c r="V25" s="498">
        <v>61.288645248964784529207893510</v>
      </c>
      <c r="W25" s="420">
        <v>22.262773722958006228230302100</v>
      </c>
      <c r="X25" s="91">
        <v>6.860646490488923535786242500</v>
      </c>
      <c r="Y25" s="498">
        <v>16.641903800020627062139436450</v>
      </c>
      <c r="Z25" s="420">
        <v>18.979720372843356381469481570</v>
      </c>
      <c r="AA25" s="91">
        <v>52.092379350829549976929952350</v>
      </c>
      <c r="AB25" s="498">
        <v>27.136654726265281551699190370</v>
      </c>
      <c r="AC25" s="93"/>
      <c r="AD25" s="420" t="s">
        <v>313</v>
      </c>
      <c r="AE25" s="91" t="s">
        <v>236</v>
      </c>
      <c r="AF25" s="91" t="s">
        <v>236</v>
      </c>
      <c r="AG25" s="421" t="s">
        <v>236</v>
      </c>
    </row>
    <row r="26" ht="20.1" customHeight="1">
      <c r="A26" s="60"/>
      <c r="B26" s="290"/>
      <c r="C26" s="291" t="s">
        <v>229</v>
      </c>
      <c r="D26" s="443">
        <v>276.05425219941348973607038123</v>
      </c>
      <c r="E26" s="444">
        <v>260.49110737399989807878509912</v>
      </c>
      <c r="F26" s="445">
        <v>188.63697788464099159593530887</v>
      </c>
      <c r="G26" s="443">
        <v>46.165689149560117302052785924</v>
      </c>
      <c r="H26" s="444">
        <v>91.27939459376337811478168872</v>
      </c>
      <c r="I26" s="445">
        <v>46.872501271234663210306027605</v>
      </c>
      <c r="J26" s="443">
        <v>22.559872922776148582600195503</v>
      </c>
      <c r="K26" s="444">
        <v>31.384491877443461411839173606</v>
      </c>
      <c r="L26" s="445">
        <v>19.33828331114974322616794263</v>
      </c>
      <c r="M26" s="443">
        <v>344.77981427174975562072336266</v>
      </c>
      <c r="N26" s="444">
        <v>383.15499384520673760540596145</v>
      </c>
      <c r="O26" s="445">
        <v>254.8477624670253980324092791</v>
      </c>
      <c r="P26" s="453"/>
      <c r="Q26" s="273">
        <v>-12.500242062100870585097259470</v>
      </c>
      <c r="R26" s="274">
        <v>1.8326713918214728831252895300</v>
      </c>
      <c r="S26" s="275">
        <v>-4.9478796177526001191752861600</v>
      </c>
      <c r="T26" s="273">
        <v>-11.642134508189737030758258350</v>
      </c>
      <c r="U26" s="274">
        <v>63.903945391023838455100285120</v>
      </c>
      <c r="V26" s="275">
        <v>29.062888455711206730423187170</v>
      </c>
      <c r="W26" s="273">
        <v>3.146403870271114417054599600</v>
      </c>
      <c r="X26" s="274">
        <v>147.83378463713308987174739855</v>
      </c>
      <c r="Y26" s="275">
        <v>25.830759382968170318688838110</v>
      </c>
      <c r="Z26" s="273">
        <v>-11.506807728320347695681488570</v>
      </c>
      <c r="AA26" s="274">
        <v>18.200296731677010389590762760</v>
      </c>
      <c r="AB26" s="275">
        <v>1.8810680663133921450515174200</v>
      </c>
      <c r="AC26" s="453"/>
      <c r="AD26" s="273" t="s">
        <v>312</v>
      </c>
      <c r="AE26" s="274" t="s">
        <v>236</v>
      </c>
      <c r="AF26" s="274" t="s">
        <v>236</v>
      </c>
      <c r="AG26" s="275" t="s">
        <v>236</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115"/>
      <c r="AD27" s="113"/>
      <c r="AE27" s="113"/>
      <c r="AF27" s="113"/>
      <c r="AG27" s="113"/>
      <c r="AH27" s="9"/>
    </row>
    <row r="28" ht="24.95" customHeight="1">
      <c r="A28" s="112"/>
      <c r="B28" s="973" t="s">
        <v>58</v>
      </c>
      <c r="C28" s="973"/>
      <c r="D28" s="973"/>
      <c r="E28" s="973"/>
      <c r="F28" s="973"/>
      <c r="G28" s="973"/>
      <c r="H28" s="973"/>
      <c r="I28" s="973"/>
      <c r="J28" s="973"/>
      <c r="K28" s="973"/>
      <c r="L28" s="973"/>
      <c r="M28" s="973"/>
      <c r="N28" s="973"/>
      <c r="O28" s="973"/>
      <c r="P28" s="501"/>
      <c r="Q28" s="971"/>
      <c r="R28" s="971"/>
      <c r="S28" s="971"/>
      <c r="T28" s="971"/>
      <c r="U28" s="971"/>
      <c r="V28" s="971"/>
      <c r="W28" s="971"/>
      <c r="X28" s="971"/>
      <c r="Y28" s="971"/>
      <c r="Z28" s="971"/>
      <c r="AA28" s="971"/>
      <c r="AB28" s="971"/>
      <c r="AC28" s="501"/>
      <c r="AD28" s="971"/>
      <c r="AE28" s="971"/>
      <c r="AF28" s="971"/>
      <c r="AG28" s="971"/>
      <c r="AH28" s="9"/>
    </row>
    <row r="29" ht="20.1" customHeight="1">
      <c r="A29" s="58"/>
      <c r="B29" s="284">
        <v>2020</v>
      </c>
      <c r="C29" s="285"/>
      <c r="D29" s="454">
        <v>101.45382513661202185792349727</v>
      </c>
      <c r="E29" s="455">
        <v>122.16698634733853349706926705</v>
      </c>
      <c r="F29" s="436">
        <v>81.78475470174577424114916658</v>
      </c>
      <c r="G29" s="454">
        <v>15.607526080476900149031296572</v>
      </c>
      <c r="H29" s="455"/>
      <c r="I29" s="436">
        <v>17.438671046407372495058404161</v>
      </c>
      <c r="J29" s="454">
        <v>13.166219572776949826130153999</v>
      </c>
      <c r="K29" s="455"/>
      <c r="L29" s="436">
        <v>8.474731134167036903364887118</v>
      </c>
      <c r="M29" s="454">
        <v>130.22757078986587183308494784</v>
      </c>
      <c r="N29" s="455"/>
      <c r="O29" s="436">
        <v>107.69815688232018363957245786</v>
      </c>
      <c r="P29" s="5"/>
      <c r="Q29" s="427">
        <v>-22.900812766146078637758322040</v>
      </c>
      <c r="R29" s="428">
        <v>-31.029930467737472213729810290</v>
      </c>
      <c r="S29" s="417">
        <v>-43.639127790874194778625398270</v>
      </c>
      <c r="T29" s="427">
        <v>-26.859361535366976732735632210</v>
      </c>
      <c r="U29" s="428"/>
      <c r="V29" s="417">
        <v>-55.946643276596682953961871430</v>
      </c>
      <c r="W29" s="427">
        <v>-37.682445532480111107961125760</v>
      </c>
      <c r="X29" s="428"/>
      <c r="Y29" s="417">
        <v>-36.394990499345831212275762940</v>
      </c>
      <c r="Z29" s="427">
        <v>-25.180388852715187130071527520</v>
      </c>
      <c r="AA29" s="428"/>
      <c r="AB29" s="417">
        <v>-45.612056694511308958599459280</v>
      </c>
      <c r="AC29" s="5"/>
      <c r="AD29" s="427" t="s">
        <v>315</v>
      </c>
      <c r="AE29" s="428"/>
      <c r="AF29" s="428"/>
      <c r="AG29" s="429"/>
    </row>
    <row r="30" ht="20.1" customHeight="1">
      <c r="A30" s="58"/>
      <c r="B30" s="286">
        <v>2021</v>
      </c>
      <c r="C30" s="287"/>
      <c r="D30" s="276">
        <v>194.87868410128684101286841013</v>
      </c>
      <c r="E30" s="94">
        <v>172.85166836196324850512866826</v>
      </c>
      <c r="F30" s="277">
        <v>131.41034092921720165385380101</v>
      </c>
      <c r="G30" s="276">
        <v>32.875570776255707762557077626</v>
      </c>
      <c r="H30" s="94">
        <v>53.737763228317363863963937087</v>
      </c>
      <c r="I30" s="277">
        <v>23.587087307636279655311496066</v>
      </c>
      <c r="J30" s="276">
        <v>19.371606475716064757160647572</v>
      </c>
      <c r="K30" s="94">
        <v>16.984742578728242926681347369</v>
      </c>
      <c r="L30" s="277">
        <v>13.407308498397443985243961572</v>
      </c>
      <c r="M30" s="276">
        <v>247.12586135325861353258613533</v>
      </c>
      <c r="N30" s="94">
        <v>243.57417416900885529577395272</v>
      </c>
      <c r="O30" s="277">
        <v>168.40473673525092529440925864</v>
      </c>
      <c r="P30" s="5"/>
      <c r="Q30" s="271">
        <v>92.08608826616171883247526863</v>
      </c>
      <c r="R30" s="92">
        <v>41.488034967626444563805500030</v>
      </c>
      <c r="S30" s="272">
        <v>60.678284612481292696769094830</v>
      </c>
      <c r="T30" s="271">
        <v>110.63921730254454058899996356</v>
      </c>
      <c r="U30" s="92"/>
      <c r="V30" s="272">
        <v>35.257367060120930886392570480</v>
      </c>
      <c r="W30" s="271">
        <v>47.131121189378686351788103700</v>
      </c>
      <c r="X30" s="92"/>
      <c r="Y30" s="272">
        <v>58.203349299093378018259792220</v>
      </c>
      <c r="Z30" s="271">
        <v>89.7646249978463398146781800</v>
      </c>
      <c r="AA30" s="92"/>
      <c r="AB30" s="272">
        <v>56.367334047596819570859244390</v>
      </c>
      <c r="AC30" s="5"/>
      <c r="AD30" s="271" t="s">
        <v>312</v>
      </c>
      <c r="AE30" s="92" t="s">
        <v>223</v>
      </c>
      <c r="AF30" s="92" t="s">
        <v>223</v>
      </c>
      <c r="AG30" s="272" t="s">
        <v>220</v>
      </c>
    </row>
    <row r="31" ht="20.1" customHeight="1">
      <c r="A31" s="58"/>
      <c r="B31" s="425">
        <v>2022</v>
      </c>
      <c r="C31" s="426"/>
      <c r="D31" s="457">
        <v>234.34041095890410958904109589</v>
      </c>
      <c r="E31" s="458">
        <v>220.72983509608932259084001853</v>
      </c>
      <c r="F31" s="499">
        <v>171.71002708887713111456369961</v>
      </c>
      <c r="G31" s="457">
        <v>51.067662930676629306766293068</v>
      </c>
      <c r="H31" s="458">
        <v>69.350165074226257314702330604</v>
      </c>
      <c r="I31" s="499">
        <v>39.156187099507775816686647257</v>
      </c>
      <c r="J31" s="457">
        <v>20.377314238273142382731423827</v>
      </c>
      <c r="K31" s="458">
        <v>18.759802330777959087079347303</v>
      </c>
      <c r="L31" s="499">
        <v>16.343858114839885490471601309</v>
      </c>
      <c r="M31" s="457">
        <v>305.78538812785388127853881279</v>
      </c>
      <c r="N31" s="458">
        <v>308.83980250109353899262169644</v>
      </c>
      <c r="O31" s="499">
        <v>227.21007230322479242172194818</v>
      </c>
      <c r="P31" s="453"/>
      <c r="Q31" s="430">
        <v>20.249380808160366492609650750</v>
      </c>
      <c r="R31" s="431">
        <v>27.698990231218930414849968600</v>
      </c>
      <c r="S31" s="500">
        <v>30.667058524252218894808491960</v>
      </c>
      <c r="T31" s="430">
        <v>55.336201698713347083121538760</v>
      </c>
      <c r="U31" s="431">
        <v>29.052943233975682820172188270</v>
      </c>
      <c r="V31" s="500">
        <v>66.006877359932665943589247860</v>
      </c>
      <c r="W31" s="430">
        <v>5.1916590595349721469844127700</v>
      </c>
      <c r="X31" s="431">
        <v>10.450907594584344214470536760</v>
      </c>
      <c r="Y31" s="500">
        <v>21.902603470266438234011429820</v>
      </c>
      <c r="Z31" s="430">
        <v>23.736700988445768808615263290</v>
      </c>
      <c r="AA31" s="431">
        <v>26.794970589455858606931494880</v>
      </c>
      <c r="AB31" s="500">
        <v>34.919050798645598600790456200</v>
      </c>
      <c r="AC31" s="453"/>
      <c r="AD31" s="430" t="s">
        <v>313</v>
      </c>
      <c r="AE31" s="431" t="s">
        <v>236</v>
      </c>
      <c r="AF31" s="431" t="s">
        <v>236</v>
      </c>
      <c r="AG31" s="432" t="s">
        <v>236</v>
      </c>
    </row>
    <row r="32" ht="21" customHeight="1"/>
    <row r="33" ht="24.95" customHeight="1">
      <c r="A33" s="112"/>
      <c r="B33" s="972" t="s">
        <v>44</v>
      </c>
      <c r="C33" s="972"/>
      <c r="D33" s="972"/>
      <c r="E33" s="972"/>
      <c r="F33" s="972"/>
      <c r="G33" s="972"/>
      <c r="H33" s="972"/>
      <c r="I33" s="972"/>
      <c r="J33" s="972"/>
      <c r="K33" s="972"/>
      <c r="L33" s="972"/>
      <c r="M33" s="972"/>
      <c r="N33" s="972"/>
      <c r="O33" s="972"/>
      <c r="P33" s="501"/>
      <c r="Q33" s="971"/>
      <c r="R33" s="971"/>
      <c r="S33" s="971"/>
      <c r="T33" s="971"/>
      <c r="U33" s="971"/>
      <c r="V33" s="971"/>
      <c r="W33" s="971"/>
      <c r="X33" s="971"/>
      <c r="Y33" s="971"/>
      <c r="Z33" s="971"/>
      <c r="AA33" s="971"/>
      <c r="AB33" s="971"/>
      <c r="AC33" s="501"/>
      <c r="AD33" s="971"/>
      <c r="AE33" s="971"/>
      <c r="AF33" s="971"/>
      <c r="AG33" s="971"/>
      <c r="AH33" s="9"/>
    </row>
    <row r="34" ht="20.1" customHeight="1">
      <c r="A34" s="58"/>
      <c r="B34" s="284">
        <v>2020</v>
      </c>
      <c r="C34" s="285"/>
      <c r="D34" s="454">
        <v>82.51976284584980237154150198</v>
      </c>
      <c r="E34" s="455">
        <v>84.55202988567827887298586731</v>
      </c>
      <c r="F34" s="436">
        <v>54.767104047141929049200728357</v>
      </c>
      <c r="G34" s="454">
        <v>8.529973649538866930171277997</v>
      </c>
      <c r="H34" s="455"/>
      <c r="I34" s="436">
        <v>9.514629857722721778824441685</v>
      </c>
      <c r="J34" s="454">
        <v>13.689723320158102766798418972</v>
      </c>
      <c r="K34" s="455"/>
      <c r="L34" s="436">
        <v>9.077582868833959535372864619</v>
      </c>
      <c r="M34" s="454">
        <v>104.73945981554677206851119895</v>
      </c>
      <c r="N34" s="455"/>
      <c r="O34" s="436">
        <v>73.359316773698610363398034663</v>
      </c>
      <c r="P34" s="5"/>
      <c r="Q34" s="427">
        <v>-43.361291343572961445259553310</v>
      </c>
      <c r="R34" s="428">
        <v>-52.374505537649711883140400160</v>
      </c>
      <c r="S34" s="417">
        <v>-62.299314488452250279000956300</v>
      </c>
      <c r="T34" s="427">
        <v>-73.229408678723766074667352380</v>
      </c>
      <c r="U34" s="428"/>
      <c r="V34" s="417">
        <v>-77.364482224084476114490061880</v>
      </c>
      <c r="W34" s="427">
        <v>-45.274994403957958704539065390</v>
      </c>
      <c r="X34" s="428"/>
      <c r="Y34" s="417">
        <v>-50.333191250581758432205464320</v>
      </c>
      <c r="Z34" s="427">
        <v>-48.29562753678742214276988100</v>
      </c>
      <c r="AA34" s="428"/>
      <c r="AB34" s="417">
        <v>-64.315792518522317522139438060</v>
      </c>
      <c r="AC34" s="5"/>
      <c r="AD34" s="427" t="s">
        <v>223</v>
      </c>
      <c r="AE34" s="428"/>
      <c r="AF34" s="428"/>
      <c r="AG34" s="429"/>
    </row>
    <row r="35" ht="20.1" customHeight="1">
      <c r="A35" s="58"/>
      <c r="B35" s="286">
        <v>2021</v>
      </c>
      <c r="C35" s="287"/>
      <c r="D35" s="276">
        <v>216.14188076416337285902503294</v>
      </c>
      <c r="E35" s="94">
        <v>180.68643285330393440363811755</v>
      </c>
      <c r="F35" s="277">
        <v>147.62522021824155494229226559</v>
      </c>
      <c r="G35" s="276">
        <v>39.795536890645586297760210804</v>
      </c>
      <c r="H35" s="94">
        <v>43.361414057419882313353846851</v>
      </c>
      <c r="I35" s="277">
        <v>31.310419504457770771929910038</v>
      </c>
      <c r="J35" s="276">
        <v>18.766469038208168642951251647</v>
      </c>
      <c r="K35" s="94">
        <v>13.521271021155988795262837613</v>
      </c>
      <c r="L35" s="277">
        <v>13.655596498150135765416916914</v>
      </c>
      <c r="M35" s="276">
        <v>274.70388669301712779973649539</v>
      </c>
      <c r="N35" s="94">
        <v>237.56911793187980551225480201</v>
      </c>
      <c r="O35" s="277">
        <v>192.59123622084946147963909255</v>
      </c>
      <c r="P35" s="5"/>
      <c r="Q35" s="271">
        <v>161.92741388272703239124683003</v>
      </c>
      <c r="R35" s="92">
        <v>113.69851569212630121327480823</v>
      </c>
      <c r="S35" s="272">
        <v>169.55089699700587136523139908</v>
      </c>
      <c r="T35" s="271">
        <v>366.53762984342014288610740923</v>
      </c>
      <c r="U35" s="92"/>
      <c r="V35" s="272">
        <v>229.07659018515442645068340942</v>
      </c>
      <c r="W35" s="271">
        <v>37.084355901606344014467919570</v>
      </c>
      <c r="X35" s="92"/>
      <c r="Y35" s="272">
        <v>50.432077520161715644672021610</v>
      </c>
      <c r="Z35" s="271">
        <v>162.27353776400203416584375022</v>
      </c>
      <c r="AA35" s="92"/>
      <c r="AB35" s="272">
        <v>162.53139299941683458873995409</v>
      </c>
      <c r="AC35" s="5"/>
      <c r="AD35" s="271" t="s">
        <v>313</v>
      </c>
      <c r="AE35" s="92" t="s">
        <v>223</v>
      </c>
      <c r="AF35" s="92" t="s">
        <v>223</v>
      </c>
      <c r="AG35" s="272" t="s">
        <v>220</v>
      </c>
    </row>
    <row r="36" ht="20.1" customHeight="1">
      <c r="A36" s="58"/>
      <c r="B36" s="425">
        <v>2022</v>
      </c>
      <c r="C36" s="426"/>
      <c r="D36" s="457">
        <v>220.23031949934123847167325428</v>
      </c>
      <c r="E36" s="458">
        <v>222.77251184834123222748815166</v>
      </c>
      <c r="F36" s="499">
        <v>166.17689098899070337457760093</v>
      </c>
      <c r="G36" s="457">
        <v>43.840250329380764163372859025</v>
      </c>
      <c r="H36" s="458">
        <v>87.8513075142210665078540013</v>
      </c>
      <c r="I36" s="499">
        <v>46.490511042986760314155986587</v>
      </c>
      <c r="J36" s="457">
        <v>20.506422924901185770750988142</v>
      </c>
      <c r="K36" s="458">
        <v>22.125665097377071626365199293</v>
      </c>
      <c r="L36" s="499">
        <v>16.354718173853827467761787142</v>
      </c>
      <c r="M36" s="457">
        <v>284.57699275362318840579710145</v>
      </c>
      <c r="N36" s="458">
        <v>332.74948445993937036170735226</v>
      </c>
      <c r="O36" s="499">
        <v>229.02212020583129115649537465</v>
      </c>
      <c r="P36" s="453"/>
      <c r="Q36" s="430">
        <v>1.8915532337768083904659682600</v>
      </c>
      <c r="R36" s="431">
        <v>23.292329330122466557728664720</v>
      </c>
      <c r="S36" s="500">
        <v>12.566735374463852983587407170</v>
      </c>
      <c r="T36" s="430">
        <v>10.163736325256502263566571550</v>
      </c>
      <c r="U36" s="431">
        <v>102.60249676804182022984305006</v>
      </c>
      <c r="V36" s="500">
        <v>48.482555579637140642821202880</v>
      </c>
      <c r="W36" s="430">
        <v>9.271610355466607037065652860</v>
      </c>
      <c r="X36" s="431">
        <v>63.635985571816752176182607620</v>
      </c>
      <c r="Y36" s="500">
        <v>19.765681242921975104744656840</v>
      </c>
      <c r="Z36" s="430">
        <v>3.5940904147661536289543631700</v>
      </c>
      <c r="AA36" s="431">
        <v>40.064284178267289727071081930</v>
      </c>
      <c r="AB36" s="500">
        <v>18.916169136203264048712251700</v>
      </c>
      <c r="AC36" s="453"/>
      <c r="AD36" s="430" t="s">
        <v>313</v>
      </c>
      <c r="AE36" s="431" t="s">
        <v>236</v>
      </c>
      <c r="AF36" s="431" t="s">
        <v>236</v>
      </c>
      <c r="AG36" s="432" t="s">
        <v>236</v>
      </c>
    </row>
    <row r="37" ht="21" customHeight="1"/>
    <row r="38" ht="24.95" customHeight="1">
      <c r="A38" s="112"/>
      <c r="B38" s="972" t="s">
        <v>45</v>
      </c>
      <c r="C38" s="972"/>
      <c r="D38" s="972"/>
      <c r="E38" s="972"/>
      <c r="F38" s="972"/>
      <c r="G38" s="972"/>
      <c r="H38" s="972"/>
      <c r="I38" s="972"/>
      <c r="J38" s="972"/>
      <c r="K38" s="972"/>
      <c r="L38" s="972"/>
      <c r="M38" s="972"/>
      <c r="N38" s="972"/>
      <c r="O38" s="972"/>
      <c r="P38" s="501"/>
      <c r="Q38" s="971"/>
      <c r="R38" s="971"/>
      <c r="S38" s="971"/>
      <c r="T38" s="971"/>
      <c r="U38" s="971"/>
      <c r="V38" s="971"/>
      <c r="W38" s="971"/>
      <c r="X38" s="971"/>
      <c r="Y38" s="971"/>
      <c r="Z38" s="971"/>
      <c r="AA38" s="971"/>
      <c r="AB38" s="971"/>
      <c r="AC38" s="501"/>
      <c r="AD38" s="971"/>
      <c r="AE38" s="971"/>
      <c r="AF38" s="971"/>
      <c r="AG38" s="971"/>
      <c r="AH38" s="9"/>
    </row>
    <row r="39" ht="20.1" customHeight="1">
      <c r="A39" s="58"/>
      <c r="B39" s="284">
        <v>2020</v>
      </c>
      <c r="C39" s="285"/>
      <c r="D39" s="454">
        <v>101.45382513661202185792349727</v>
      </c>
      <c r="E39" s="455">
        <v>122.16698634733853349706926705</v>
      </c>
      <c r="F39" s="436">
        <v>81.78475470174577424114916658</v>
      </c>
      <c r="G39" s="454">
        <v>15.607526080476900149031296572</v>
      </c>
      <c r="H39" s="455"/>
      <c r="I39" s="436">
        <v>17.438671046407372495058404161</v>
      </c>
      <c r="J39" s="454">
        <v>13.166219572776949826130153999</v>
      </c>
      <c r="K39" s="455"/>
      <c r="L39" s="436">
        <v>8.474731134167036903364887118</v>
      </c>
      <c r="M39" s="454">
        <v>130.22757078986587183308494784</v>
      </c>
      <c r="N39" s="455"/>
      <c r="O39" s="436">
        <v>107.69815688232018363957245786</v>
      </c>
      <c r="P39" s="5"/>
      <c r="Q39" s="427">
        <v>-22.900812766146078637758322040</v>
      </c>
      <c r="R39" s="428">
        <v>-31.029930467737472213729810290</v>
      </c>
      <c r="S39" s="417">
        <v>-43.639127790874194778625398270</v>
      </c>
      <c r="T39" s="427">
        <v>-26.859361535366976732735632210</v>
      </c>
      <c r="U39" s="428"/>
      <c r="V39" s="417">
        <v>-55.946643276596682953961871430</v>
      </c>
      <c r="W39" s="427">
        <v>-37.682445532480111107961125760</v>
      </c>
      <c r="X39" s="428"/>
      <c r="Y39" s="417">
        <v>-36.394990499345831212275762940</v>
      </c>
      <c r="Z39" s="427">
        <v>-25.180388852715187130071527520</v>
      </c>
      <c r="AA39" s="428"/>
      <c r="AB39" s="417">
        <v>-45.612056694511308958599459280</v>
      </c>
      <c r="AC39" s="5"/>
      <c r="AD39" s="427" t="s">
        <v>315</v>
      </c>
      <c r="AE39" s="428"/>
      <c r="AF39" s="428"/>
      <c r="AG39" s="429"/>
    </row>
    <row r="40" ht="20.1" customHeight="1">
      <c r="A40" s="58"/>
      <c r="B40" s="286">
        <v>2021</v>
      </c>
      <c r="C40" s="287"/>
      <c r="D40" s="276">
        <v>194.87868410128684101286841013</v>
      </c>
      <c r="E40" s="94">
        <v>172.85166836196324850512866826</v>
      </c>
      <c r="F40" s="277">
        <v>131.41034092921720165385380101</v>
      </c>
      <c r="G40" s="276">
        <v>32.875570776255707762557077626</v>
      </c>
      <c r="H40" s="94">
        <v>53.737763228317363863963937087</v>
      </c>
      <c r="I40" s="277">
        <v>23.587087307636279655311496066</v>
      </c>
      <c r="J40" s="276">
        <v>19.371606475716064757160647572</v>
      </c>
      <c r="K40" s="94">
        <v>16.984742578728242926681347369</v>
      </c>
      <c r="L40" s="277">
        <v>13.407308498397443985243961572</v>
      </c>
      <c r="M40" s="276">
        <v>247.12586135325861353258613533</v>
      </c>
      <c r="N40" s="94">
        <v>243.57417416900885529577395272</v>
      </c>
      <c r="O40" s="277">
        <v>168.40473673525092529440925864</v>
      </c>
      <c r="P40" s="5"/>
      <c r="Q40" s="271">
        <v>92.08608826616171883247526863</v>
      </c>
      <c r="R40" s="92">
        <v>41.488034967626444563805500030</v>
      </c>
      <c r="S40" s="272">
        <v>60.678284612481292696769094830</v>
      </c>
      <c r="T40" s="271">
        <v>110.63921730254454058899996356</v>
      </c>
      <c r="U40" s="92"/>
      <c r="V40" s="272">
        <v>35.257367060120930886392570480</v>
      </c>
      <c r="W40" s="271">
        <v>47.131121189378686351788103700</v>
      </c>
      <c r="X40" s="92"/>
      <c r="Y40" s="272">
        <v>58.203349299093378018259792220</v>
      </c>
      <c r="Z40" s="271">
        <v>89.7646249978463398146781800</v>
      </c>
      <c r="AA40" s="92"/>
      <c r="AB40" s="272">
        <v>56.367334047596819570859244390</v>
      </c>
      <c r="AC40" s="5"/>
      <c r="AD40" s="271" t="s">
        <v>312</v>
      </c>
      <c r="AE40" s="92" t="s">
        <v>223</v>
      </c>
      <c r="AF40" s="92" t="s">
        <v>223</v>
      </c>
      <c r="AG40" s="272" t="s">
        <v>220</v>
      </c>
    </row>
    <row r="41" ht="20.1" customHeight="1">
      <c r="A41" s="58"/>
      <c r="B41" s="425">
        <v>2022</v>
      </c>
      <c r="C41" s="426"/>
      <c r="D41" s="457">
        <v>234.34041095890410958904109589</v>
      </c>
      <c r="E41" s="458">
        <v>220.72983509608932259084001853</v>
      </c>
      <c r="F41" s="499">
        <v>171.71002708887713111456369961</v>
      </c>
      <c r="G41" s="457">
        <v>51.067662930676629306766293068</v>
      </c>
      <c r="H41" s="458">
        <v>69.350165074226257314702330604</v>
      </c>
      <c r="I41" s="499">
        <v>39.156187099507775816686647257</v>
      </c>
      <c r="J41" s="457">
        <v>20.377314238273142382731423827</v>
      </c>
      <c r="K41" s="458">
        <v>18.759802330777959087079347303</v>
      </c>
      <c r="L41" s="499">
        <v>16.343858114839885490471601309</v>
      </c>
      <c r="M41" s="457">
        <v>305.78538812785388127853881279</v>
      </c>
      <c r="N41" s="458">
        <v>308.83980250109353899262169644</v>
      </c>
      <c r="O41" s="499">
        <v>227.21007230322479242172194818</v>
      </c>
      <c r="P41" s="453"/>
      <c r="Q41" s="430">
        <v>20.249380808160366492609650750</v>
      </c>
      <c r="R41" s="431">
        <v>27.698990231218930414849968600</v>
      </c>
      <c r="S41" s="500">
        <v>30.667058524252218894808491960</v>
      </c>
      <c r="T41" s="430">
        <v>55.336201698713347083121538760</v>
      </c>
      <c r="U41" s="431">
        <v>29.052943233975682820172188270</v>
      </c>
      <c r="V41" s="500">
        <v>66.006877359932665943589247860</v>
      </c>
      <c r="W41" s="430">
        <v>5.1916590595349721469844127700</v>
      </c>
      <c r="X41" s="431">
        <v>10.450907594584344214470536760</v>
      </c>
      <c r="Y41" s="500">
        <v>21.902603470266438234011429820</v>
      </c>
      <c r="Z41" s="430">
        <v>23.736700988445768808615263290</v>
      </c>
      <c r="AA41" s="431">
        <v>26.794970589455858606931494880</v>
      </c>
      <c r="AB41" s="500">
        <v>34.919050798645598600790456200</v>
      </c>
      <c r="AC41" s="453"/>
      <c r="AD41" s="430" t="s">
        <v>313</v>
      </c>
      <c r="AE41" s="431" t="s">
        <v>236</v>
      </c>
      <c r="AF41" s="431" t="s">
        <v>236</v>
      </c>
      <c r="AG41" s="432" t="s">
        <v>236</v>
      </c>
    </row>
    <row r="42" ht="12.75" customHeight="1"/>
    <row r="43" ht="20.1" customHeight="1">
      <c r="B43" s="7" t="s">
        <v>104</v>
      </c>
    </row>
    <row r="44" ht="14.1" customHeight="1">
      <c r="B44" s="7"/>
      <c r="AW44" s="236"/>
    </row>
    <row r="45" ht="24" customHeight="1">
      <c r="B45" s="1048" t="s">
        <v>126</v>
      </c>
      <c r="C45" s="1048"/>
      <c r="D45" s="1048"/>
      <c r="E45" s="1048"/>
      <c r="F45" s="1048"/>
      <c r="G45" s="1048"/>
      <c r="H45" s="1048"/>
      <c r="I45" s="1048"/>
      <c r="J45" s="1048"/>
      <c r="K45" s="1048"/>
      <c r="L45" s="1048"/>
      <c r="M45" s="1048"/>
      <c r="N45" s="1048"/>
      <c r="O45" s="1048"/>
      <c r="P45" s="1048"/>
      <c r="Q45" s="1048"/>
      <c r="R45" s="1048"/>
      <c r="S45" s="1048"/>
      <c r="T45" s="1048"/>
      <c r="U45" s="1048"/>
      <c r="V45" s="1048"/>
      <c r="W45" s="1048"/>
      <c r="X45" s="1048"/>
      <c r="Y45" s="1048"/>
      <c r="Z45" s="1048"/>
      <c r="AA45" s="1048"/>
      <c r="AB45" s="1048"/>
      <c r="AC45" s="1048"/>
      <c r="AD45" s="1048"/>
      <c r="AE45" s="1048"/>
      <c r="AF45" s="1048"/>
      <c r="AG45" s="1048"/>
      <c r="AW45" s="236"/>
    </row>
    <row r="46" ht="14.1" customHeight="1">
      <c r="A46"/>
      <c r="AW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c r="AD47" s="236"/>
      <c r="AE47" s="236"/>
      <c r="AF47" s="236"/>
      <c r="AG47" s="236"/>
      <c r="AH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c r="AD48" s="236"/>
      <c r="AE48" s="236"/>
      <c r="AF48" s="236"/>
      <c r="AG48" s="236"/>
      <c r="AH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sheetData>
  <mergeCells count="24">
    <mergeCell ref="D6:O6"/>
    <mergeCell ref="D7:F7"/>
    <mergeCell ref="G7:I7"/>
    <mergeCell ref="J7:L7"/>
    <mergeCell ref="M7:O7"/>
    <mergeCell ref="B45:AG45"/>
    <mergeCell ref="AD38:AG38"/>
    <mergeCell ref="AD33:AG33"/>
    <mergeCell ref="AD28:AG28"/>
    <mergeCell ref="B28:O28"/>
    <mergeCell ref="B8:C8"/>
    <mergeCell ref="Q7:S7"/>
    <mergeCell ref="Q38:AB38"/>
    <mergeCell ref="Z7:AB7"/>
    <mergeCell ref="T7:V7"/>
    <mergeCell ref="W7:Y7"/>
    <mergeCell ref="B38:O38"/>
    <mergeCell ref="B33:O33"/>
    <mergeCell ref="U3:AG3"/>
    <mergeCell ref="Q6:AB6"/>
    <mergeCell ref="Q28:AB28"/>
    <mergeCell ref="Q33:AB33"/>
    <mergeCell ref="AD6:AG6"/>
    <mergeCell ref="AD7:AG7"/>
  </mergeCells>
  <phoneticPr fontId="0" type="noConversion"/>
  <printOptions horizontalCentered="1" verticalCentered="1"/>
  <pageMargins left="0.25" right="0.25" top="0.25" bottom="0.25" header="0" footer="0"/>
  <pageSetup scale="59" fitToWidth="1" fitToHeight="1" orientation="landscape" r:id="rId1"/>
  <headerFooter alignWithMargins="0">
    <oddHeader/>
    <oddFooter/>
  </headerFooter>
  <rowBreaks count="1" manualBreakCount="1">
    <brk id="46" max="16383" man="1"/>
  </rowBreaks>
  <colBreaks count="1" manualBreakCount="1">
    <brk id="35" max="1048575" man="1"/>
  </colBreaks>
  <drawing r:id="rId133"/>
</worksheet>
</file>

<file path=xl/worksheets/sheet13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7">
    <pageSetUpPr fitToPage="1"/>
  </sheetPr>
  <dimension ref="A1:BW153"/>
  <sheetViews>
    <sheetView showGridLines="0" zoomScale="85" workbookViewId="0"/>
  </sheetViews>
  <sheetFormatPr defaultRowHeight="12.75"/>
  <cols>
    <col min="1" max="1" width="1" customWidth="1"/>
    <col min="2" max="2" width="1.28515625" style="33"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236" customWidth="1"/>
    <col min="70" max="75" width="9.140625" style="236" customWidth="1"/>
  </cols>
  <sheetData>
    <row r="1" ht="23.25" customHeight="1">
      <c r="B1" s="6" t="s">
        <v>201</v>
      </c>
      <c r="D1" s="6"/>
      <c r="E1" s="6"/>
      <c r="AS1" s="236"/>
    </row>
    <row r="2" ht="15" customHeight="1">
      <c r="B2" s="0"/>
      <c r="C2" s="1049" t="s">
        <v>208</v>
      </c>
      <c r="D2" s="1049"/>
      <c r="E2" s="1049"/>
      <c r="F2" s="1049"/>
      <c r="G2" s="1049"/>
      <c r="H2" s="1049"/>
      <c r="I2" s="1049"/>
      <c r="J2" s="1049"/>
      <c r="K2" s="1049"/>
      <c r="L2" s="1049"/>
      <c r="M2" s="1049"/>
      <c r="N2" s="1049"/>
      <c r="O2" s="1049"/>
      <c r="P2" s="1049"/>
      <c r="Q2" s="1049"/>
      <c r="R2" s="1049"/>
      <c r="S2" s="1049"/>
      <c r="T2" s="1049"/>
      <c r="U2" s="1049"/>
      <c r="V2" s="1049"/>
      <c r="W2" s="1049"/>
      <c r="X2" s="1049"/>
      <c r="Y2" s="1049"/>
      <c r="Z2" s="1049"/>
      <c r="AA2" s="1049"/>
      <c r="AB2" s="1049"/>
      <c r="AC2" s="1049"/>
      <c r="AD2" s="1049"/>
      <c r="AE2" s="1049"/>
      <c r="AF2" s="1049"/>
      <c r="AG2" s="1049"/>
      <c r="AH2" s="1049"/>
      <c r="AI2" s="1049"/>
      <c r="AJ2" s="1049"/>
      <c r="AK2" s="1049"/>
      <c r="AL2" s="1049"/>
      <c r="AM2" s="1049"/>
      <c r="AN2" s="1049"/>
      <c r="AO2" s="1049"/>
      <c r="AP2" s="1049"/>
      <c r="AQ2" s="0"/>
    </row>
    <row r="3" ht="15" customHeight="1">
      <c r="B3" s="0"/>
      <c r="C3" s="1049" t="s">
        <v>209</v>
      </c>
      <c r="D3" s="1049"/>
      <c r="E3" s="1049"/>
      <c r="F3" s="1049"/>
      <c r="G3" s="1049"/>
      <c r="H3" s="1049"/>
      <c r="I3" s="1049"/>
      <c r="J3" s="1049"/>
      <c r="K3" s="1049"/>
      <c r="L3" s="1049"/>
      <c r="M3" s="1049"/>
      <c r="N3" s="1049"/>
      <c r="O3" s="1049"/>
      <c r="P3" s="1049"/>
      <c r="Q3" s="1049"/>
      <c r="R3" s="1049"/>
      <c r="S3" s="1049"/>
      <c r="T3" s="1049"/>
      <c r="U3" s="1049"/>
      <c r="V3" s="1049"/>
      <c r="W3" s="1049"/>
      <c r="X3" s="1049"/>
      <c r="Y3" s="1049"/>
      <c r="Z3" s="1049"/>
      <c r="AA3" s="1049"/>
      <c r="AB3" s="1049"/>
      <c r="AC3" s="1049"/>
      <c r="AD3" s="1049"/>
      <c r="AE3" s="1049"/>
      <c r="AF3" s="1049"/>
      <c r="AG3" s="1049"/>
      <c r="AH3" s="1049"/>
      <c r="AI3" s="1049"/>
      <c r="AJ3" s="1049"/>
      <c r="AK3" s="1049"/>
      <c r="AL3" s="1049"/>
      <c r="AM3" s="1049"/>
      <c r="AN3" s="1049"/>
      <c r="AO3" s="1049"/>
      <c r="AP3" s="1049"/>
      <c r="AQ3" s="0"/>
    </row>
    <row r="4" ht="15" customHeight="1">
      <c r="B4" s="0"/>
      <c r="C4" s="1049" t="s">
        <v>241</v>
      </c>
      <c r="D4" s="1049"/>
      <c r="E4" s="1049"/>
      <c r="F4" s="1049"/>
      <c r="G4" s="1049"/>
      <c r="H4" s="1049"/>
      <c r="I4" s="1049"/>
      <c r="J4" s="1049"/>
      <c r="K4" s="1049"/>
      <c r="L4" s="1049"/>
      <c r="M4" s="1049"/>
      <c r="N4" s="1049"/>
      <c r="O4" s="1049"/>
      <c r="P4" s="1049"/>
      <c r="Q4" s="1049"/>
      <c r="R4" s="1049"/>
      <c r="S4" s="1049"/>
      <c r="T4" s="1049"/>
      <c r="U4" s="1049"/>
      <c r="V4" s="1049"/>
      <c r="W4" s="1049"/>
      <c r="X4" s="1049"/>
      <c r="Y4" s="1049"/>
      <c r="Z4" s="1049"/>
      <c r="AA4" s="1049"/>
      <c r="AB4" s="1049"/>
      <c r="AC4" s="1049"/>
      <c r="AD4" s="1049"/>
      <c r="AE4" s="1049"/>
      <c r="AF4" s="1049"/>
      <c r="AG4" s="1049"/>
      <c r="AH4" s="1049"/>
      <c r="AI4" s="1049"/>
      <c r="AJ4" s="1049"/>
      <c r="AK4" s="1049"/>
      <c r="AL4" s="1049"/>
      <c r="AM4" s="1049"/>
      <c r="AN4" s="1049"/>
      <c r="AO4" s="1049"/>
      <c r="AP4" s="1049"/>
      <c r="AQ4" s="0"/>
    </row>
    <row r="5" ht="12.75" customHeight="1">
      <c r="C5" s="67"/>
      <c r="D5" s="67"/>
      <c r="E5" s="67"/>
    </row>
    <row r="6" ht="18" customHeight="1">
      <c r="B6" s="68"/>
      <c r="C6" s="68" t="s">
        <v>7</v>
      </c>
      <c r="D6" s="69"/>
      <c r="E6" s="69"/>
      <c r="F6" s="69"/>
      <c r="H6" s="1050" t="s">
        <v>243</v>
      </c>
      <c r="I6" s="1050"/>
      <c r="J6" s="1050"/>
      <c r="K6" s="1050"/>
      <c r="L6" s="1050"/>
      <c r="M6" s="1050"/>
      <c r="N6" s="1050"/>
      <c r="O6" s="1050"/>
      <c r="P6" s="1050"/>
      <c r="Q6" s="1050"/>
      <c r="R6" s="1050"/>
      <c r="S6" s="1050"/>
      <c r="T6" s="1050"/>
      <c r="U6" s="1050"/>
      <c r="Z6" s="1050" t="s">
        <v>244</v>
      </c>
      <c r="AA6" s="1050"/>
      <c r="AB6" s="1050"/>
      <c r="AC6" s="1050"/>
      <c r="AD6" s="1050"/>
      <c r="AE6" s="1050"/>
      <c r="AF6" s="1050"/>
      <c r="AG6" s="1050"/>
      <c r="AH6" s="1050"/>
      <c r="AI6" s="1050"/>
      <c r="AJ6" s="1050"/>
      <c r="AK6" s="1050"/>
      <c r="AL6" s="1050"/>
      <c r="AM6" s="1050"/>
    </row>
    <row r="7" ht="15" customHeight="1">
      <c r="D7" s="93" t="s">
        <v>246</v>
      </c>
      <c r="E7" s="71"/>
      <c r="F7" s="71"/>
      <c r="H7" s="1051" t="s">
        <v>0</v>
      </c>
      <c r="I7" s="1051"/>
      <c r="J7" s="1051" t="s">
        <v>1</v>
      </c>
      <c r="K7" s="1051"/>
      <c r="L7" s="1051" t="s">
        <v>2</v>
      </c>
      <c r="M7" s="1051"/>
      <c r="N7" s="1051" t="s">
        <v>3</v>
      </c>
      <c r="O7" s="1051"/>
      <c r="P7" s="1051" t="s">
        <v>4</v>
      </c>
      <c r="Q7" s="1051"/>
      <c r="R7" s="1051" t="s">
        <v>5</v>
      </c>
      <c r="S7" s="1051"/>
      <c r="T7" s="1051" t="s">
        <v>6</v>
      </c>
      <c r="U7" s="1051"/>
      <c r="Z7" s="1051" t="s">
        <v>0</v>
      </c>
      <c r="AA7" s="1051"/>
      <c r="AB7" s="1051" t="s">
        <v>1</v>
      </c>
      <c r="AC7" s="1051"/>
      <c r="AD7" s="1051" t="s">
        <v>2</v>
      </c>
      <c r="AE7" s="1051"/>
      <c r="AF7" s="1051" t="s">
        <v>3</v>
      </c>
      <c r="AG7" s="1051"/>
      <c r="AH7" s="1051" t="s">
        <v>4</v>
      </c>
      <c r="AI7" s="1051"/>
      <c r="AJ7" s="1051" t="s">
        <v>5</v>
      </c>
      <c r="AK7" s="1051"/>
      <c r="AL7" s="1051" t="s">
        <v>6</v>
      </c>
      <c r="AM7" s="1051"/>
    </row>
    <row r="8" ht="15" customHeight="1">
      <c r="D8" s="175" t="s">
        <v>248</v>
      </c>
      <c r="E8" s="71"/>
      <c r="F8" s="71"/>
      <c r="G8" s="71"/>
      <c r="H8" s="1052"/>
      <c r="I8" s="1052"/>
      <c r="J8" s="1053"/>
      <c r="K8" s="1053"/>
      <c r="L8" s="1053"/>
      <c r="M8" s="1053"/>
      <c r="N8" s="1053"/>
      <c r="O8" s="1053"/>
      <c r="P8" s="1053">
        <v>1</v>
      </c>
      <c r="Q8" s="1053"/>
      <c r="R8" s="1053">
        <v>2</v>
      </c>
      <c r="S8" s="1053"/>
      <c r="T8" s="1054">
        <v>3</v>
      </c>
      <c r="U8" s="1054"/>
      <c r="Z8" s="1052"/>
      <c r="AA8" s="1052"/>
      <c r="AB8" s="1053"/>
      <c r="AC8" s="1053"/>
      <c r="AD8" s="1053"/>
      <c r="AE8" s="1053"/>
      <c r="AF8" s="1053">
        <v>1</v>
      </c>
      <c r="AG8" s="1053"/>
      <c r="AH8" s="1053">
        <v>2</v>
      </c>
      <c r="AI8" s="1053"/>
      <c r="AJ8" s="1053">
        <v>3</v>
      </c>
      <c r="AK8" s="1053"/>
      <c r="AL8" s="1054">
        <v>4</v>
      </c>
      <c r="AM8" s="1054"/>
    </row>
    <row r="9" ht="15" customHeight="1">
      <c r="D9" s="175" t="s">
        <v>250</v>
      </c>
      <c r="H9" s="1055">
        <v>4</v>
      </c>
      <c r="I9" s="1055"/>
      <c r="J9" s="1056">
        <v>5</v>
      </c>
      <c r="K9" s="1056"/>
      <c r="L9" s="1056">
        <v>6</v>
      </c>
      <c r="M9" s="1056"/>
      <c r="N9" s="1056">
        <v>7</v>
      </c>
      <c r="O9" s="1056"/>
      <c r="P9" s="1056">
        <v>8</v>
      </c>
      <c r="Q9" s="1056"/>
      <c r="R9" s="1056">
        <v>9</v>
      </c>
      <c r="S9" s="1056"/>
      <c r="T9" s="1057">
        <v>10</v>
      </c>
      <c r="U9" s="1057"/>
      <c r="Z9" s="1055">
        <v>5</v>
      </c>
      <c r="AA9" s="1055"/>
      <c r="AB9" s="1056">
        <v>6</v>
      </c>
      <c r="AC9" s="1056"/>
      <c r="AD9" s="1056">
        <v>7</v>
      </c>
      <c r="AE9" s="1056"/>
      <c r="AF9" s="1056">
        <v>8</v>
      </c>
      <c r="AG9" s="1056"/>
      <c r="AH9" s="1056">
        <v>9</v>
      </c>
      <c r="AI9" s="1056"/>
      <c r="AJ9" s="1056">
        <v>10</v>
      </c>
      <c r="AK9" s="1056"/>
      <c r="AL9" s="1057">
        <v>11</v>
      </c>
      <c r="AM9" s="1057"/>
    </row>
    <row r="10" ht="15" customHeight="1">
      <c r="D10" t="s">
        <v>252</v>
      </c>
      <c r="H10" s="1058">
        <v>11</v>
      </c>
      <c r="I10" s="1058"/>
      <c r="J10" s="1059">
        <v>12</v>
      </c>
      <c r="K10" s="1059"/>
      <c r="L10" s="1059">
        <v>13</v>
      </c>
      <c r="M10" s="1059"/>
      <c r="N10" s="1059">
        <v>14</v>
      </c>
      <c r="O10" s="1059"/>
      <c r="P10" s="1059">
        <v>15</v>
      </c>
      <c r="Q10" s="1059"/>
      <c r="R10" s="1059">
        <v>16</v>
      </c>
      <c r="S10" s="1059"/>
      <c r="T10" s="1060">
        <v>17</v>
      </c>
      <c r="U10" s="1060"/>
      <c r="Z10" s="1058">
        <v>12</v>
      </c>
      <c r="AA10" s="1058"/>
      <c r="AB10" s="1059">
        <v>13</v>
      </c>
      <c r="AC10" s="1059"/>
      <c r="AD10" s="1059">
        <v>14</v>
      </c>
      <c r="AE10" s="1059"/>
      <c r="AF10" s="1059">
        <v>15</v>
      </c>
      <c r="AG10" s="1059"/>
      <c r="AH10" s="1059">
        <v>16</v>
      </c>
      <c r="AI10" s="1059"/>
      <c r="AJ10" s="1059">
        <v>17</v>
      </c>
      <c r="AK10" s="1059"/>
      <c r="AL10" s="1060">
        <v>18</v>
      </c>
      <c r="AM10" s="1060"/>
    </row>
    <row r="11" ht="15" customHeight="1">
      <c r="D11" t="s">
        <v>254</v>
      </c>
      <c r="H11" s="1055">
        <v>18</v>
      </c>
      <c r="I11" s="1055"/>
      <c r="J11" s="1056">
        <v>19</v>
      </c>
      <c r="K11" s="1056"/>
      <c r="L11" s="1056">
        <v>20</v>
      </c>
      <c r="M11" s="1056"/>
      <c r="N11" s="1056">
        <v>21</v>
      </c>
      <c r="O11" s="1056"/>
      <c r="P11" s="1056">
        <v>22</v>
      </c>
      <c r="Q11" s="1056"/>
      <c r="R11" s="1056">
        <v>23</v>
      </c>
      <c r="S11" s="1056"/>
      <c r="T11" s="1057">
        <v>24</v>
      </c>
      <c r="U11" s="1057"/>
      <c r="Z11" s="1055">
        <v>19</v>
      </c>
      <c r="AA11" s="1055"/>
      <c r="AB11" s="1056">
        <v>20</v>
      </c>
      <c r="AC11" s="1056"/>
      <c r="AD11" s="1056">
        <v>21</v>
      </c>
      <c r="AE11" s="1056"/>
      <c r="AF11" s="1056">
        <v>22</v>
      </c>
      <c r="AG11" s="1056"/>
      <c r="AH11" s="1056">
        <v>23</v>
      </c>
      <c r="AI11" s="1056"/>
      <c r="AJ11" s="1056">
        <v>24</v>
      </c>
      <c r="AK11" s="1056"/>
      <c r="AL11" s="1057">
        <v>25</v>
      </c>
      <c r="AM11" s="1057"/>
      <c r="AN11" t="s">
        <v>27</v>
      </c>
    </row>
    <row r="12" ht="15" customHeight="1">
      <c r="A12" s="68"/>
      <c r="H12" s="1058">
        <v>25</v>
      </c>
      <c r="I12" s="1058"/>
      <c r="J12" s="1059">
        <v>26</v>
      </c>
      <c r="K12" s="1059"/>
      <c r="L12" s="1059">
        <v>27</v>
      </c>
      <c r="M12" s="1059"/>
      <c r="N12" s="1059">
        <v>28</v>
      </c>
      <c r="O12" s="1059"/>
      <c r="P12" s="1059">
        <v>29</v>
      </c>
      <c r="Q12" s="1059"/>
      <c r="R12" s="1059">
        <v>30</v>
      </c>
      <c r="S12" s="1059"/>
      <c r="T12" s="1060">
        <v>31</v>
      </c>
      <c r="U12" s="1060"/>
      <c r="Z12" s="1058">
        <v>26</v>
      </c>
      <c r="AA12" s="1058"/>
      <c r="AB12" s="1059">
        <v>27</v>
      </c>
      <c r="AC12" s="1059"/>
      <c r="AD12" s="1059">
        <v>28</v>
      </c>
      <c r="AE12" s="1059"/>
      <c r="AF12" s="1059">
        <v>29</v>
      </c>
      <c r="AG12" s="1059"/>
      <c r="AH12" s="1059">
        <v>30</v>
      </c>
      <c r="AI12" s="1059"/>
      <c r="AJ12" s="1059">
        <v>31</v>
      </c>
      <c r="AK12" s="1059"/>
      <c r="AL12" s="1060"/>
      <c r="AM12" s="1060"/>
    </row>
    <row r="13" ht="15" customHeight="1">
      <c r="C13" s="72"/>
      <c r="D13" s="73"/>
      <c r="E13" s="73"/>
      <c r="F13" s="73"/>
      <c r="G13" s="73"/>
      <c r="H13" s="1061" t="s">
        <v>27</v>
      </c>
      <c r="I13" s="1061"/>
      <c r="J13" s="1062" t="s">
        <v>27</v>
      </c>
      <c r="K13" s="1062"/>
      <c r="L13" s="1062" t="s">
        <v>27</v>
      </c>
      <c r="M13" s="1062"/>
      <c r="N13" s="1062" t="s">
        <v>27</v>
      </c>
      <c r="O13" s="1062"/>
      <c r="P13" s="1062" t="s">
        <v>27</v>
      </c>
      <c r="Q13" s="1062"/>
      <c r="R13" s="1062" t="s">
        <v>27</v>
      </c>
      <c r="S13" s="1062"/>
      <c r="T13" s="1063" t="s">
        <v>27</v>
      </c>
      <c r="U13" s="1063"/>
      <c r="Z13" s="1061" t="s">
        <v>27</v>
      </c>
      <c r="AA13" s="1061"/>
      <c r="AB13" s="1062" t="s">
        <v>27</v>
      </c>
      <c r="AC13" s="1062"/>
      <c r="AD13" s="1062" t="s">
        <v>27</v>
      </c>
      <c r="AE13" s="1062"/>
      <c r="AF13" s="1062" t="s">
        <v>27</v>
      </c>
      <c r="AG13" s="1062"/>
      <c r="AH13" s="1062" t="s">
        <v>27</v>
      </c>
      <c r="AI13" s="1062"/>
      <c r="AJ13" s="1062" t="s">
        <v>27</v>
      </c>
      <c r="AK13" s="1062"/>
      <c r="AL13" s="1063" t="s">
        <v>27</v>
      </c>
      <c r="AM13" s="1063"/>
    </row>
    <row r="14" ht="15" customHeight="1">
      <c r="A14" s="68"/>
      <c r="C14" s="68" t="s">
        <v>8</v>
      </c>
      <c r="F14" s="64"/>
    </row>
    <row r="15" ht="15" customHeight="1">
      <c r="D15" s="70" t="s">
        <v>248</v>
      </c>
      <c r="F15" s="64"/>
      <c r="P15" s="1064"/>
      <c r="Q15" s="1064"/>
      <c r="R15" s="1064"/>
      <c r="S15" s="1064"/>
      <c r="T15" s="1064"/>
      <c r="U15" s="1064"/>
      <c r="V15" s="1064"/>
      <c r="W15" s="0"/>
      <c r="X15" s="1064"/>
      <c r="Y15" s="1064"/>
      <c r="Z15" s="1064"/>
      <c r="AA15" s="1064"/>
      <c r="AB15" s="1064"/>
      <c r="AC15" s="1064"/>
      <c r="AD15" s="1064"/>
      <c r="AE15" s="0"/>
      <c r="AF15" s="1064"/>
      <c r="AG15" s="1064"/>
      <c r="AH15" s="1064"/>
      <c r="AI15" s="1064"/>
      <c r="AJ15" s="1064"/>
      <c r="AK15" s="1064"/>
      <c r="AL15" s="1064"/>
      <c r="AM15" s="0"/>
      <c r="AN15" s="0"/>
    </row>
    <row r="16" ht="15" customHeight="1">
      <c r="C16" s="70"/>
      <c r="D16" s="73" t="s">
        <v>250</v>
      </c>
      <c r="F16" s="64"/>
      <c r="P16" s="21"/>
      <c r="Q16" s="21"/>
      <c r="R16" s="21"/>
      <c r="S16" s="21"/>
      <c r="T16" s="21"/>
      <c r="U16" s="21"/>
      <c r="V16" s="21"/>
      <c r="W16" s="0"/>
      <c r="X16" s="21"/>
      <c r="Y16" s="21"/>
      <c r="Z16" s="21"/>
      <c r="AA16" s="21"/>
      <c r="AB16" s="21"/>
      <c r="AC16" s="21"/>
      <c r="AD16" s="21"/>
      <c r="AE16" s="0"/>
      <c r="AF16" s="21"/>
      <c r="AG16" s="21"/>
      <c r="AH16" s="21"/>
      <c r="AI16" s="21"/>
      <c r="AJ16" s="21"/>
      <c r="AK16" s="21"/>
      <c r="AL16" s="21"/>
      <c r="AM16" s="0"/>
      <c r="AN16" s="0"/>
    </row>
    <row r="17" ht="15" customHeight="1">
      <c r="C17" s="70"/>
      <c r="D17" s="73" t="s">
        <v>252</v>
      </c>
      <c r="F17" s="64"/>
      <c r="P17" s="21"/>
      <c r="Q17" s="21"/>
      <c r="R17" s="21"/>
      <c r="S17" s="21"/>
      <c r="T17" s="21"/>
      <c r="U17" s="21"/>
      <c r="V17" s="21"/>
      <c r="W17" s="0"/>
      <c r="X17" s="21"/>
      <c r="Y17" s="21"/>
      <c r="Z17" s="21"/>
      <c r="AA17" s="21"/>
      <c r="AB17" s="21"/>
      <c r="AC17" s="21"/>
      <c r="AD17" s="21"/>
      <c r="AE17" s="0"/>
      <c r="AF17" s="21"/>
      <c r="AG17" s="21"/>
      <c r="AH17" s="21"/>
      <c r="AI17" s="21"/>
      <c r="AJ17" s="21"/>
      <c r="AK17" s="21"/>
      <c r="AL17" s="21"/>
      <c r="AM17" s="0"/>
      <c r="AN17" s="0"/>
    </row>
    <row r="18" ht="15" customHeight="1">
      <c r="C18" s="70"/>
      <c r="D18" s="71" t="s">
        <v>254</v>
      </c>
      <c r="F18" s="64"/>
      <c r="P18" s="21"/>
      <c r="Q18" s="21"/>
      <c r="R18" s="21"/>
      <c r="S18" s="21"/>
      <c r="T18" s="21"/>
      <c r="U18" s="21"/>
      <c r="V18" s="21"/>
      <c r="W18" s="0"/>
      <c r="X18" s="21"/>
      <c r="Y18" s="21"/>
      <c r="Z18" s="21"/>
      <c r="AA18" s="21"/>
      <c r="AB18" s="21"/>
      <c r="AC18" s="21"/>
      <c r="AD18" s="21"/>
      <c r="AE18" s="0"/>
      <c r="AF18" s="21"/>
      <c r="AG18" s="21"/>
      <c r="AH18" s="21"/>
      <c r="AI18" s="21"/>
      <c r="AJ18" s="21"/>
      <c r="AK18" s="21"/>
      <c r="AL18" s="21"/>
      <c r="AM18" s="0"/>
      <c r="AN18" s="0"/>
    </row>
    <row r="19" ht="15" customHeight="1">
      <c r="C19" s="74"/>
      <c r="D19" s="71"/>
      <c r="F19" s="64"/>
      <c r="P19" s="21"/>
      <c r="Q19" s="21"/>
      <c r="R19" s="21"/>
      <c r="S19" s="21"/>
      <c r="T19" s="21"/>
      <c r="U19" s="21"/>
      <c r="V19" s="21"/>
      <c r="W19" s="0"/>
      <c r="X19" s="21"/>
      <c r="Y19" s="21"/>
      <c r="Z19" s="21"/>
      <c r="AA19" s="21"/>
      <c r="AB19" s="21"/>
      <c r="AC19" s="21"/>
      <c r="AD19" s="21"/>
      <c r="AE19" s="0"/>
      <c r="AF19" s="21"/>
      <c r="AG19" s="21"/>
      <c r="AH19" s="21"/>
      <c r="AI19" s="21"/>
      <c r="AJ19" s="21"/>
      <c r="AK19" s="21"/>
      <c r="AL19" s="21"/>
      <c r="AM19" s="0"/>
      <c r="AN19" s="0"/>
    </row>
    <row r="20" ht="15" customHeight="1">
      <c r="C20" s="74"/>
      <c r="D20" s="71"/>
      <c r="F20" s="64"/>
      <c r="P20" s="21"/>
      <c r="Q20" s="21"/>
      <c r="R20" s="21"/>
      <c r="S20" s="21"/>
      <c r="T20" s="21"/>
      <c r="U20" s="21"/>
      <c r="V20" s="21"/>
      <c r="W20" s="0"/>
      <c r="X20" s="21"/>
      <c r="Y20" s="21"/>
      <c r="Z20" s="21"/>
      <c r="AA20" s="21"/>
      <c r="AB20" s="21"/>
      <c r="AC20" s="21"/>
      <c r="AD20" s="21"/>
      <c r="AE20" s="0"/>
      <c r="AF20" s="21"/>
      <c r="AG20" s="21"/>
      <c r="AH20" s="21"/>
      <c r="AI20" s="21"/>
      <c r="AJ20" s="21"/>
      <c r="AK20" s="21"/>
      <c r="AL20" s="21"/>
      <c r="AM20" s="0"/>
      <c r="AN20" s="0"/>
    </row>
    <row r="21" ht="30" customHeight="1">
      <c r="R21" s="993">
        <v>2021</v>
      </c>
      <c r="S21" s="993"/>
      <c r="T21" s="993"/>
      <c r="U21" s="993"/>
      <c r="V21" s="993"/>
      <c r="W21" s="993"/>
      <c r="X21" s="993"/>
      <c r="Y21" s="993"/>
      <c r="Z21" s="993"/>
      <c r="AA21" s="993"/>
      <c r="AB21" s="993"/>
      <c r="AC21" s="993"/>
      <c r="AD21" s="995">
        <v>2022</v>
      </c>
      <c r="AE21" s="995"/>
      <c r="AF21" s="995"/>
      <c r="AG21" s="995"/>
      <c r="AH21" s="995"/>
      <c r="AI21" s="995"/>
      <c r="AJ21" s="995"/>
      <c r="AK21" s="995"/>
      <c r="AL21" s="995"/>
      <c r="AM21" s="995"/>
      <c r="AN21" s="995"/>
      <c r="AO21" s="995"/>
    </row>
    <row r="22" s="5" customFormat="1" ht="30" customHeight="1">
      <c r="B22" s="76"/>
      <c r="C22" s="77" t="s">
        <v>71</v>
      </c>
      <c r="D22" s="77" t="s">
        <v>21</v>
      </c>
      <c r="E22" s="177" t="s">
        <v>95</v>
      </c>
      <c r="F22" s="10" t="s">
        <v>60</v>
      </c>
      <c r="G22" s="10" t="s">
        <v>61</v>
      </c>
      <c r="H22" s="1065" t="s">
        <v>34</v>
      </c>
      <c r="I22" s="1065"/>
      <c r="J22" s="1065"/>
      <c r="K22" s="1065"/>
      <c r="L22" s="1065" t="s">
        <v>62</v>
      </c>
      <c r="M22" s="1065"/>
      <c r="N22" s="1065"/>
      <c r="O22" s="1065"/>
      <c r="R22" s="617" t="s">
        <v>230</v>
      </c>
      <c r="S22" s="618" t="s">
        <v>231</v>
      </c>
      <c r="T22" s="618" t="s">
        <v>232</v>
      </c>
      <c r="U22" s="618" t="s">
        <v>233</v>
      </c>
      <c r="V22" s="618" t="s">
        <v>234</v>
      </c>
      <c r="W22" s="618" t="s">
        <v>235</v>
      </c>
      <c r="X22" s="618" t="s">
        <v>218</v>
      </c>
      <c r="Y22" s="618" t="s">
        <v>221</v>
      </c>
      <c r="Z22" s="618" t="s">
        <v>222</v>
      </c>
      <c r="AA22" s="618" t="s">
        <v>224</v>
      </c>
      <c r="AB22" s="618" t="s">
        <v>227</v>
      </c>
      <c r="AC22" s="1015" t="s">
        <v>229</v>
      </c>
      <c r="AD22" s="618" t="s">
        <v>230</v>
      </c>
      <c r="AE22" s="618" t="s">
        <v>231</v>
      </c>
      <c r="AF22" s="618" t="s">
        <v>232</v>
      </c>
      <c r="AG22" s="618" t="s">
        <v>233</v>
      </c>
      <c r="AH22" s="618" t="s">
        <v>234</v>
      </c>
      <c r="AI22" s="618" t="s">
        <v>235</v>
      </c>
      <c r="AJ22" s="618" t="s">
        <v>218</v>
      </c>
      <c r="AK22" s="618" t="s">
        <v>221</v>
      </c>
      <c r="AL22" s="618" t="s">
        <v>222</v>
      </c>
      <c r="AM22" s="618" t="s">
        <v>224</v>
      </c>
      <c r="AN22" s="618" t="s">
        <v>227</v>
      </c>
      <c r="AO22" s="1015" t="s">
        <v>229</v>
      </c>
      <c r="AP22" s="78"/>
      <c r="AQ22" s="78"/>
      <c r="AR22" s="78"/>
      <c r="AS22" s="236"/>
      <c r="AT22" s="236"/>
      <c r="AU22" s="236"/>
      <c r="AV22" s="236"/>
      <c r="AW22" s="236"/>
      <c r="AX22" s="236"/>
      <c r="AY22" s="236"/>
      <c r="AZ22" s="236"/>
      <c r="BA22" s="236"/>
      <c r="BB22" s="236"/>
      <c r="BC22" s="236"/>
      <c r="BD22" s="236"/>
      <c r="BE22" s="236"/>
      <c r="BF22" s="236"/>
      <c r="BG22" s="236"/>
      <c r="BH22" s="236"/>
      <c r="BI22" s="236"/>
      <c r="BJ22" s="236"/>
      <c r="BK22" s="236"/>
      <c r="BL22" s="236"/>
      <c r="BM22" s="236"/>
      <c r="BN22" s="236"/>
      <c r="BO22" s="236"/>
      <c r="BP22" s="236"/>
      <c r="BQ22" s="236"/>
      <c r="BR22" s="236"/>
      <c r="BS22" s="236"/>
      <c r="BT22" s="236"/>
      <c r="BU22" s="236"/>
      <c r="BV22" s="236"/>
      <c r="BW22" s="236"/>
    </row>
    <row r="23" s="0" customFormat="1" ht="18" customHeight="1">
      <c r="B23" s="21"/>
      <c r="C23" s="1016">
        <v>56387</v>
      </c>
      <c r="D23" s="1016" t="s">
        <v>213</v>
      </c>
      <c r="E23" s="1016" t="s">
        <v>259</v>
      </c>
      <c r="F23" s="1016" t="s">
        <v>260</v>
      </c>
      <c r="G23" s="1016" t="s">
        <v>261</v>
      </c>
      <c r="H23" s="1017" t="s">
        <v>262</v>
      </c>
      <c r="I23" s="1017"/>
      <c r="J23" s="1017"/>
      <c r="K23" s="1017"/>
      <c r="L23" s="1017" t="s">
        <v>263</v>
      </c>
      <c r="M23" s="1017"/>
      <c r="N23" s="1017"/>
      <c r="O23" s="1017"/>
      <c r="P23" s="80"/>
      <c r="Q23" s="4"/>
      <c r="R23" s="1066" t="s">
        <v>305</v>
      </c>
      <c r="S23" s="1067" t="s">
        <v>305</v>
      </c>
      <c r="T23" s="1067" t="s">
        <v>305</v>
      </c>
      <c r="U23" s="1067" t="s">
        <v>305</v>
      </c>
      <c r="V23" s="1067" t="s">
        <v>305</v>
      </c>
      <c r="W23" s="1067" t="s">
        <v>305</v>
      </c>
      <c r="X23" s="1067" t="s">
        <v>305</v>
      </c>
      <c r="Y23" s="1067" t="s">
        <v>305</v>
      </c>
      <c r="Z23" s="1067" t="s">
        <v>305</v>
      </c>
      <c r="AA23" s="1067" t="s">
        <v>305</v>
      </c>
      <c r="AB23" s="1067" t="s">
        <v>305</v>
      </c>
      <c r="AC23" s="1067" t="s">
        <v>305</v>
      </c>
      <c r="AD23" s="1067" t="s">
        <v>305</v>
      </c>
      <c r="AE23" s="1067" t="s">
        <v>305</v>
      </c>
      <c r="AF23" s="1067" t="s">
        <v>305</v>
      </c>
      <c r="AG23" s="1067" t="s">
        <v>305</v>
      </c>
      <c r="AH23" s="1067" t="s">
        <v>305</v>
      </c>
      <c r="AI23" s="1067" t="s">
        <v>305</v>
      </c>
      <c r="AJ23" s="1067" t="s">
        <v>305</v>
      </c>
      <c r="AK23" s="1067" t="s">
        <v>305</v>
      </c>
      <c r="AL23" s="1067" t="s">
        <v>305</v>
      </c>
      <c r="AM23" s="1067" t="s">
        <v>305</v>
      </c>
      <c r="AN23" s="1067" t="s">
        <v>305</v>
      </c>
      <c r="AO23" s="1068" t="s">
        <v>305</v>
      </c>
      <c r="AP23" s="79"/>
      <c r="AQ23" s="79"/>
      <c r="AR23" s="79"/>
      <c r="AS23" s="236"/>
      <c r="AT23" s="236"/>
      <c r="AU23" s="236"/>
      <c r="AV23" s="236"/>
      <c r="AW23" s="236"/>
      <c r="AX23" s="236"/>
      <c r="AY23" s="236"/>
      <c r="AZ23" s="236"/>
      <c r="BA23" s="236"/>
      <c r="BB23" s="236"/>
      <c r="BC23" s="236"/>
      <c r="BD23" s="236"/>
      <c r="BE23" s="236"/>
      <c r="BF23" s="236"/>
      <c r="BG23" s="236"/>
      <c r="BH23" s="236"/>
      <c r="BI23" s="236"/>
      <c r="BJ23" s="236"/>
      <c r="BK23" s="236"/>
      <c r="BL23" s="236"/>
      <c r="BM23" s="236"/>
      <c r="BN23" s="236"/>
      <c r="BO23" s="236"/>
      <c r="BP23" s="236"/>
      <c r="BQ23" s="236"/>
      <c r="BR23" s="236"/>
      <c r="BS23" s="236"/>
      <c r="BT23" s="236"/>
      <c r="BU23" s="236"/>
      <c r="BV23" s="236"/>
      <c r="BW23" s="236"/>
    </row>
    <row r="24" s="0" customFormat="1" ht="18" customHeight="1">
      <c r="B24" s="21"/>
      <c r="C24" s="1021">
        <v>31851</v>
      </c>
      <c r="D24" s="1021" t="s">
        <v>319</v>
      </c>
      <c r="E24" s="1021" t="s">
        <v>259</v>
      </c>
      <c r="F24" s="1021" t="s">
        <v>320</v>
      </c>
      <c r="G24" s="1021" t="s">
        <v>321</v>
      </c>
      <c r="H24" s="1023" t="s">
        <v>322</v>
      </c>
      <c r="I24" s="1023"/>
      <c r="J24" s="1023"/>
      <c r="K24" s="1023"/>
      <c r="L24" s="1023" t="s">
        <v>323</v>
      </c>
      <c r="M24" s="1023"/>
      <c r="N24" s="1023"/>
      <c r="O24" s="1023"/>
      <c r="P24" s="80"/>
      <c r="Q24" s="4"/>
      <c r="R24" s="1069" t="s">
        <v>305</v>
      </c>
      <c r="S24" s="1070" t="s">
        <v>305</v>
      </c>
      <c r="T24" s="1070" t="s">
        <v>305</v>
      </c>
      <c r="U24" s="1070" t="s">
        <v>305</v>
      </c>
      <c r="V24" s="1070" t="s">
        <v>305</v>
      </c>
      <c r="W24" s="1070" t="s">
        <v>305</v>
      </c>
      <c r="X24" s="1070" t="s">
        <v>305</v>
      </c>
      <c r="Y24" s="1070" t="s">
        <v>305</v>
      </c>
      <c r="Z24" s="1070" t="s">
        <v>305</v>
      </c>
      <c r="AA24" s="1070" t="s">
        <v>305</v>
      </c>
      <c r="AB24" s="1070" t="s">
        <v>305</v>
      </c>
      <c r="AC24" s="1070" t="s">
        <v>305</v>
      </c>
      <c r="AD24" s="1070" t="s">
        <v>305</v>
      </c>
      <c r="AE24" s="1070" t="s">
        <v>305</v>
      </c>
      <c r="AF24" s="1070" t="s">
        <v>305</v>
      </c>
      <c r="AG24" s="1070" t="s">
        <v>305</v>
      </c>
      <c r="AH24" s="1070" t="s">
        <v>305</v>
      </c>
      <c r="AI24" s="1070" t="s">
        <v>305</v>
      </c>
      <c r="AJ24" s="1070" t="s">
        <v>305</v>
      </c>
      <c r="AK24" s="1070" t="s">
        <v>305</v>
      </c>
      <c r="AL24" s="1070" t="s">
        <v>305</v>
      </c>
      <c r="AM24" s="1070" t="s">
        <v>305</v>
      </c>
      <c r="AN24" s="1070" t="s">
        <v>305</v>
      </c>
      <c r="AO24" s="1071" t="s">
        <v>305</v>
      </c>
      <c r="AP24" s="79"/>
      <c r="AQ24" s="79"/>
      <c r="AR24" s="79"/>
      <c r="AS24" s="236"/>
      <c r="AT24" s="236"/>
      <c r="AU24" s="236"/>
      <c r="AV24" s="236"/>
      <c r="AW24" s="236"/>
      <c r="AX24" s="236"/>
      <c r="AY24" s="236"/>
      <c r="AZ24" s="236"/>
      <c r="BA24" s="236"/>
      <c r="BB24" s="236"/>
      <c r="BC24" s="236"/>
      <c r="BD24" s="236"/>
      <c r="BE24" s="236"/>
      <c r="BF24" s="236"/>
      <c r="BG24" s="236"/>
      <c r="BH24" s="236"/>
      <c r="BI24" s="236"/>
      <c r="BJ24" s="236"/>
      <c r="BK24" s="236"/>
      <c r="BL24" s="236"/>
      <c r="BM24" s="236"/>
      <c r="BN24" s="236"/>
      <c r="BO24" s="236"/>
      <c r="BP24" s="236"/>
      <c r="BQ24" s="236"/>
      <c r="BR24" s="236"/>
      <c r="BS24" s="236"/>
      <c r="BT24" s="236"/>
      <c r="BU24" s="236"/>
      <c r="BV24" s="236"/>
      <c r="BW24" s="236"/>
    </row>
    <row r="25" s="0" customFormat="1" ht="18" customHeight="1">
      <c r="B25" s="21"/>
      <c r="C25" s="1016">
        <v>33931</v>
      </c>
      <c r="D25" s="1016" t="s">
        <v>265</v>
      </c>
      <c r="E25" s="1016" t="s">
        <v>259</v>
      </c>
      <c r="F25" s="1027" t="s">
        <v>266</v>
      </c>
      <c r="G25" s="1016" t="s">
        <v>267</v>
      </c>
      <c r="H25" s="1017" t="s">
        <v>268</v>
      </c>
      <c r="I25" s="1017"/>
      <c r="J25" s="1017"/>
      <c r="K25" s="1017"/>
      <c r="L25" s="1017" t="s">
        <v>269</v>
      </c>
      <c r="M25" s="1017"/>
      <c r="N25" s="1017"/>
      <c r="O25" s="1017"/>
      <c r="P25" s="80"/>
      <c r="Q25" s="4"/>
      <c r="R25" s="1066" t="s">
        <v>306</v>
      </c>
      <c r="S25" s="1067" t="s">
        <v>306</v>
      </c>
      <c r="T25" s="1067" t="s">
        <v>306</v>
      </c>
      <c r="U25" s="1067" t="s">
        <v>305</v>
      </c>
      <c r="V25" s="1067" t="s">
        <v>305</v>
      </c>
      <c r="W25" s="1067" t="s">
        <v>305</v>
      </c>
      <c r="X25" s="1067" t="s">
        <v>305</v>
      </c>
      <c r="Y25" s="1067" t="s">
        <v>306</v>
      </c>
      <c r="Z25" s="1067" t="s">
        <v>306</v>
      </c>
      <c r="AA25" s="1067" t="s">
        <v>306</v>
      </c>
      <c r="AB25" s="1067" t="s">
        <v>278</v>
      </c>
      <c r="AC25" s="1067" t="s">
        <v>305</v>
      </c>
      <c r="AD25" s="1067" t="s">
        <v>306</v>
      </c>
      <c r="AE25" s="1067" t="s">
        <v>305</v>
      </c>
      <c r="AF25" s="1067" t="s">
        <v>305</v>
      </c>
      <c r="AG25" s="1067" t="s">
        <v>306</v>
      </c>
      <c r="AH25" s="1067" t="s">
        <v>305</v>
      </c>
      <c r="AI25" s="1067" t="s">
        <v>306</v>
      </c>
      <c r="AJ25" s="1067" t="s">
        <v>306</v>
      </c>
      <c r="AK25" s="1067" t="s">
        <v>306</v>
      </c>
      <c r="AL25" s="1067" t="s">
        <v>306</v>
      </c>
      <c r="AM25" s="1067" t="s">
        <v>306</v>
      </c>
      <c r="AN25" s="1067" t="s">
        <v>306</v>
      </c>
      <c r="AO25" s="1068" t="s">
        <v>306</v>
      </c>
      <c r="AP25" s="79"/>
      <c r="AQ25" s="79"/>
      <c r="AR25" s="79"/>
      <c r="AS25" s="236"/>
      <c r="AT25" s="236"/>
      <c r="AU25" s="236"/>
      <c r="AV25" s="236"/>
      <c r="AW25" s="236"/>
      <c r="AX25" s="236"/>
      <c r="AY25" s="236"/>
      <c r="AZ25" s="236"/>
      <c r="BA25" s="236"/>
      <c r="BB25" s="236"/>
      <c r="BC25" s="236"/>
      <c r="BD25" s="236"/>
      <c r="BE25" s="236"/>
      <c r="BF25" s="236"/>
      <c r="BG25" s="236"/>
      <c r="BH25" s="236"/>
      <c r="BI25" s="236"/>
      <c r="BJ25" s="236"/>
      <c r="BK25" s="236"/>
      <c r="BL25" s="236"/>
      <c r="BM25" s="236"/>
      <c r="BN25" s="236"/>
      <c r="BO25" s="236"/>
      <c r="BP25" s="236"/>
      <c r="BQ25" s="236"/>
      <c r="BR25" s="236"/>
      <c r="BS25" s="236"/>
      <c r="BT25" s="236"/>
      <c r="BU25" s="236"/>
      <c r="BV25" s="236"/>
      <c r="BW25" s="236"/>
    </row>
    <row r="26" s="0" customFormat="1" ht="18" customHeight="1">
      <c r="B26" s="21"/>
      <c r="C26" s="1021">
        <v>34401</v>
      </c>
      <c r="D26" s="1021" t="s">
        <v>270</v>
      </c>
      <c r="E26" s="1021" t="s">
        <v>259</v>
      </c>
      <c r="F26" s="1022" t="s">
        <v>266</v>
      </c>
      <c r="G26" s="1021" t="s">
        <v>271</v>
      </c>
      <c r="H26" s="1023" t="s">
        <v>272</v>
      </c>
      <c r="I26" s="1023"/>
      <c r="J26" s="1023"/>
      <c r="K26" s="1023"/>
      <c r="L26" s="1023" t="s">
        <v>273</v>
      </c>
      <c r="M26" s="1023"/>
      <c r="N26" s="1023"/>
      <c r="O26" s="1023"/>
      <c r="P26" s="80"/>
      <c r="Q26" s="4"/>
      <c r="R26" s="1069" t="s">
        <v>305</v>
      </c>
      <c r="S26" s="1070" t="s">
        <v>305</v>
      </c>
      <c r="T26" s="1070" t="s">
        <v>305</v>
      </c>
      <c r="U26" s="1070" t="s">
        <v>305</v>
      </c>
      <c r="V26" s="1070" t="s">
        <v>305</v>
      </c>
      <c r="W26" s="1070" t="s">
        <v>305</v>
      </c>
      <c r="X26" s="1070" t="s">
        <v>305</v>
      </c>
      <c r="Y26" s="1070" t="s">
        <v>305</v>
      </c>
      <c r="Z26" s="1070" t="s">
        <v>305</v>
      </c>
      <c r="AA26" s="1070" t="s">
        <v>305</v>
      </c>
      <c r="AB26" s="1070" t="s">
        <v>305</v>
      </c>
      <c r="AC26" s="1070" t="s">
        <v>305</v>
      </c>
      <c r="AD26" s="1070" t="s">
        <v>305</v>
      </c>
      <c r="AE26" s="1070" t="s">
        <v>305</v>
      </c>
      <c r="AF26" s="1070" t="s">
        <v>305</v>
      </c>
      <c r="AG26" s="1070" t="s">
        <v>305</v>
      </c>
      <c r="AH26" s="1070" t="s">
        <v>305</v>
      </c>
      <c r="AI26" s="1070" t="s">
        <v>305</v>
      </c>
      <c r="AJ26" s="1070" t="s">
        <v>305</v>
      </c>
      <c r="AK26" s="1070" t="s">
        <v>305</v>
      </c>
      <c r="AL26" s="1070" t="s">
        <v>305</v>
      </c>
      <c r="AM26" s="1070" t="s">
        <v>305</v>
      </c>
      <c r="AN26" s="1070" t="s">
        <v>305</v>
      </c>
      <c r="AO26" s="1071" t="s">
        <v>305</v>
      </c>
      <c r="AP26" s="79"/>
      <c r="AQ26" s="79"/>
      <c r="AR26" s="79"/>
      <c r="AS26" s="236"/>
      <c r="AT26" s="236"/>
      <c r="AU26" s="236"/>
      <c r="AV26" s="236"/>
      <c r="AW26" s="236"/>
      <c r="AX26" s="236"/>
      <c r="AY26" s="236"/>
      <c r="AZ26" s="236"/>
      <c r="BA26" s="236"/>
      <c r="BB26" s="236"/>
      <c r="BC26" s="236"/>
      <c r="BD26" s="236"/>
      <c r="BE26" s="236"/>
      <c r="BF26" s="236"/>
      <c r="BG26" s="236"/>
      <c r="BH26" s="236"/>
      <c r="BI26" s="236"/>
      <c r="BJ26" s="236"/>
      <c r="BK26" s="236"/>
      <c r="BL26" s="236"/>
      <c r="BM26" s="236"/>
      <c r="BN26" s="236"/>
      <c r="BO26" s="236"/>
      <c r="BP26" s="236"/>
      <c r="BQ26" s="236"/>
      <c r="BR26" s="236"/>
      <c r="BS26" s="236"/>
      <c r="BT26" s="236"/>
      <c r="BU26" s="236"/>
      <c r="BV26" s="236"/>
      <c r="BW26" s="236"/>
    </row>
    <row r="27" s="0" customFormat="1" ht="18" customHeight="1">
      <c r="B27" s="21"/>
      <c r="C27" s="1016">
        <v>35815</v>
      </c>
      <c r="D27" s="1016" t="s">
        <v>324</v>
      </c>
      <c r="E27" s="1016" t="s">
        <v>259</v>
      </c>
      <c r="F27" s="1027" t="s">
        <v>266</v>
      </c>
      <c r="G27" s="1016" t="s">
        <v>325</v>
      </c>
      <c r="H27" s="1017" t="s">
        <v>326</v>
      </c>
      <c r="I27" s="1017"/>
      <c r="J27" s="1017"/>
      <c r="K27" s="1017"/>
      <c r="L27" s="1017" t="s">
        <v>327</v>
      </c>
      <c r="M27" s="1017"/>
      <c r="N27" s="1017"/>
      <c r="O27" s="1017"/>
      <c r="P27" s="80"/>
      <c r="Q27" s="4"/>
      <c r="R27" s="1066" t="s">
        <v>305</v>
      </c>
      <c r="S27" s="1067" t="s">
        <v>305</v>
      </c>
      <c r="T27" s="1067" t="s">
        <v>306</v>
      </c>
      <c r="U27" s="1067" t="s">
        <v>305</v>
      </c>
      <c r="V27" s="1067" t="s">
        <v>305</v>
      </c>
      <c r="W27" s="1067" t="s">
        <v>305</v>
      </c>
      <c r="X27" s="1067" t="s">
        <v>305</v>
      </c>
      <c r="Y27" s="1067" t="s">
        <v>305</v>
      </c>
      <c r="Z27" s="1067" t="s">
        <v>305</v>
      </c>
      <c r="AA27" s="1067" t="s">
        <v>305</v>
      </c>
      <c r="AB27" s="1067" t="s">
        <v>305</v>
      </c>
      <c r="AC27" s="1067" t="s">
        <v>305</v>
      </c>
      <c r="AD27" s="1067" t="s">
        <v>305</v>
      </c>
      <c r="AE27" s="1067" t="s">
        <v>305</v>
      </c>
      <c r="AF27" s="1067" t="s">
        <v>305</v>
      </c>
      <c r="AG27" s="1067" t="s">
        <v>305</v>
      </c>
      <c r="AH27" s="1067" t="s">
        <v>305</v>
      </c>
      <c r="AI27" s="1067" t="s">
        <v>306</v>
      </c>
      <c r="AJ27" s="1067" t="s">
        <v>306</v>
      </c>
      <c r="AK27" s="1067" t="s">
        <v>306</v>
      </c>
      <c r="AL27" s="1067" t="s">
        <v>306</v>
      </c>
      <c r="AM27" s="1067" t="s">
        <v>306</v>
      </c>
      <c r="AN27" s="1067" t="s">
        <v>306</v>
      </c>
      <c r="AO27" s="1068" t="s">
        <v>306</v>
      </c>
      <c r="AP27" s="79"/>
      <c r="AQ27" s="79"/>
      <c r="AR27" s="79"/>
      <c r="AS27" s="236"/>
      <c r="AT27" s="236"/>
      <c r="AU27" s="236"/>
      <c r="AV27" s="236"/>
      <c r="AW27" s="236"/>
      <c r="AX27" s="236"/>
      <c r="AY27" s="236"/>
      <c r="AZ27" s="236"/>
      <c r="BA27" s="236"/>
      <c r="BB27" s="236"/>
      <c r="BC27" s="236"/>
      <c r="BD27" s="236"/>
      <c r="BE27" s="236"/>
      <c r="BF27" s="236"/>
      <c r="BG27" s="236"/>
      <c r="BH27" s="236"/>
      <c r="BI27" s="236"/>
      <c r="BJ27" s="236"/>
      <c r="BK27" s="236"/>
      <c r="BL27" s="236"/>
      <c r="BM27" s="236"/>
      <c r="BN27" s="236"/>
      <c r="BO27" s="236"/>
      <c r="BP27" s="236"/>
      <c r="BQ27" s="236"/>
      <c r="BR27" s="236"/>
      <c r="BS27" s="236"/>
      <c r="BT27" s="236"/>
      <c r="BU27" s="236"/>
      <c r="BV27" s="236"/>
      <c r="BW27" s="236"/>
    </row>
    <row r="28" s="0" customFormat="1" ht="18" customHeight="1">
      <c r="B28" s="21"/>
      <c r="C28" s="1021">
        <v>39070</v>
      </c>
      <c r="D28" s="1021" t="s">
        <v>274</v>
      </c>
      <c r="E28" s="1021" t="s">
        <v>259</v>
      </c>
      <c r="F28" s="1022" t="s">
        <v>266</v>
      </c>
      <c r="G28" s="1021" t="s">
        <v>275</v>
      </c>
      <c r="H28" s="1023" t="s">
        <v>276</v>
      </c>
      <c r="I28" s="1023"/>
      <c r="J28" s="1023"/>
      <c r="K28" s="1023"/>
      <c r="L28" s="1023" t="s">
        <v>277</v>
      </c>
      <c r="M28" s="1023"/>
      <c r="N28" s="1023"/>
      <c r="O28" s="1023"/>
      <c r="P28" s="80"/>
      <c r="Q28" s="4"/>
      <c r="R28" s="1069" t="s">
        <v>278</v>
      </c>
      <c r="S28" s="1070" t="s">
        <v>278</v>
      </c>
      <c r="T28" s="1070" t="s">
        <v>278</v>
      </c>
      <c r="U28" s="1070" t="s">
        <v>278</v>
      </c>
      <c r="V28" s="1070" t="s">
        <v>278</v>
      </c>
      <c r="W28" s="1070" t="s">
        <v>278</v>
      </c>
      <c r="X28" s="1070" t="s">
        <v>278</v>
      </c>
      <c r="Y28" s="1070" t="s">
        <v>278</v>
      </c>
      <c r="Z28" s="1070" t="s">
        <v>278</v>
      </c>
      <c r="AA28" s="1070" t="s">
        <v>305</v>
      </c>
      <c r="AB28" s="1070" t="s">
        <v>305</v>
      </c>
      <c r="AC28" s="1070" t="s">
        <v>305</v>
      </c>
      <c r="AD28" s="1070" t="s">
        <v>305</v>
      </c>
      <c r="AE28" s="1070" t="s">
        <v>305</v>
      </c>
      <c r="AF28" s="1070" t="s">
        <v>305</v>
      </c>
      <c r="AG28" s="1070" t="s">
        <v>305</v>
      </c>
      <c r="AH28" s="1070" t="s">
        <v>305</v>
      </c>
      <c r="AI28" s="1070" t="s">
        <v>305</v>
      </c>
      <c r="AJ28" s="1070" t="s">
        <v>305</v>
      </c>
      <c r="AK28" s="1070" t="s">
        <v>305</v>
      </c>
      <c r="AL28" s="1070" t="s">
        <v>305</v>
      </c>
      <c r="AM28" s="1070" t="s">
        <v>305</v>
      </c>
      <c r="AN28" s="1070" t="s">
        <v>305</v>
      </c>
      <c r="AO28" s="1071" t="s">
        <v>305</v>
      </c>
      <c r="AP28" s="79"/>
      <c r="AQ28" s="79"/>
      <c r="AR28" s="79"/>
      <c r="AS28" s="236"/>
      <c r="AT28" s="236"/>
      <c r="AU28" s="236"/>
      <c r="AV28" s="236"/>
      <c r="AW28" s="236"/>
      <c r="AX28" s="236"/>
      <c r="AY28" s="236"/>
      <c r="AZ28" s="236"/>
      <c r="BA28" s="236"/>
      <c r="BB28" s="236"/>
      <c r="BC28" s="236"/>
      <c r="BD28" s="236"/>
      <c r="BE28" s="236"/>
      <c r="BF28" s="236"/>
      <c r="BG28" s="236"/>
      <c r="BH28" s="236"/>
      <c r="BI28" s="236"/>
      <c r="BJ28" s="236"/>
      <c r="BK28" s="236"/>
      <c r="BL28" s="236"/>
      <c r="BM28" s="236"/>
      <c r="BN28" s="236"/>
      <c r="BO28" s="236"/>
      <c r="BP28" s="236"/>
      <c r="BQ28" s="236"/>
      <c r="BR28" s="236"/>
      <c r="BS28" s="236"/>
      <c r="BT28" s="236"/>
      <c r="BU28" s="236"/>
      <c r="BV28" s="236"/>
      <c r="BW28" s="236"/>
    </row>
    <row r="29" s="0" customFormat="1" ht="18" customHeight="1">
      <c r="B29" s="21"/>
      <c r="C29" s="1016">
        <v>43915</v>
      </c>
      <c r="D29" s="1016" t="s">
        <v>328</v>
      </c>
      <c r="E29" s="1016" t="s">
        <v>259</v>
      </c>
      <c r="F29" s="1016" t="s">
        <v>329</v>
      </c>
      <c r="G29" s="1016" t="s">
        <v>330</v>
      </c>
      <c r="H29" s="1017" t="s">
        <v>331</v>
      </c>
      <c r="I29" s="1017"/>
      <c r="J29" s="1017"/>
      <c r="K29" s="1017"/>
      <c r="L29" s="1017" t="s">
        <v>332</v>
      </c>
      <c r="M29" s="1017"/>
      <c r="N29" s="1017"/>
      <c r="O29" s="1017"/>
      <c r="P29" s="80"/>
      <c r="Q29" s="4"/>
      <c r="R29" s="1066" t="s">
        <v>306</v>
      </c>
      <c r="S29" s="1067" t="s">
        <v>306</v>
      </c>
      <c r="T29" s="1067" t="s">
        <v>306</v>
      </c>
      <c r="U29" s="1067" t="s">
        <v>306</v>
      </c>
      <c r="V29" s="1067" t="s">
        <v>306</v>
      </c>
      <c r="W29" s="1067" t="s">
        <v>306</v>
      </c>
      <c r="X29" s="1067" t="s">
        <v>306</v>
      </c>
      <c r="Y29" s="1067" t="s">
        <v>306</v>
      </c>
      <c r="Z29" s="1067" t="s">
        <v>306</v>
      </c>
      <c r="AA29" s="1067" t="s">
        <v>306</v>
      </c>
      <c r="AB29" s="1067" t="s">
        <v>306</v>
      </c>
      <c r="AC29" s="1067" t="s">
        <v>306</v>
      </c>
      <c r="AD29" s="1067" t="s">
        <v>306</v>
      </c>
      <c r="AE29" s="1067" t="s">
        <v>305</v>
      </c>
      <c r="AF29" s="1067" t="s">
        <v>305</v>
      </c>
      <c r="AG29" s="1067" t="s">
        <v>305</v>
      </c>
      <c r="AH29" s="1067" t="s">
        <v>306</v>
      </c>
      <c r="AI29" s="1067" t="s">
        <v>305</v>
      </c>
      <c r="AJ29" s="1067" t="s">
        <v>306</v>
      </c>
      <c r="AK29" s="1067" t="s">
        <v>306</v>
      </c>
      <c r="AL29" s="1067" t="s">
        <v>306</v>
      </c>
      <c r="AM29" s="1067" t="s">
        <v>306</v>
      </c>
      <c r="AN29" s="1067" t="s">
        <v>306</v>
      </c>
      <c r="AO29" s="1068" t="s">
        <v>306</v>
      </c>
      <c r="AP29" s="79"/>
      <c r="AQ29" s="79"/>
      <c r="AR29" s="79"/>
      <c r="AS29" s="236"/>
      <c r="AT29" s="236"/>
      <c r="AU29" s="236"/>
      <c r="AV29" s="236"/>
      <c r="AW29" s="236"/>
      <c r="AX29" s="236"/>
      <c r="AY29" s="236"/>
      <c r="AZ29" s="236"/>
      <c r="BA29" s="236"/>
      <c r="BB29" s="236"/>
      <c r="BC29" s="236"/>
      <c r="BD29" s="236"/>
      <c r="BE29" s="236"/>
      <c r="BF29" s="236"/>
      <c r="BG29" s="236"/>
      <c r="BH29" s="236"/>
      <c r="BI29" s="236"/>
      <c r="BJ29" s="236"/>
      <c r="BK29" s="236"/>
      <c r="BL29" s="236"/>
      <c r="BM29" s="236"/>
      <c r="BN29" s="236"/>
      <c r="BO29" s="236"/>
      <c r="BP29" s="236"/>
      <c r="BQ29" s="236"/>
      <c r="BR29" s="236"/>
      <c r="BS29" s="236"/>
      <c r="BT29" s="236"/>
      <c r="BU29" s="236"/>
      <c r="BV29" s="236"/>
      <c r="BW29" s="236"/>
    </row>
    <row r="30" s="0" customFormat="1" ht="18" customHeight="1">
      <c r="B30" s="21"/>
      <c r="C30" s="181"/>
      <c r="D30" s="181"/>
      <c r="E30" s="181"/>
      <c r="F30" s="201"/>
      <c r="G30" s="181"/>
      <c r="H30" s="997">
        <v>765</v>
      </c>
      <c r="I30" s="997"/>
      <c r="J30" s="997"/>
      <c r="K30" s="997"/>
      <c r="L30" s="1072"/>
      <c r="M30" s="1072"/>
      <c r="N30" s="1072"/>
      <c r="O30" s="1072"/>
      <c r="P30" s="80"/>
      <c r="Q30" s="4"/>
      <c r="R30" s="182"/>
      <c r="S30" s="182"/>
      <c r="T30" s="182"/>
      <c r="U30" s="182"/>
      <c r="V30" s="182"/>
      <c r="W30" s="182"/>
      <c r="X30" s="182"/>
      <c r="Y30" s="182"/>
      <c r="Z30" s="182"/>
      <c r="AA30" s="182"/>
      <c r="AB30" s="182"/>
      <c r="AC30" s="182"/>
      <c r="AD30" s="182"/>
      <c r="AE30" s="182"/>
      <c r="AF30" s="182"/>
      <c r="AG30" s="182"/>
      <c r="AH30" s="182"/>
      <c r="AI30" s="182"/>
      <c r="AJ30" s="182"/>
      <c r="AK30" s="182"/>
      <c r="AL30" s="182"/>
      <c r="AM30" s="182"/>
      <c r="AN30" s="182"/>
      <c r="AO30" s="182"/>
      <c r="AP30" s="79"/>
      <c r="AQ30" s="79"/>
      <c r="AR30" s="79"/>
      <c r="AS30" s="236"/>
      <c r="AT30" s="236"/>
      <c r="AU30" s="236"/>
      <c r="AV30" s="236"/>
      <c r="AW30" s="236"/>
      <c r="AX30" s="236"/>
      <c r="AY30" s="236"/>
      <c r="AZ30" s="236"/>
      <c r="BA30" s="236"/>
      <c r="BB30" s="236"/>
      <c r="BC30" s="236"/>
      <c r="BD30" s="236"/>
      <c r="BE30" s="236"/>
      <c r="BF30" s="236"/>
      <c r="BG30" s="236"/>
      <c r="BH30" s="236"/>
      <c r="BI30" s="236"/>
      <c r="BJ30" s="236"/>
      <c r="BK30" s="236"/>
      <c r="BL30" s="236"/>
      <c r="BM30" s="236"/>
      <c r="BN30" s="236"/>
      <c r="BO30" s="236"/>
      <c r="BP30" s="236"/>
      <c r="BQ30" s="236"/>
      <c r="BR30" s="236"/>
      <c r="BS30" s="236"/>
      <c r="BT30" s="236"/>
      <c r="BU30" s="236"/>
      <c r="BV30" s="236"/>
      <c r="BW30" s="236"/>
    </row>
    <row r="31" s="0" customFormat="1" ht="18" customHeight="1">
      <c r="B31" s="21"/>
      <c r="C31" s="181"/>
      <c r="D31" s="181"/>
      <c r="E31" s="181"/>
      <c r="F31" s="201"/>
      <c r="G31" s="181"/>
      <c r="H31" s="996"/>
      <c r="I31" s="996"/>
      <c r="J31" s="996"/>
      <c r="K31" s="996"/>
      <c r="L31" s="1072"/>
      <c r="M31" s="1072"/>
      <c r="N31" s="1072"/>
      <c r="O31" s="1072"/>
      <c r="P31" s="80"/>
      <c r="Q31" s="4"/>
      <c r="R31" s="182"/>
      <c r="S31" s="182"/>
      <c r="T31" s="182"/>
      <c r="U31" s="182"/>
      <c r="V31" s="182"/>
      <c r="W31" s="182"/>
      <c r="X31" s="1028" t="s">
        <v>288</v>
      </c>
      <c r="Y31" s="182"/>
      <c r="Z31" s="182"/>
      <c r="AA31" s="182"/>
      <c r="AB31" s="182"/>
      <c r="AC31" s="182"/>
      <c r="AD31" s="182"/>
      <c r="AE31" s="182"/>
      <c r="AF31" s="182"/>
      <c r="AG31" s="182"/>
      <c r="AH31" s="182"/>
      <c r="AI31" s="182"/>
      <c r="AJ31" s="182"/>
      <c r="AK31" s="182"/>
      <c r="AL31" s="182"/>
      <c r="AM31" s="182"/>
      <c r="AN31" s="182"/>
      <c r="AO31" s="182"/>
      <c r="AP31" s="48"/>
      <c r="AQ31" s="48"/>
      <c r="AR31" s="48"/>
      <c r="AS31" s="236"/>
      <c r="AT31" s="236"/>
      <c r="AU31" s="236"/>
      <c r="AV31" s="236"/>
      <c r="AW31" s="236"/>
      <c r="AX31" s="236"/>
      <c r="AY31" s="236"/>
      <c r="AZ31" s="236"/>
      <c r="BA31" s="236"/>
      <c r="BB31" s="236"/>
      <c r="BC31" s="236"/>
      <c r="BD31" s="236"/>
      <c r="BE31" s="236"/>
      <c r="BF31" s="236"/>
      <c r="BG31" s="236"/>
      <c r="BH31" s="236"/>
      <c r="BI31" s="236"/>
      <c r="BJ31" s="236"/>
      <c r="BK31" s="236"/>
      <c r="BL31" s="236"/>
      <c r="BM31" s="236"/>
      <c r="BN31" s="236"/>
      <c r="BO31" s="236"/>
      <c r="BP31" s="236"/>
      <c r="BQ31" s="236"/>
      <c r="BR31" s="236"/>
      <c r="BS31" s="236"/>
      <c r="BT31" s="236"/>
      <c r="BU31" s="236"/>
      <c r="BV31" s="236"/>
      <c r="BW31" s="236"/>
    </row>
    <row r="32" s="0" customFormat="1" ht="18" customHeight="1">
      <c r="B32" s="21"/>
      <c r="C32" s="181"/>
      <c r="D32" s="181"/>
      <c r="E32" s="181"/>
      <c r="F32" s="201"/>
      <c r="G32" s="181"/>
      <c r="H32" s="996"/>
      <c r="I32" s="996"/>
      <c r="J32" s="996"/>
      <c r="K32" s="996"/>
      <c r="L32" s="1072"/>
      <c r="M32" s="1072"/>
      <c r="N32" s="1072"/>
      <c r="O32" s="1072"/>
      <c r="P32" s="80"/>
      <c r="Q32" s="4"/>
      <c r="R32" s="182"/>
      <c r="S32" s="182"/>
      <c r="T32" s="182"/>
      <c r="U32" s="182"/>
      <c r="V32" s="182"/>
      <c r="W32" s="182"/>
      <c r="X32" s="182"/>
      <c r="Y32" s="182"/>
      <c r="Z32" s="182"/>
      <c r="AA32" s="1073" t="s">
        <v>306</v>
      </c>
      <c r="AB32" s="1028" t="s">
        <v>307</v>
      </c>
      <c r="AC32" s="182"/>
      <c r="AD32" s="182"/>
      <c r="AE32" s="182"/>
      <c r="AF32" s="182"/>
      <c r="AG32" s="182"/>
      <c r="AH32" s="182"/>
      <c r="AI32" s="182"/>
      <c r="AJ32" s="182"/>
      <c r="AK32" s="182"/>
      <c r="AL32" s="182"/>
      <c r="AM32" s="182"/>
      <c r="AN32" s="182"/>
      <c r="AO32" s="182"/>
      <c r="AP32" s="79"/>
      <c r="AQ32" s="79"/>
      <c r="AR32" s="79"/>
      <c r="AS32" s="236"/>
      <c r="AT32" s="236"/>
      <c r="AU32" s="236"/>
      <c r="AV32" s="236"/>
      <c r="AW32" s="236"/>
      <c r="AX32" s="236"/>
      <c r="AY32" s="236"/>
      <c r="AZ32" s="236"/>
      <c r="BA32" s="236"/>
      <c r="BB32" s="236"/>
      <c r="BC32" s="236"/>
      <c r="BD32" s="236"/>
      <c r="BE32" s="236"/>
      <c r="BF32" s="236"/>
      <c r="BG32" s="236"/>
      <c r="BH32" s="236"/>
      <c r="BI32" s="236"/>
      <c r="BJ32" s="236"/>
      <c r="BK32" s="236"/>
      <c r="BL32" s="236"/>
      <c r="BM32" s="236"/>
      <c r="BN32" s="236"/>
      <c r="BO32" s="236"/>
      <c r="BP32" s="236"/>
      <c r="BQ32" s="236"/>
      <c r="BR32" s="236"/>
      <c r="BS32" s="236"/>
      <c r="BT32" s="236"/>
      <c r="BU32" s="236"/>
      <c r="BV32" s="236"/>
      <c r="BW32" s="236"/>
    </row>
    <row r="33" s="0" customFormat="1" ht="18" customHeight="1">
      <c r="B33" s="21"/>
      <c r="C33" s="181"/>
      <c r="D33" s="181"/>
      <c r="E33" s="181"/>
      <c r="F33" s="201"/>
      <c r="G33" s="181"/>
      <c r="H33" s="996"/>
      <c r="I33" s="996"/>
      <c r="J33" s="996"/>
      <c r="K33" s="996"/>
      <c r="L33" s="1072"/>
      <c r="M33" s="1072"/>
      <c r="N33" s="1072"/>
      <c r="O33" s="1072"/>
      <c r="P33" s="80"/>
      <c r="Q33" s="4"/>
      <c r="R33" s="182"/>
      <c r="S33" s="182"/>
      <c r="T33" s="182"/>
      <c r="U33" s="182"/>
      <c r="V33" s="182"/>
      <c r="W33" s="182"/>
      <c r="X33" s="182"/>
      <c r="Y33" s="182"/>
      <c r="Z33" s="182"/>
      <c r="AA33" s="1073" t="s">
        <v>308</v>
      </c>
      <c r="AB33" s="1028" t="s">
        <v>309</v>
      </c>
      <c r="AC33" s="182"/>
      <c r="AD33" s="182"/>
      <c r="AE33" s="182"/>
      <c r="AF33" s="182"/>
      <c r="AG33" s="182"/>
      <c r="AH33" s="182"/>
      <c r="AI33" s="182"/>
      <c r="AJ33" s="182"/>
      <c r="AK33" s="182"/>
      <c r="AL33" s="182"/>
      <c r="AM33" s="182"/>
      <c r="AN33" s="182"/>
      <c r="AO33" s="182"/>
      <c r="AP33" s="79"/>
      <c r="AQ33" s="79"/>
      <c r="AR33" s="79"/>
      <c r="AS33" s="236"/>
      <c r="AT33" s="236"/>
      <c r="AU33" s="236"/>
      <c r="AV33" s="236"/>
      <c r="AW33" s="236"/>
      <c r="AX33" s="236"/>
      <c r="AY33" s="236"/>
      <c r="AZ33" s="236"/>
      <c r="BA33" s="236"/>
      <c r="BB33" s="236"/>
      <c r="BC33" s="236"/>
      <c r="BD33" s="236"/>
      <c r="BE33" s="236"/>
      <c r="BF33" s="236"/>
      <c r="BG33" s="236"/>
      <c r="BH33" s="236"/>
      <c r="BI33" s="236"/>
      <c r="BJ33" s="236"/>
      <c r="BK33" s="236"/>
      <c r="BL33" s="236"/>
      <c r="BM33" s="236"/>
      <c r="BN33" s="236"/>
      <c r="BO33" s="236"/>
      <c r="BP33" s="236"/>
      <c r="BQ33" s="236"/>
      <c r="BR33" s="236"/>
      <c r="BS33" s="236"/>
      <c r="BT33" s="236"/>
      <c r="BU33" s="236"/>
      <c r="BV33" s="236"/>
      <c r="BW33" s="236"/>
    </row>
    <row r="34" s="0" customFormat="1" ht="18" customHeight="1">
      <c r="B34" s="21"/>
      <c r="C34" s="181"/>
      <c r="D34" s="181"/>
      <c r="E34" s="181"/>
      <c r="F34" s="201"/>
      <c r="G34" s="181"/>
      <c r="H34" s="996"/>
      <c r="I34" s="996"/>
      <c r="J34" s="996"/>
      <c r="K34" s="996"/>
      <c r="L34" s="1072"/>
      <c r="M34" s="1072"/>
      <c r="N34" s="1072"/>
      <c r="O34" s="1072"/>
      <c r="P34" s="80"/>
      <c r="Q34" s="4"/>
      <c r="R34" s="182"/>
      <c r="S34" s="182"/>
      <c r="T34" s="182"/>
      <c r="U34" s="182"/>
      <c r="V34" s="182"/>
      <c r="W34" s="182"/>
      <c r="X34" s="182"/>
      <c r="Y34" s="182"/>
      <c r="Z34" s="182"/>
      <c r="AA34" s="1074" t="s">
        <v>305</v>
      </c>
      <c r="AB34" s="1028" t="s">
        <v>310</v>
      </c>
      <c r="AC34" s="182"/>
      <c r="AD34" s="182"/>
      <c r="AE34" s="182"/>
      <c r="AF34" s="182"/>
      <c r="AG34" s="182"/>
      <c r="AH34" s="182"/>
      <c r="AI34" s="182"/>
      <c r="AJ34" s="182"/>
      <c r="AK34" s="182"/>
      <c r="AL34" s="182"/>
      <c r="AM34" s="182"/>
      <c r="AN34" s="182"/>
      <c r="AO34" s="182"/>
      <c r="AP34" s="48"/>
      <c r="AQ34" s="48"/>
      <c r="AR34" s="48"/>
      <c r="AS34" s="236"/>
      <c r="AT34" s="236"/>
      <c r="AU34" s="236"/>
      <c r="AV34" s="236"/>
      <c r="AW34" s="236"/>
      <c r="AX34" s="236"/>
      <c r="AY34" s="236"/>
      <c r="AZ34" s="236"/>
      <c r="BA34" s="236"/>
      <c r="BB34" s="236"/>
      <c r="BC34" s="236"/>
      <c r="BD34" s="236"/>
      <c r="BE34" s="236"/>
      <c r="BF34" s="236"/>
      <c r="BG34" s="236"/>
      <c r="BH34" s="236"/>
      <c r="BI34" s="236"/>
      <c r="BJ34" s="236"/>
      <c r="BK34" s="236"/>
      <c r="BL34" s="236"/>
      <c r="BM34" s="236"/>
      <c r="BN34" s="236"/>
      <c r="BO34" s="236"/>
      <c r="BP34" s="236"/>
      <c r="BQ34" s="236"/>
      <c r="BR34" s="236"/>
      <c r="BS34" s="236"/>
      <c r="BT34" s="236"/>
      <c r="BU34" s="236"/>
      <c r="BV34" s="236"/>
      <c r="BW34" s="236"/>
    </row>
    <row r="35" s="0" customFormat="1" ht="18" customHeight="1">
      <c r="B35" s="21"/>
      <c r="C35" s="181"/>
      <c r="D35" s="181"/>
      <c r="E35" s="181"/>
      <c r="F35" s="201"/>
      <c r="G35" s="181"/>
      <c r="H35" s="996"/>
      <c r="I35" s="996"/>
      <c r="J35" s="996"/>
      <c r="K35" s="996"/>
      <c r="L35" s="1072"/>
      <c r="M35" s="1072"/>
      <c r="N35" s="1072"/>
      <c r="O35" s="1072"/>
      <c r="P35" s="80"/>
      <c r="Q35" s="4"/>
      <c r="R35" s="182"/>
      <c r="S35" s="182"/>
      <c r="T35" s="182"/>
      <c r="U35" s="182"/>
      <c r="V35" s="182"/>
      <c r="W35" s="182"/>
      <c r="X35" s="182"/>
      <c r="Y35" s="182"/>
      <c r="Z35" s="182"/>
      <c r="AA35" s="182"/>
      <c r="AB35" s="182"/>
      <c r="AC35" s="182"/>
      <c r="AD35" s="182"/>
      <c r="AE35" s="182"/>
      <c r="AF35" s="182"/>
      <c r="AG35" s="182"/>
      <c r="AH35" s="182"/>
      <c r="AI35" s="182"/>
      <c r="AJ35" s="182"/>
      <c r="AK35" s="182"/>
      <c r="AL35" s="182"/>
      <c r="AM35" s="182"/>
      <c r="AN35" s="182"/>
      <c r="AO35" s="182"/>
      <c r="AP35" s="79"/>
      <c r="AQ35" s="79"/>
      <c r="AR35" s="79"/>
      <c r="AS35" s="236"/>
      <c r="AT35" s="236"/>
      <c r="AU35" s="236"/>
      <c r="AV35" s="236"/>
      <c r="AW35" s="236"/>
      <c r="AX35" s="236"/>
      <c r="AY35" s="236"/>
      <c r="AZ35" s="236"/>
      <c r="BA35" s="236"/>
      <c r="BB35" s="236"/>
      <c r="BC35" s="236"/>
      <c r="BD35" s="236"/>
      <c r="BE35" s="236"/>
      <c r="BF35" s="236"/>
      <c r="BG35" s="236"/>
      <c r="BH35" s="236"/>
      <c r="BI35" s="236"/>
      <c r="BJ35" s="236"/>
      <c r="BK35" s="236"/>
      <c r="BL35" s="236"/>
      <c r="BM35" s="236"/>
      <c r="BN35" s="236"/>
      <c r="BO35" s="236"/>
      <c r="BP35" s="236"/>
      <c r="BQ35" s="236"/>
      <c r="BR35" s="236"/>
      <c r="BS35" s="236"/>
      <c r="BT35" s="236"/>
      <c r="BU35" s="236"/>
      <c r="BV35" s="236"/>
      <c r="BW35" s="236"/>
    </row>
    <row r="36" s="0" customFormat="1" ht="18" customHeight="1">
      <c r="B36" s="21"/>
      <c r="C36" s="181"/>
      <c r="D36" s="181"/>
      <c r="E36" s="181"/>
      <c r="F36" s="201"/>
      <c r="G36" s="181"/>
      <c r="H36" s="996"/>
      <c r="I36" s="996"/>
      <c r="J36" s="996"/>
      <c r="K36" s="996"/>
      <c r="L36" s="1072"/>
      <c r="M36" s="1072"/>
      <c r="N36" s="1072"/>
      <c r="O36" s="1072"/>
      <c r="P36" s="80"/>
      <c r="Q36" s="4"/>
      <c r="R36" s="182"/>
      <c r="S36" s="182"/>
      <c r="T36" s="182"/>
      <c r="U36" s="182"/>
      <c r="V36" s="182"/>
      <c r="W36" s="182"/>
      <c r="X36" s="182"/>
      <c r="Y36" s="182"/>
      <c r="Z36" s="182"/>
      <c r="AA36" s="182"/>
      <c r="AB36" s="182"/>
      <c r="AC36" s="182"/>
      <c r="AD36" s="182"/>
      <c r="AE36" s="182"/>
      <c r="AF36" s="182"/>
      <c r="AG36" s="182"/>
      <c r="AH36" s="182"/>
      <c r="AI36" s="182"/>
      <c r="AJ36" s="182"/>
      <c r="AK36" s="182"/>
      <c r="AL36" s="182"/>
      <c r="AM36" s="182"/>
      <c r="AN36" s="182"/>
      <c r="AO36" s="182"/>
      <c r="AP36" s="79"/>
      <c r="AQ36" s="79"/>
      <c r="AR36" s="79"/>
      <c r="AS36" s="236"/>
      <c r="AT36" s="236"/>
      <c r="AU36" s="236"/>
      <c r="AV36" s="236"/>
      <c r="AW36" s="236"/>
      <c r="AX36" s="236"/>
      <c r="AY36" s="236"/>
      <c r="AZ36" s="236"/>
      <c r="BA36" s="236"/>
      <c r="BB36" s="236"/>
      <c r="BC36" s="236"/>
      <c r="BD36" s="236"/>
      <c r="BE36" s="236"/>
      <c r="BF36" s="236"/>
      <c r="BG36" s="236"/>
      <c r="BH36" s="236"/>
      <c r="BI36" s="236"/>
      <c r="BJ36" s="236"/>
      <c r="BK36" s="236"/>
      <c r="BL36" s="236"/>
      <c r="BM36" s="236"/>
      <c r="BN36" s="236"/>
      <c r="BO36" s="236"/>
      <c r="BP36" s="236"/>
      <c r="BQ36" s="236"/>
      <c r="BR36" s="236"/>
      <c r="BS36" s="236"/>
      <c r="BT36" s="236"/>
      <c r="BU36" s="236"/>
      <c r="BV36" s="236"/>
      <c r="BW36" s="236"/>
    </row>
    <row r="37" s="0" customFormat="1" ht="18" customHeight="1">
      <c r="B37" s="21"/>
      <c r="C37" s="181"/>
      <c r="D37" s="181"/>
      <c r="E37" s="181"/>
      <c r="F37" s="201"/>
      <c r="G37" s="181"/>
      <c r="H37" s="996"/>
      <c r="I37" s="996"/>
      <c r="J37" s="996"/>
      <c r="K37" s="996"/>
      <c r="L37" s="1072"/>
      <c r="M37" s="1072"/>
      <c r="N37" s="1072"/>
      <c r="O37" s="1072"/>
      <c r="P37" s="80"/>
      <c r="Q37" s="4"/>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79"/>
      <c r="AQ37" s="79"/>
      <c r="AR37" s="79"/>
      <c r="AS37" s="236"/>
      <c r="AT37" s="236"/>
      <c r="AU37" s="236"/>
      <c r="AV37" s="236"/>
      <c r="AW37" s="236"/>
      <c r="AX37" s="236"/>
      <c r="AY37" s="236"/>
      <c r="AZ37" s="236"/>
      <c r="BA37" s="236"/>
      <c r="BB37" s="236"/>
      <c r="BC37" s="236"/>
      <c r="BD37" s="236"/>
      <c r="BE37" s="236"/>
      <c r="BF37" s="236"/>
      <c r="BG37" s="236"/>
      <c r="BH37" s="236"/>
      <c r="BI37" s="236"/>
      <c r="BJ37" s="236"/>
      <c r="BK37" s="236"/>
      <c r="BL37" s="236"/>
      <c r="BM37" s="236"/>
      <c r="BN37" s="236"/>
      <c r="BO37" s="236"/>
      <c r="BP37" s="236"/>
      <c r="BQ37" s="236"/>
      <c r="BR37" s="236"/>
      <c r="BS37" s="236"/>
      <c r="BT37" s="236"/>
      <c r="BU37" s="236"/>
      <c r="BV37" s="236"/>
      <c r="BW37" s="236"/>
    </row>
    <row r="38" s="0" customFormat="1" ht="18" customHeight="1">
      <c r="B38" s="21"/>
      <c r="C38" s="181"/>
      <c r="D38" s="181"/>
      <c r="E38" s="181"/>
      <c r="F38" s="201"/>
      <c r="G38" s="181"/>
      <c r="H38" s="996"/>
      <c r="I38" s="996"/>
      <c r="J38" s="996"/>
      <c r="K38" s="996"/>
      <c r="L38" s="1072"/>
      <c r="M38" s="1072"/>
      <c r="N38" s="1072"/>
      <c r="O38" s="1072"/>
      <c r="P38" s="80"/>
      <c r="Q38" s="4"/>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79"/>
      <c r="AQ38" s="79"/>
      <c r="AR38" s="79"/>
      <c r="AS38" s="236"/>
      <c r="AT38" s="236"/>
      <c r="AU38" s="236"/>
      <c r="AV38" s="236"/>
      <c r="AW38" s="236"/>
      <c r="AX38" s="236"/>
      <c r="AY38" s="236"/>
      <c r="AZ38" s="236"/>
      <c r="BA38" s="236"/>
      <c r="BB38" s="236"/>
      <c r="BC38" s="236"/>
      <c r="BD38" s="236"/>
      <c r="BE38" s="236"/>
      <c r="BF38" s="236"/>
      <c r="BG38" s="236"/>
      <c r="BH38" s="236"/>
      <c r="BI38" s="236"/>
      <c r="BJ38" s="236"/>
      <c r="BK38" s="236"/>
      <c r="BL38" s="236"/>
      <c r="BM38" s="236"/>
      <c r="BN38" s="236"/>
      <c r="BO38" s="236"/>
      <c r="BP38" s="236"/>
      <c r="BQ38" s="236"/>
      <c r="BR38" s="236"/>
      <c r="BS38" s="236"/>
      <c r="BT38" s="236"/>
      <c r="BU38" s="236"/>
      <c r="BV38" s="236"/>
      <c r="BW38" s="236"/>
    </row>
    <row r="39" ht="18" customHeight="1">
      <c r="C39" s="181"/>
      <c r="D39" s="181"/>
      <c r="E39" s="181"/>
      <c r="F39" s="201"/>
      <c r="G39" s="181"/>
      <c r="H39" s="996"/>
      <c r="I39" s="996"/>
      <c r="J39" s="996"/>
      <c r="K39" s="996"/>
      <c r="L39" s="1072"/>
      <c r="M39" s="1072"/>
      <c r="N39" s="1072"/>
      <c r="O39" s="1072"/>
      <c r="P39" s="80"/>
      <c r="Q39" s="4"/>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4"/>
      <c r="AQ39" s="79"/>
      <c r="AR39" s="79"/>
    </row>
    <row r="40" ht="18" customHeight="1">
      <c r="C40" s="181"/>
      <c r="D40" s="181"/>
      <c r="E40" s="181"/>
      <c r="F40" s="201"/>
      <c r="G40" s="181"/>
      <c r="H40" s="996"/>
      <c r="I40" s="996"/>
      <c r="J40" s="996"/>
      <c r="K40" s="996"/>
      <c r="L40" s="1072"/>
      <c r="M40" s="1072"/>
      <c r="N40" s="1072"/>
      <c r="O40" s="1072"/>
      <c r="P40" s="80"/>
      <c r="Q40" s="4"/>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4"/>
      <c r="AQ40" s="79"/>
      <c r="AR40" s="79"/>
    </row>
    <row r="41" ht="18" customHeight="1">
      <c r="C41" s="181"/>
      <c r="D41" s="181"/>
      <c r="E41" s="181"/>
      <c r="F41" s="201"/>
      <c r="G41" s="181"/>
      <c r="H41" s="996"/>
      <c r="I41" s="996"/>
      <c r="J41" s="996"/>
      <c r="K41" s="996"/>
      <c r="L41" s="1072"/>
      <c r="M41" s="1072"/>
      <c r="N41" s="1072"/>
      <c r="O41" s="1072"/>
      <c r="P41" s="80"/>
      <c r="Q41" s="4"/>
      <c r="R41" s="182"/>
      <c r="S41" s="182"/>
      <c r="T41" s="182"/>
      <c r="U41" s="182"/>
      <c r="V41" s="182"/>
      <c r="W41" s="182"/>
      <c r="X41" s="182"/>
      <c r="Y41" s="182"/>
      <c r="Z41" s="182"/>
      <c r="AA41" s="182"/>
      <c r="AB41" s="182"/>
      <c r="AC41" s="182"/>
      <c r="AD41" s="182"/>
      <c r="AE41" s="182"/>
      <c r="AF41" s="182"/>
      <c r="AG41" s="182"/>
      <c r="AH41" s="182"/>
      <c r="AI41" s="182"/>
      <c r="AJ41" s="182"/>
      <c r="AK41" s="182"/>
      <c r="AL41" s="182"/>
      <c r="AM41" s="182"/>
      <c r="AN41" s="182"/>
      <c r="AO41" s="182"/>
      <c r="AP41" s="4"/>
      <c r="AQ41" s="79"/>
      <c r="AR41" s="79"/>
    </row>
    <row r="42" ht="18" customHeight="1">
      <c r="C42" s="181"/>
      <c r="D42" s="181"/>
      <c r="E42" s="181"/>
      <c r="F42" s="201"/>
      <c r="G42" s="181"/>
      <c r="H42" s="996"/>
      <c r="I42" s="996"/>
      <c r="J42" s="996"/>
      <c r="K42" s="996"/>
      <c r="L42" s="1072"/>
      <c r="M42" s="1072"/>
      <c r="N42" s="1072"/>
      <c r="O42" s="1072"/>
      <c r="P42" s="80"/>
      <c r="Q42" s="4"/>
      <c r="R42" s="182"/>
      <c r="S42" s="182"/>
      <c r="T42" s="182"/>
      <c r="U42" s="182"/>
      <c r="V42" s="182"/>
      <c r="W42" s="182"/>
      <c r="X42" s="182"/>
      <c r="Y42" s="182"/>
      <c r="Z42" s="182"/>
      <c r="AA42" s="182"/>
      <c r="AB42" s="182"/>
      <c r="AC42" s="182"/>
      <c r="AD42" s="182"/>
      <c r="AE42" s="182"/>
      <c r="AF42" s="182"/>
      <c r="AG42" s="182"/>
      <c r="AH42" s="182"/>
      <c r="AI42" s="182"/>
      <c r="AJ42" s="182"/>
      <c r="AK42" s="182"/>
      <c r="AL42" s="182"/>
      <c r="AM42" s="182"/>
      <c r="AN42" s="182"/>
      <c r="AO42" s="182"/>
      <c r="AP42" s="4"/>
      <c r="AQ42" s="79"/>
      <c r="AR42" s="79"/>
    </row>
    <row r="43" ht="18" customHeight="1">
      <c r="C43" s="181"/>
      <c r="D43" s="181"/>
      <c r="E43" s="181"/>
      <c r="F43" s="201"/>
      <c r="G43" s="181"/>
      <c r="H43" s="996"/>
      <c r="I43" s="996"/>
      <c r="J43" s="996"/>
      <c r="K43" s="996"/>
      <c r="L43" s="1072"/>
      <c r="M43" s="1072"/>
      <c r="N43" s="1072"/>
      <c r="O43" s="1072"/>
      <c r="P43" s="80"/>
      <c r="Q43" s="4"/>
      <c r="R43" s="182"/>
      <c r="S43" s="182"/>
      <c r="T43" s="182"/>
      <c r="U43" s="182"/>
      <c r="V43" s="182"/>
      <c r="W43" s="182"/>
      <c r="X43" s="182"/>
      <c r="Y43" s="182"/>
      <c r="Z43" s="182"/>
      <c r="AA43" s="182"/>
      <c r="AB43" s="182"/>
      <c r="AC43" s="182"/>
      <c r="AD43" s="182"/>
      <c r="AE43" s="182"/>
      <c r="AF43" s="182"/>
      <c r="AG43" s="182"/>
      <c r="AH43" s="182"/>
      <c r="AI43" s="182"/>
      <c r="AJ43" s="182"/>
      <c r="AK43" s="182"/>
      <c r="AL43" s="182"/>
      <c r="AM43" s="182"/>
      <c r="AN43" s="182"/>
      <c r="AO43" s="182"/>
      <c r="AP43" s="4"/>
      <c r="AQ43" s="79"/>
      <c r="AR43" s="79"/>
    </row>
    <row r="44" ht="18" customHeight="1">
      <c r="C44" s="181"/>
      <c r="D44" s="181"/>
      <c r="E44" s="181"/>
      <c r="F44" s="201"/>
      <c r="G44" s="181"/>
      <c r="H44" s="996"/>
      <c r="I44" s="996"/>
      <c r="J44" s="996"/>
      <c r="K44" s="996"/>
      <c r="L44" s="1072"/>
      <c r="M44" s="1072"/>
      <c r="N44" s="1072"/>
      <c r="O44" s="1072"/>
      <c r="P44" s="80"/>
      <c r="Q44" s="4"/>
      <c r="R44" s="182"/>
      <c r="S44" s="182"/>
      <c r="T44" s="182"/>
      <c r="U44" s="182"/>
      <c r="V44" s="182"/>
      <c r="W44" s="182"/>
      <c r="X44" s="182"/>
      <c r="Y44" s="182"/>
      <c r="Z44" s="182"/>
      <c r="AA44" s="182"/>
      <c r="AB44" s="182"/>
      <c r="AC44" s="182"/>
      <c r="AD44" s="182"/>
      <c r="AE44" s="182"/>
      <c r="AF44" s="182"/>
      <c r="AG44" s="182"/>
      <c r="AH44" s="182"/>
      <c r="AI44" s="182"/>
      <c r="AJ44" s="182"/>
      <c r="AK44" s="182"/>
      <c r="AL44" s="182"/>
      <c r="AM44" s="182"/>
      <c r="AN44" s="182"/>
      <c r="AO44" s="182"/>
      <c r="AP44" s="4"/>
      <c r="AQ44" s="79"/>
      <c r="AR44" s="79"/>
    </row>
    <row r="45" ht="18" customHeight="1">
      <c r="C45" s="181"/>
      <c r="D45" s="181"/>
      <c r="E45" s="181"/>
      <c r="F45" s="201"/>
      <c r="G45" s="181"/>
      <c r="H45" s="996"/>
      <c r="I45" s="996"/>
      <c r="J45" s="996"/>
      <c r="K45" s="996"/>
      <c r="L45" s="1072"/>
      <c r="M45" s="1072"/>
      <c r="N45" s="1072"/>
      <c r="O45" s="1072"/>
      <c r="P45" s="80"/>
      <c r="Q45" s="4"/>
      <c r="R45" s="182"/>
      <c r="S45" s="182"/>
      <c r="T45" s="182"/>
      <c r="U45" s="182"/>
      <c r="V45" s="182"/>
      <c r="W45" s="182"/>
      <c r="X45" s="182"/>
      <c r="Y45" s="182"/>
      <c r="Z45" s="182"/>
      <c r="AA45" s="182"/>
      <c r="AB45" s="182"/>
      <c r="AC45" s="182"/>
      <c r="AD45" s="182"/>
      <c r="AE45" s="182"/>
      <c r="AF45" s="182"/>
      <c r="AG45" s="182"/>
      <c r="AH45" s="182"/>
      <c r="AI45" s="182"/>
      <c r="AJ45" s="182"/>
      <c r="AK45" s="182"/>
      <c r="AL45" s="182"/>
      <c r="AM45" s="182"/>
      <c r="AN45" s="182"/>
      <c r="AO45" s="182"/>
      <c r="AP45" s="4"/>
      <c r="AQ45" s="79"/>
      <c r="AR45" s="79"/>
    </row>
    <row r="46" ht="18" customHeight="1">
      <c r="C46" s="181"/>
      <c r="D46" s="181"/>
      <c r="E46" s="181"/>
      <c r="F46" s="201"/>
      <c r="G46" s="181"/>
      <c r="H46" s="996"/>
      <c r="I46" s="996"/>
      <c r="J46" s="996"/>
      <c r="K46" s="996"/>
      <c r="L46" s="1072"/>
      <c r="M46" s="1072"/>
      <c r="N46" s="1072"/>
      <c r="O46" s="1072"/>
      <c r="P46" s="80"/>
      <c r="Q46" s="4"/>
      <c r="R46" s="182"/>
      <c r="S46" s="182"/>
      <c r="T46" s="182"/>
      <c r="U46" s="182"/>
      <c r="V46" s="182"/>
      <c r="W46" s="182"/>
      <c r="X46" s="182"/>
      <c r="Y46" s="182"/>
      <c r="Z46" s="182"/>
      <c r="AA46" s="182"/>
      <c r="AB46" s="182"/>
      <c r="AC46" s="182"/>
      <c r="AD46" s="182"/>
      <c r="AE46" s="182"/>
      <c r="AF46" s="182"/>
      <c r="AG46" s="182"/>
      <c r="AH46" s="182"/>
      <c r="AI46" s="182"/>
      <c r="AJ46" s="182"/>
      <c r="AK46" s="182"/>
      <c r="AL46" s="182"/>
      <c r="AM46" s="182"/>
      <c r="AN46" s="182"/>
      <c r="AO46" s="182"/>
      <c r="AP46" s="4"/>
      <c r="AQ46" s="79"/>
      <c r="AR46" s="79"/>
    </row>
    <row r="47" ht="0" hidden="1" customHeight="1">
      <c r="C47" s="181"/>
      <c r="D47" s="181"/>
      <c r="E47" s="181"/>
      <c r="F47" s="201"/>
      <c r="G47" s="181"/>
      <c r="H47" s="996"/>
      <c r="I47" s="996"/>
      <c r="J47" s="996"/>
      <c r="K47" s="996"/>
      <c r="L47" s="1072"/>
      <c r="M47" s="1072"/>
      <c r="N47" s="1072"/>
      <c r="O47" s="1072"/>
      <c r="P47" s="80"/>
      <c r="Q47" s="4"/>
      <c r="R47" s="182"/>
      <c r="S47" s="182"/>
      <c r="T47" s="182"/>
      <c r="U47" s="182"/>
      <c r="V47" s="182"/>
      <c r="W47" s="182"/>
      <c r="X47" s="182"/>
      <c r="Y47" s="182"/>
      <c r="Z47" s="182"/>
      <c r="AA47" s="182"/>
      <c r="AB47" s="182"/>
      <c r="AC47" s="182"/>
      <c r="AD47" s="182"/>
      <c r="AE47" s="182"/>
      <c r="AF47" s="182"/>
      <c r="AG47" s="182"/>
      <c r="AH47" s="182"/>
      <c r="AI47" s="182"/>
      <c r="AJ47" s="182"/>
      <c r="AK47" s="182"/>
      <c r="AL47" s="182"/>
      <c r="AM47" s="182"/>
      <c r="AN47" s="182"/>
      <c r="AO47" s="182"/>
      <c r="AP47" s="4"/>
      <c r="AQ47" s="79"/>
      <c r="AR47" s="79"/>
    </row>
    <row r="48" ht="0" hidden="1" customHeight="1">
      <c r="C48" s="181"/>
      <c r="D48" s="181"/>
      <c r="E48" s="181"/>
      <c r="F48" s="201"/>
      <c r="G48" s="181"/>
      <c r="H48" s="996"/>
      <c r="I48" s="996"/>
      <c r="J48" s="996"/>
      <c r="K48" s="996"/>
      <c r="L48" s="1072"/>
      <c r="M48" s="1072"/>
      <c r="N48" s="1072"/>
      <c r="O48" s="1072"/>
      <c r="P48" s="80"/>
      <c r="Q48" s="4"/>
      <c r="R48" s="182"/>
      <c r="S48" s="182"/>
      <c r="T48" s="182"/>
      <c r="U48" s="182"/>
      <c r="V48" s="182"/>
      <c r="W48" s="182"/>
      <c r="X48" s="182"/>
      <c r="Y48" s="182"/>
      <c r="Z48" s="182"/>
      <c r="AA48" s="182"/>
      <c r="AB48" s="182"/>
      <c r="AC48" s="182"/>
      <c r="AD48" s="182"/>
      <c r="AE48" s="182"/>
      <c r="AF48" s="182"/>
      <c r="AG48" s="182"/>
      <c r="AH48" s="182"/>
      <c r="AI48" s="182"/>
      <c r="AJ48" s="182"/>
      <c r="AK48" s="182"/>
      <c r="AL48" s="182"/>
      <c r="AM48" s="182"/>
      <c r="AN48" s="182"/>
      <c r="AO48" s="182"/>
      <c r="AP48" s="4"/>
      <c r="AQ48" s="79"/>
      <c r="AR48" s="79"/>
    </row>
    <row r="49" ht="0" hidden="1" customHeight="1">
      <c r="C49" s="181"/>
      <c r="D49" s="181"/>
      <c r="E49" s="181"/>
      <c r="F49" s="201"/>
      <c r="G49" s="181"/>
      <c r="H49" s="996"/>
      <c r="I49" s="996"/>
      <c r="J49" s="996"/>
      <c r="K49" s="996"/>
      <c r="L49" s="1072"/>
      <c r="M49" s="1072"/>
      <c r="N49" s="1072"/>
      <c r="O49" s="1072"/>
      <c r="P49" s="80"/>
      <c r="Q49" s="4"/>
      <c r="R49" s="182"/>
      <c r="S49" s="182"/>
      <c r="T49" s="182"/>
      <c r="U49" s="182"/>
      <c r="V49" s="182"/>
      <c r="W49" s="182"/>
      <c r="X49" s="182"/>
      <c r="Y49" s="182"/>
      <c r="Z49" s="182"/>
      <c r="AA49" s="182"/>
      <c r="AB49" s="182"/>
      <c r="AC49" s="182"/>
      <c r="AD49" s="182"/>
      <c r="AE49" s="182"/>
      <c r="AF49" s="182"/>
      <c r="AG49" s="182"/>
      <c r="AH49" s="182"/>
      <c r="AI49" s="182"/>
      <c r="AJ49" s="182"/>
      <c r="AK49" s="182"/>
      <c r="AL49" s="182"/>
      <c r="AM49" s="182"/>
      <c r="AN49" s="182"/>
      <c r="AO49" s="182"/>
      <c r="AP49" s="4"/>
      <c r="AQ49" s="79"/>
      <c r="AR49" s="79"/>
    </row>
    <row r="50" ht="0" hidden="1" customHeight="1">
      <c r="C50" s="181"/>
      <c r="D50" s="181"/>
      <c r="E50" s="181"/>
      <c r="F50" s="201"/>
      <c r="G50" s="181"/>
      <c r="H50" s="996"/>
      <c r="I50" s="996"/>
      <c r="J50" s="996"/>
      <c r="K50" s="996"/>
      <c r="L50" s="1072"/>
      <c r="M50" s="1072"/>
      <c r="N50" s="1072"/>
      <c r="O50" s="1072"/>
      <c r="P50" s="80"/>
      <c r="Q50" s="4"/>
      <c r="R50" s="182"/>
      <c r="S50" s="182"/>
      <c r="T50" s="182"/>
      <c r="U50" s="182"/>
      <c r="V50" s="182"/>
      <c r="W50" s="182"/>
      <c r="X50" s="182"/>
      <c r="Y50" s="182"/>
      <c r="Z50" s="182"/>
      <c r="AA50" s="182"/>
      <c r="AB50" s="182"/>
      <c r="AC50" s="182"/>
      <c r="AD50" s="182"/>
      <c r="AE50" s="182"/>
      <c r="AF50" s="182"/>
      <c r="AG50" s="182"/>
      <c r="AH50" s="182"/>
      <c r="AI50" s="182"/>
      <c r="AJ50" s="182"/>
      <c r="AK50" s="182"/>
      <c r="AL50" s="182"/>
      <c r="AM50" s="182"/>
      <c r="AN50" s="182"/>
      <c r="AO50" s="182"/>
      <c r="AP50" s="4"/>
      <c r="AQ50" s="79"/>
      <c r="AR50" s="79"/>
    </row>
    <row r="51" ht="0" hidden="1" customHeight="1">
      <c r="C51" s="181"/>
      <c r="D51" s="181"/>
      <c r="E51" s="181"/>
      <c r="F51" s="201"/>
      <c r="G51" s="181"/>
      <c r="H51" s="996"/>
      <c r="I51" s="996"/>
      <c r="J51" s="996"/>
      <c r="K51" s="996"/>
      <c r="L51" s="1072"/>
      <c r="M51" s="1072"/>
      <c r="N51" s="1072"/>
      <c r="O51" s="1072"/>
      <c r="P51" s="80"/>
      <c r="Q51" s="4"/>
      <c r="R51" s="182"/>
      <c r="S51" s="182"/>
      <c r="T51" s="182"/>
      <c r="U51" s="182"/>
      <c r="V51" s="182"/>
      <c r="W51" s="182"/>
      <c r="X51" s="182"/>
      <c r="Y51" s="182"/>
      <c r="Z51" s="182"/>
      <c r="AA51" s="182"/>
      <c r="AB51" s="182"/>
      <c r="AC51" s="182"/>
      <c r="AD51" s="182"/>
      <c r="AE51" s="182"/>
      <c r="AF51" s="182"/>
      <c r="AG51" s="182"/>
      <c r="AH51" s="182"/>
      <c r="AI51" s="182"/>
      <c r="AJ51" s="182"/>
      <c r="AK51" s="182"/>
      <c r="AL51" s="182"/>
      <c r="AM51" s="182"/>
      <c r="AN51" s="182"/>
      <c r="AO51" s="182"/>
      <c r="AP51" s="4"/>
      <c r="AQ51" s="79"/>
      <c r="AR51" s="79"/>
    </row>
    <row r="52" s="0" customFormat="1" ht="0" hidden="1" customHeight="1">
      <c r="B52" s="21"/>
      <c r="C52" s="181"/>
      <c r="D52" s="181"/>
      <c r="E52" s="181"/>
      <c r="F52" s="201"/>
      <c r="G52" s="181"/>
      <c r="H52" s="996"/>
      <c r="I52" s="996"/>
      <c r="J52" s="996"/>
      <c r="K52" s="996"/>
      <c r="L52" s="1072"/>
      <c r="M52" s="1072"/>
      <c r="N52" s="1072"/>
      <c r="O52" s="1072"/>
      <c r="P52" s="80"/>
      <c r="Q52" s="4"/>
      <c r="R52" s="182"/>
      <c r="S52" s="182"/>
      <c r="T52" s="182"/>
      <c r="U52" s="182"/>
      <c r="V52" s="182"/>
      <c r="W52" s="182"/>
      <c r="X52" s="182"/>
      <c r="Y52" s="182"/>
      <c r="Z52" s="182"/>
      <c r="AA52" s="182"/>
      <c r="AB52" s="182"/>
      <c r="AC52" s="182"/>
      <c r="AD52" s="182"/>
      <c r="AE52" s="182"/>
      <c r="AF52" s="182"/>
      <c r="AG52" s="182"/>
      <c r="AH52" s="182"/>
      <c r="AI52" s="182"/>
      <c r="AJ52" s="182"/>
      <c r="AK52" s="182"/>
      <c r="AL52" s="182"/>
      <c r="AM52" s="182"/>
      <c r="AN52" s="182"/>
      <c r="AO52" s="182"/>
      <c r="AP52" s="79"/>
      <c r="AQ52" s="79"/>
      <c r="AR52" s="79"/>
      <c r="AS52" s="236"/>
      <c r="AT52" s="236"/>
      <c r="AU52" s="236"/>
      <c r="AV52" s="236"/>
      <c r="AW52" s="236"/>
      <c r="AX52" s="236"/>
      <c r="AY52" s="236"/>
      <c r="AZ52" s="236"/>
      <c r="BA52" s="236"/>
      <c r="BB52" s="236"/>
      <c r="BC52" s="236"/>
      <c r="BD52" s="236"/>
      <c r="BE52" s="236"/>
      <c r="BF52" s="236"/>
      <c r="BG52" s="236"/>
      <c r="BH52" s="236"/>
      <c r="BI52" s="236"/>
      <c r="BJ52" s="236"/>
      <c r="BK52" s="236"/>
      <c r="BL52" s="236"/>
      <c r="BM52" s="236"/>
      <c r="BN52" s="236"/>
      <c r="BO52" s="236"/>
      <c r="BP52" s="236"/>
      <c r="BQ52" s="236"/>
      <c r="BR52" s="236"/>
      <c r="BS52" s="236"/>
      <c r="BT52" s="236"/>
      <c r="BU52" s="236"/>
      <c r="BV52" s="236"/>
      <c r="BW52" s="236"/>
    </row>
    <row r="53" s="0" customFormat="1" ht="0" hidden="1" customHeight="1">
      <c r="B53" s="21"/>
      <c r="C53" s="181"/>
      <c r="D53" s="181"/>
      <c r="E53" s="181"/>
      <c r="F53" s="201"/>
      <c r="G53" s="181"/>
      <c r="H53" s="996"/>
      <c r="I53" s="996"/>
      <c r="J53" s="996"/>
      <c r="K53" s="996"/>
      <c r="L53" s="1072"/>
      <c r="M53" s="1072"/>
      <c r="N53" s="1072"/>
      <c r="O53" s="1072"/>
      <c r="P53" s="80"/>
      <c r="Q53" s="4"/>
      <c r="R53" s="182"/>
      <c r="S53" s="182"/>
      <c r="T53" s="182"/>
      <c r="U53" s="182"/>
      <c r="V53" s="182"/>
      <c r="W53" s="182"/>
      <c r="X53" s="182"/>
      <c r="Y53" s="182"/>
      <c r="Z53" s="182"/>
      <c r="AA53" s="182"/>
      <c r="AB53" s="182"/>
      <c r="AC53" s="182"/>
      <c r="AD53" s="182"/>
      <c r="AE53" s="182"/>
      <c r="AF53" s="182"/>
      <c r="AG53" s="182"/>
      <c r="AH53" s="182"/>
      <c r="AI53" s="182"/>
      <c r="AJ53" s="182"/>
      <c r="AK53" s="182"/>
      <c r="AL53" s="182"/>
      <c r="AM53" s="182"/>
      <c r="AN53" s="182"/>
      <c r="AO53" s="182"/>
      <c r="AP53" s="79"/>
      <c r="AQ53" s="79"/>
      <c r="AR53" s="79"/>
      <c r="AS53" s="236"/>
      <c r="AT53" s="236"/>
      <c r="AU53" s="236"/>
      <c r="AV53" s="236"/>
      <c r="AW53" s="236"/>
      <c r="AX53" s="236"/>
      <c r="AY53" s="236"/>
      <c r="AZ53" s="236"/>
      <c r="BA53" s="236"/>
      <c r="BB53" s="236"/>
      <c r="BC53" s="236"/>
      <c r="BD53" s="236"/>
      <c r="BE53" s="236"/>
      <c r="BF53" s="236"/>
      <c r="BG53" s="236"/>
      <c r="BH53" s="236"/>
      <c r="BI53" s="236"/>
      <c r="BJ53" s="236"/>
      <c r="BK53" s="236"/>
      <c r="BL53" s="236"/>
      <c r="BM53" s="236"/>
      <c r="BN53" s="236"/>
      <c r="BO53" s="236"/>
      <c r="BP53" s="236"/>
      <c r="BQ53" s="236"/>
      <c r="BR53" s="236"/>
      <c r="BS53" s="236"/>
      <c r="BT53" s="236"/>
      <c r="BU53" s="236"/>
      <c r="BV53" s="236"/>
      <c r="BW53" s="236"/>
    </row>
    <row r="54" s="0" customFormat="1" ht="0" hidden="1" customHeight="1">
      <c r="B54" s="21"/>
      <c r="C54" s="181"/>
      <c r="D54" s="181"/>
      <c r="E54" s="181"/>
      <c r="F54" s="201"/>
      <c r="G54" s="181"/>
      <c r="H54" s="996"/>
      <c r="I54" s="996"/>
      <c r="J54" s="996"/>
      <c r="K54" s="996"/>
      <c r="L54" s="1072"/>
      <c r="M54" s="1072"/>
      <c r="N54" s="1072"/>
      <c r="O54" s="1072"/>
      <c r="P54" s="80"/>
      <c r="Q54" s="4"/>
      <c r="R54" s="182"/>
      <c r="S54" s="182"/>
      <c r="T54" s="182"/>
      <c r="U54" s="182"/>
      <c r="V54" s="182"/>
      <c r="W54" s="182"/>
      <c r="X54" s="182"/>
      <c r="Y54" s="182"/>
      <c r="Z54" s="182"/>
      <c r="AA54" s="182"/>
      <c r="AB54" s="182"/>
      <c r="AC54" s="182"/>
      <c r="AD54" s="182"/>
      <c r="AE54" s="182"/>
      <c r="AF54" s="182"/>
      <c r="AG54" s="182"/>
      <c r="AH54" s="182"/>
      <c r="AI54" s="182"/>
      <c r="AJ54" s="182"/>
      <c r="AK54" s="182"/>
      <c r="AL54" s="182"/>
      <c r="AM54" s="182"/>
      <c r="AN54" s="182"/>
      <c r="AO54" s="182"/>
      <c r="AP54" s="48"/>
      <c r="AQ54" s="48"/>
      <c r="AR54" s="48"/>
      <c r="AS54" s="236"/>
      <c r="AT54" s="236"/>
      <c r="AU54" s="236"/>
      <c r="AV54" s="236"/>
      <c r="AW54" s="236"/>
      <c r="AX54" s="236"/>
      <c r="AY54" s="236"/>
      <c r="AZ54" s="236"/>
      <c r="BA54" s="236"/>
      <c r="BB54" s="236"/>
      <c r="BC54" s="236"/>
      <c r="BD54" s="236"/>
      <c r="BE54" s="236"/>
      <c r="BF54" s="236"/>
      <c r="BG54" s="236"/>
      <c r="BH54" s="236"/>
      <c r="BI54" s="236"/>
      <c r="BJ54" s="236"/>
      <c r="BK54" s="236"/>
      <c r="BL54" s="236"/>
      <c r="BM54" s="236"/>
      <c r="BN54" s="236"/>
      <c r="BO54" s="236"/>
      <c r="BP54" s="236"/>
      <c r="BQ54" s="236"/>
      <c r="BR54" s="236"/>
      <c r="BS54" s="236"/>
      <c r="BT54" s="236"/>
      <c r="BU54" s="236"/>
      <c r="BV54" s="236"/>
      <c r="BW54" s="236"/>
    </row>
    <row r="55" s="0" customFormat="1" ht="0" hidden="1" customHeight="1">
      <c r="B55" s="21"/>
      <c r="C55" s="181"/>
      <c r="D55" s="181"/>
      <c r="E55" s="181"/>
      <c r="F55" s="201"/>
      <c r="G55" s="181"/>
      <c r="H55" s="996"/>
      <c r="I55" s="996"/>
      <c r="J55" s="996"/>
      <c r="K55" s="996"/>
      <c r="L55" s="1072"/>
      <c r="M55" s="1072"/>
      <c r="N55" s="1072"/>
      <c r="O55" s="1072"/>
      <c r="P55" s="80"/>
      <c r="Q55" s="4"/>
      <c r="R55" s="182"/>
      <c r="S55" s="182"/>
      <c r="T55" s="182"/>
      <c r="U55" s="182"/>
      <c r="V55" s="182"/>
      <c r="W55" s="182"/>
      <c r="X55" s="182"/>
      <c r="Y55" s="182"/>
      <c r="Z55" s="182"/>
      <c r="AA55" s="182"/>
      <c r="AB55" s="182"/>
      <c r="AC55" s="182"/>
      <c r="AD55" s="182"/>
      <c r="AE55" s="182"/>
      <c r="AF55" s="182"/>
      <c r="AG55" s="182"/>
      <c r="AH55" s="182"/>
      <c r="AI55" s="182"/>
      <c r="AJ55" s="182"/>
      <c r="AK55" s="182"/>
      <c r="AL55" s="182"/>
      <c r="AM55" s="182"/>
      <c r="AN55" s="182"/>
      <c r="AO55" s="182"/>
      <c r="AP55" s="79"/>
      <c r="AQ55" s="79"/>
      <c r="AR55" s="79"/>
      <c r="AS55" s="236"/>
      <c r="AT55" s="236"/>
      <c r="AU55" s="236"/>
      <c r="AV55" s="236"/>
      <c r="AW55" s="236"/>
      <c r="AX55" s="236"/>
      <c r="AY55" s="236"/>
      <c r="AZ55" s="236"/>
      <c r="BA55" s="236"/>
      <c r="BB55" s="236"/>
      <c r="BC55" s="236"/>
      <c r="BD55" s="236"/>
      <c r="BE55" s="236"/>
      <c r="BF55" s="236"/>
      <c r="BG55" s="236"/>
      <c r="BH55" s="236"/>
      <c r="BI55" s="236"/>
      <c r="BJ55" s="236"/>
      <c r="BK55" s="236"/>
      <c r="BL55" s="236"/>
      <c r="BM55" s="236"/>
      <c r="BN55" s="236"/>
      <c r="BO55" s="236"/>
      <c r="BP55" s="236"/>
      <c r="BQ55" s="236"/>
      <c r="BR55" s="236"/>
      <c r="BS55" s="236"/>
      <c r="BT55" s="236"/>
      <c r="BU55" s="236"/>
      <c r="BV55" s="236"/>
      <c r="BW55" s="236"/>
    </row>
    <row r="56" s="0" customFormat="1" ht="0" hidden="1" customHeight="1">
      <c r="B56" s="21"/>
      <c r="C56" s="181"/>
      <c r="D56" s="181"/>
      <c r="E56" s="181"/>
      <c r="F56" s="201"/>
      <c r="G56" s="181"/>
      <c r="H56" s="996"/>
      <c r="I56" s="996"/>
      <c r="J56" s="996"/>
      <c r="K56" s="996"/>
      <c r="L56" s="1072"/>
      <c r="M56" s="1072"/>
      <c r="N56" s="1072"/>
      <c r="O56" s="1072"/>
      <c r="P56" s="80"/>
      <c r="Q56" s="4"/>
      <c r="R56" s="182"/>
      <c r="S56" s="182"/>
      <c r="T56" s="182"/>
      <c r="U56" s="182"/>
      <c r="V56" s="182"/>
      <c r="W56" s="182"/>
      <c r="X56" s="182"/>
      <c r="Y56" s="182"/>
      <c r="Z56" s="182"/>
      <c r="AA56" s="182"/>
      <c r="AB56" s="182"/>
      <c r="AC56" s="182"/>
      <c r="AD56" s="182"/>
      <c r="AE56" s="182"/>
      <c r="AF56" s="182"/>
      <c r="AG56" s="182"/>
      <c r="AH56" s="182"/>
      <c r="AI56" s="182"/>
      <c r="AJ56" s="182"/>
      <c r="AK56" s="182"/>
      <c r="AL56" s="182"/>
      <c r="AM56" s="182"/>
      <c r="AN56" s="182"/>
      <c r="AO56" s="182"/>
      <c r="AP56" s="79"/>
      <c r="AQ56" s="79"/>
      <c r="AR56" s="79"/>
      <c r="AS56" s="236"/>
      <c r="AT56" s="236"/>
      <c r="AU56" s="236"/>
      <c r="AV56" s="236"/>
      <c r="AW56" s="236"/>
      <c r="AX56" s="236"/>
      <c r="AY56" s="236"/>
      <c r="AZ56" s="236"/>
      <c r="BA56" s="236"/>
      <c r="BB56" s="236"/>
      <c r="BC56" s="236"/>
      <c r="BD56" s="236"/>
      <c r="BE56" s="236"/>
      <c r="BF56" s="236"/>
      <c r="BG56" s="236"/>
      <c r="BH56" s="236"/>
      <c r="BI56" s="236"/>
      <c r="BJ56" s="236"/>
      <c r="BK56" s="236"/>
      <c r="BL56" s="236"/>
      <c r="BM56" s="236"/>
      <c r="BN56" s="236"/>
      <c r="BO56" s="236"/>
      <c r="BP56" s="236"/>
      <c r="BQ56" s="236"/>
      <c r="BR56" s="236"/>
      <c r="BS56" s="236"/>
      <c r="BT56" s="236"/>
      <c r="BU56" s="236"/>
      <c r="BV56" s="236"/>
      <c r="BW56" s="236"/>
    </row>
    <row r="57" s="0" customFormat="1" ht="0" hidden="1" customHeight="1">
      <c r="B57" s="21"/>
      <c r="C57" s="181"/>
      <c r="D57" s="181"/>
      <c r="E57" s="181"/>
      <c r="F57" s="201"/>
      <c r="G57" s="181"/>
      <c r="H57" s="996"/>
      <c r="I57" s="996"/>
      <c r="J57" s="996"/>
      <c r="K57" s="996"/>
      <c r="L57" s="1072"/>
      <c r="M57" s="1072"/>
      <c r="N57" s="1072"/>
      <c r="O57" s="1072"/>
      <c r="P57" s="80"/>
      <c r="Q57" s="4"/>
      <c r="R57" s="182"/>
      <c r="S57" s="182"/>
      <c r="T57" s="182"/>
      <c r="U57" s="182"/>
      <c r="V57" s="182"/>
      <c r="W57" s="182"/>
      <c r="X57" s="182"/>
      <c r="Y57" s="182"/>
      <c r="Z57" s="182"/>
      <c r="AA57" s="182"/>
      <c r="AB57" s="182"/>
      <c r="AC57" s="182"/>
      <c r="AD57" s="182"/>
      <c r="AE57" s="182"/>
      <c r="AF57" s="182"/>
      <c r="AG57" s="182"/>
      <c r="AH57" s="182"/>
      <c r="AI57" s="182"/>
      <c r="AJ57" s="182"/>
      <c r="AK57" s="182"/>
      <c r="AL57" s="182"/>
      <c r="AM57" s="182"/>
      <c r="AN57" s="182"/>
      <c r="AO57" s="182"/>
      <c r="AP57" s="79"/>
      <c r="AQ57" s="79"/>
      <c r="AR57" s="79"/>
      <c r="AS57" s="236"/>
      <c r="AT57" s="236"/>
      <c r="AU57" s="236"/>
      <c r="AV57" s="236"/>
      <c r="AW57" s="236"/>
      <c r="AX57" s="236"/>
      <c r="AY57" s="236"/>
      <c r="AZ57" s="236"/>
      <c r="BA57" s="236"/>
      <c r="BB57" s="236"/>
      <c r="BC57" s="236"/>
      <c r="BD57" s="236"/>
      <c r="BE57" s="236"/>
      <c r="BF57" s="236"/>
      <c r="BG57" s="236"/>
      <c r="BH57" s="236"/>
      <c r="BI57" s="236"/>
      <c r="BJ57" s="236"/>
      <c r="BK57" s="236"/>
      <c r="BL57" s="236"/>
      <c r="BM57" s="236"/>
      <c r="BN57" s="236"/>
      <c r="BO57" s="236"/>
      <c r="BP57" s="236"/>
      <c r="BQ57" s="236"/>
      <c r="BR57" s="236"/>
      <c r="BS57" s="236"/>
      <c r="BT57" s="236"/>
      <c r="BU57" s="236"/>
      <c r="BV57" s="236"/>
      <c r="BW57" s="236"/>
    </row>
    <row r="58" s="0" customFormat="1" ht="0" hidden="1" customHeight="1">
      <c r="B58" s="21"/>
      <c r="C58" s="181"/>
      <c r="D58" s="181"/>
      <c r="E58" s="181"/>
      <c r="F58" s="201"/>
      <c r="G58" s="181"/>
      <c r="H58" s="996"/>
      <c r="I58" s="996"/>
      <c r="J58" s="996"/>
      <c r="K58" s="996"/>
      <c r="L58" s="1072"/>
      <c r="M58" s="1072"/>
      <c r="N58" s="1072"/>
      <c r="O58" s="1072"/>
      <c r="P58" s="80"/>
      <c r="Q58" s="4"/>
      <c r="R58" s="182"/>
      <c r="S58" s="182"/>
      <c r="T58" s="182"/>
      <c r="U58" s="182"/>
      <c r="V58" s="182"/>
      <c r="W58" s="182"/>
      <c r="X58" s="182"/>
      <c r="Y58" s="182"/>
      <c r="Z58" s="182"/>
      <c r="AA58" s="182"/>
      <c r="AB58" s="182"/>
      <c r="AC58" s="182"/>
      <c r="AD58" s="182"/>
      <c r="AE58" s="182"/>
      <c r="AF58" s="182"/>
      <c r="AG58" s="182"/>
      <c r="AH58" s="182"/>
      <c r="AI58" s="182"/>
      <c r="AJ58" s="182"/>
      <c r="AK58" s="182"/>
      <c r="AL58" s="182"/>
      <c r="AM58" s="182"/>
      <c r="AN58" s="182"/>
      <c r="AO58" s="182"/>
      <c r="AP58" s="79"/>
      <c r="AQ58" s="79"/>
      <c r="AR58" s="79"/>
      <c r="AS58" s="236"/>
      <c r="AT58" s="236"/>
      <c r="AU58" s="236"/>
      <c r="AV58" s="236"/>
      <c r="AW58" s="236"/>
      <c r="AX58" s="236"/>
      <c r="AY58" s="236"/>
      <c r="AZ58" s="236"/>
      <c r="BA58" s="236"/>
      <c r="BB58" s="236"/>
      <c r="BC58" s="236"/>
      <c r="BD58" s="236"/>
      <c r="BE58" s="236"/>
      <c r="BF58" s="236"/>
      <c r="BG58" s="236"/>
      <c r="BH58" s="236"/>
      <c r="BI58" s="236"/>
      <c r="BJ58" s="236"/>
      <c r="BK58" s="236"/>
      <c r="BL58" s="236"/>
      <c r="BM58" s="236"/>
      <c r="BN58" s="236"/>
      <c r="BO58" s="236"/>
      <c r="BP58" s="236"/>
      <c r="BQ58" s="236"/>
      <c r="BR58" s="236"/>
      <c r="BS58" s="236"/>
      <c r="BT58" s="236"/>
      <c r="BU58" s="236"/>
      <c r="BV58" s="236"/>
      <c r="BW58" s="236"/>
    </row>
    <row r="59" ht="0" hidden="1" customHeight="1">
      <c r="C59" s="181"/>
      <c r="D59" s="181"/>
      <c r="E59" s="181"/>
      <c r="F59" s="201"/>
      <c r="G59" s="181"/>
      <c r="H59" s="996"/>
      <c r="I59" s="996"/>
      <c r="J59" s="996"/>
      <c r="K59" s="996"/>
      <c r="L59" s="1072"/>
      <c r="M59" s="1072"/>
      <c r="N59" s="1072"/>
      <c r="O59" s="1072"/>
      <c r="P59" s="80"/>
      <c r="Q59" s="4"/>
      <c r="R59" s="182"/>
      <c r="S59" s="182"/>
      <c r="T59" s="182"/>
      <c r="U59" s="182"/>
      <c r="V59" s="182"/>
      <c r="W59" s="182"/>
      <c r="X59" s="182"/>
      <c r="Y59" s="182"/>
      <c r="Z59" s="182"/>
      <c r="AA59" s="182"/>
      <c r="AB59" s="182"/>
      <c r="AC59" s="182"/>
      <c r="AD59" s="182"/>
      <c r="AE59" s="182"/>
      <c r="AF59" s="182"/>
      <c r="AG59" s="182"/>
      <c r="AH59" s="182"/>
      <c r="AI59" s="182"/>
      <c r="AJ59" s="182"/>
      <c r="AK59" s="182"/>
      <c r="AL59" s="182"/>
      <c r="AM59" s="182"/>
      <c r="AN59" s="182"/>
      <c r="AO59" s="182"/>
      <c r="AP59" s="4"/>
      <c r="AQ59" s="79"/>
      <c r="AR59" s="79"/>
    </row>
    <row r="60" ht="0" hidden="1" customHeight="1">
      <c r="C60" s="181"/>
      <c r="D60" s="181"/>
      <c r="E60" s="181"/>
      <c r="F60" s="201"/>
      <c r="G60" s="181"/>
      <c r="H60" s="996"/>
      <c r="I60" s="996"/>
      <c r="J60" s="996"/>
      <c r="K60" s="996"/>
      <c r="L60" s="1072"/>
      <c r="M60" s="1072"/>
      <c r="N60" s="1072"/>
      <c r="O60" s="1072"/>
      <c r="P60" s="80"/>
      <c r="Q60" s="4"/>
      <c r="R60" s="182"/>
      <c r="S60" s="182"/>
      <c r="T60" s="182"/>
      <c r="U60" s="182"/>
      <c r="V60" s="182"/>
      <c r="W60" s="182"/>
      <c r="X60" s="182"/>
      <c r="Y60" s="182"/>
      <c r="Z60" s="182"/>
      <c r="AA60" s="182"/>
      <c r="AB60" s="182"/>
      <c r="AC60" s="182"/>
      <c r="AD60" s="182"/>
      <c r="AE60" s="182"/>
      <c r="AF60" s="182"/>
      <c r="AG60" s="182"/>
      <c r="AH60" s="182"/>
      <c r="AI60" s="182"/>
      <c r="AJ60" s="182"/>
      <c r="AK60" s="182"/>
      <c r="AL60" s="182"/>
      <c r="AM60" s="182"/>
      <c r="AN60" s="182"/>
      <c r="AO60" s="182"/>
      <c r="AP60" s="4"/>
      <c r="AQ60" s="79"/>
      <c r="AR60" s="79"/>
    </row>
    <row r="61" ht="0" hidden="1" customHeight="1">
      <c r="C61" s="181"/>
      <c r="D61" s="181"/>
      <c r="E61" s="181"/>
      <c r="F61" s="201"/>
      <c r="G61" s="181"/>
      <c r="H61" s="996"/>
      <c r="I61" s="996"/>
      <c r="J61" s="996"/>
      <c r="K61" s="996"/>
      <c r="L61" s="1072"/>
      <c r="M61" s="1072"/>
      <c r="N61" s="1072"/>
      <c r="O61" s="1072"/>
      <c r="P61" s="80"/>
      <c r="Q61" s="4"/>
      <c r="R61" s="182"/>
      <c r="S61" s="182"/>
      <c r="T61" s="182"/>
      <c r="U61" s="182"/>
      <c r="V61" s="182"/>
      <c r="W61" s="182"/>
      <c r="X61" s="182"/>
      <c r="Y61" s="182"/>
      <c r="Z61" s="182"/>
      <c r="AA61" s="182"/>
      <c r="AB61" s="182"/>
      <c r="AC61" s="182"/>
      <c r="AD61" s="182"/>
      <c r="AE61" s="182"/>
      <c r="AF61" s="182"/>
      <c r="AG61" s="182"/>
      <c r="AH61" s="182"/>
      <c r="AI61" s="182"/>
      <c r="AJ61" s="182"/>
      <c r="AK61" s="182"/>
      <c r="AL61" s="182"/>
      <c r="AM61" s="182"/>
      <c r="AN61" s="182"/>
      <c r="AO61" s="182"/>
      <c r="AP61" s="4"/>
      <c r="AQ61" s="79"/>
      <c r="AR61" s="79"/>
    </row>
    <row r="62" ht="0" hidden="1" customHeight="1">
      <c r="C62" s="181"/>
      <c r="D62" s="181"/>
      <c r="E62" s="181"/>
      <c r="F62" s="201"/>
      <c r="G62" s="181"/>
      <c r="H62" s="996"/>
      <c r="I62" s="996"/>
      <c r="J62" s="996"/>
      <c r="K62" s="996"/>
      <c r="L62" s="1072"/>
      <c r="M62" s="1072"/>
      <c r="N62" s="1072"/>
      <c r="O62" s="1072"/>
      <c r="P62" s="80"/>
      <c r="Q62" s="4"/>
      <c r="R62" s="182"/>
      <c r="S62" s="182"/>
      <c r="T62" s="182"/>
      <c r="U62" s="182"/>
      <c r="V62" s="182"/>
      <c r="W62" s="182"/>
      <c r="X62" s="182"/>
      <c r="Y62" s="182"/>
      <c r="Z62" s="182"/>
      <c r="AA62" s="182"/>
      <c r="AB62" s="182"/>
      <c r="AC62" s="182"/>
      <c r="AD62" s="182"/>
      <c r="AE62" s="182"/>
      <c r="AF62" s="182"/>
      <c r="AG62" s="182"/>
      <c r="AH62" s="182"/>
      <c r="AI62" s="182"/>
      <c r="AJ62" s="182"/>
      <c r="AK62" s="182"/>
      <c r="AL62" s="182"/>
      <c r="AM62" s="182"/>
      <c r="AN62" s="182"/>
      <c r="AO62" s="182"/>
      <c r="AP62" s="4"/>
      <c r="AQ62" s="79"/>
      <c r="AR62" s="79"/>
    </row>
    <row r="63" ht="0" hidden="1" customHeight="1">
      <c r="C63" s="181"/>
      <c r="D63" s="181"/>
      <c r="E63" s="181"/>
      <c r="F63" s="201"/>
      <c r="G63" s="181"/>
      <c r="H63" s="996"/>
      <c r="I63" s="996"/>
      <c r="J63" s="996"/>
      <c r="K63" s="996"/>
      <c r="L63" s="1072"/>
      <c r="M63" s="1072"/>
      <c r="N63" s="1072"/>
      <c r="O63" s="1072"/>
      <c r="P63" s="80"/>
      <c r="Q63" s="4"/>
      <c r="R63" s="182"/>
      <c r="S63" s="182"/>
      <c r="T63" s="182"/>
      <c r="U63" s="182"/>
      <c r="V63" s="182"/>
      <c r="W63" s="182"/>
      <c r="X63" s="182"/>
      <c r="Y63" s="182"/>
      <c r="Z63" s="182"/>
      <c r="AA63" s="182"/>
      <c r="AB63" s="182"/>
      <c r="AC63" s="182"/>
      <c r="AD63" s="182"/>
      <c r="AE63" s="182"/>
      <c r="AF63" s="182"/>
      <c r="AG63" s="182"/>
      <c r="AH63" s="182"/>
      <c r="AI63" s="182"/>
      <c r="AJ63" s="182"/>
      <c r="AK63" s="182"/>
      <c r="AL63" s="182"/>
      <c r="AM63" s="182"/>
      <c r="AN63" s="182"/>
      <c r="AO63" s="182"/>
      <c r="AP63" s="4"/>
      <c r="AQ63" s="79"/>
      <c r="AR63" s="79"/>
    </row>
    <row r="64" ht="0" hidden="1" customHeight="1">
      <c r="C64" s="181"/>
      <c r="D64" s="181"/>
      <c r="E64" s="181"/>
      <c r="F64" s="201"/>
      <c r="G64" s="181"/>
      <c r="H64" s="996"/>
      <c r="I64" s="996"/>
      <c r="J64" s="996"/>
      <c r="K64" s="996"/>
      <c r="L64" s="1072"/>
      <c r="M64" s="1072"/>
      <c r="N64" s="1072"/>
      <c r="O64" s="1072"/>
      <c r="P64" s="80"/>
      <c r="Q64" s="4"/>
      <c r="R64" s="182"/>
      <c r="S64" s="182"/>
      <c r="T64" s="182"/>
      <c r="U64" s="182"/>
      <c r="V64" s="182"/>
      <c r="W64" s="182"/>
      <c r="X64" s="182"/>
      <c r="Y64" s="182"/>
      <c r="Z64" s="182"/>
      <c r="AA64" s="182"/>
      <c r="AB64" s="182"/>
      <c r="AC64" s="182"/>
      <c r="AD64" s="182"/>
      <c r="AE64" s="182"/>
      <c r="AF64" s="182"/>
      <c r="AG64" s="182"/>
      <c r="AH64" s="182"/>
      <c r="AI64" s="182"/>
      <c r="AJ64" s="182"/>
      <c r="AK64" s="182"/>
      <c r="AL64" s="182"/>
      <c r="AM64" s="182"/>
      <c r="AN64" s="182"/>
      <c r="AO64" s="182"/>
      <c r="AP64" s="4"/>
      <c r="AQ64" s="79"/>
      <c r="AR64" s="79"/>
    </row>
    <row r="65" ht="0" hidden="1" customHeight="1">
      <c r="C65" s="181"/>
      <c r="D65" s="181"/>
      <c r="E65" s="181"/>
      <c r="F65" s="201"/>
      <c r="G65" s="181"/>
      <c r="H65" s="996"/>
      <c r="I65" s="996"/>
      <c r="J65" s="996"/>
      <c r="K65" s="996"/>
      <c r="L65" s="1072"/>
      <c r="M65" s="1072"/>
      <c r="N65" s="1072"/>
      <c r="O65" s="1072"/>
      <c r="P65" s="80"/>
      <c r="Q65" s="4"/>
      <c r="R65" s="182"/>
      <c r="S65" s="182"/>
      <c r="T65" s="182"/>
      <c r="U65" s="182"/>
      <c r="V65" s="182"/>
      <c r="W65" s="182"/>
      <c r="X65" s="182"/>
      <c r="Y65" s="182"/>
      <c r="Z65" s="182"/>
      <c r="AA65" s="182"/>
      <c r="AB65" s="182"/>
      <c r="AC65" s="182"/>
      <c r="AD65" s="182"/>
      <c r="AE65" s="182"/>
      <c r="AF65" s="182"/>
      <c r="AG65" s="182"/>
      <c r="AH65" s="182"/>
      <c r="AI65" s="182"/>
      <c r="AJ65" s="182"/>
      <c r="AK65" s="182"/>
      <c r="AL65" s="182"/>
      <c r="AM65" s="182"/>
      <c r="AN65" s="182"/>
      <c r="AO65" s="182"/>
      <c r="AP65" s="4"/>
      <c r="AQ65" s="79"/>
      <c r="AR65" s="79"/>
    </row>
    <row r="66" ht="0" hidden="1" customHeight="1">
      <c r="C66" s="181"/>
      <c r="D66" s="181"/>
      <c r="E66" s="181"/>
      <c r="F66" s="201"/>
      <c r="G66" s="181"/>
      <c r="H66" s="996"/>
      <c r="I66" s="996"/>
      <c r="J66" s="996"/>
      <c r="K66" s="996"/>
      <c r="L66" s="1072"/>
      <c r="M66" s="1072"/>
      <c r="N66" s="1072"/>
      <c r="O66" s="1072"/>
      <c r="P66" s="80"/>
      <c r="Q66" s="4"/>
      <c r="R66" s="182"/>
      <c r="S66" s="182"/>
      <c r="T66" s="182"/>
      <c r="U66" s="182"/>
      <c r="V66" s="182"/>
      <c r="W66" s="182"/>
      <c r="X66" s="182"/>
      <c r="Y66" s="182"/>
      <c r="Z66" s="182"/>
      <c r="AA66" s="182"/>
      <c r="AB66" s="182"/>
      <c r="AC66" s="182"/>
      <c r="AD66" s="182"/>
      <c r="AE66" s="182"/>
      <c r="AF66" s="182"/>
      <c r="AG66" s="182"/>
      <c r="AH66" s="182"/>
      <c r="AI66" s="182"/>
      <c r="AJ66" s="182"/>
      <c r="AK66" s="182"/>
      <c r="AL66" s="182"/>
      <c r="AM66" s="182"/>
      <c r="AN66" s="182"/>
      <c r="AO66" s="182"/>
      <c r="AP66" s="4"/>
      <c r="AQ66" s="79"/>
      <c r="AR66" s="79"/>
    </row>
    <row r="67" ht="0" hidden="1" customHeight="1">
      <c r="C67" s="181"/>
      <c r="D67" s="181"/>
      <c r="E67" s="181"/>
      <c r="F67" s="201"/>
      <c r="G67" s="181"/>
      <c r="H67" s="996"/>
      <c r="I67" s="996"/>
      <c r="J67" s="996"/>
      <c r="K67" s="996"/>
      <c r="L67" s="1072"/>
      <c r="M67" s="1072"/>
      <c r="N67" s="1072"/>
      <c r="O67" s="1072"/>
      <c r="P67" s="80"/>
      <c r="Q67" s="4"/>
      <c r="R67" s="182"/>
      <c r="S67" s="182"/>
      <c r="T67" s="182"/>
      <c r="U67" s="182"/>
      <c r="V67" s="182"/>
      <c r="W67" s="182"/>
      <c r="X67" s="182"/>
      <c r="Y67" s="182"/>
      <c r="Z67" s="182"/>
      <c r="AA67" s="182"/>
      <c r="AB67" s="182"/>
      <c r="AC67" s="182"/>
      <c r="AD67" s="182"/>
      <c r="AE67" s="182"/>
      <c r="AF67" s="182"/>
      <c r="AG67" s="182"/>
      <c r="AH67" s="182"/>
      <c r="AI67" s="182"/>
      <c r="AJ67" s="182"/>
      <c r="AK67" s="182"/>
      <c r="AL67" s="182"/>
      <c r="AM67" s="182"/>
      <c r="AN67" s="182"/>
      <c r="AO67" s="182"/>
      <c r="AP67" s="4"/>
      <c r="AQ67" s="79"/>
      <c r="AR67" s="79"/>
    </row>
    <row r="68" ht="0" hidden="1" customHeight="1">
      <c r="C68" s="181"/>
      <c r="D68" s="181"/>
      <c r="E68" s="181"/>
      <c r="F68" s="201"/>
      <c r="G68" s="181"/>
      <c r="H68" s="996"/>
      <c r="I68" s="996"/>
      <c r="J68" s="996"/>
      <c r="K68" s="996"/>
      <c r="L68" s="1072"/>
      <c r="M68" s="1072"/>
      <c r="N68" s="1072"/>
      <c r="O68" s="1072"/>
      <c r="P68" s="80"/>
      <c r="Q68" s="4"/>
      <c r="R68" s="182"/>
      <c r="S68" s="182"/>
      <c r="T68" s="182"/>
      <c r="U68" s="182"/>
      <c r="V68" s="182"/>
      <c r="W68" s="182"/>
      <c r="X68" s="182"/>
      <c r="Y68" s="182"/>
      <c r="Z68" s="182"/>
      <c r="AA68" s="182"/>
      <c r="AB68" s="182"/>
      <c r="AC68" s="182"/>
      <c r="AD68" s="182"/>
      <c r="AE68" s="182"/>
      <c r="AF68" s="182"/>
      <c r="AG68" s="182"/>
      <c r="AH68" s="182"/>
      <c r="AI68" s="182"/>
      <c r="AJ68" s="182"/>
      <c r="AK68" s="182"/>
      <c r="AL68" s="182"/>
      <c r="AM68" s="182"/>
      <c r="AN68" s="182"/>
      <c r="AO68" s="182"/>
      <c r="AP68" s="4"/>
      <c r="AQ68" s="79"/>
      <c r="AR68" s="79"/>
    </row>
    <row r="69" ht="0" hidden="1" customHeight="1">
      <c r="C69" s="181"/>
      <c r="D69" s="181"/>
      <c r="E69" s="181"/>
      <c r="F69" s="201"/>
      <c r="G69" s="181"/>
      <c r="H69" s="996"/>
      <c r="I69" s="996"/>
      <c r="J69" s="996"/>
      <c r="K69" s="996"/>
      <c r="L69" s="1072"/>
      <c r="M69" s="1072"/>
      <c r="N69" s="1072"/>
      <c r="O69" s="1072"/>
      <c r="P69" s="80"/>
      <c r="Q69" s="4"/>
      <c r="R69" s="182"/>
      <c r="S69" s="182"/>
      <c r="T69" s="182"/>
      <c r="U69" s="182"/>
      <c r="V69" s="182"/>
      <c r="W69" s="182"/>
      <c r="X69" s="182"/>
      <c r="Y69" s="182"/>
      <c r="Z69" s="182"/>
      <c r="AA69" s="182"/>
      <c r="AB69" s="182"/>
      <c r="AC69" s="182"/>
      <c r="AD69" s="182"/>
      <c r="AE69" s="182"/>
      <c r="AF69" s="182"/>
      <c r="AG69" s="182"/>
      <c r="AH69" s="182"/>
      <c r="AI69" s="182"/>
      <c r="AJ69" s="182"/>
      <c r="AK69" s="182"/>
      <c r="AL69" s="182"/>
      <c r="AM69" s="182"/>
      <c r="AN69" s="182"/>
      <c r="AO69" s="182"/>
      <c r="AP69" s="4"/>
      <c r="AQ69" s="79"/>
      <c r="AR69" s="79"/>
    </row>
    <row r="70" ht="0" hidden="1" customHeight="1">
      <c r="C70" s="181"/>
      <c r="D70" s="181"/>
      <c r="E70" s="181"/>
      <c r="F70" s="201"/>
      <c r="G70" s="181"/>
      <c r="H70" s="996"/>
      <c r="I70" s="996"/>
      <c r="J70" s="996"/>
      <c r="K70" s="996"/>
      <c r="L70" s="1072"/>
      <c r="M70" s="1072"/>
      <c r="N70" s="1072"/>
      <c r="O70" s="1072"/>
      <c r="P70" s="80"/>
      <c r="Q70" s="4"/>
      <c r="R70" s="182"/>
      <c r="S70" s="182"/>
      <c r="T70" s="182"/>
      <c r="U70" s="182"/>
      <c r="V70" s="182"/>
      <c r="W70" s="182"/>
      <c r="X70" s="182"/>
      <c r="Y70" s="182"/>
      <c r="Z70" s="182"/>
      <c r="AA70" s="182"/>
      <c r="AB70" s="182"/>
      <c r="AC70" s="182"/>
      <c r="AD70" s="182"/>
      <c r="AE70" s="182"/>
      <c r="AF70" s="182"/>
      <c r="AG70" s="182"/>
      <c r="AH70" s="182"/>
      <c r="AI70" s="182"/>
      <c r="AJ70" s="182"/>
      <c r="AK70" s="182"/>
      <c r="AL70" s="182"/>
      <c r="AM70" s="182"/>
      <c r="AN70" s="182"/>
      <c r="AO70" s="182"/>
      <c r="AP70" s="4"/>
      <c r="AQ70" s="79"/>
      <c r="AR70" s="79"/>
    </row>
    <row r="71" ht="0" hidden="1" customHeight="1">
      <c r="C71" s="181"/>
      <c r="D71" s="181"/>
      <c r="E71" s="181"/>
      <c r="F71" s="201"/>
      <c r="G71" s="181"/>
      <c r="H71" s="996"/>
      <c r="I71" s="996"/>
      <c r="J71" s="996"/>
      <c r="K71" s="996"/>
      <c r="L71" s="1072"/>
      <c r="M71" s="1072"/>
      <c r="N71" s="1072"/>
      <c r="O71" s="1072"/>
      <c r="P71" s="80"/>
      <c r="Q71" s="4"/>
      <c r="R71" s="182"/>
      <c r="S71" s="182"/>
      <c r="T71" s="182"/>
      <c r="U71" s="182"/>
      <c r="V71" s="182"/>
      <c r="W71" s="182"/>
      <c r="X71" s="182"/>
      <c r="Y71" s="182"/>
      <c r="Z71" s="182"/>
      <c r="AA71" s="182"/>
      <c r="AB71" s="182"/>
      <c r="AC71" s="182"/>
      <c r="AD71" s="182"/>
      <c r="AE71" s="182"/>
      <c r="AF71" s="182"/>
      <c r="AG71" s="182"/>
      <c r="AH71" s="182"/>
      <c r="AI71" s="182"/>
      <c r="AJ71" s="182"/>
      <c r="AK71" s="182"/>
      <c r="AL71" s="182"/>
      <c r="AM71" s="182"/>
      <c r="AN71" s="182"/>
      <c r="AO71" s="182"/>
      <c r="AP71" s="4"/>
      <c r="AQ71" s="79"/>
      <c r="AR71" s="79"/>
    </row>
    <row r="72" ht="0" hidden="1" customHeight="1">
      <c r="C72" s="181"/>
      <c r="D72" s="181"/>
      <c r="E72" s="181"/>
      <c r="F72" s="201"/>
      <c r="G72" s="181"/>
      <c r="H72" s="996"/>
      <c r="I72" s="996"/>
      <c r="J72" s="996"/>
      <c r="K72" s="996"/>
      <c r="L72" s="1072"/>
      <c r="M72" s="1072"/>
      <c r="N72" s="1072"/>
      <c r="O72" s="1072"/>
      <c r="P72" s="80"/>
      <c r="Q72" s="4"/>
      <c r="R72" s="182"/>
      <c r="S72" s="182"/>
      <c r="T72" s="182"/>
      <c r="U72" s="182"/>
      <c r="V72" s="182"/>
      <c r="W72" s="182"/>
      <c r="X72" s="182"/>
      <c r="Y72" s="182"/>
      <c r="Z72" s="182"/>
      <c r="AA72" s="182"/>
      <c r="AB72" s="182"/>
      <c r="AC72" s="182"/>
      <c r="AD72" s="182"/>
      <c r="AE72" s="182"/>
      <c r="AF72" s="182"/>
      <c r="AG72" s="182"/>
      <c r="AH72" s="182"/>
      <c r="AI72" s="182"/>
      <c r="AJ72" s="182"/>
      <c r="AK72" s="182"/>
      <c r="AL72" s="182"/>
      <c r="AM72" s="182"/>
      <c r="AN72" s="182"/>
      <c r="AO72" s="182"/>
      <c r="AP72" s="4"/>
      <c r="AQ72" s="79"/>
      <c r="AR72" s="79"/>
    </row>
    <row r="73" ht="0" hidden="1" customHeight="1">
      <c r="C73" s="181"/>
      <c r="D73" s="181"/>
      <c r="E73" s="181"/>
      <c r="F73" s="201"/>
      <c r="G73" s="181"/>
      <c r="H73" s="996"/>
      <c r="I73" s="996"/>
      <c r="J73" s="996"/>
      <c r="K73" s="996"/>
      <c r="L73" s="1072"/>
      <c r="M73" s="1072"/>
      <c r="N73" s="1072"/>
      <c r="O73" s="1072"/>
      <c r="P73" s="80"/>
      <c r="Q73" s="4"/>
      <c r="R73" s="182"/>
      <c r="S73" s="182"/>
      <c r="T73" s="182"/>
      <c r="U73" s="182"/>
      <c r="V73" s="182"/>
      <c r="W73" s="182"/>
      <c r="X73" s="182"/>
      <c r="Y73" s="182"/>
      <c r="Z73" s="182"/>
      <c r="AA73" s="182"/>
      <c r="AB73" s="182"/>
      <c r="AC73" s="182"/>
      <c r="AD73" s="182"/>
      <c r="AE73" s="182"/>
      <c r="AF73" s="182"/>
      <c r="AG73" s="182"/>
      <c r="AH73" s="182"/>
      <c r="AI73" s="182"/>
      <c r="AJ73" s="182"/>
      <c r="AK73" s="182"/>
      <c r="AL73" s="182"/>
      <c r="AM73" s="182"/>
      <c r="AN73" s="182"/>
      <c r="AO73" s="182"/>
      <c r="AP73" s="4"/>
      <c r="AQ73" s="79"/>
      <c r="AR73" s="79"/>
    </row>
    <row r="74" ht="0" hidden="1" customHeight="1">
      <c r="C74" s="181"/>
      <c r="D74" s="181"/>
      <c r="E74" s="181"/>
      <c r="F74" s="201"/>
      <c r="G74" s="181"/>
      <c r="H74" s="996"/>
      <c r="I74" s="996"/>
      <c r="J74" s="996"/>
      <c r="K74" s="996"/>
      <c r="L74" s="1072"/>
      <c r="M74" s="1072"/>
      <c r="N74" s="1072"/>
      <c r="O74" s="1072"/>
      <c r="P74" s="80"/>
      <c r="Q74" s="4"/>
      <c r="R74" s="182"/>
      <c r="S74" s="182"/>
      <c r="T74" s="182"/>
      <c r="U74" s="182"/>
      <c r="V74" s="182"/>
      <c r="W74" s="182"/>
      <c r="X74" s="182"/>
      <c r="Y74" s="182"/>
      <c r="Z74" s="182"/>
      <c r="AA74" s="182"/>
      <c r="AB74" s="182"/>
      <c r="AC74" s="182"/>
      <c r="AD74" s="182"/>
      <c r="AE74" s="182"/>
      <c r="AF74" s="182"/>
      <c r="AG74" s="182"/>
      <c r="AH74" s="182"/>
      <c r="AI74" s="182"/>
      <c r="AJ74" s="182"/>
      <c r="AK74" s="182"/>
      <c r="AL74" s="182"/>
      <c r="AM74" s="182"/>
      <c r="AN74" s="182"/>
      <c r="AO74" s="182"/>
      <c r="AP74" s="4"/>
      <c r="AQ74" s="79"/>
      <c r="AR74" s="79"/>
    </row>
    <row r="75" ht="0" hidden="1" customHeight="1">
      <c r="C75" s="181"/>
      <c r="D75" s="181"/>
      <c r="E75" s="181"/>
      <c r="F75" s="201"/>
      <c r="G75" s="181"/>
      <c r="H75" s="996"/>
      <c r="I75" s="996"/>
      <c r="J75" s="996"/>
      <c r="K75" s="996"/>
      <c r="L75" s="1072"/>
      <c r="M75" s="1072"/>
      <c r="N75" s="1072"/>
      <c r="O75" s="1072"/>
      <c r="P75" s="80"/>
      <c r="Q75" s="4"/>
      <c r="R75" s="182"/>
      <c r="S75" s="182"/>
      <c r="T75" s="182"/>
      <c r="U75" s="182"/>
      <c r="V75" s="182"/>
      <c r="W75" s="182"/>
      <c r="X75" s="182"/>
      <c r="Y75" s="182"/>
      <c r="Z75" s="182"/>
      <c r="AA75" s="182"/>
      <c r="AB75" s="182"/>
      <c r="AC75" s="182"/>
      <c r="AD75" s="182"/>
      <c r="AE75" s="182"/>
      <c r="AF75" s="182"/>
      <c r="AG75" s="182"/>
      <c r="AH75" s="182"/>
      <c r="AI75" s="182"/>
      <c r="AJ75" s="182"/>
      <c r="AK75" s="182"/>
      <c r="AL75" s="182"/>
      <c r="AM75" s="182"/>
      <c r="AN75" s="182"/>
      <c r="AO75" s="182"/>
      <c r="AP75" s="4"/>
      <c r="AQ75" s="79"/>
      <c r="AR75" s="79"/>
    </row>
    <row r="76" ht="0" hidden="1" customHeight="1">
      <c r="C76" s="181"/>
      <c r="D76" s="181"/>
      <c r="E76" s="181"/>
      <c r="F76" s="201"/>
      <c r="G76" s="181"/>
      <c r="H76" s="996"/>
      <c r="I76" s="996"/>
      <c r="J76" s="996"/>
      <c r="K76" s="996"/>
      <c r="L76" s="1072"/>
      <c r="M76" s="1072"/>
      <c r="N76" s="1072"/>
      <c r="O76" s="1072"/>
      <c r="P76" s="80"/>
      <c r="Q76" s="4"/>
      <c r="R76" s="182"/>
      <c r="S76" s="182"/>
      <c r="T76" s="182"/>
      <c r="U76" s="182"/>
      <c r="V76" s="182"/>
      <c r="W76" s="182"/>
      <c r="X76" s="182"/>
      <c r="Y76" s="182"/>
      <c r="Z76" s="182"/>
      <c r="AA76" s="182"/>
      <c r="AB76" s="182"/>
      <c r="AC76" s="182"/>
      <c r="AD76" s="182"/>
      <c r="AE76" s="182"/>
      <c r="AF76" s="182"/>
      <c r="AG76" s="182"/>
      <c r="AH76" s="182"/>
      <c r="AI76" s="182"/>
      <c r="AJ76" s="182"/>
      <c r="AK76" s="182"/>
      <c r="AL76" s="182"/>
      <c r="AM76" s="182"/>
      <c r="AN76" s="182"/>
      <c r="AO76" s="182"/>
      <c r="AP76" s="4"/>
      <c r="AQ76" s="79"/>
      <c r="AR76" s="79"/>
    </row>
    <row r="77" ht="0" hidden="1" customHeight="1">
      <c r="C77" s="181"/>
      <c r="D77" s="181"/>
      <c r="E77" s="181"/>
      <c r="F77" s="201"/>
      <c r="G77" s="181"/>
      <c r="H77" s="996"/>
      <c r="I77" s="996"/>
      <c r="J77" s="996"/>
      <c r="K77" s="996"/>
      <c r="L77" s="1072"/>
      <c r="M77" s="1072"/>
      <c r="N77" s="1072"/>
      <c r="O77" s="1072"/>
      <c r="P77" s="80"/>
      <c r="Q77" s="4"/>
      <c r="R77" s="182"/>
      <c r="S77" s="182"/>
      <c r="T77" s="182"/>
      <c r="U77" s="182"/>
      <c r="V77" s="182"/>
      <c r="W77" s="182"/>
      <c r="X77" s="182"/>
      <c r="Y77" s="182"/>
      <c r="Z77" s="182"/>
      <c r="AA77" s="182"/>
      <c r="AB77" s="182"/>
      <c r="AC77" s="182"/>
      <c r="AD77" s="182"/>
      <c r="AE77" s="182"/>
      <c r="AF77" s="182"/>
      <c r="AG77" s="182"/>
      <c r="AH77" s="182"/>
      <c r="AI77" s="182"/>
      <c r="AJ77" s="182"/>
      <c r="AK77" s="182"/>
      <c r="AL77" s="182"/>
      <c r="AM77" s="182"/>
      <c r="AN77" s="182"/>
      <c r="AO77" s="182"/>
      <c r="AP77" s="4"/>
      <c r="AQ77" s="79"/>
      <c r="AR77" s="79"/>
    </row>
    <row r="78" ht="0" hidden="1" customHeight="1">
      <c r="C78" s="181"/>
      <c r="D78" s="181"/>
      <c r="E78" s="181"/>
      <c r="F78" s="201"/>
      <c r="G78" s="181"/>
      <c r="H78" s="996"/>
      <c r="I78" s="996"/>
      <c r="J78" s="996"/>
      <c r="K78" s="996"/>
      <c r="L78" s="1072"/>
      <c r="M78" s="1072"/>
      <c r="N78" s="1072"/>
      <c r="O78" s="1072"/>
      <c r="P78" s="80"/>
      <c r="Q78" s="4"/>
      <c r="R78" s="182"/>
      <c r="S78" s="182"/>
      <c r="T78" s="182"/>
      <c r="U78" s="182"/>
      <c r="V78" s="182"/>
      <c r="W78" s="182"/>
      <c r="X78" s="182"/>
      <c r="Y78" s="182"/>
      <c r="Z78" s="182"/>
      <c r="AA78" s="182"/>
      <c r="AB78" s="182"/>
      <c r="AC78" s="182"/>
      <c r="AD78" s="182"/>
      <c r="AE78" s="182"/>
      <c r="AF78" s="182"/>
      <c r="AG78" s="182"/>
      <c r="AH78" s="182"/>
      <c r="AI78" s="182"/>
      <c r="AJ78" s="182"/>
      <c r="AK78" s="182"/>
      <c r="AL78" s="182"/>
      <c r="AM78" s="182"/>
      <c r="AN78" s="182"/>
      <c r="AO78" s="182"/>
      <c r="AP78" s="4"/>
      <c r="AQ78" s="79"/>
      <c r="AR78" s="79"/>
    </row>
    <row r="79" ht="0" hidden="1" customHeight="1">
      <c r="C79" s="181"/>
      <c r="D79" s="181"/>
      <c r="E79" s="181"/>
      <c r="F79" s="201"/>
      <c r="G79" s="181"/>
      <c r="H79" s="996"/>
      <c r="I79" s="996"/>
      <c r="J79" s="996"/>
      <c r="K79" s="996"/>
      <c r="L79" s="1072"/>
      <c r="M79" s="1072"/>
      <c r="N79" s="1072"/>
      <c r="O79" s="1072"/>
      <c r="P79" s="80"/>
      <c r="Q79" s="4"/>
      <c r="R79" s="182"/>
      <c r="S79" s="182"/>
      <c r="T79" s="182"/>
      <c r="U79" s="182"/>
      <c r="V79" s="182"/>
      <c r="W79" s="182"/>
      <c r="X79" s="182"/>
      <c r="Y79" s="182"/>
      <c r="Z79" s="182"/>
      <c r="AA79" s="182"/>
      <c r="AB79" s="182"/>
      <c r="AC79" s="182"/>
      <c r="AD79" s="182"/>
      <c r="AE79" s="182"/>
      <c r="AF79" s="182"/>
      <c r="AG79" s="182"/>
      <c r="AH79" s="182"/>
      <c r="AI79" s="182"/>
      <c r="AJ79" s="182"/>
      <c r="AK79" s="182"/>
      <c r="AL79" s="182"/>
      <c r="AM79" s="182"/>
      <c r="AN79" s="182"/>
      <c r="AO79" s="182"/>
      <c r="AP79" s="4"/>
      <c r="AQ79" s="79"/>
      <c r="AR79" s="79"/>
    </row>
    <row r="80" ht="0" hidden="1" customHeight="1">
      <c r="C80" s="181"/>
      <c r="D80" s="181"/>
      <c r="E80" s="181"/>
      <c r="F80" s="201"/>
      <c r="G80" s="181"/>
      <c r="H80" s="996"/>
      <c r="I80" s="996"/>
      <c r="J80" s="996"/>
      <c r="K80" s="996"/>
      <c r="L80" s="1072"/>
      <c r="M80" s="1072"/>
      <c r="N80" s="1072"/>
      <c r="O80" s="1072"/>
      <c r="P80" s="80"/>
      <c r="Q80" s="4"/>
      <c r="R80" s="182"/>
      <c r="S80" s="182"/>
      <c r="T80" s="182"/>
      <c r="U80" s="182"/>
      <c r="V80" s="182"/>
      <c r="W80" s="182"/>
      <c r="X80" s="182"/>
      <c r="Y80" s="182"/>
      <c r="Z80" s="182"/>
      <c r="AA80" s="182"/>
      <c r="AB80" s="182"/>
      <c r="AC80" s="182"/>
      <c r="AD80" s="182"/>
      <c r="AE80" s="182"/>
      <c r="AF80" s="182"/>
      <c r="AG80" s="182"/>
      <c r="AH80" s="182"/>
      <c r="AI80" s="182"/>
      <c r="AJ80" s="182"/>
      <c r="AK80" s="182"/>
      <c r="AL80" s="182"/>
      <c r="AM80" s="182"/>
      <c r="AN80" s="182"/>
      <c r="AO80" s="182"/>
      <c r="AP80" s="4"/>
      <c r="AQ80" s="79"/>
      <c r="AR80" s="79"/>
    </row>
    <row r="81" ht="0" hidden="1" customHeight="1">
      <c r="C81" s="181"/>
      <c r="D81" s="181"/>
      <c r="E81" s="181"/>
      <c r="F81" s="201"/>
      <c r="G81" s="181"/>
      <c r="H81" s="996"/>
      <c r="I81" s="996"/>
      <c r="J81" s="996"/>
      <c r="K81" s="996"/>
      <c r="L81" s="1072"/>
      <c r="M81" s="1072"/>
      <c r="N81" s="1072"/>
      <c r="O81" s="1072"/>
      <c r="P81" s="80"/>
      <c r="Q81" s="4"/>
      <c r="R81" s="182"/>
      <c r="S81" s="182"/>
      <c r="T81" s="182"/>
      <c r="U81" s="182"/>
      <c r="V81" s="182"/>
      <c r="W81" s="182"/>
      <c r="X81" s="182"/>
      <c r="Y81" s="182"/>
      <c r="Z81" s="182"/>
      <c r="AA81" s="182"/>
      <c r="AB81" s="182"/>
      <c r="AC81" s="182"/>
      <c r="AD81" s="182"/>
      <c r="AE81" s="182"/>
      <c r="AF81" s="182"/>
      <c r="AG81" s="182"/>
      <c r="AH81" s="182"/>
      <c r="AI81" s="182"/>
      <c r="AJ81" s="182"/>
      <c r="AK81" s="182"/>
      <c r="AL81" s="182"/>
      <c r="AM81" s="182"/>
      <c r="AN81" s="182"/>
      <c r="AO81" s="182"/>
      <c r="AP81" s="4"/>
      <c r="AQ81" s="79"/>
      <c r="AR81" s="79"/>
    </row>
    <row r="82" ht="0" hidden="1" customHeight="1">
      <c r="C82" s="181"/>
      <c r="D82" s="181"/>
      <c r="E82" s="181"/>
      <c r="F82" s="201"/>
      <c r="G82" s="181"/>
      <c r="H82" s="996"/>
      <c r="I82" s="996"/>
      <c r="J82" s="996"/>
      <c r="K82" s="996"/>
      <c r="L82" s="1072"/>
      <c r="M82" s="1072"/>
      <c r="N82" s="1072"/>
      <c r="O82" s="1072"/>
      <c r="P82" s="80"/>
      <c r="Q82" s="4"/>
      <c r="R82" s="182"/>
      <c r="S82" s="182"/>
      <c r="T82" s="182"/>
      <c r="U82" s="182"/>
      <c r="V82" s="182"/>
      <c r="W82" s="182"/>
      <c r="X82" s="182"/>
      <c r="Y82" s="182"/>
      <c r="Z82" s="182"/>
      <c r="AA82" s="182"/>
      <c r="AB82" s="182"/>
      <c r="AC82" s="182"/>
      <c r="AD82" s="182"/>
      <c r="AE82" s="182"/>
      <c r="AF82" s="182"/>
      <c r="AG82" s="182"/>
      <c r="AH82" s="182"/>
      <c r="AI82" s="182"/>
      <c r="AJ82" s="182"/>
      <c r="AK82" s="182"/>
      <c r="AL82" s="182"/>
      <c r="AM82" s="182"/>
      <c r="AN82" s="182"/>
      <c r="AO82" s="182"/>
      <c r="AP82" s="4"/>
      <c r="AQ82" s="79"/>
      <c r="AR82" s="79"/>
    </row>
    <row r="83" ht="0" hidden="1" customHeight="1">
      <c r="C83" s="181"/>
      <c r="D83" s="181"/>
      <c r="E83" s="181"/>
      <c r="F83" s="201"/>
      <c r="G83" s="181"/>
      <c r="H83" s="996"/>
      <c r="I83" s="996"/>
      <c r="J83" s="996"/>
      <c r="K83" s="996"/>
      <c r="L83" s="1072"/>
      <c r="M83" s="1072"/>
      <c r="N83" s="1072"/>
      <c r="O83" s="1072"/>
      <c r="P83" s="80"/>
      <c r="Q83" s="4"/>
      <c r="R83" s="182"/>
      <c r="S83" s="182"/>
      <c r="T83" s="182"/>
      <c r="U83" s="182"/>
      <c r="V83" s="182"/>
      <c r="W83" s="182"/>
      <c r="X83" s="182"/>
      <c r="Y83" s="182"/>
      <c r="Z83" s="182"/>
      <c r="AA83" s="182"/>
      <c r="AB83" s="182"/>
      <c r="AC83" s="182"/>
      <c r="AD83" s="182"/>
      <c r="AE83" s="182"/>
      <c r="AF83" s="182"/>
      <c r="AG83" s="182"/>
      <c r="AH83" s="182"/>
      <c r="AI83" s="182"/>
      <c r="AJ83" s="182"/>
      <c r="AK83" s="182"/>
      <c r="AL83" s="182"/>
      <c r="AM83" s="182"/>
      <c r="AN83" s="182"/>
      <c r="AO83" s="182"/>
      <c r="AP83" s="4"/>
      <c r="AQ83" s="79"/>
      <c r="AR83" s="79"/>
    </row>
    <row r="84" ht="0" hidden="1" customHeight="1">
      <c r="C84" s="181"/>
      <c r="D84" s="181"/>
      <c r="E84" s="181"/>
      <c r="F84" s="201"/>
      <c r="G84" s="181"/>
      <c r="H84" s="996"/>
      <c r="I84" s="996"/>
      <c r="J84" s="996"/>
      <c r="K84" s="996"/>
      <c r="L84" s="1072"/>
      <c r="M84" s="1072"/>
      <c r="N84" s="1072"/>
      <c r="O84" s="1072"/>
      <c r="P84" s="80"/>
      <c r="Q84" s="4"/>
      <c r="R84" s="182"/>
      <c r="S84" s="182"/>
      <c r="T84" s="182"/>
      <c r="U84" s="182"/>
      <c r="V84" s="182"/>
      <c r="W84" s="182"/>
      <c r="X84" s="182"/>
      <c r="Y84" s="182"/>
      <c r="Z84" s="182"/>
      <c r="AA84" s="182"/>
      <c r="AB84" s="182"/>
      <c r="AC84" s="182"/>
      <c r="AD84" s="182"/>
      <c r="AE84" s="182"/>
      <c r="AF84" s="182"/>
      <c r="AG84" s="182"/>
      <c r="AH84" s="182"/>
      <c r="AI84" s="182"/>
      <c r="AJ84" s="182"/>
      <c r="AK84" s="182"/>
      <c r="AL84" s="182"/>
      <c r="AM84" s="182"/>
      <c r="AN84" s="182"/>
      <c r="AO84" s="182"/>
      <c r="AP84" s="4"/>
      <c r="AQ84" s="79"/>
      <c r="AR84" s="79"/>
    </row>
    <row r="85" ht="0" hidden="1" customHeight="1">
      <c r="C85" s="181"/>
      <c r="D85" s="181"/>
      <c r="E85" s="181"/>
      <c r="F85" s="201"/>
      <c r="G85" s="181"/>
      <c r="H85" s="996"/>
      <c r="I85" s="996"/>
      <c r="J85" s="996"/>
      <c r="K85" s="996"/>
      <c r="L85" s="1072"/>
      <c r="M85" s="1072"/>
      <c r="N85" s="1072"/>
      <c r="O85" s="1072"/>
      <c r="P85" s="80"/>
      <c r="Q85" s="4"/>
      <c r="R85" s="182"/>
      <c r="S85" s="182"/>
      <c r="T85" s="182"/>
      <c r="U85" s="182"/>
      <c r="V85" s="182"/>
      <c r="W85" s="182"/>
      <c r="X85" s="182"/>
      <c r="Y85" s="182"/>
      <c r="Z85" s="182"/>
      <c r="AA85" s="182"/>
      <c r="AB85" s="182"/>
      <c r="AC85" s="182"/>
      <c r="AD85" s="182"/>
      <c r="AE85" s="182"/>
      <c r="AF85" s="182"/>
      <c r="AG85" s="182"/>
      <c r="AH85" s="182"/>
      <c r="AI85" s="182"/>
      <c r="AJ85" s="182"/>
      <c r="AK85" s="182"/>
      <c r="AL85" s="182"/>
      <c r="AM85" s="182"/>
      <c r="AN85" s="182"/>
      <c r="AO85" s="182"/>
      <c r="AP85" s="4"/>
      <c r="AQ85" s="79"/>
      <c r="AR85" s="79"/>
    </row>
    <row r="86" ht="0" hidden="1" customHeight="1">
      <c r="C86" s="181"/>
      <c r="D86" s="181"/>
      <c r="E86" s="181"/>
      <c r="F86" s="201"/>
      <c r="G86" s="181"/>
      <c r="H86" s="996"/>
      <c r="I86" s="996"/>
      <c r="J86" s="996"/>
      <c r="K86" s="996"/>
      <c r="L86" s="1072"/>
      <c r="M86" s="1072"/>
      <c r="N86" s="1072"/>
      <c r="O86" s="1072"/>
      <c r="P86" s="80"/>
      <c r="Q86" s="4"/>
      <c r="R86" s="182"/>
      <c r="S86" s="182"/>
      <c r="T86" s="182"/>
      <c r="U86" s="182"/>
      <c r="V86" s="182"/>
      <c r="W86" s="182"/>
      <c r="X86" s="182"/>
      <c r="Y86" s="182"/>
      <c r="Z86" s="182"/>
      <c r="AA86" s="182"/>
      <c r="AB86" s="182"/>
      <c r="AC86" s="182"/>
      <c r="AD86" s="182"/>
      <c r="AE86" s="182"/>
      <c r="AF86" s="182"/>
      <c r="AG86" s="182"/>
      <c r="AH86" s="182"/>
      <c r="AI86" s="182"/>
      <c r="AJ86" s="182"/>
      <c r="AK86" s="182"/>
      <c r="AL86" s="182"/>
      <c r="AM86" s="182"/>
      <c r="AN86" s="182"/>
      <c r="AO86" s="182"/>
      <c r="AP86" s="4"/>
      <c r="AQ86" s="79"/>
      <c r="AR86" s="79"/>
    </row>
    <row r="87" ht="0" hidden="1" customHeight="1">
      <c r="C87" s="181"/>
      <c r="D87" s="181"/>
      <c r="E87" s="181"/>
      <c r="F87" s="201"/>
      <c r="G87" s="181"/>
      <c r="H87" s="996"/>
      <c r="I87" s="996"/>
      <c r="J87" s="996"/>
      <c r="K87" s="996"/>
      <c r="L87" s="1072"/>
      <c r="M87" s="1072"/>
      <c r="N87" s="1072"/>
      <c r="O87" s="1072"/>
      <c r="P87" s="80"/>
      <c r="Q87" s="4"/>
      <c r="R87" s="182"/>
      <c r="S87" s="182"/>
      <c r="T87" s="182"/>
      <c r="U87" s="182"/>
      <c r="V87" s="182"/>
      <c r="W87" s="182"/>
      <c r="X87" s="182"/>
      <c r="Y87" s="182"/>
      <c r="Z87" s="182"/>
      <c r="AA87" s="182"/>
      <c r="AB87" s="182"/>
      <c r="AC87" s="182"/>
      <c r="AD87" s="182"/>
      <c r="AE87" s="182"/>
      <c r="AF87" s="182"/>
      <c r="AG87" s="182"/>
      <c r="AH87" s="182"/>
      <c r="AI87" s="182"/>
      <c r="AJ87" s="182"/>
      <c r="AK87" s="182"/>
      <c r="AL87" s="182"/>
      <c r="AM87" s="182"/>
      <c r="AN87" s="182"/>
      <c r="AO87" s="182"/>
      <c r="AP87" s="4"/>
      <c r="AQ87" s="79"/>
      <c r="AR87" s="79"/>
    </row>
    <row r="88" ht="0" hidden="1" customHeight="1">
      <c r="C88" s="181"/>
      <c r="D88" s="181"/>
      <c r="E88" s="181"/>
      <c r="F88" s="201"/>
      <c r="G88" s="181"/>
      <c r="H88" s="996"/>
      <c r="I88" s="996"/>
      <c r="J88" s="996"/>
      <c r="K88" s="996"/>
      <c r="L88" s="1072"/>
      <c r="M88" s="1072"/>
      <c r="N88" s="1072"/>
      <c r="O88" s="1072"/>
      <c r="P88" s="80"/>
      <c r="Q88" s="4"/>
      <c r="R88" s="182"/>
      <c r="S88" s="182"/>
      <c r="T88" s="182"/>
      <c r="U88" s="182"/>
      <c r="V88" s="182"/>
      <c r="W88" s="182"/>
      <c r="X88" s="182"/>
      <c r="Y88" s="182"/>
      <c r="Z88" s="182"/>
      <c r="AA88" s="182"/>
      <c r="AB88" s="182"/>
      <c r="AC88" s="182"/>
      <c r="AD88" s="182"/>
      <c r="AE88" s="182"/>
      <c r="AF88" s="182"/>
      <c r="AG88" s="182"/>
      <c r="AH88" s="182"/>
      <c r="AI88" s="182"/>
      <c r="AJ88" s="182"/>
      <c r="AK88" s="182"/>
      <c r="AL88" s="182"/>
      <c r="AM88" s="182"/>
      <c r="AN88" s="182"/>
      <c r="AO88" s="182"/>
      <c r="AP88" s="4"/>
      <c r="AQ88" s="79"/>
      <c r="AR88" s="79"/>
    </row>
    <row r="89" ht="0" hidden="1" customHeight="1">
      <c r="C89" s="181"/>
      <c r="D89" s="181"/>
      <c r="E89" s="181"/>
      <c r="F89" s="201"/>
      <c r="G89" s="181"/>
      <c r="H89" s="996"/>
      <c r="I89" s="996"/>
      <c r="J89" s="996"/>
      <c r="K89" s="996"/>
      <c r="L89" s="1072"/>
      <c r="M89" s="1072"/>
      <c r="N89" s="1072"/>
      <c r="O89" s="1072"/>
      <c r="P89" s="80"/>
      <c r="Q89" s="4"/>
      <c r="R89" s="182"/>
      <c r="S89" s="182"/>
      <c r="T89" s="182"/>
      <c r="U89" s="182"/>
      <c r="V89" s="182"/>
      <c r="W89" s="182"/>
      <c r="X89" s="182"/>
      <c r="Y89" s="182"/>
      <c r="Z89" s="182"/>
      <c r="AA89" s="182"/>
      <c r="AB89" s="182"/>
      <c r="AC89" s="182"/>
      <c r="AD89" s="182"/>
      <c r="AE89" s="182"/>
      <c r="AF89" s="182"/>
      <c r="AG89" s="182"/>
      <c r="AH89" s="182"/>
      <c r="AI89" s="182"/>
      <c r="AJ89" s="182"/>
      <c r="AK89" s="182"/>
      <c r="AL89" s="182"/>
      <c r="AM89" s="182"/>
      <c r="AN89" s="182"/>
      <c r="AO89" s="182"/>
      <c r="AP89" s="4"/>
      <c r="AQ89" s="79"/>
      <c r="AR89" s="79"/>
    </row>
    <row r="90" ht="0" hidden="1" customHeight="1">
      <c r="C90" s="181"/>
      <c r="D90" s="181"/>
      <c r="E90" s="181"/>
      <c r="F90" s="201"/>
      <c r="G90" s="181"/>
      <c r="H90" s="996"/>
      <c r="I90" s="996"/>
      <c r="J90" s="996"/>
      <c r="K90" s="996"/>
      <c r="L90" s="1072"/>
      <c r="M90" s="1072"/>
      <c r="N90" s="1072"/>
      <c r="O90" s="1072"/>
      <c r="P90" s="80"/>
      <c r="Q90" s="4"/>
      <c r="R90" s="182"/>
      <c r="S90" s="182"/>
      <c r="T90" s="182"/>
      <c r="U90" s="182"/>
      <c r="V90" s="182"/>
      <c r="W90" s="182"/>
      <c r="X90" s="182"/>
      <c r="Y90" s="182"/>
      <c r="Z90" s="182"/>
      <c r="AA90" s="182"/>
      <c r="AB90" s="182"/>
      <c r="AC90" s="182"/>
      <c r="AD90" s="182"/>
      <c r="AE90" s="182"/>
      <c r="AF90" s="182"/>
      <c r="AG90" s="182"/>
      <c r="AH90" s="182"/>
      <c r="AI90" s="182"/>
      <c r="AJ90" s="182"/>
      <c r="AK90" s="182"/>
      <c r="AL90" s="182"/>
      <c r="AM90" s="182"/>
      <c r="AN90" s="182"/>
      <c r="AO90" s="182"/>
      <c r="AP90" s="4"/>
      <c r="AQ90" s="79"/>
      <c r="AR90" s="79"/>
    </row>
    <row r="91" ht="0" hidden="1" customHeight="1">
      <c r="C91" s="181"/>
      <c r="D91" s="181"/>
      <c r="E91" s="181"/>
      <c r="F91" s="201"/>
      <c r="G91" s="181"/>
      <c r="H91" s="996"/>
      <c r="I91" s="996"/>
      <c r="J91" s="996"/>
      <c r="K91" s="996"/>
      <c r="L91" s="1072"/>
      <c r="M91" s="1072"/>
      <c r="N91" s="1072"/>
      <c r="O91" s="1072"/>
      <c r="P91" s="80"/>
      <c r="Q91" s="4"/>
      <c r="R91" s="182"/>
      <c r="S91" s="182"/>
      <c r="T91" s="182"/>
      <c r="U91" s="182"/>
      <c r="V91" s="182"/>
      <c r="W91" s="182"/>
      <c r="X91" s="182"/>
      <c r="Y91" s="182"/>
      <c r="Z91" s="182"/>
      <c r="AA91" s="182"/>
      <c r="AB91" s="182"/>
      <c r="AC91" s="182"/>
      <c r="AD91" s="182"/>
      <c r="AE91" s="182"/>
      <c r="AF91" s="182"/>
      <c r="AG91" s="182"/>
      <c r="AH91" s="182"/>
      <c r="AI91" s="182"/>
      <c r="AJ91" s="182"/>
      <c r="AK91" s="182"/>
      <c r="AL91" s="182"/>
      <c r="AM91" s="182"/>
      <c r="AN91" s="182"/>
      <c r="AO91" s="182"/>
      <c r="AP91" s="4"/>
      <c r="AQ91" s="79"/>
      <c r="AR91" s="79"/>
    </row>
    <row r="92" ht="0" hidden="1" customHeight="1">
      <c r="C92" s="181"/>
      <c r="D92" s="181"/>
      <c r="E92" s="181"/>
      <c r="F92" s="201"/>
      <c r="G92" s="181"/>
      <c r="H92" s="996"/>
      <c r="I92" s="996"/>
      <c r="J92" s="996"/>
      <c r="K92" s="996"/>
      <c r="L92" s="1072"/>
      <c r="M92" s="1072"/>
      <c r="N92" s="1072"/>
      <c r="O92" s="1072"/>
      <c r="P92" s="80"/>
      <c r="Q92" s="4"/>
      <c r="R92" s="182"/>
      <c r="S92" s="182"/>
      <c r="T92" s="182"/>
      <c r="U92" s="182"/>
      <c r="V92" s="182"/>
      <c r="W92" s="182"/>
      <c r="X92" s="182"/>
      <c r="Y92" s="182"/>
      <c r="Z92" s="182"/>
      <c r="AA92" s="182"/>
      <c r="AB92" s="182"/>
      <c r="AC92" s="182"/>
      <c r="AD92" s="182"/>
      <c r="AE92" s="182"/>
      <c r="AF92" s="182"/>
      <c r="AG92" s="182"/>
      <c r="AH92" s="182"/>
      <c r="AI92" s="182"/>
      <c r="AJ92" s="182"/>
      <c r="AK92" s="182"/>
      <c r="AL92" s="182"/>
      <c r="AM92" s="182"/>
      <c r="AN92" s="182"/>
      <c r="AO92" s="182"/>
      <c r="AP92" s="4"/>
      <c r="AQ92" s="79"/>
      <c r="AR92" s="79"/>
    </row>
    <row r="93" ht="0" hidden="1" customHeight="1">
      <c r="C93" s="181"/>
      <c r="D93" s="181"/>
      <c r="E93" s="181"/>
      <c r="F93" s="201"/>
      <c r="G93" s="181"/>
      <c r="H93" s="996"/>
      <c r="I93" s="996"/>
      <c r="J93" s="996"/>
      <c r="K93" s="996"/>
      <c r="L93" s="1072"/>
      <c r="M93" s="1072"/>
      <c r="N93" s="1072"/>
      <c r="O93" s="1072"/>
      <c r="P93" s="80"/>
      <c r="Q93" s="4"/>
      <c r="R93" s="182"/>
      <c r="S93" s="182"/>
      <c r="T93" s="182"/>
      <c r="U93" s="182"/>
      <c r="V93" s="182"/>
      <c r="W93" s="182"/>
      <c r="X93" s="182"/>
      <c r="Y93" s="182"/>
      <c r="Z93" s="182"/>
      <c r="AA93" s="182"/>
      <c r="AB93" s="182"/>
      <c r="AC93" s="182"/>
      <c r="AD93" s="182"/>
      <c r="AE93" s="182"/>
      <c r="AF93" s="182"/>
      <c r="AG93" s="182"/>
      <c r="AH93" s="182"/>
      <c r="AI93" s="182"/>
      <c r="AJ93" s="182"/>
      <c r="AK93" s="182"/>
      <c r="AL93" s="182"/>
      <c r="AM93" s="182"/>
      <c r="AN93" s="182"/>
      <c r="AO93" s="182"/>
      <c r="AP93" s="4"/>
      <c r="AQ93" s="79"/>
      <c r="AR93" s="79"/>
    </row>
    <row r="94" ht="0" hidden="1" customHeight="1">
      <c r="C94" s="181"/>
      <c r="D94" s="181"/>
      <c r="E94" s="181"/>
      <c r="F94" s="201"/>
      <c r="G94" s="181"/>
      <c r="H94" s="996"/>
      <c r="I94" s="996"/>
      <c r="J94" s="996"/>
      <c r="K94" s="996"/>
      <c r="L94" s="1072"/>
      <c r="M94" s="1072"/>
      <c r="N94" s="1072"/>
      <c r="O94" s="1072"/>
      <c r="P94" s="80"/>
      <c r="Q94" s="4"/>
      <c r="R94" s="182"/>
      <c r="S94" s="182"/>
      <c r="T94" s="182"/>
      <c r="U94" s="182"/>
      <c r="V94" s="182"/>
      <c r="W94" s="182"/>
      <c r="X94" s="182"/>
      <c r="Y94" s="182"/>
      <c r="Z94" s="182"/>
      <c r="AA94" s="182"/>
      <c r="AB94" s="182"/>
      <c r="AC94" s="182"/>
      <c r="AD94" s="182"/>
      <c r="AE94" s="182"/>
      <c r="AF94" s="182"/>
      <c r="AG94" s="182"/>
      <c r="AH94" s="182"/>
      <c r="AI94" s="182"/>
      <c r="AJ94" s="182"/>
      <c r="AK94" s="182"/>
      <c r="AL94" s="182"/>
      <c r="AM94" s="182"/>
      <c r="AN94" s="182"/>
      <c r="AO94" s="182"/>
      <c r="AP94" s="4"/>
      <c r="AQ94" s="79"/>
      <c r="AR94" s="79"/>
    </row>
    <row r="95" ht="0" hidden="1" customHeight="1">
      <c r="C95" s="181"/>
      <c r="D95" s="181"/>
      <c r="E95" s="181"/>
      <c r="F95" s="201"/>
      <c r="G95" s="181"/>
      <c r="H95" s="996"/>
      <c r="I95" s="996"/>
      <c r="J95" s="996"/>
      <c r="K95" s="996"/>
      <c r="L95" s="1072"/>
      <c r="M95" s="1072"/>
      <c r="N95" s="1072"/>
      <c r="O95" s="1072"/>
      <c r="P95" s="80"/>
      <c r="Q95" s="4"/>
      <c r="R95" s="182"/>
      <c r="S95" s="182"/>
      <c r="T95" s="182"/>
      <c r="U95" s="182"/>
      <c r="V95" s="182"/>
      <c r="W95" s="182"/>
      <c r="X95" s="182"/>
      <c r="Y95" s="182"/>
      <c r="Z95" s="182"/>
      <c r="AA95" s="182"/>
      <c r="AB95" s="182"/>
      <c r="AC95" s="182"/>
      <c r="AD95" s="182"/>
      <c r="AE95" s="182"/>
      <c r="AF95" s="182"/>
      <c r="AG95" s="182"/>
      <c r="AH95" s="182"/>
      <c r="AI95" s="182"/>
      <c r="AJ95" s="182"/>
      <c r="AK95" s="182"/>
      <c r="AL95" s="182"/>
      <c r="AM95" s="182"/>
      <c r="AN95" s="182"/>
      <c r="AO95" s="182"/>
      <c r="AP95" s="4"/>
      <c r="AQ95" s="79"/>
      <c r="AR95" s="79"/>
    </row>
    <row r="96" ht="0" hidden="1" customHeight="1">
      <c r="C96" s="181"/>
      <c r="D96" s="181"/>
      <c r="E96" s="181"/>
      <c r="F96" s="201"/>
      <c r="G96" s="181"/>
      <c r="H96" s="996"/>
      <c r="I96" s="996"/>
      <c r="J96" s="996"/>
      <c r="K96" s="996"/>
      <c r="L96" s="1072"/>
      <c r="M96" s="1072"/>
      <c r="N96" s="1072"/>
      <c r="O96" s="1072"/>
      <c r="P96" s="80"/>
      <c r="Q96" s="4"/>
      <c r="R96" s="182"/>
      <c r="S96" s="182"/>
      <c r="T96" s="182"/>
      <c r="U96" s="182"/>
      <c r="V96" s="182"/>
      <c r="W96" s="182"/>
      <c r="X96" s="182"/>
      <c r="Y96" s="182"/>
      <c r="Z96" s="182"/>
      <c r="AA96" s="182"/>
      <c r="AB96" s="182"/>
      <c r="AC96" s="182"/>
      <c r="AD96" s="182"/>
      <c r="AE96" s="182"/>
      <c r="AF96" s="182"/>
      <c r="AG96" s="182"/>
      <c r="AH96" s="182"/>
      <c r="AI96" s="182"/>
      <c r="AJ96" s="182"/>
      <c r="AK96" s="182"/>
      <c r="AL96" s="182"/>
      <c r="AM96" s="182"/>
      <c r="AN96" s="182"/>
      <c r="AO96" s="182"/>
      <c r="AP96" s="4"/>
      <c r="AQ96" s="79"/>
      <c r="AR96" s="79"/>
    </row>
    <row r="97" ht="0" hidden="1" customHeight="1">
      <c r="C97" s="181"/>
      <c r="D97" s="181"/>
      <c r="E97" s="181"/>
      <c r="F97" s="201"/>
      <c r="G97" s="181"/>
      <c r="H97" s="996"/>
      <c r="I97" s="996"/>
      <c r="J97" s="996"/>
      <c r="K97" s="996"/>
      <c r="L97" s="1072"/>
      <c r="M97" s="1072"/>
      <c r="N97" s="1072"/>
      <c r="O97" s="1072"/>
      <c r="P97" s="80"/>
      <c r="Q97" s="4"/>
      <c r="R97" s="182"/>
      <c r="S97" s="182"/>
      <c r="T97" s="182"/>
      <c r="U97" s="182"/>
      <c r="V97" s="182"/>
      <c r="W97" s="182"/>
      <c r="X97" s="182"/>
      <c r="Y97" s="182"/>
      <c r="Z97" s="182"/>
      <c r="AA97" s="182"/>
      <c r="AB97" s="182"/>
      <c r="AC97" s="182"/>
      <c r="AD97" s="182"/>
      <c r="AE97" s="182"/>
      <c r="AF97" s="182"/>
      <c r="AG97" s="182"/>
      <c r="AH97" s="182"/>
      <c r="AI97" s="182"/>
      <c r="AJ97" s="182"/>
      <c r="AK97" s="182"/>
      <c r="AL97" s="182"/>
      <c r="AM97" s="182"/>
      <c r="AN97" s="182"/>
      <c r="AO97" s="182"/>
      <c r="AP97" s="4"/>
      <c r="AQ97" s="79"/>
      <c r="AR97" s="79"/>
    </row>
    <row r="98" ht="0" hidden="1" customHeight="1">
      <c r="C98" s="181"/>
      <c r="D98" s="181"/>
      <c r="E98" s="181"/>
      <c r="F98" s="201"/>
      <c r="G98" s="181"/>
      <c r="H98" s="996"/>
      <c r="I98" s="996"/>
      <c r="J98" s="996"/>
      <c r="K98" s="996"/>
      <c r="L98" s="1072"/>
      <c r="M98" s="1072"/>
      <c r="N98" s="1072"/>
      <c r="O98" s="1072"/>
      <c r="P98" s="80"/>
      <c r="Q98" s="4"/>
      <c r="R98" s="182"/>
      <c r="S98" s="182"/>
      <c r="T98" s="182"/>
      <c r="U98" s="182"/>
      <c r="V98" s="182"/>
      <c r="W98" s="182"/>
      <c r="X98" s="182"/>
      <c r="Y98" s="182"/>
      <c r="Z98" s="182"/>
      <c r="AA98" s="182"/>
      <c r="AB98" s="182"/>
      <c r="AC98" s="182"/>
      <c r="AD98" s="182"/>
      <c r="AE98" s="182"/>
      <c r="AF98" s="182"/>
      <c r="AG98" s="182"/>
      <c r="AH98" s="182"/>
      <c r="AI98" s="182"/>
      <c r="AJ98" s="182"/>
      <c r="AK98" s="182"/>
      <c r="AL98" s="182"/>
      <c r="AM98" s="182"/>
      <c r="AN98" s="182"/>
      <c r="AO98" s="182"/>
      <c r="AP98" s="4"/>
      <c r="AQ98" s="79"/>
      <c r="AR98" s="79"/>
    </row>
    <row r="99" ht="0" hidden="1" customHeight="1">
      <c r="C99" s="181"/>
      <c r="D99" s="181"/>
      <c r="E99" s="181"/>
      <c r="F99" s="201"/>
      <c r="G99" s="181"/>
      <c r="H99" s="996"/>
      <c r="I99" s="996"/>
      <c r="J99" s="996"/>
      <c r="K99" s="996"/>
      <c r="L99" s="1072"/>
      <c r="M99" s="1072"/>
      <c r="N99" s="1072"/>
      <c r="O99" s="1072"/>
      <c r="P99" s="80"/>
      <c r="Q99" s="4"/>
      <c r="R99" s="182"/>
      <c r="S99" s="182"/>
      <c r="T99" s="182"/>
      <c r="U99" s="182"/>
      <c r="V99" s="182"/>
      <c r="W99" s="182"/>
      <c r="X99" s="182"/>
      <c r="Y99" s="182"/>
      <c r="Z99" s="182"/>
      <c r="AA99" s="182"/>
      <c r="AB99" s="182"/>
      <c r="AC99" s="182"/>
      <c r="AD99" s="182"/>
      <c r="AE99" s="182"/>
      <c r="AF99" s="182"/>
      <c r="AG99" s="182"/>
      <c r="AH99" s="182"/>
      <c r="AI99" s="182"/>
      <c r="AJ99" s="182"/>
      <c r="AK99" s="182"/>
      <c r="AL99" s="182"/>
      <c r="AM99" s="182"/>
      <c r="AN99" s="182"/>
      <c r="AO99" s="182"/>
      <c r="AP99" s="4"/>
      <c r="AQ99" s="79"/>
      <c r="AR99" s="79"/>
    </row>
    <row r="100" ht="0" hidden="1" customHeight="1">
      <c r="C100" s="181"/>
      <c r="D100" s="181"/>
      <c r="E100" s="181"/>
      <c r="F100" s="201"/>
      <c r="G100" s="181"/>
      <c r="H100" s="996"/>
      <c r="I100" s="996"/>
      <c r="J100" s="996"/>
      <c r="K100" s="996"/>
      <c r="L100" s="1072"/>
      <c r="M100" s="1072"/>
      <c r="N100" s="1072"/>
      <c r="O100" s="1072"/>
      <c r="P100" s="80"/>
      <c r="Q100" s="4"/>
      <c r="R100" s="182"/>
      <c r="S100" s="182"/>
      <c r="T100" s="182"/>
      <c r="U100" s="182"/>
      <c r="V100" s="182"/>
      <c r="W100" s="182"/>
      <c r="X100" s="182"/>
      <c r="Y100" s="182"/>
      <c r="Z100" s="182"/>
      <c r="AA100" s="182"/>
      <c r="AB100" s="182"/>
      <c r="AC100" s="182"/>
      <c r="AD100" s="182"/>
      <c r="AE100" s="182"/>
      <c r="AF100" s="182"/>
      <c r="AG100" s="182"/>
      <c r="AH100" s="182"/>
      <c r="AI100" s="182"/>
      <c r="AJ100" s="182"/>
      <c r="AK100" s="182"/>
      <c r="AL100" s="182"/>
      <c r="AM100" s="182"/>
      <c r="AN100" s="182"/>
      <c r="AO100" s="182"/>
      <c r="AP100" s="4"/>
      <c r="AQ100" s="48"/>
      <c r="AR100" s="48"/>
    </row>
    <row r="101" ht="0" hidden="1" customHeight="1">
      <c r="C101" s="181"/>
      <c r="D101" s="181"/>
      <c r="E101" s="181"/>
      <c r="F101" s="201"/>
      <c r="G101" s="181"/>
      <c r="H101" s="996"/>
      <c r="I101" s="996"/>
      <c r="J101" s="996"/>
      <c r="K101" s="996"/>
      <c r="L101" s="1072"/>
      <c r="M101" s="1072"/>
      <c r="N101" s="1072"/>
      <c r="O101" s="1072"/>
      <c r="P101" s="80"/>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79"/>
      <c r="AR101" s="79"/>
    </row>
    <row r="102" ht="18" customHeight="1">
      <c r="C102" s="181"/>
      <c r="D102" s="181"/>
      <c r="E102" s="181"/>
      <c r="F102" s="201"/>
      <c r="G102" s="181"/>
      <c r="H102" s="996"/>
      <c r="I102" s="996"/>
      <c r="J102" s="996"/>
      <c r="K102" s="996"/>
      <c r="L102" s="1072"/>
      <c r="M102" s="1072"/>
      <c r="N102" s="1072"/>
      <c r="O102" s="1072"/>
      <c r="P102" s="80"/>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79"/>
      <c r="AR102" s="79"/>
    </row>
    <row r="103" ht="18" customHeight="1">
      <c r="C103" s="181"/>
      <c r="D103" s="181"/>
      <c r="E103" s="181"/>
      <c r="F103" s="201"/>
      <c r="G103" s="181"/>
      <c r="H103" s="996"/>
      <c r="I103" s="996"/>
      <c r="J103" s="996"/>
      <c r="K103" s="996"/>
      <c r="L103" s="1072"/>
      <c r="M103" s="1072"/>
      <c r="N103" s="1072"/>
      <c r="O103" s="1072"/>
      <c r="P103" s="80"/>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row>
    <row r="104" ht="9" customHeight="1">
      <c r="E104" s="81"/>
      <c r="F104" s="202"/>
      <c r="R104" s="0"/>
      <c r="S104" s="0"/>
      <c r="T104" s="0"/>
      <c r="U104" s="0"/>
      <c r="V104" s="0"/>
      <c r="W104" s="0"/>
      <c r="X104" s="0"/>
      <c r="Y104" s="0"/>
      <c r="Z104" s="87"/>
      <c r="AA104" s="0"/>
      <c r="AB104" s="0"/>
      <c r="AC104" s="5"/>
      <c r="AD104" s="5"/>
      <c r="AE104" s="5"/>
      <c r="AF104" s="67"/>
      <c r="AG104" s="0"/>
      <c r="AH104" s="0"/>
      <c r="AI104" s="0"/>
      <c r="AJ104" s="5"/>
      <c r="AK104" s="0"/>
      <c r="AL104" s="0"/>
      <c r="AM104" s="0"/>
      <c r="AN104" s="0"/>
      <c r="AO104" s="0"/>
      <c r="AP104" s="0"/>
    </row>
    <row r="105" ht="39.95" customHeight="1">
      <c r="B105" s="0"/>
      <c r="C105" s="1075" t="s">
        <v>126</v>
      </c>
      <c r="D105" s="1075"/>
      <c r="E105" s="1075"/>
      <c r="F105" s="1075"/>
      <c r="G105" s="1075"/>
      <c r="H105" s="1075"/>
      <c r="I105" s="1075"/>
      <c r="J105" s="1075"/>
      <c r="K105" s="1075"/>
      <c r="L105" s="1075"/>
      <c r="M105" s="1075"/>
      <c r="N105" s="1075"/>
      <c r="O105" s="1075"/>
      <c r="P105" s="1075"/>
      <c r="Q105" s="1075"/>
      <c r="R105" s="1075"/>
      <c r="S105" s="1075"/>
      <c r="T105" s="1075"/>
      <c r="U105" s="1075"/>
      <c r="V105" s="1075"/>
      <c r="W105" s="1075"/>
      <c r="X105" s="1075"/>
      <c r="Y105" s="1075"/>
      <c r="Z105" s="1075"/>
      <c r="AA105" s="1075"/>
      <c r="AB105" s="1075"/>
      <c r="AC105" s="1075"/>
      <c r="AD105" s="1075"/>
      <c r="AE105" s="1075"/>
      <c r="AF105" s="1075"/>
      <c r="AG105" s="1075"/>
      <c r="AH105" s="1075"/>
      <c r="AI105" s="1075"/>
      <c r="AJ105" s="1075"/>
      <c r="AK105" s="1075"/>
      <c r="AL105" s="1075"/>
      <c r="AM105" s="1075"/>
      <c r="AN105" s="1075"/>
      <c r="AO105" s="1075"/>
      <c r="AP105" s="233"/>
    </row>
    <row r="106" s="84" customFormat="1" ht="12" customHeight="1">
      <c r="B106" s="84"/>
      <c r="E106" s="46"/>
      <c r="F106" s="202"/>
      <c r="G106"/>
      <c r="H106"/>
      <c r="I106"/>
      <c r="J106"/>
      <c r="K106"/>
      <c r="L106"/>
      <c r="M106"/>
      <c r="N106"/>
      <c r="O106"/>
      <c r="P106"/>
      <c r="Q106"/>
      <c r="R106"/>
      <c r="S106"/>
      <c r="T106"/>
      <c r="U106"/>
      <c r="V106"/>
      <c r="W106"/>
      <c r="X106"/>
      <c r="Y106"/>
      <c r="Z106"/>
      <c r="AA106"/>
      <c r="AS106" s="236"/>
      <c r="AT106" s="236"/>
      <c r="AU106" s="236"/>
      <c r="AV106" s="236"/>
      <c r="AW106" s="236"/>
      <c r="AX106" s="236"/>
      <c r="AY106" s="236"/>
      <c r="AZ106" s="236"/>
      <c r="BA106" s="236"/>
      <c r="BB106" s="236"/>
      <c r="BC106" s="236"/>
      <c r="BD106" s="236"/>
      <c r="BE106" s="236"/>
      <c r="BF106" s="236"/>
      <c r="BG106" s="236"/>
      <c r="BH106" s="236"/>
      <c r="BI106" s="236"/>
      <c r="BJ106" s="236"/>
      <c r="BK106" s="236"/>
      <c r="BL106" s="236"/>
      <c r="BM106" s="236"/>
      <c r="BN106" s="236"/>
      <c r="BO106" s="236"/>
      <c r="BP106" s="236"/>
      <c r="BQ106" s="236"/>
      <c r="BR106" s="236"/>
      <c r="BS106" s="236"/>
      <c r="BT106" s="236"/>
      <c r="BU106" s="236"/>
      <c r="BV106" s="236"/>
      <c r="BW106" s="236"/>
    </row>
    <row r="107" s="236" customFormat="1" ht="12.75" customHeight="1">
      <c r="A107"/>
    </row>
    <row r="108" s="236" customFormat="1" ht="12.75" customHeight="1"/>
    <row r="109" s="236" customFormat="1" ht="12.75" customHeight="1"/>
    <row r="110" s="236" customFormat="1" ht="12.75" customHeight="1"/>
    <row r="111" s="236" customFormat="1" ht="12.75" customHeight="1"/>
    <row r="112" s="236" customFormat="1" ht="12.75" customHeight="1"/>
    <row r="113" s="236" customFormat="1" ht="12.75" customHeight="1"/>
    <row r="114" s="236" customFormat="1" ht="12.75" customHeight="1"/>
    <row r="115" s="236" customFormat="1" ht="12.75" customHeight="1"/>
    <row r="116" s="236" customFormat="1" ht="12.75" customHeight="1"/>
    <row r="117" s="236" customFormat="1" ht="12.75" customHeight="1"/>
    <row r="118" s="236" customFormat="1" ht="12.75" customHeight="1"/>
    <row r="119" s="236" customFormat="1" ht="12.75" customHeight="1"/>
    <row r="120" s="236" customFormat="1" ht="12.75" customHeight="1"/>
    <row r="121" s="236" customFormat="1" ht="12.75" customHeight="1"/>
    <row r="122" s="236" customFormat="1" ht="12.75" customHeight="1"/>
    <row r="123" s="236" customFormat="1" ht="12.75" customHeight="1"/>
    <row r="124" s="236" customFormat="1" ht="12.75" customHeight="1"/>
    <row r="125" s="236" customFormat="1" ht="12.75" customHeight="1"/>
    <row r="126" s="236" customFormat="1" ht="12.75" customHeight="1"/>
    <row r="127" s="236" customFormat="1" ht="12.75" customHeight="1"/>
    <row r="128" s="236" customFormat="1" ht="12.75" customHeight="1"/>
    <row r="129" s="236" customFormat="1" ht="12.75" customHeight="1"/>
    <row r="130" s="236" customFormat="1" ht="12.75" customHeight="1"/>
    <row r="131" s="236" customFormat="1" ht="12.75" customHeight="1"/>
    <row r="132" s="236" customFormat="1" ht="12.75" customHeight="1"/>
    <row r="133" s="236" customFormat="1" ht="12.75" customHeight="1"/>
    <row r="134" s="236" customFormat="1" ht="12.75" customHeight="1"/>
    <row r="135" s="236" customFormat="1" ht="12.75" customHeight="1"/>
    <row r="136" s="236" customFormat="1" ht="12.75" customHeight="1"/>
    <row r="137" s="236" customFormat="1" ht="12.75" customHeight="1"/>
    <row r="138" s="236" customFormat="1" ht="12.75" customHeight="1"/>
    <row r="139" s="236" customFormat="1" ht="12.75" customHeight="1"/>
    <row r="140" s="236" customFormat="1" ht="12.75" customHeight="1"/>
    <row r="141" s="236" customFormat="1" ht="12.75" customHeight="1"/>
    <row r="142" s="236" customFormat="1" ht="12.75" customHeight="1"/>
    <row r="143" s="236" customFormat="1" ht="12.75" customHeight="1"/>
    <row r="144" s="236" customFormat="1" ht="12.75" customHeight="1"/>
    <row r="145" s="236" customFormat="1" ht="12.75" customHeight="1"/>
    <row r="146" s="236" customFormat="1" ht="12.75" customHeight="1"/>
    <row r="147" s="236" customFormat="1" ht="12.75" customHeight="1"/>
    <row r="148" s="236" customFormat="1" ht="12.75" customHeight="1"/>
    <row r="149" s="236" customFormat="1" ht="12.75" customHeight="1"/>
    <row r="150" s="236" customFormat="1" ht="12.75" customHeight="1"/>
    <row r="151" s="236" customFormat="1" ht="12.75" customHeight="1"/>
    <row r="152" s="236" customFormat="1" ht="12.75" customHeight="1"/>
    <row r="153" s="236" customFormat="1" ht="12.75" customHeight="1"/>
  </sheetData>
  <mergeCells count="273">
    <mergeCell ref="C105:AO105"/>
    <mergeCell ref="AL9:AM9"/>
    <mergeCell ref="H43:K43"/>
    <mergeCell ref="L43:O43"/>
    <mergeCell ref="H38:K38"/>
    <mergeCell ref="L38:O38"/>
    <mergeCell ref="H39:K39"/>
    <mergeCell ref="L39:O39"/>
    <mergeCell ref="H40:K40"/>
    <mergeCell ref="L40:O40"/>
    <mergeCell ref="H41:K41"/>
    <mergeCell ref="AL10:AM10"/>
    <mergeCell ref="AH11:AI11"/>
    <mergeCell ref="AJ11:AK11"/>
    <mergeCell ref="AB10:AC10"/>
    <mergeCell ref="AD10:AE10"/>
    <mergeCell ref="AD12:AE12"/>
    <mergeCell ref="AF12:AG12"/>
    <mergeCell ref="AB12:AC12"/>
    <mergeCell ref="AF10:AG10"/>
    <mergeCell ref="AL11:AM11"/>
    <mergeCell ref="AH10:AI10"/>
    <mergeCell ref="AJ10:AK10"/>
    <mergeCell ref="Z12:AA12"/>
    <mergeCell ref="AL8:AM8"/>
    <mergeCell ref="AJ9:AK9"/>
    <mergeCell ref="AH9:AI9"/>
    <mergeCell ref="Z6:AM6"/>
    <mergeCell ref="Z7:AA7"/>
    <mergeCell ref="AB7:AC7"/>
    <mergeCell ref="AD7:AE7"/>
    <mergeCell ref="AF7:AG7"/>
    <mergeCell ref="AH7:AI7"/>
    <mergeCell ref="AJ7:AK7"/>
    <mergeCell ref="Z9:AA9"/>
    <mergeCell ref="H9:I9"/>
    <mergeCell ref="T9:U9"/>
    <mergeCell ref="R9:S9"/>
    <mergeCell ref="T11:U11"/>
    <mergeCell ref="T10:U10"/>
    <mergeCell ref="R10:S10"/>
    <mergeCell ref="Z8:AA8"/>
    <mergeCell ref="AB8:AC8"/>
    <mergeCell ref="AL7:AM7"/>
    <mergeCell ref="N9:O9"/>
    <mergeCell ref="Z10:AA10"/>
    <mergeCell ref="P9:Q9"/>
    <mergeCell ref="AD8:AE8"/>
    <mergeCell ref="AF8:AG8"/>
    <mergeCell ref="AH8:AI8"/>
    <mergeCell ref="AF11:AG11"/>
    <mergeCell ref="AB11:AC11"/>
    <mergeCell ref="AD11:AE11"/>
    <mergeCell ref="AB9:AC9"/>
    <mergeCell ref="AD9:AE9"/>
    <mergeCell ref="AF9:AG9"/>
    <mergeCell ref="N11:O11"/>
    <mergeCell ref="N10:O10"/>
    <mergeCell ref="AJ8:AK8"/>
    <mergeCell ref="R11:S11"/>
    <mergeCell ref="H23:K23"/>
    <mergeCell ref="H6:U6"/>
    <mergeCell ref="T8:U8"/>
    <mergeCell ref="R8:S8"/>
    <mergeCell ref="P8:Q8"/>
    <mergeCell ref="N8:O8"/>
    <mergeCell ref="L8:M8"/>
    <mergeCell ref="J8:K8"/>
    <mergeCell ref="H8:I8"/>
    <mergeCell ref="T7:U7"/>
    <mergeCell ref="R7:S7"/>
    <mergeCell ref="L10:M10"/>
    <mergeCell ref="H10:I10"/>
    <mergeCell ref="H11:I11"/>
    <mergeCell ref="L9:M9"/>
    <mergeCell ref="J9:K9"/>
    <mergeCell ref="J11:K11"/>
    <mergeCell ref="J7:K7"/>
    <mergeCell ref="H7:I7"/>
    <mergeCell ref="P7:Q7"/>
    <mergeCell ref="N7:O7"/>
    <mergeCell ref="L7:M7"/>
    <mergeCell ref="J10:K10"/>
    <mergeCell ref="L12:M12"/>
    <mergeCell ref="P12:Q12"/>
    <mergeCell ref="L11:M11"/>
    <mergeCell ref="H12:I12"/>
    <mergeCell ref="H13:I13"/>
    <mergeCell ref="J13:K13"/>
    <mergeCell ref="N12:O12"/>
    <mergeCell ref="L13:M13"/>
    <mergeCell ref="P11:Q11"/>
    <mergeCell ref="AJ13:AK13"/>
    <mergeCell ref="H37:K37"/>
    <mergeCell ref="L37:O37"/>
    <mergeCell ref="L30:O30"/>
    <mergeCell ref="H28:K28"/>
    <mergeCell ref="H29:K29"/>
    <mergeCell ref="Z13:AA13"/>
    <mergeCell ref="H22:K22"/>
    <mergeCell ref="H35:K35"/>
    <mergeCell ref="L35:O35"/>
    <mergeCell ref="L29:O29"/>
    <mergeCell ref="L22:O22"/>
    <mergeCell ref="L23:O23"/>
    <mergeCell ref="L32:O32"/>
    <mergeCell ref="H25:K25"/>
    <mergeCell ref="L25:O25"/>
    <mergeCell ref="H26:K26"/>
    <mergeCell ref="L31:O31"/>
    <mergeCell ref="H27:K27"/>
    <mergeCell ref="L27:O27"/>
    <mergeCell ref="L28:O28"/>
    <mergeCell ref="R13:S13"/>
    <mergeCell ref="L26:O26"/>
    <mergeCell ref="L46:O46"/>
    <mergeCell ref="H47:K47"/>
    <mergeCell ref="L41:O41"/>
    <mergeCell ref="H44:K44"/>
    <mergeCell ref="H48:K48"/>
    <mergeCell ref="L42:O42"/>
    <mergeCell ref="L49:O49"/>
    <mergeCell ref="H33:K33"/>
    <mergeCell ref="L33:O33"/>
    <mergeCell ref="H34:K34"/>
    <mergeCell ref="L34:O34"/>
    <mergeCell ref="L59:O59"/>
    <mergeCell ref="H63:K63"/>
    <mergeCell ref="AH12:AI12"/>
    <mergeCell ref="AJ12:AK12"/>
    <mergeCell ref="L24:O24"/>
    <mergeCell ref="AF13:AG13"/>
    <mergeCell ref="AB13:AC13"/>
    <mergeCell ref="AD13:AE13"/>
    <mergeCell ref="P15:V15"/>
    <mergeCell ref="X15:AD15"/>
    <mergeCell ref="AH13:AI13"/>
    <mergeCell ref="AF15:AL15"/>
    <mergeCell ref="AL13:AM13"/>
    <mergeCell ref="N13:O13"/>
    <mergeCell ref="P13:Q13"/>
    <mergeCell ref="L44:O44"/>
    <mergeCell ref="L48:O48"/>
    <mergeCell ref="L50:O50"/>
    <mergeCell ref="L51:O51"/>
    <mergeCell ref="H36:K36"/>
    <mergeCell ref="L36:O36"/>
    <mergeCell ref="H45:K45"/>
    <mergeCell ref="L45:O45"/>
    <mergeCell ref="H46:K46"/>
    <mergeCell ref="L53:O53"/>
    <mergeCell ref="L54:O54"/>
    <mergeCell ref="H64:K64"/>
    <mergeCell ref="H67:K67"/>
    <mergeCell ref="L67:O67"/>
    <mergeCell ref="H68:K68"/>
    <mergeCell ref="L68:O68"/>
    <mergeCell ref="H60:K60"/>
    <mergeCell ref="L61:O61"/>
    <mergeCell ref="H66:K66"/>
    <mergeCell ref="L56:O56"/>
    <mergeCell ref="L57:O57"/>
    <mergeCell ref="H56:K56"/>
    <mergeCell ref="H57:K57"/>
    <mergeCell ref="L66:O66"/>
    <mergeCell ref="L63:O63"/>
    <mergeCell ref="H62:K62"/>
    <mergeCell ref="L62:O62"/>
    <mergeCell ref="H61:K61"/>
    <mergeCell ref="L64:O64"/>
    <mergeCell ref="L58:O58"/>
    <mergeCell ref="H58:K58"/>
    <mergeCell ref="H59:K59"/>
    <mergeCell ref="L60:O60"/>
    <mergeCell ref="H72:K72"/>
    <mergeCell ref="L72:O72"/>
    <mergeCell ref="L69:O69"/>
    <mergeCell ref="L81:O81"/>
    <mergeCell ref="H70:K70"/>
    <mergeCell ref="L70:O70"/>
    <mergeCell ref="H71:K71"/>
    <mergeCell ref="L71:O71"/>
    <mergeCell ref="H65:K65"/>
    <mergeCell ref="L65:O65"/>
    <mergeCell ref="H75:K75"/>
    <mergeCell ref="L75:O75"/>
    <mergeCell ref="H73:K73"/>
    <mergeCell ref="L73:O73"/>
    <mergeCell ref="H74:K74"/>
    <mergeCell ref="L74:O74"/>
    <mergeCell ref="H80:K80"/>
    <mergeCell ref="L80:O80"/>
    <mergeCell ref="H81:K81"/>
    <mergeCell ref="H78:K78"/>
    <mergeCell ref="L78:O78"/>
    <mergeCell ref="H79:K79"/>
    <mergeCell ref="L79:O79"/>
    <mergeCell ref="H69:K69"/>
    <mergeCell ref="H103:K103"/>
    <mergeCell ref="L103:O103"/>
    <mergeCell ref="L99:O99"/>
    <mergeCell ref="H100:K100"/>
    <mergeCell ref="L100:O100"/>
    <mergeCell ref="H101:K101"/>
    <mergeCell ref="L101:O101"/>
    <mergeCell ref="H99:K99"/>
    <mergeCell ref="H102:K102"/>
    <mergeCell ref="L102:O102"/>
    <mergeCell ref="C2:AP2"/>
    <mergeCell ref="H55:K55"/>
    <mergeCell ref="L55:O55"/>
    <mergeCell ref="H31:K31"/>
    <mergeCell ref="H52:K52"/>
    <mergeCell ref="H53:K53"/>
    <mergeCell ref="H54:K54"/>
    <mergeCell ref="H24:K24"/>
    <mergeCell ref="R12:S12"/>
    <mergeCell ref="C4:AP4"/>
    <mergeCell ref="C3:AP3"/>
    <mergeCell ref="T13:U13"/>
    <mergeCell ref="T12:U12"/>
    <mergeCell ref="AL12:AM12"/>
    <mergeCell ref="P10:Q10"/>
    <mergeCell ref="J12:K12"/>
    <mergeCell ref="Z11:AA11"/>
    <mergeCell ref="H50:K50"/>
    <mergeCell ref="H51:K51"/>
    <mergeCell ref="H32:K32"/>
    <mergeCell ref="L47:O47"/>
    <mergeCell ref="L52:O52"/>
    <mergeCell ref="H49:K49"/>
    <mergeCell ref="H42:K42"/>
    <mergeCell ref="H98:K98"/>
    <mergeCell ref="L98:O98"/>
    <mergeCell ref="H96:K96"/>
    <mergeCell ref="L96:O96"/>
    <mergeCell ref="H97:K97"/>
    <mergeCell ref="L97:O97"/>
    <mergeCell ref="H91:K91"/>
    <mergeCell ref="L91:O91"/>
    <mergeCell ref="H76:K76"/>
    <mergeCell ref="L76:O76"/>
    <mergeCell ref="H77:K77"/>
    <mergeCell ref="L77:O77"/>
    <mergeCell ref="H86:K86"/>
    <mergeCell ref="L86:O86"/>
    <mergeCell ref="H87:K87"/>
    <mergeCell ref="L87:O87"/>
    <mergeCell ref="H84:K84"/>
    <mergeCell ref="L84:O84"/>
    <mergeCell ref="H85:K85"/>
    <mergeCell ref="L85:O85"/>
    <mergeCell ref="H82:K82"/>
    <mergeCell ref="L82:O82"/>
    <mergeCell ref="H83:K83"/>
    <mergeCell ref="L83:O83"/>
    <mergeCell ref="H88:K88"/>
    <mergeCell ref="L88:O88"/>
    <mergeCell ref="H89:K89"/>
    <mergeCell ref="L89:O89"/>
    <mergeCell ref="H94:K94"/>
    <mergeCell ref="L94:O94"/>
    <mergeCell ref="H95:K95"/>
    <mergeCell ref="L95:O95"/>
    <mergeCell ref="H92:K92"/>
    <mergeCell ref="L92:O92"/>
    <mergeCell ref="H93:K93"/>
    <mergeCell ref="L93:O93"/>
    <mergeCell ref="H90:K90"/>
    <mergeCell ref="L90:O90"/>
    <mergeCell ref="R21:AC21"/>
    <mergeCell ref="AD21:AO21"/>
    <mergeCell ref="H30:K30"/>
  </mergeCells>
  <phoneticPr fontId="0" type="noConversion"/>
  <printOptions horizontalCentered="1" verticalCentered="1"/>
  <pageMargins left="0.25" right="0.25" top="0.25" bottom="0.25" header="0" footer="0"/>
  <pageSetup scale="31" fitToWidth="1" fitToHeight="1" orientation="landscape" r:id="rId1"/>
  <headerFooter alignWithMargins="0">
    <oddHeader/>
    <oddFooter/>
  </headerFooter>
  <rowBreaks count="1" manualBreakCount="1">
    <brk id="107" max="16383" man="1"/>
  </rowBreaks>
  <colBreaks count="1" manualBreakCount="1">
    <brk id="45" max="1048575" man="1"/>
  </colBreaks>
  <drawing r:id="rId72"/>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13491008</Manager>
  <Company>33</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26</vt:i4>
      </vt:variant>
      <vt:variant>
        <vt:lpstr>Named Ranges</vt:lpstr>
      </vt:variant>
      <vt:variant>
        <vt:i4>26</vt:i4>
      </vt:variant>
    </vt:vector>
  </HeadingPairs>
  <TitlesOfParts>
    <vt:vector baseType="lpstr" size="52">
      <vt:lpstr>Table of Contents</vt:lpstr>
      <vt:lpstr>Glance</vt:lpstr>
      <vt:lpstr>Summary</vt:lpstr>
      <vt:lpstr>Trend</vt:lpstr>
      <vt:lpstr>Trend Ind</vt:lpstr>
      <vt:lpstr>Raw Data</vt:lpstr>
      <vt:lpstr>Day of Week</vt:lpstr>
      <vt:lpstr>Day of Week Rank</vt:lpstr>
      <vt:lpstr>Daily by Month</vt:lpstr>
      <vt:lpstr>Daily by Month Rk</vt:lpstr>
      <vt:lpstr>Daily by DOW</vt:lpstr>
      <vt:lpstr>Plus Summary</vt:lpstr>
      <vt:lpstr>Occ Plus</vt:lpstr>
      <vt:lpstr>ADR Plus</vt:lpstr>
      <vt:lpstr>RevPAR Plus</vt:lpstr>
      <vt:lpstr>Plus Indexes</vt:lpstr>
      <vt:lpstr>Plus Ranking</vt:lpstr>
      <vt:lpstr>Plus DOW Month</vt:lpstr>
      <vt:lpstr>Segmentation DOW YTD_copy</vt:lpstr>
      <vt:lpstr>Add Rev ADR</vt:lpstr>
      <vt:lpstr>Add Rev RevPAR</vt:lpstr>
      <vt:lpstr>Additional Revenue obsolete</vt:lpstr>
      <vt:lpstr>Response</vt:lpstr>
      <vt:lpstr>Plus Response</vt:lpstr>
      <vt:lpstr>Hyatt Glance</vt:lpstr>
      <vt:lpstr>Help</vt:lpstr>
      <vt:lpstr>'Add Rev ADR'!Print_Area</vt:lpstr>
      <vt:lpstr>'Add Rev RevPAR'!Print_Area</vt:lpstr>
      <vt:lpstr>'Additional Revenue obsolete'!Print_Area</vt:lpstr>
      <vt:lpstr>'ADR Plus'!Print_Area</vt:lpstr>
      <vt:lpstr>'Daily by DOW'!Print_Area</vt:lpstr>
      <vt:lpstr>'Daily by Month'!Print_Area</vt:lpstr>
      <vt:lpstr>'Daily by Month Rk'!Print_Area</vt:lpstr>
      <vt:lpstr>'Day of Week'!Print_Area</vt:lpstr>
      <vt:lpstr>'Day of Week Rank'!Print_Area</vt:lpstr>
      <vt:lpstr>Glance!Print_Area</vt:lpstr>
      <vt:lpstr>Help!Print_Area</vt:lpstr>
      <vt:lpstr>'Hyatt Glance'!Print_Area</vt:lpstr>
      <vt:lpstr>'Occ Plus'!Print_Area</vt:lpstr>
      <vt:lpstr>'Plus DOW Month'!Print_Area</vt:lpstr>
      <vt:lpstr>'Plus Indexes'!Print_Area</vt:lpstr>
      <vt:lpstr>'Plus Ranking'!Print_Area</vt:lpstr>
      <vt:lpstr>'Plus Response'!Print_Area</vt:lpstr>
      <vt:lpstr>'Plus Summary'!Print_Area</vt:lpstr>
      <vt:lpstr>'Raw Data'!Print_Area</vt:lpstr>
      <vt:lpstr>Response!Print_Area</vt:lpstr>
      <vt:lpstr>'RevPAR Plus'!Print_Area</vt:lpstr>
      <vt:lpstr>'Segmentation DOW YTD_copy'!Print_Area</vt:lpstr>
      <vt:lpstr>Summary!Print_Area</vt:lpstr>
      <vt:lpstr>'Table of Contents'!Print_Area</vt:lpstr>
      <vt:lpstr>Trend!Print_Area</vt:lpstr>
      <vt:lpstr>'Trend Ind'!Print_Area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804,836,748,808,805,837,749,809</cp:category>
  <dcterms:created xsi:type="dcterms:W3CDTF">2003-06-11T18:24:11Z</dcterms:created>
  <dc:creator>STR, Inc.</dc:creator>
  <cp:keywords>56387</cp:keywords>
  <cp:lastModifiedBy>Jim Hawkins</cp:lastModifiedBy>
  <cp:lastPrinted>2016-02-11T20:47:50Z</cp:lastPrinted>
  <dcterms:modified xsi:type="dcterms:W3CDTF">2021-08-10T14:36:44Z</dcterms:modified>
  <dc:subject>56387</dc:subject>
  <dc:title>eSTAR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