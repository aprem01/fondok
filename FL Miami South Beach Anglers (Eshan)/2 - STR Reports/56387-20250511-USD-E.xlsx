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1.xml" ContentType="application/vnd.openxmlformats-officedocument.spreadsheetml.worksheet+xml"/>
  <Override PartName="/xl/printerSettings/printerSettings22.bin" ContentType="application/vnd.openxmlformats-officedocument.spreadsheetml.printerSettings"/>
  <Override PartName="/xl/drawings/drawing23.xml" ContentType="application/vnd.openxmlformats-officedocument.drawing+xml"/>
  <Override PartName="/xl/worksheets/sheet25.xml" ContentType="application/vnd.openxmlformats-officedocument.spreadsheetml.worksheet+xml"/>
  <Override PartName="/xl/printerSettings/printerSettings26.bin" ContentType="application/vnd.openxmlformats-officedocument.spreadsheetml.printerSettings"/>
  <Override PartName="/xl/drawings/drawing27.xml" ContentType="application/vnd.openxmlformats-officedocument.drawing+xml"/>
  <Override PartName="/xl/worksheets/sheet29.xml" ContentType="application/vnd.openxmlformats-officedocument.spreadsheetml.worksheet+xml"/>
  <Override PartName="/xl/printerSettings/printerSettings30.bin" ContentType="application/vnd.openxmlformats-officedocument.spreadsheetml.printerSettings"/>
  <Override PartName="/xl/drawings/drawing31.xml" ContentType="application/vnd.openxmlformats-officedocument.drawing+xml"/>
  <Override PartName="/xl/worksheets/sheet33.xml" ContentType="application/vnd.openxmlformats-officedocument.spreadsheetml.worksheet+xml"/>
  <Override PartName="/xl/printerSettings/printerSettings34.bin" ContentType="application/vnd.openxmlformats-officedocument.spreadsheetml.printerSettings"/>
  <Override PartName="/xl/drawings/drawing35.xml" ContentType="application/vnd.openxmlformats-officedocument.drawing+xml"/>
  <Override PartName="/xl/worksheets/sheet37.xml" ContentType="application/vnd.openxmlformats-officedocument.spreadsheetml.worksheet+xml"/>
  <Override PartName="/xl/printerSettings/printerSettings38.bin" ContentType="application/vnd.openxmlformats-officedocument.spreadsheetml.printerSettings"/>
  <Override PartName="/xl/drawings/drawing39.xml" ContentType="application/vnd.openxmlformats-officedocument.drawing+xml"/>
  <Override PartName="/xl/worksheets/sheet41.xml" ContentType="application/vnd.openxmlformats-officedocument.spreadsheetml.worksheet+xml"/>
  <Override PartName="/xl/printerSettings/printerSettings42.bin" ContentType="application/vnd.openxmlformats-officedocument.spreadsheetml.printerSettings"/>
  <Override PartName="/xl/drawings/drawing43.xml" ContentType="application/vnd.openxmlformats-officedocument.drawing+xml"/>
  <Override PartName="/xl/worksheets/sheet45.xml" ContentType="application/vnd.openxmlformats-officedocument.spreadsheetml.worksheet+xml"/>
  <Override PartName="/xl/printerSettings/printerSettings46.bin" ContentType="application/vnd.openxmlformats-officedocument.spreadsheetml.printerSettings"/>
  <Override PartName="/xl/drawings/drawing47.xml" ContentType="application/vnd.openxmlformats-officedocument.drawing+xml"/>
  <Override PartName="/xl/worksheets/sheet49.xml" ContentType="application/vnd.openxmlformats-officedocument.spreadsheetml.worksheet+xml"/>
  <Override PartName="/xl/printerSettings/printerSettings50.bin" ContentType="application/vnd.openxmlformats-officedocument.spreadsheetml.printerSettings"/>
  <Override PartName="/xl/drawings/drawing51.xml" ContentType="application/vnd.openxmlformats-officedocument.drawing+xml"/>
  <Override PartName="/xl/worksheets/sheet53.xml" ContentType="application/vnd.openxmlformats-officedocument.spreadsheetml.worksheet+xml"/>
  <Override PartName="/xl/printerSettings/printerSettings54.bin" ContentType="application/vnd.openxmlformats-officedocument.spreadsheetml.printerSettings"/>
  <Override PartName="/xl/drawings/drawing55.xml" ContentType="application/vnd.openxmlformats-officedocument.drawing+xml"/>
  <Override PartName="/xl/worksheets/sheet56.xml" ContentType="application/vnd.openxmlformats-officedocument.spreadsheetml.worksheet+xml"/>
  <Override PartName="/xl/printerSettings/printerSettings57.bin" ContentType="application/vnd.openxmlformats-officedocument.spreadsheetml.printerSettings"/>
  <Override PartName="/xl/drawings/drawing58.xml" ContentType="application/vnd.openxmlformats-officedocument.drawing+xml"/>
  <Override PartName="/xl/worksheets/sheet59.xml" ContentType="application/vnd.openxmlformats-officedocument.spreadsheetml.worksheet+xml"/>
  <Override PartName="/xl/printerSettings/printerSettings60.bin" ContentType="application/vnd.openxmlformats-officedocument.spreadsheetml.printerSettings"/>
  <Override PartName="/xl/drawings/drawing61.xml" ContentType="application/vnd.openxmlformats-officedocument.drawing+xml"/>
  <Override PartName="/xl/worksheets/sheet62.xml" ContentType="application/vnd.openxmlformats-officedocument.spreadsheetml.worksheet+xml"/>
  <Override PartName="/xl/printerSettings/printerSettings63.bin" ContentType="application/vnd.openxmlformats-officedocument.spreadsheetml.printerSettings"/>
  <Override PartName="/xl/drawings/drawing64.xml" ContentType="application/vnd.openxmlformats-officedocument.drawing+xml"/>
  <Override PartName="/xl/drawings/drawing65.xml" ContentType="application/vnd.openxmlformats-officedocument.drawing+xml"/>
  <Override PartName="/xl/worksheets/sheet66.xml" ContentType="application/vnd.openxmlformats-officedocument.spreadsheetml.worksheet+xml"/>
  <Override PartName="/xl/printerSettings/printerSettings67.bin" ContentType="application/vnd.openxmlformats-officedocument.spreadsheetml.printerSettings"/>
  <Override PartName="/xl/drawings/drawing68.xml" ContentType="application/vnd.openxmlformats-officedocument.drawing+xml"/>
  <Override PartName="/xl/worksheets/sheet69.xml" ContentType="application/vnd.openxmlformats-officedocument.spreadsheetml.worksheet+xml"/>
  <Override PartName="/xl/printerSettings/printerSettings70.bin" ContentType="application/vnd.openxmlformats-officedocument.spreadsheetml.printerSettings"/>
  <Override PartName="/xl/drawings/drawing71.xml" ContentType="application/vnd.openxmlformats-officedocument.drawing+xml"/>
  <Override PartName="/xl/drawings/drawing72.xml" ContentType="application/vnd.openxmlformats-officedocument.drawing+xml"/>
  <Override PartName="/xl/worksheets/sheet73.xml" ContentType="application/vnd.openxmlformats-officedocument.spreadsheetml.worksheet+xml"/>
  <Override PartName="/xl/printerSettings/printerSettings74.bin" ContentType="application/vnd.openxmlformats-officedocument.spreadsheetml.printerSettings"/>
  <Override PartName="/xl/drawings/drawing75.xml" ContentType="application/vnd.openxmlformats-officedocument.drawing+xml"/>
  <Override PartName="/xl/worksheets/sheet76.xml" ContentType="application/vnd.openxmlformats-officedocument.spreadsheetml.worksheet+xml"/>
  <Override PartName="/xl/printerSettings/printerSettings77.bin" ContentType="application/vnd.openxmlformats-officedocument.spreadsheetml.printerSettings"/>
  <Override PartName="/xl/drawings/drawing78.xml" ContentType="application/vnd.openxmlformats-officedocument.drawing+xml"/>
  <Override PartName="/xl/drawings/drawing79.xml" ContentType="application/vnd.openxmlformats-officedocument.drawing+xml"/>
  <Override PartName="/xl/worksheets/sheet80.xml" ContentType="application/vnd.openxmlformats-officedocument.spreadsheetml.worksheet+xml"/>
  <Override PartName="/xl/printerSettings/printerSettings81.bin" ContentType="application/vnd.openxmlformats-officedocument.spreadsheetml.printerSettings"/>
  <Override PartName="/xl/drawings/drawing82.xml" ContentType="application/vnd.openxmlformats-officedocument.drawing+xml"/>
  <Override PartName="/xl/worksheets/sheet83.xml" ContentType="application/vnd.openxmlformats-officedocument.spreadsheetml.worksheet+xml"/>
  <Override PartName="/xl/printerSettings/printerSettings84.bin" ContentType="application/vnd.openxmlformats-officedocument.spreadsheetml.printerSettings"/>
  <Override PartName="/xl/drawings/drawing85.xml" ContentType="application/vnd.openxmlformats-officedocument.drawing+xml"/>
  <Override PartName="/xl/worksheets/sheet86.xml" ContentType="application/vnd.openxmlformats-officedocument.spreadsheetml.worksheet+xml"/>
  <Override PartName="/xl/printerSettings/printerSettings87.bin" ContentType="application/vnd.openxmlformats-officedocument.spreadsheetml.printerSettings"/>
  <Override PartName="/xl/drawings/drawing88.xml" ContentType="application/vnd.openxmlformats-officedocument.drawing+xml"/>
  <Override PartName="/xl/worksheets/sheet89.xml" ContentType="application/vnd.openxmlformats-officedocument.spreadsheetml.worksheet+xml"/>
  <Override PartName="/xl/printerSettings/printerSettings90.bin" ContentType="application/vnd.openxmlformats-officedocument.spreadsheetml.printerSettings"/>
  <Override PartName="/xl/drawings/drawing91.xml" ContentType="application/vnd.openxmlformats-officedocument.drawing+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22"/>
    <sheet name="SummaryComb" sheetId="19" r:id="rId21"/>
    <sheet name="SummaryComb 28Day" sheetId="20" r:id="rId20"/>
    <sheet name="Glance" sheetId="21" r:id="rId19"/>
    <sheet name="Segmentation Glance" sheetId="22" r:id="rId18"/>
    <sheet name="Daily by Month" sheetId="23" r:id="rId17"/>
    <sheet name="Occ" sheetId="4" r:id="rId23"/>
    <sheet name="Segmentation Occ" sheetId="24" r:id="rId16"/>
    <sheet name="ADR" sheetId="6" r:id="rId24"/>
    <sheet name="Segmentation ADR" sheetId="25" r:id="rId15"/>
    <sheet name="RevPAR" sheetId="8" r:id="rId25"/>
    <sheet name="Segmentation RevPAR" sheetId="26" r:id="rId14"/>
    <sheet name="Additional Revenue" sheetId="27" r:id="rId13"/>
    <sheet name="Response" sheetId="28" r:id="rId12"/>
    <sheet name="Glance_2" sheetId="29" r:id="rId11"/>
    <sheet name="Segmentation Glance_2" sheetId="30" r:id="rId10"/>
    <sheet name="Daily by Month_2" sheetId="31" r:id="rId9"/>
    <sheet name="Occ_2" sheetId="32" r:id="rId8"/>
    <sheet name="Segmentation Occ_2" sheetId="33" r:id="rId7"/>
    <sheet name="ADR_2" sheetId="34" r:id="rId6"/>
    <sheet name="Segmentation ADR_2" sheetId="35" r:id="rId5"/>
    <sheet name="RevPAR_2" sheetId="36" r:id="rId4"/>
    <sheet name="Segmentation RevPAR_2" sheetId="37" r:id="rId3"/>
    <sheet name="Additional Revenue_2" sheetId="38" r:id="rId2"/>
    <sheet name="Response_2" sheetId="39" r:id="rId1"/>
    <sheet name="Help" sheetId="18" r:id="rId26"/>
  </sheets>
  <definedNames>
    <definedName name="_xlnm.Print_Area" localSheetId="8">ADR!$A$1:$AI$61</definedName>
    <definedName name="_xlnm.Print_Area" localSheetId="25">Help!$A$1:$J$16</definedName>
    <definedName name="_xlnm.Print_Area" localSheetId="6">Occ!$A$1:$AI$58</definedName>
    <definedName name="_xlnm.Print_Area" localSheetId="10">RevPAR!$A$1:$AI$61</definedName>
    <definedName name="_xlnm.Print_Area" localSheetId="0">'Table of Contents'!$A$1:$H$48</definedName>
    <definedName name="_xlnm.Print_Area" localSheetId="1">SummaryComb!$A$1:$AB$72</definedName>
    <definedName name="_xlnm.Print_Area" localSheetId="2">'SummaryComb 28Day'!$A$1:$AB$72</definedName>
    <definedName name="_xlnm.Print_Area" localSheetId="3">Glance!$A$1:$AC$42</definedName>
    <definedName name="_xlnm.Print_Area" localSheetId="4">'Segmentation Glance'!$A$1:$T$42</definedName>
    <definedName name="_xlnm.Print_Area" localSheetId="5">'Daily by Month'!$A$1:$AL$63</definedName>
    <definedName name="_xlnm.Print_Area" localSheetId="7">'Segmentation Occ'!$A$1:$AB$54</definedName>
    <definedName name="_xlnm.Print_Area" localSheetId="9">'Segmentation ADR'!$A$1:$AC$54</definedName>
    <definedName name="_xlnm.Print_Area" localSheetId="11">'Segmentation RevPAR'!$A$1:$AC$54</definedName>
    <definedName name="_xlnm.Print_Area" localSheetId="12">'Additional Revenue'!$A$1:$AC$54</definedName>
    <definedName name="_xlnm.Print_Area" localSheetId="13">Response!$A$1:$AR$104</definedName>
    <definedName name="_xlnm.Print_Area" localSheetId="14">Glance_2!$A$1:$AC$42</definedName>
    <definedName name="_xlnm.Print_Area" localSheetId="15">'Segmentation Glance_2'!$A$1:$T$42</definedName>
    <definedName name="_xlnm.Print_Area" localSheetId="16">'Daily by Month_2'!$A$1:$AL$63</definedName>
    <definedName name="_xlnm.Print_Area" localSheetId="17">Occ_2!$A$1:$AI$58</definedName>
    <definedName name="_xlnm.Print_Area" localSheetId="18">'Segmentation Occ_2'!$A$1:$AB$54</definedName>
    <definedName name="_xlnm.Print_Area" localSheetId="19">ADR_2!$A$1:$AI$61</definedName>
    <definedName name="_xlnm.Print_Area" localSheetId="20">'Segmentation ADR_2'!$A$1:$AC$54</definedName>
    <definedName name="_xlnm.Print_Area" localSheetId="21">'RevPAR_2'!$A$1:$AI$61</definedName>
    <definedName name="_xlnm.Print_Area" localSheetId="22">'Segmentation RevPAR_2'!$A$1:$AC$54</definedName>
    <definedName name="_xlnm.Print_Area" localSheetId="23">'Additional Revenue_2'!$A$1:$AC$54</definedName>
    <definedName name="_xlnm.Print_Area" localSheetId="24">'Response_2'!$A$1:$AR$104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<sst xmlns="http://schemas.openxmlformats.org/spreadsheetml/2006/main" xmlns:r="http://schemas.openxmlformats.org/officeDocument/2006/relationships" xmlns:xdr="http://schemas.openxmlformats.org/drawingml/2006/spreadsheetDrawing" xmlns:s="http://schemas.openxmlformats.org/officeDocument/2006/sharedTypes" xmlns:vt="http://schemas.openxmlformats.org/officeDocument/2006/docPropsVTypes" xmlns:a="http://schemas.openxmlformats.org/drawingml/2006/main" xmlns:cdr="http://schemas.openxmlformats.org/drawingml/2006/chartDrawing" count="969" uniqueCount="114">
  <si>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</si>
  <si>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</si>
  <si>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</si>
  <si>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</si>
  <si>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</si>
  <si>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</si>
  <si>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</si>
  <si>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</si>
  <si>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</si>
  <si>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</si>
  <si>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</si>
  <si>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</si>
  <si>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</si>
  <si>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</si>
  <si>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</si>
  <si>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</si>
  <si>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</si>
  <si>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</si>
  <si>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</si>
  <si>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</si>
  <si>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</si>
  <si>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</si>
  <si>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</si>
  <si>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</si>
  <si>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</si>
  <si>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</si>
  <si>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</si>
  <si>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</si>
  <si>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</si>
  <si>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</si>
  <si>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</si>
  <si>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</si>
  <si>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</si>
  <si>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</si>
  <si>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</si>
  <si>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</si>
  <si>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</si>
  <si>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</si>
  <si>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</si>
  <si>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</si>
  <si>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</si>
  <si>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</si>
  <si>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</si>
  <si>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</si>
  <si>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</si>
  <si>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</si>
  <si>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</si>
  <si>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</si>
  <si>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</si>
  <si>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</si>
  <si>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</si>
  <si>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</si>
  <si>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</si>
  <si>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</si>
  <si>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</si>
  <si>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</si>
  <si>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</si>
  <si>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</si>
  <si>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</si>
  <si>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</si>
  <si>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</si>
  <si>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</si>
  <si>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</si>
  <si>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</si>
  <si>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</si>
  <si>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</si>
  <si>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</si>
  <si>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</si>
  <si>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</si>
  <si>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</si>
  <si>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</si>
  <si>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</si>
  <si>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</si>
  <si>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</si>
  <si>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</si>
  <si>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</si>
  <si>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</si>
  <si>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</si>
  <si>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</si>
  <si>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</si>
  <si>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</si>
  <si>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</si>
  <si>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</si>
  <si>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</si>
  <si>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</si>
  <si>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</si>
  <si>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</si>
  <si>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</si>
  <si>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</si>
  <si>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</si>
  <si>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</si>
  <si>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</si>
  <si>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</si>
  <si>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</si>
  <si>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</si>
  <si>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</si>
  <si>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</si>
  <si>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</si>
  <si>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</si>
  <si>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</si>
  <si>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</si>
  <si>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</si>
  <si>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</si>
  <si>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</si>
  <si>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</si>
  <si>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</si>
  <si>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</si>
  <si>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</si>
  <si>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</si>
  <si>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</si>
  <si>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</si>
  <si>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</si>
  <si>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</si>
  <si>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</si>
  <si>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</si>
  <si>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Combined Summary - My Hotel vs. Comp Set</t>
  </si>
  <si>
    <t>Combined Summary</t>
  </si>
  <si>
    <t>Tab 3 - 28 Day Combined Summary - My Hotel vs. Comp Set</t>
  </si>
  <si>
    <t>28 Day Combined Summary</t>
  </si>
  <si>
    <t>Tab 4 - Weekly Performance at a Glance - My Property vs. Competitive Set</t>
  </si>
  <si>
    <t>Weekly Performance at a Glance</t>
  </si>
  <si>
    <t>Tab 5 - Segmentation at a Glance - My Property vs. Competitive Set</t>
  </si>
  <si>
    <t>Segmentation at a Glance</t>
  </si>
  <si>
    <t>Tab 6 - Daily Data for the Month</t>
  </si>
  <si>
    <t>Daily Data for the Month</t>
  </si>
  <si>
    <t>Tab 7 - Occupancy Perspectives</t>
  </si>
  <si>
    <t>Occupancy Perspectives</t>
  </si>
  <si>
    <t>Tab 8 - Segmentation Occupancy Analysis</t>
  </si>
  <si>
    <t>Segmentation Occupancy Analysis</t>
  </si>
  <si>
    <t>Tab 9 - ADR Perspectives</t>
  </si>
  <si>
    <t>ADR Perspectives</t>
  </si>
  <si>
    <t>Tab 10 - Segmentation ADR Analysis</t>
  </si>
  <si>
    <t>Segmentation ADR Analysis</t>
  </si>
  <si>
    <t>Tab 11 - RevPAR Perspectives</t>
  </si>
  <si>
    <t>RevPAR Perspectives</t>
  </si>
  <si>
    <t>Tab 12 - Segmentation RevPAR Analysis</t>
  </si>
  <si>
    <t>Segmentation RevPAR Analysis</t>
  </si>
  <si>
    <t>Tab 13 - Additional Revenue</t>
  </si>
  <si>
    <t>Tab 14 - Response Report</t>
  </si>
  <si>
    <t>Response Report</t>
  </si>
  <si>
    <t>Tab 15 - Weekly Performance at a Glance - My Property vs. Competitive Set - Comp Set 2</t>
  </si>
  <si>
    <t>Weekly Performance at a Glance - 2nd Comp</t>
  </si>
  <si>
    <t>Tab 16 - Segmentation at a Glance - My Property vs. Competitive Set - Comp Set 2</t>
  </si>
  <si>
    <t>Segmentation at a Glance - 2nd Comp</t>
  </si>
  <si>
    <t>Tab 17 - Daily Data for the Month - Comp Set 2</t>
  </si>
  <si>
    <t>Daily Data for the Month - 2nd Comp</t>
  </si>
  <si>
    <t>Tab 18 - Occupancy Perspectives - Comp Set 2</t>
  </si>
  <si>
    <t>Occupancy Perspectives - 2nd Comp</t>
  </si>
  <si>
    <t>Tab 19 - Segmentation Occupancy Analysis - Comp Set 2</t>
  </si>
  <si>
    <t>Segmentation Occupancy Analysis - 2nd Comp</t>
  </si>
  <si>
    <t>Tab 20 - ADR Perspectives - Comp Set 2</t>
  </si>
  <si>
    <t>ADR Perspectives - 2nd Comp</t>
  </si>
  <si>
    <t>Tab 21 - Segmentation ADR Analysis - Comp Set 2</t>
  </si>
  <si>
    <t>Segmentation ADR Analysis - 2nd Comp</t>
  </si>
  <si>
    <t>Tab 22 - RevPAR Perspectives - Comp Set 2</t>
  </si>
  <si>
    <t>RevPAR Perspectives - 2nd Comp</t>
  </si>
  <si>
    <t>Tab 23 - Segmentation RevPAR Analysis - Comp Set 2</t>
  </si>
  <si>
    <t>Segmentation RevPAR Analysis - 2nd Comp</t>
  </si>
  <si>
    <t>Tab 24 - Additional Revenue - Comp Set 2</t>
  </si>
  <si>
    <t>Additional Revenue - 2nd Comp</t>
  </si>
  <si>
    <t>Tab 25 - Response Report - Comp Set 2</t>
  </si>
  <si>
    <t>Response Report - 2nd Comp</t>
  </si>
  <si>
    <t>Help</t>
  </si>
  <si>
    <t>Weekly STAR Report : Kimpton Angler's Hotel</t>
  </si>
  <si>
    <t>STR # 56387 / Created May 20, 2025</t>
  </si>
  <si>
    <t>For the Week of: May 11, 2025 - May 17, 2025</t>
  </si>
  <si>
    <t>Currency: US Dollar  /  Competitive Set Data Excludes Subject Property</t>
  </si>
  <si>
    <t>May 11, 2025 - May 17, 2025</t>
  </si>
  <si>
    <t>Kimpton Angler's Hotel        600 Washington Ave        Miami Beach, FL 33139-6207        Phone: (305) 534-9600</t>
  </si>
  <si>
    <t>Created: May 20, 2025</t>
  </si>
  <si>
    <t>2 of 5</t>
  </si>
  <si>
    <t>3 of 5</t>
  </si>
  <si>
    <t>5 of 5</t>
  </si>
  <si>
    <t>4 of 5</t>
  </si>
  <si>
    <t>1 of 5</t>
  </si>
  <si>
    <t/>
  </si>
  <si>
    <t>April 20, 2025 - May 17, 2025</t>
  </si>
  <si>
    <t>STR # 56387        Chain ID: 18033        Mgt Co: Kimpton Hotels/IHG        Owner: KHP Capital Partners</t>
  </si>
  <si>
    <t>For the Week of: May 11, 2025 - May 17, 2025        Date Created: May 20, 2025        Competitive Set Data Excludes Subject Property</t>
  </si>
  <si>
    <t>May</t>
  </si>
  <si>
    <t>Market Scale: Miami, FL Upper Upscale Chains</t>
  </si>
  <si>
    <t>Market Scale</t>
  </si>
  <si>
    <t>Apr</t>
  </si>
  <si>
    <t>Market Scale*: Miami, FL Upper Upscale Chains</t>
  </si>
  <si>
    <t>For the Week of: May 11, 2025 - May 17, 2025        Date Created: May 20, 2025</t>
  </si>
  <si>
    <t>Kimpton Angler's Hotel</t>
  </si>
  <si>
    <t>Miami Beach, FL</t>
  </si>
  <si>
    <t>33139-6207</t>
  </si>
  <si>
    <t>(305) 534-9600</t>
  </si>
  <si>
    <t>200706</t>
  </si>
  <si>
    <t>X</t>
  </si>
  <si>
    <t>Dream South Beach</t>
  </si>
  <si>
    <t>33139</t>
  </si>
  <si>
    <t>(305) 673-4747</t>
  </si>
  <si>
    <t>194906</t>
  </si>
  <si>
    <t>Closed - Blue Moon Hotel</t>
  </si>
  <si>
    <t>193406</t>
  </si>
  <si>
    <t>L</t>
  </si>
  <si>
    <t>The Tony Hotel of South Beach</t>
  </si>
  <si>
    <t>(305) 531-2222</t>
  </si>
  <si>
    <t>193906</t>
  </si>
  <si>
    <t>The Betsy South Beach</t>
  </si>
  <si>
    <t>(305) 531-6100</t>
  </si>
  <si>
    <t>194506</t>
  </si>
  <si>
    <t>Z Ocean Hotel, Classico A Sonesta Collection</t>
  </si>
  <si>
    <t>33139-4103</t>
  </si>
  <si>
    <t>(305) 672-4554</t>
  </si>
  <si>
    <t>200612</t>
  </si>
  <si>
    <t>Data received: X = Both years, T = This year only, L = Last year only, blank = No data</t>
  </si>
  <si>
    <t>2025 (This Year)</t>
  </si>
  <si>
    <t>Apr/May</t>
  </si>
  <si>
    <t>2024 (Last Year)</t>
  </si>
  <si>
    <t>Apr 13th</t>
  </si>
  <si>
    <t>- First Day of Passover</t>
  </si>
  <si>
    <t>Apr 18th</t>
  </si>
  <si>
    <t>- Good Friday</t>
  </si>
  <si>
    <t>Apr 20th</t>
  </si>
  <si>
    <t>- Easter Sunday</t>
  </si>
  <si>
    <t>May 11th</t>
  </si>
  <si>
    <t>- Mother's Day</t>
  </si>
  <si>
    <t>Apr 23rd</t>
  </si>
  <si>
    <t>May 12th</t>
  </si>
  <si>
    <t>May 27th</t>
  </si>
  <si>
    <t>- Memorial Day</t>
  </si>
  <si>
    <t>June 16th</t>
  </si>
  <si>
    <t>- Father's Day</t>
  </si>
  <si>
    <t>June 19th</t>
  </si>
  <si>
    <t>- Juneteenth</t>
  </si>
  <si>
    <t>July 4th</t>
  </si>
  <si>
    <t>- Independence Day</t>
  </si>
  <si>
    <t>1 of 9</t>
  </si>
  <si>
    <t>3 of 9</t>
  </si>
  <si>
    <t>2 of 9</t>
  </si>
  <si>
    <t>7 of 9</t>
  </si>
  <si>
    <t>8 of 9</t>
  </si>
  <si>
    <t>9 of 9</t>
  </si>
  <si>
    <t>4 of 9</t>
  </si>
  <si>
    <t>5 of 9</t>
  </si>
  <si>
    <t>6 of 9</t>
  </si>
  <si>
    <t>The Gabriel South Beach, Curio Collection by Hilton</t>
  </si>
  <si>
    <t>33139-6219</t>
  </si>
  <si>
    <t>(305) 685-2000</t>
  </si>
  <si>
    <t>193706</t>
  </si>
  <si>
    <t>Kimpton Surfcomber Hotel</t>
  </si>
  <si>
    <t>33139-2006</t>
  </si>
  <si>
    <t>(305) 532-7715</t>
  </si>
  <si>
    <t>194106</t>
  </si>
  <si>
    <t>Gale South Beach, Curio Collection by Hilton</t>
  </si>
  <si>
    <t>(305) 673-0199</t>
  </si>
  <si>
    <t>201212</t>
  </si>
  <si>
    <t>Hyatt Centric South Beach Miami</t>
  </si>
  <si>
    <t>(305) 428-1234</t>
  </si>
  <si>
    <t>201506</t>
  </si>
  <si>
    <t>Lennox Miami Beach</t>
  </si>
  <si>
    <t>(305) 531-6800</t>
  </si>
  <si>
    <t>201908</t>
  </si>
  <si>
    <t>T</t>
  </si>
  <si>
    <t>Kimpton Hotel Palomar South Beach</t>
  </si>
  <si>
    <t>33139-2412</t>
  </si>
  <si>
    <t>(786) 628-2000</t>
  </si>
  <si>
    <t>202002</t>
  </si>
  <si>
    <t>MOXY Miami South Beach</t>
  </si>
  <si>
    <t>33139-5015</t>
  </si>
  <si>
    <t>(305) 600-4292</t>
  </si>
  <si>
    <t>202102</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</si>
</sst>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3">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0" diagonalDown="0">
      <left style="thin">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 diagonalUp="0" diagonalDown="0">
      <left style="medium">
        <color auto="1" indexed="64"/>
      </left>
      <right style="medium">
        <color auto="1" indexed="64"/>
      </right>
      <top style="medium">
        <color auto="1" indexed="64"/>
      </top>
      <bottom>
        <color auto="1" indexed="64"/>
      </bottom>
      <diagonal>
        <color/>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8">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1" fillId="0" borderId="47" applyFont="1" applyFill="1" applyBorder="1" applyAlignment="1">
      <alignment horizontal="center"/>
    </xf>
    <xf numFmtId="0" fontId="1" fillId="0" borderId="48" applyFont="1" applyFill="1" applyBorder="1" applyAlignment="1">
      <alignment horizontal="center"/>
    </xf>
    <xf numFmtId="0" fontId="39" fillId="0" borderId="47" applyFont="1" applyFill="1" applyBorder="1" applyAlignment="1">
      <alignment horizontal="left"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9" applyFont="1" applyFill="1" applyBorder="1"/>
    <xf numFmtId="0" fontId="51" fillId="0" borderId="50" applyFont="1" applyFill="1" applyBorder="1" applyAlignment="1">
      <alignment horizontal="left"/>
    </xf>
    <xf numFmtId="0" fontId="53" fillId="0" borderId="51" applyFont="1" applyFill="1" applyBorder="1" applyAlignment="1">
      <alignment horizontal="center"/>
    </xf>
    <xf numFmtId="166" fontId="69" fillId="13" borderId="50" applyNumberFormat="1" applyFont="1" applyFill="1" applyBorder="1" applyAlignment="1">
      <alignment horizontal="center"/>
    </xf>
    <xf numFmtId="166" fontId="69" fillId="10" borderId="51" applyNumberFormat="1" applyFont="1" applyFill="1" applyBorder="1" applyAlignment="1">
      <alignment horizontal="center"/>
    </xf>
    <xf numFmtId="166" fontId="69" fillId="13" borderId="52" applyNumberFormat="1" applyFont="1" applyFill="1" applyBorder="1" applyAlignment="1">
      <alignment horizontal="center"/>
    </xf>
    <xf numFmtId="166" fontId="69" fillId="10" borderId="52" applyNumberFormat="1" applyFont="1" applyFill="1" applyBorder="1" applyAlignment="1">
      <alignment horizontal="center"/>
    </xf>
    <xf numFmtId="1" fontId="69" fillId="13" borderId="50" applyNumberFormat="1" applyFont="1" applyFill="1" applyBorder="1" applyAlignment="1">
      <alignment horizontal="center"/>
    </xf>
    <xf numFmtId="1" fontId="69" fillId="10" borderId="52"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10" borderId="53" applyFont="1" applyFill="1" applyBorder="1" applyAlignment="1">
      <alignment horizontal="center"/>
    </xf>
    <xf numFmtId="0" fontId="42" fillId="10" borderId="54" applyFont="1" applyFill="1" applyBorder="1" applyAlignment="1">
      <alignment horizontal="center"/>
    </xf>
    <xf numFmtId="166" fontId="69" fillId="10" borderId="53" applyNumberFormat="1" applyFont="1" applyFill="1" applyBorder="1" applyAlignment="1">
      <alignment horizontal="center"/>
    </xf>
    <xf numFmtId="166" fontId="69" fillId="10" borderId="54" applyNumberFormat="1" applyFont="1" applyFill="1" applyBorder="1" applyAlignment="1">
      <alignment horizontal="center"/>
    </xf>
    <xf numFmtId="166" fontId="69" fillId="10" borderId="55" applyNumberFormat="1" applyFont="1" applyFill="1" applyBorder="1" applyAlignment="1">
      <alignment horizontal="center"/>
    </xf>
    <xf numFmtId="2" fontId="69" fillId="13" borderId="50" applyNumberFormat="1" applyFont="1" applyFill="1" applyBorder="1" applyAlignment="1">
      <alignment horizontal="center"/>
    </xf>
    <xf numFmtId="2" fontId="69" fillId="10" borderId="51" applyNumberFormat="1" applyFont="1" applyFill="1" applyBorder="1" applyAlignment="1">
      <alignment horizontal="center"/>
    </xf>
    <xf numFmtId="2" fontId="69" fillId="13" borderId="52" applyNumberFormat="1" applyFont="1" applyFill="1" applyBorder="1" applyAlignment="1">
      <alignment horizontal="center"/>
    </xf>
    <xf numFmtId="0" fontId="53" fillId="0" borderId="52" applyFont="1" applyFill="1" applyBorder="1" applyAlignment="1">
      <alignment horizontal="center"/>
    </xf>
    <xf numFmtId="0" fontId="69" fillId="0" borderId="47" applyFont="1" applyFill="1" applyBorder="1" applyAlignment="1">
      <alignment horizontal="right" wrapText="1"/>
    </xf>
    <xf numFmtId="0" fontId="21" fillId="0" borderId="56" applyFont="1" applyFill="1" applyBorder="1" applyAlignment="1">
      <alignment horizontal="center"/>
    </xf>
    <xf numFmtId="0" fontId="42" fillId="10" borderId="55" applyFont="1" applyFill="1" applyBorder="1" applyAlignment="1">
      <alignment horizontal="center"/>
    </xf>
    <xf numFmtId="2" fontId="69" fillId="10" borderId="53" applyNumberFormat="1" applyFont="1" applyFill="1" applyBorder="1" applyAlignment="1">
      <alignment horizontal="center"/>
    </xf>
    <xf numFmtId="2" fontId="69" fillId="10" borderId="54" applyNumberFormat="1" applyFont="1" applyFill="1" applyBorder="1" applyAlignment="1">
      <alignment horizontal="center"/>
    </xf>
    <xf numFmtId="2" fontId="69" fillId="10" borderId="55" applyNumberFormat="1" applyFont="1" applyFill="1" applyBorder="1" applyAlignment="1">
      <alignment horizontal="center"/>
    </xf>
    <xf numFmtId="0" fontId="21" fillId="0" borderId="57" applyFont="1" applyFill="1" applyBorder="1" applyAlignment="1">
      <alignment horizontal="center"/>
    </xf>
    <xf numFmtId="0" fontId="21" fillId="0" borderId="58" applyFont="1" applyFill="1" applyBorder="1" applyAlignment="1">
      <alignment horizontal="center"/>
    </xf>
    <xf numFmtId="166" fontId="42" fillId="10" borderId="54" applyNumberFormat="1" applyFont="1" applyFill="1" applyBorder="1" applyAlignment="1">
      <alignment horizontal="center"/>
    </xf>
    <xf numFmtId="166" fontId="42" fillId="10" borderId="59"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0" borderId="62" applyFont="1" applyFill="1" applyBorder="1" applyAlignment="1">
      <alignment horizontal="center"/>
    </xf>
    <xf numFmtId="0" fontId="34" fillId="6" borderId="63" applyFont="1" applyFill="1" applyBorder="1" applyAlignment="1">
      <alignment horizontal="center"/>
    </xf>
    <xf numFmtId="0" fontId="34" fillId="6" borderId="47" applyFont="1" applyFill="1" applyBorder="1" applyAlignment="1">
      <alignment horizontal="center"/>
    </xf>
    <xf numFmtId="0" fontId="34" fillId="6" borderId="64" applyFont="1" applyFill="1" applyBorder="1" applyAlignment="1">
      <alignment horizontal="center"/>
    </xf>
    <xf numFmtId="0" fontId="34" fillId="0" borderId="63" applyFont="1" applyFill="1" applyBorder="1" applyAlignment="1">
      <alignment horizontal="center"/>
    </xf>
    <xf numFmtId="0" fontId="34" fillId="0" borderId="47" applyFont="1" applyFill="1" applyBorder="1" applyAlignment="1">
      <alignment horizontal="center"/>
    </xf>
    <xf numFmtId="0" fontId="34" fillId="0"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34" fillId="6" borderId="67" applyFont="1" applyFill="1" applyBorder="1" applyAlignment="1">
      <alignment horizontal="center"/>
    </xf>
    <xf numFmtId="0" fontId="37" fillId="11" borderId="47" applyFont="1" applyFill="1" applyBorder="1" applyAlignment="1">
      <alignment horizontal="center"/>
    </xf>
    <xf numFmtId="0" fontId="83" fillId="15" borderId="68" applyFont="1" applyFill="1" applyBorder="1" applyAlignment="1">
      <alignment horizontal="left"/>
    </xf>
    <xf numFmtId="0" fontId="83" fillId="15" borderId="68" applyFont="1" applyFill="1" applyBorder="1" applyAlignment="1">
      <alignment horizontal="right"/>
    </xf>
    <xf numFmtId="0" fontId="83" fillId="15" borderId="69" applyFont="1" applyFill="1" applyBorder="1"/>
    <xf numFmtId="0" fontId="83" fillId="15" borderId="70" applyFont="1" applyFill="1" applyBorder="1"/>
    <xf numFmtId="0" fontId="83" fillId="15" borderId="71" applyFont="1" applyFill="1" applyBorder="1"/>
    <xf numFmtId="0" fontId="83" fillId="17" borderId="68" applyFont="1" applyFill="1" applyBorder="1" applyAlignment="1">
      <alignment horizontal="left"/>
    </xf>
    <xf numFmtId="0" fontId="83" fillId="17" borderId="68" applyFont="1" applyFill="1" applyBorder="1" applyAlignment="1">
      <alignment horizontal="right"/>
    </xf>
    <xf numFmtId="0" fontId="83" fillId="17" borderId="69" applyFont="1" applyFill="1" applyBorder="1"/>
    <xf numFmtId="0" fontId="83" fillId="17" borderId="70" applyFont="1" applyFill="1" applyBorder="1"/>
    <xf numFmtId="0" fontId="83" fillId="17" borderId="71"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1" applyFont="1" applyFill="1" applyBorder="1" applyAlignment="1">
      <alignment horizontal="center" vertical="center"/>
    </xf>
    <xf numFmtId="0" fontId="69" fillId="0" borderId="47" applyFont="1" applyFill="1" applyBorder="1" applyAlignment="1">
      <alignment horizontal="right"/>
    </xf>
    <xf numFmtId="0" fontId="37" fillId="0" borderId="72" applyFont="1" applyFill="1" applyBorder="1" applyAlignment="1">
      <alignment horizontal="center"/>
    </xf>
    <xf numFmtId="0" fontId="1" fillId="0" borderId="51" applyFont="1" applyFill="1" applyBorder="1"/>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24" Type="http://schemas.openxmlformats.org/officeDocument/2006/relationships/worksheet" Target="worksheets/sheet8.xml" />
<Relationship Id="rId27" Type="http://schemas.openxmlformats.org/officeDocument/2006/relationships/styles" Target="/xl/styles.xml" />
<Relationship Id="rId28" Type="http://schemas.openxmlformats.org/officeDocument/2006/relationships/theme" Target="/xl/theme/theme1.xml" />
<Relationship Id="rId26" Type="http://schemas.openxmlformats.org/officeDocument/2006/relationships/worksheet" Target="worksheets/sheet16.xml" />
<Relationship Id="rId22" Type="http://schemas.openxmlformats.org/officeDocument/2006/relationships/worksheet" Target="worksheets/sheet1.xml" />
<Relationship Id="rId23" Type="http://schemas.openxmlformats.org/officeDocument/2006/relationships/worksheet" Target="worksheets/sheet6.xml" />
<Relationship Id="rId25" Type="http://schemas.openxmlformats.org/officeDocument/2006/relationships/worksheet" Target="worksheets/sheet10.xml" />
<Relationship Id="rId29" Type="http://schemas.openxmlformats.org/officeDocument/2006/relationships/sharedStrings" Target="/xl/sharedStrings.xml" />
<Relationship Id="rId21" Type="http://schemas.openxmlformats.org/officeDocument/2006/relationships/worksheet" Target="worksheets/sheet18.xml" />
<Relationship Id="rId20" Type="http://schemas.openxmlformats.org/officeDocument/2006/relationships/worksheet" Target="worksheets/sheet21.xml" />
<Relationship Id="rId19" Type="http://schemas.openxmlformats.org/officeDocument/2006/relationships/worksheet" Target="worksheets/sheet25.xml" />
<Relationship Id="rId18" Type="http://schemas.openxmlformats.org/officeDocument/2006/relationships/worksheet" Target="worksheets/sheet29.xml" />
<Relationship Id="rId17" Type="http://schemas.openxmlformats.org/officeDocument/2006/relationships/worksheet" Target="worksheets/sheet33.xml" />
<Relationship Id="rId16" Type="http://schemas.openxmlformats.org/officeDocument/2006/relationships/worksheet" Target="worksheets/sheet37.xml" />
<Relationship Id="rId15" Type="http://schemas.openxmlformats.org/officeDocument/2006/relationships/worksheet" Target="worksheets/sheet41.xml" />
<Relationship Id="rId14" Type="http://schemas.openxmlformats.org/officeDocument/2006/relationships/worksheet" Target="worksheets/sheet45.xml" />
<Relationship Id="rId13" Type="http://schemas.openxmlformats.org/officeDocument/2006/relationships/worksheet" Target="worksheets/sheet49.xml" />
<Relationship Id="rId12" Type="http://schemas.openxmlformats.org/officeDocument/2006/relationships/worksheet" Target="worksheets/sheet53.xml" />
<Relationship Id="rId11" Type="http://schemas.openxmlformats.org/officeDocument/2006/relationships/worksheet" Target="worksheets/sheet56.xml" />
<Relationship Id="rId10" Type="http://schemas.openxmlformats.org/officeDocument/2006/relationships/worksheet" Target="worksheets/sheet59.xml" />
<Relationship Id="rId9" Type="http://schemas.openxmlformats.org/officeDocument/2006/relationships/worksheet" Target="worksheets/sheet62.xml" />
<Relationship Id="rId8" Type="http://schemas.openxmlformats.org/officeDocument/2006/relationships/worksheet" Target="worksheets/sheet66.xml" />
<Relationship Id="rId7" Type="http://schemas.openxmlformats.org/officeDocument/2006/relationships/worksheet" Target="worksheets/sheet69.xml" />
<Relationship Id="rId6" Type="http://schemas.openxmlformats.org/officeDocument/2006/relationships/worksheet" Target="worksheets/sheet73.xml" />
<Relationship Id="rId5" Type="http://schemas.openxmlformats.org/officeDocument/2006/relationships/worksheet" Target="worksheets/sheet76.xml" />
<Relationship Id="rId4" Type="http://schemas.openxmlformats.org/officeDocument/2006/relationships/worksheet" Target="worksheets/sheet80.xml" />
<Relationship Id="rId3" Type="http://schemas.openxmlformats.org/officeDocument/2006/relationships/worksheet" Target="worksheets/sheet83.xml" />
<Relationship Id="rId2" Type="http://schemas.openxmlformats.org/officeDocument/2006/relationships/worksheet" Target="worksheets/sheet86.xml" />
<Relationship Id="rId1" Type="http://schemas.openxmlformats.org/officeDocument/2006/relationships/worksheet" Target="worksheets/sheet89.xml" />
</Relationships>
</file>

<file path=xl/charts/chart92.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May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106.299840510314</v>
                </pt>
                <pt idx="0">
                  <v>99.8729813101214</v>
                </pt>
                <pt idx="0">
                  <v>100.115524749</v>
                </pt>
                <pt idx="0">
                  <v>143.056092843268</v>
                </pt>
                <pt idx="0">
                  <v>98.0155537677731</v>
                </pt>
                <pt idx="0">
                  <v>72.3314780457212</v>
                </pt>
                <pt idx="0">
                  <v>100.021340162166</v>
                </pt>
                <pt idx="0">
                  <v>107.085399449058</v>
                </pt>
                <pt idx="0">
                  <v>106.889204545401</v>
                </pt>
                <pt idx="0">
                  <v>118.743890518107</v>
                </pt>
                <pt idx="0">
                  <v>101.861252114997</v>
                </pt>
                <pt idx="0">
                  <v>123.677452490995</v>
                </pt>
                <pt idx="0">
                  <v>126.188197767225</v>
                </pt>
                <pt idx="0">
                  <v>113.939393939394</v>
                </pt>
                <pt idx="0">
                  <v>112.894123420432</v>
                </pt>
                <pt idx="0">
                  <v>108.42733908427</v>
                </pt>
                <pt idx="0">
                  <v>106.764418377283</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76.4428555395394</v>
                </pt>
                <pt idx="0">
                  <v>84.9647359920262</v>
                </pt>
                <pt idx="0">
                  <v>82.9107425693534</v>
                </pt>
                <pt idx="0">
                  <v>79.0422216628637</v>
                </pt>
                <pt idx="0">
                  <v>79.6424273903913</v>
                </pt>
                <pt idx="0">
                  <v>65.4660562937811</v>
                </pt>
                <pt idx="0">
                  <v>67.1895980073339</v>
                </pt>
                <pt idx="0">
                  <v>74.9579666843405</v>
                </pt>
                <pt idx="0">
                  <v>103.721077107773</v>
                </pt>
                <pt idx="0">
                  <v>96.8062606003114</v>
                </pt>
                <pt idx="0">
                  <v>73.1777938524465</v>
                </pt>
                <pt idx="0">
                  <v>69.9351513768475</v>
                </pt>
                <pt idx="0">
                  <v>77.595944660579</v>
                </pt>
                <pt idx="0">
                  <v>78.9590578968998</v>
                </pt>
                <pt idx="0">
                  <v>82.1369901122098</v>
                </pt>
                <pt idx="0">
                  <v>89.9647865499887</v>
                </pt>
                <pt idx="0">
                  <v>98.72982246516</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81.2586335201159</v>
                </pt>
                <pt idx="0">
                  <v>84.8568148975021</v>
                </pt>
                <pt idx="0">
                  <v>83.0065249965657</v>
                </pt>
                <pt idx="0">
                  <v>113.074714007436</v>
                </pt>
                <pt idx="0">
                  <v>78.0619662407512</v>
                </pt>
                <pt idx="0">
                  <v>47.3525661355515</v>
                </pt>
                <pt idx="0">
                  <v>67.2039363765261</v>
                </pt>
                <pt idx="0">
                  <v>80.2690380428073</v>
                </pt>
                <pt idx="0">
                  <v>110.866634266457</v>
                </pt>
                <pt idx="0">
                  <v>114.951520101869</v>
                </pt>
                <pt idx="0">
                  <v>74.5398170882646</v>
                </pt>
                <pt idx="0">
                  <v>86.4940136186364</v>
                </pt>
                <pt idx="0">
                  <v>97.9169241075473</v>
                </pt>
                <pt idx="0">
                  <v>89.9654720280014</v>
                </pt>
                <pt idx="0">
                  <v>92.7278349911203</v>
                </pt>
                <pt idx="0">
                  <v>97.5464241690182</v>
                </pt>
                <pt idx="0">
                  <v>105.408320719903</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8"/>
          <min val="4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Feb 23, 2025 to May 17,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92.7489177489177</v>
                </pt>
                <pt idx="0">
                  <v>91.3419913419913</v>
                </pt>
                <pt idx="0">
                  <v>90.9090909090909</v>
                </pt>
                <pt idx="0">
                  <v>90.9090909090909</v>
                </pt>
                <pt idx="0">
                  <v>90.2597402597403</v>
                </pt>
                <pt idx="0">
                  <v>95.1298701298701</v>
                </pt>
                <pt idx="0">
                  <v>93.8311688311688</v>
                </pt>
                <pt idx="0">
                  <v>96.2121212121212</v>
                </pt>
                <pt idx="0">
                  <v>88.0952380952381</v>
                </pt>
                <pt idx="0">
                  <v>94.0476190476191</v>
                </pt>
                <pt idx="0">
                  <v>78.1385281385281</v>
                </pt>
                <pt idx="0">
                  <v>75.2164502164502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91.9019933554817</v>
                </pt>
                <pt idx="0">
                  <v>89.3687707641196</v>
                </pt>
                <pt idx="0">
                  <v>83.1395348837209</v>
                </pt>
                <pt idx="0">
                  <v>88.8704318936877</v>
                </pt>
                <pt idx="0">
                  <v>88.4136212624585</v>
                </pt>
                <pt idx="0">
                  <v>87.7491694352159</v>
                </pt>
                <pt idx="0">
                  <v>89.2857142857143</v>
                </pt>
                <pt idx="0">
                  <v>90.1993355481728</v>
                </pt>
                <pt idx="0">
                  <v>83.3887043189369</v>
                </pt>
                <pt idx="0">
                  <v>94.7259136212625</v>
                </pt>
                <pt idx="0">
                  <v>73.4634551495017</v>
                </pt>
                <pt idx="0">
                  <v>66.8604651162791</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90.4925544100802</v>
                </pt>
                <pt idx="0">
                  <v>85.5640350485711</v>
                </pt>
                <pt idx="0">
                  <v>80.4019577215453</v>
                </pt>
                <pt idx="0">
                  <v>88.8978146710106</v>
                </pt>
                <pt idx="0">
                  <v>84.5807113848351</v>
                </pt>
                <pt idx="0">
                  <v>85.2325010050476</v>
                </pt>
                <pt idx="0">
                  <v>88.2032262388847</v>
                </pt>
                <pt idx="0">
                  <v>81.2726216542294</v>
                </pt>
                <pt idx="0">
                  <v>76.0132266857322</v>
                </pt>
                <pt idx="0">
                  <v>89.6271802433829</v>
                </pt>
                <pt idx="0">
                  <v>74.1602990899206</v>
                </pt>
                <pt idx="0">
                  <v>72.8331620417951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62"/>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4.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Feb 23, 2025 to May 17,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356.41073512252</v>
                </pt>
                <pt idx="0">
                  <v>294.281990521327</v>
                </pt>
                <pt idx="0">
                  <v>272.447619047619</v>
                </pt>
                <pt idx="0">
                  <v>292.027380952381</v>
                </pt>
                <pt idx="0">
                  <v>328.038369304556</v>
                </pt>
                <pt idx="0">
                  <v>264.938566552901</v>
                </pt>
                <pt idx="0">
                  <v>297.681660899654</v>
                </pt>
                <pt idx="0">
                  <v>261.608548931384</v>
                </pt>
                <pt idx="0">
                  <v>236.044226044226</v>
                </pt>
                <pt idx="0">
                  <v>322.135788262371</v>
                </pt>
                <pt idx="0">
                  <v>232.814404432133</v>
                </pt>
                <pt idx="0">
                  <v>199.372661870504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456.699051061907</v>
                </pt>
                <pt idx="0">
                  <v>380.438197026022</v>
                </pt>
                <pt idx="0">
                  <v>360.125874125874</v>
                </pt>
                <pt idx="0">
                  <v>398.994392523364</v>
                </pt>
                <pt idx="0">
                  <v>380.245655237201</v>
                </pt>
                <pt idx="0">
                  <v>341.342640795078</v>
                </pt>
                <pt idx="0">
                  <v>323.787906976744</v>
                </pt>
                <pt idx="0">
                  <v>374.430939226519</v>
                </pt>
                <pt idx="0">
                  <v>342.51593625498</v>
                </pt>
                <pt idx="0">
                  <v>383.201227531784</v>
                </pt>
                <pt idx="0">
                  <v>280.474844544941</v>
                </pt>
                <pt idx="0">
                  <v>238.046583850932</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319.089577511096</v>
                </pt>
                <pt idx="0">
                  <v>289.626736443139</v>
                </pt>
                <pt idx="0">
                  <v>265.910522323163</v>
                </pt>
                <pt idx="0">
                  <v>286.605910505706</v>
                </pt>
                <pt idx="0">
                  <v>303.538184184607</v>
                </pt>
                <pt idx="0">
                  <v>260.398197159478</v>
                </pt>
                <pt idx="0">
                  <v>261.89942077444</v>
                </pt>
                <pt idx="0">
                  <v>255.103529799868</v>
                </pt>
                <pt idx="0">
                  <v>229.518644798464</v>
                </pt>
                <pt idx="0">
                  <v>288.928389809383</v>
                </pt>
                <pt idx="0">
                  <v>226.776356223262</v>
                </pt>
                <pt idx="0">
                  <v>209.719272771893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462"/>
          <min val="19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Feb 23, 2025 to May 17,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330.5670995671</v>
                </pt>
                <pt idx="0">
                  <v>268.80303030303</v>
                </pt>
                <pt idx="0">
                  <v>247.679653679654</v>
                </pt>
                <pt idx="0">
                  <v>265.479437229437</v>
                </pt>
                <pt idx="0">
                  <v>296.08658008658</v>
                </pt>
                <pt idx="0">
                  <v>252.035714285714</v>
                </pt>
                <pt idx="0">
                  <v>279.318181818182</v>
                </pt>
                <pt idx="0">
                  <v>251.699134199134</v>
                </pt>
                <pt idx="0">
                  <v>207.943722943723</v>
                </pt>
                <pt idx="0">
                  <v>302.961038961039</v>
                </pt>
                <pt idx="0">
                  <v>181.917748917749</v>
                </pt>
                <pt idx="0">
                  <v>149.961038961039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419.715531561462</v>
                </pt>
                <pt idx="0">
                  <v>339.992940199336</v>
                </pt>
                <pt idx="0">
                  <v>299.406976744186</v>
                </pt>
                <pt idx="0">
                  <v>354.58803986711</v>
                </pt>
                <pt idx="0">
                  <v>336.188953488372</v>
                </pt>
                <pt idx="0">
                  <v>299.525332225914</v>
                </pt>
                <pt idx="0">
                  <v>289.09634551495</v>
                </pt>
                <pt idx="0">
                  <v>337.734219269103</v>
                </pt>
                <pt idx="0">
                  <v>285.619601328904</v>
                </pt>
                <pt idx="0">
                  <v>362.990863787375</v>
                </pt>
                <pt idx="0">
                  <v>206.046511627907</v>
                </pt>
                <pt idx="0">
                  <v>159.159053156146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288.752309546124</v>
                </pt>
                <pt idx="0">
                  <v>247.81632228024</v>
                </pt>
                <pt idx="0">
                  <v>213.79726573541</v>
                </pt>
                <pt idx="0">
                  <v>254.786391157525</v>
                </pt>
                <pt idx="0">
                  <v>256.734755507951</v>
                </pt>
                <pt idx="0">
                  <v>221.943896011078</v>
                </pt>
                <pt idx="0">
                  <v>231.003738624008</v>
                </pt>
                <pt idx="0">
                  <v>207.329326600831</v>
                </pt>
                <pt idx="0">
                  <v>174.464527756677</v>
                </pt>
                <pt idx="0">
                  <v>258.95836870876</v>
                </pt>
                <pt idx="0">
                  <v>168.178024040395</v>
                </pt>
                <pt idx="0">
                  <v>152.745177770827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425"/>
          <min val="14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6.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May</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Month_2'!$C$28:$AG$28</f>
              <numCache>
                <formatCode>General</formatCode>
                <ptCount val="31"/>
                <pt idx="0">
                  <v>102.795968156117</v>
                </pt>
                <pt idx="0">
                  <v>100.370437845361</v>
                </pt>
                <pt idx="0">
                  <v>100.408838631126</v>
                </pt>
                <pt idx="0">
                  <v>115.770954962501</v>
                </pt>
                <pt idx="0">
                  <v>86.1644292667207</v>
                </pt>
                <pt idx="0">
                  <v>65.8603360335984</v>
                </pt>
                <pt idx="0">
                  <v>103.77221116278</v>
                </pt>
                <pt idx="0">
                  <v>101.179703210632</v>
                </pt>
                <pt idx="0">
                  <v>93.0582724183678</v>
                </pt>
                <pt idx="0">
                  <v>103.428141059673</v>
                </pt>
                <pt idx="0">
                  <v>89.1395463511138</v>
                </pt>
                <pt idx="0">
                  <v>97.3872053872318</v>
                </pt>
                <pt idx="0">
                  <v>92.3038073037997</v>
                </pt>
                <pt idx="0">
                  <v>92.7643394856997</v>
                </pt>
                <pt idx="0">
                  <v>101.252244329585</v>
                </pt>
                <pt idx="0">
                  <v>95.7227857979337</v>
                </pt>
                <pt idx="0">
                  <v>100.087735359594</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Month_2'!$C$40:$AG$40</f>
              <numCache>
                <formatCode>General</formatCode>
                <ptCount val="31"/>
                <pt idx="0">
                  <v>98.4590289335245</v>
                </pt>
                <pt idx="0">
                  <v>105.791125517226</v>
                </pt>
                <pt idx="0">
                  <v>103.801519908527</v>
                </pt>
                <pt idx="0">
                  <v>108.874438525544</v>
                </pt>
                <pt idx="0">
                  <v>106.783671541298</v>
                </pt>
                <pt idx="0">
                  <v>90.722375669548</v>
                </pt>
                <pt idx="0">
                  <v>99.6204319038062</v>
                </pt>
                <pt idx="0">
                  <v>105.623416150756</v>
                </pt>
                <pt idx="0">
                  <v>117.83399289535</v>
                </pt>
                <pt idx="0">
                  <v>116.788345169914</v>
                </pt>
                <pt idx="0">
                  <v>97.3602626139091</v>
                </pt>
                <pt idx="0">
                  <v>87.2144241827506</v>
                </pt>
                <pt idx="0">
                  <v>88.5834872925449</v>
                </pt>
                <pt idx="0">
                  <v>87.7878807650292</v>
                </pt>
                <pt idx="0">
                  <v>92.7001440567373</v>
                </pt>
                <pt idx="0">
                  <v>106.296119815571</v>
                </pt>
                <pt idx="0">
                  <v>108.264846789008</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Month_2'!$C$52:$AG$52</f>
              <numCache>
                <formatCode>General</formatCode>
                <ptCount val="31"/>
                <pt idx="0">
                  <v>101.211912029345</v>
                </pt>
                <pt idx="0">
                  <v>106.18301588322</v>
                </pt>
                <pt idx="0">
                  <v>104.225900621663</v>
                </pt>
                <pt idx="0">
                  <v>126.044977191032</v>
                </pt>
                <pt idx="0">
                  <v>92.0095411336302</v>
                </pt>
                <pt idx="0">
                  <v>59.7500614736262</v>
                </pt>
                <pt idx="0">
                  <v>103.378324956441</v>
                </pt>
                <pt idx="0">
                  <v>106.869458982232</v>
                </pt>
                <pt idx="0">
                  <v>109.654278110018</v>
                </pt>
                <pt idx="0">
                  <v>120.792014383612</v>
                </pt>
                <pt idx="0">
                  <v>86.7864964202411</v>
                </pt>
                <pt idx="0">
                  <v>84.9356904061437</v>
                </pt>
                <pt idx="0">
                  <v>81.7659314134925</v>
                </pt>
                <pt idx="0">
                  <v>81.4358477401492</v>
                </pt>
                <pt idx="0">
                  <v>93.8609763542489</v>
                </pt>
                <pt idx="0">
                  <v>101.74960708254</v>
                </pt>
                <pt idx="0">
                  <v>108.359833341691</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Month_2'!$C$25:$AG$25</f>
            </multiLvlStrRef>
          </cat>
          <val>
            <numRef>
              <f>'Daily by Month_2'!$C$61:$AG$61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31"/>
          <min val="5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7.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Feb 23, 2025 to May 17,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Occ_2!$B$73:$M$73</f>
              <numCache>
                <formatCode>General</formatCode>
                <ptCount val="12"/>
                <pt idx="0">
                  <v>92.7489177489177</v>
                </pt>
                <pt idx="0">
                  <v>91.3419913419913</v>
                </pt>
                <pt idx="0">
                  <v>90.9090909090909</v>
                </pt>
                <pt idx="0">
                  <v>90.9090909090909</v>
                </pt>
                <pt idx="0">
                  <v>90.2597402597403</v>
                </pt>
                <pt idx="0">
                  <v>95.1298701298701</v>
                </pt>
                <pt idx="0">
                  <v>93.8311688311688</v>
                </pt>
                <pt idx="0">
                  <v>96.2121212121212</v>
                </pt>
                <pt idx="0">
                  <v>88.0952380952381</v>
                </pt>
                <pt idx="0">
                  <v>94.0476190476191</v>
                </pt>
                <pt idx="0">
                  <v>78.1385281385281</v>
                </pt>
                <pt idx="0">
                  <v>75.2164502164502</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Occ_2!$B$74:$M$74</f>
              <numCache>
                <formatCode>General</formatCode>
                <ptCount val="12"/>
                <pt idx="0">
                  <v>94.8001659521505</v>
                </pt>
                <pt idx="0">
                  <v>90.7896556492878</v>
                </pt>
                <pt idx="0">
                  <v>86.8759507675287</v>
                </pt>
                <pt idx="0">
                  <v>89.6418199419168</v>
                </pt>
                <pt idx="0">
                  <v>86.6961692711935</v>
                </pt>
                <pt idx="0">
                  <v>84.5355426110759</v>
                </pt>
                <pt idx="0">
                  <v>93.043839026414</v>
                </pt>
                <pt idx="0">
                  <v>91.0662425667266</v>
                </pt>
                <pt idx="0">
                  <v>81.7452634490389</v>
                </pt>
                <pt idx="0">
                  <v>94.5512377264555</v>
                </pt>
                <pt idx="0">
                  <v>81.3995298022404</v>
                </pt>
                <pt idx="0">
                  <v>78.4953671691329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Occ_2!$B$72:$M$72</f>
            </multiLvlStrRef>
          </cat>
          <val>
            <numRef>
              <f>Occ_2!$B$75:$M$75</f>
              <numCache>
                <formatCode>General</formatCode>
                <ptCount val="12"/>
                <pt idx="0">
                  <v>90.4925544100802</v>
                </pt>
                <pt idx="0">
                  <v>85.5640350485711</v>
                </pt>
                <pt idx="0">
                  <v>80.4019577215453</v>
                </pt>
                <pt idx="0">
                  <v>88.8978146710106</v>
                </pt>
                <pt idx="0">
                  <v>84.5807113848351</v>
                </pt>
                <pt idx="0">
                  <v>85.2325010050476</v>
                </pt>
                <pt idx="0">
                  <v>88.2032262388847</v>
                </pt>
                <pt idx="0">
                  <v>81.2726216542294</v>
                </pt>
                <pt idx="0">
                  <v>76.0132266857322</v>
                </pt>
                <pt idx="0">
                  <v>89.6271802433829</v>
                </pt>
                <pt idx="0">
                  <v>74.1602990899206</v>
                </pt>
                <pt idx="0">
                  <v>72.8331620417951</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1"/>
          <min val="68"/>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8.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Feb 23, 2025 to May 17,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ADR_2!$B$73:$M$73</f>
              <numCache>
                <formatCode>General</formatCode>
                <ptCount val="12"/>
                <pt idx="0">
                  <v>356.41073512252</v>
                </pt>
                <pt idx="0">
                  <v>294.281990521327</v>
                </pt>
                <pt idx="0">
                  <v>272.447619047619</v>
                </pt>
                <pt idx="0">
                  <v>292.027380952381</v>
                </pt>
                <pt idx="0">
                  <v>328.038369304556</v>
                </pt>
                <pt idx="0">
                  <v>264.938566552901</v>
                </pt>
                <pt idx="0">
                  <v>297.681660899654</v>
                </pt>
                <pt idx="0">
                  <v>261.608548931384</v>
                </pt>
                <pt idx="0">
                  <v>236.044226044226</v>
                </pt>
                <pt idx="0">
                  <v>322.135788262371</v>
                </pt>
                <pt idx="0">
                  <v>232.814404432133</v>
                </pt>
                <pt idx="0">
                  <v>199.372661870504</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ADR_2!$B$74:$M$74</f>
              <numCache>
                <formatCode>General</formatCode>
                <ptCount val="12"/>
                <pt idx="0">
                  <v>373.693909555069</v>
                </pt>
                <pt idx="0">
                  <v>317.112769230769</v>
                </pt>
                <pt idx="0">
                  <v>285.672967207896</v>
                </pt>
                <pt idx="0">
                  <v>300.09978864548</v>
                </pt>
                <pt idx="0">
                  <v>306.305723400861</v>
                </pt>
                <pt idx="0">
                  <v>252.22283348723</v>
                </pt>
                <pt idx="0">
                  <v>283.712274078478</v>
                </pt>
                <pt idx="0">
                  <v>258.672071374336</v>
                </pt>
                <pt idx="0">
                  <v>234.592718660125</v>
                </pt>
                <pt idx="0">
                  <v>332.01755887085</v>
                </pt>
                <pt idx="0">
                  <v>212.535059463133</v>
                </pt>
                <pt idx="0">
                  <v>202.81512508809</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ADR_2!$B$72:$M$72</f>
            </multiLvlStrRef>
          </cat>
          <val>
            <numRef>
              <f>ADR_2!$B$75:$M$75</f>
              <numCache>
                <formatCode>General</formatCode>
                <ptCount val="12"/>
                <pt idx="0">
                  <v>319.089577511096</v>
                </pt>
                <pt idx="0">
                  <v>289.626736443139</v>
                </pt>
                <pt idx="0">
                  <v>265.910522323163</v>
                </pt>
                <pt idx="0">
                  <v>286.605910505706</v>
                </pt>
                <pt idx="0">
                  <v>303.538184184607</v>
                </pt>
                <pt idx="0">
                  <v>260.398197159478</v>
                </pt>
                <pt idx="0">
                  <v>261.89942077444</v>
                </pt>
                <pt idx="0">
                  <v>255.103529799868</v>
                </pt>
                <pt idx="0">
                  <v>229.518644798464</v>
                </pt>
                <pt idx="0">
                  <v>288.928389809383</v>
                </pt>
                <pt idx="0">
                  <v>226.776356223262</v>
                </pt>
                <pt idx="0">
                  <v>209.719272771893</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79"/>
          <min val="19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9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Feb 23, 2025 to May 17,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'RevPAR_2'!$B$73:$M$73</f>
              <numCache>
                <formatCode>General</formatCode>
                <ptCount val="12"/>
                <pt idx="0">
                  <v>330.5670995671</v>
                </pt>
                <pt idx="0">
                  <v>268.80303030303</v>
                </pt>
                <pt idx="0">
                  <v>247.679653679654</v>
                </pt>
                <pt idx="0">
                  <v>265.479437229437</v>
                </pt>
                <pt idx="0">
                  <v>296.08658008658</v>
                </pt>
                <pt idx="0">
                  <v>252.035714285714</v>
                </pt>
                <pt idx="0">
                  <v>279.318181818182</v>
                </pt>
                <pt idx="0">
                  <v>251.699134199134</v>
                </pt>
                <pt idx="0">
                  <v>207.943722943723</v>
                </pt>
                <pt idx="0">
                  <v>302.961038961039</v>
                </pt>
                <pt idx="0">
                  <v>181.917748917749</v>
                </pt>
                <pt idx="0">
                  <v>149.961038961039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'RevPAR_2'!$B$74:$M$74</f>
              <numCache>
                <formatCode>General</formatCode>
                <ptCount val="12"/>
                <pt idx="0">
                  <v>354.262446411285</v>
                </pt>
                <pt idx="0">
                  <v>287.905591204536</v>
                </pt>
                <pt idx="0">
                  <v>248.18110634767</v>
                </pt>
                <pt idx="0">
                  <v>269.014912183654</v>
                </pt>
                <pt idx="0">
                  <v>265.555328446964</v>
                </pt>
                <pt idx="0">
                  <v>213.21794087746</v>
                </pt>
                <pt idx="0">
                  <v>263.976791591758</v>
                </pt>
                <pt idx="0">
                  <v>235.562935970129</v>
                </pt>
                <pt idx="0">
                  <v>191.768435900982</v>
                </pt>
                <pt idx="0">
                  <v>313.926711381552</v>
                </pt>
                <pt idx="0">
                  <v>173.002539067902</v>
                </pt>
                <pt idx="0">
                  <v>159.200477112433</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'RevPAR_2'!$B$72:$M$72</f>
            </multiLvlStrRef>
          </cat>
          <val>
            <numRef>
              <f>'RevPAR_2'!$B$75:$M$75</f>
              <numCache>
                <formatCode>General</formatCode>
                <ptCount val="12"/>
                <pt idx="0">
                  <v>288.752309546124</v>
                </pt>
                <pt idx="0">
                  <v>247.81632228024</v>
                </pt>
                <pt idx="0">
                  <v>213.79726573541</v>
                </pt>
                <pt idx="0">
                  <v>254.786391157525</v>
                </pt>
                <pt idx="0">
                  <v>256.734755507951</v>
                </pt>
                <pt idx="0">
                  <v>221.943896011078</v>
                </pt>
                <pt idx="0">
                  <v>231.003738624008</v>
                </pt>
                <pt idx="0">
                  <v>207.329326600831</v>
                </pt>
                <pt idx="0">
                  <v>174.464527756677</v>
                </pt>
                <pt idx="0">
                  <v>258.95836870876</v>
                </pt>
                <pt idx="0">
                  <v>168.178024040395</v>
                </pt>
                <pt idx="0">
                  <v>152.745177770827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359"/>
          <min val="145"/>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35.xml.rels><?xml version="1.0" encoding="utf-8" standalone="yes" ?>
<Relationships xmlns="http://schemas.openxmlformats.org/package/2006/relationships">
<Relationship Id="rId97" Type="http://schemas.openxmlformats.org/officeDocument/2006/relationships/chart" Target="/xl/charts/chart92.xml" />
</Relationships>
</file>

<file path=xl/drawings/_rels/drawing64.xml.rels><?xml version="1.0" encoding="utf-8" standalone="yes" ?>
<Relationships xmlns="http://schemas.openxmlformats.org/package/2006/relationships">
<Relationship Id="rId101" Type="http://schemas.openxmlformats.org/officeDocument/2006/relationships/chart" Target="/xl/charts/chart96.xml" />
</Relationships>
</file>

<file path=xl/drawings/_rels/drawing65.xml.rels><?xml version="1.0" encoding="utf-8" standalone="yes" ?>
<Relationships xmlns="http://schemas.openxmlformats.org/package/2006/relationships">
<Relationship Id="rId98" Type="http://schemas.openxmlformats.org/officeDocument/2006/relationships/chart" Target="/xl/charts/chart93.xml" />
</Relationships>
</file>

<file path=xl/drawings/_rels/drawing68.xml.rels><?xml version="1.0" encoding="utf-8" standalone="yes" ?>
<Relationships xmlns="http://schemas.openxmlformats.org/package/2006/relationships">
<Relationship Id="rId102" Type="http://schemas.openxmlformats.org/officeDocument/2006/relationships/chart" Target="/xl/charts/chart97.xml" />
</Relationships>
</file>

<file path=xl/drawings/_rels/drawing72.xml.rels><?xml version="1.0" encoding="utf-8" standalone="yes" ?>
<Relationships xmlns="http://schemas.openxmlformats.org/package/2006/relationships">
<Relationship Id="rId99" Type="http://schemas.openxmlformats.org/officeDocument/2006/relationships/chart" Target="/xl/charts/chart94.xml" />
</Relationships>
</file>

<file path=xl/drawings/_rels/drawing75.xml.rels><?xml version="1.0" encoding="utf-8" standalone="yes" ?>
<Relationships xmlns="http://schemas.openxmlformats.org/package/2006/relationships">
<Relationship Id="rId103" Type="http://schemas.openxmlformats.org/officeDocument/2006/relationships/chart" Target="/xl/charts/chart98.xml" />
</Relationships>
</file>

<file path=xl/drawings/_rels/drawing79.xml.rels><?xml version="1.0" encoding="utf-8" standalone="yes" ?>
<Relationships xmlns="http://schemas.openxmlformats.org/package/2006/relationships">
<Relationship Id="rId100" Type="http://schemas.openxmlformats.org/officeDocument/2006/relationships/chart" Target="/xl/charts/chart95.xml" />
</Relationships>
</file>

<file path=xl/drawings/_rels/drawing82.xml.rels><?xml version="1.0" encoding="utf-8" standalone="yes" ?>
<Relationships xmlns="http://schemas.openxmlformats.org/package/2006/relationships">
<Relationship Id="rId104" Type="http://schemas.openxmlformats.org/officeDocument/2006/relationships/chart" Target="/xl/charts/chart99.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7"/>
        </a:graphicData>
      </a:graphic>
    </xdr:graphicFrame>
    <xdr:clientData/>
  </xdr:oneCellAnchor>
</xdr:wsDr>
</file>

<file path=xl/drawings/drawing3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7.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6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1"/>
        </a:graphicData>
      </a:graphic>
    </xdr:graphicFrame>
    <xdr:clientData/>
  </xdr:oneCellAnchor>
</xdr:wsDr>
</file>

<file path=xl/drawings/drawing6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8"/>
        </a:graphicData>
      </a:graphic>
    </xdr:graphicFrame>
    <xdr:clientData/>
  </xdr:oneCellAnchor>
</xdr:wsDr>
</file>

<file path=xl/drawings/drawing6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2"/>
        </a:graphicData>
      </a:graphic>
    </xdr:graphicFrame>
    <xdr:clientData/>
  </xdr:oneCellAnchor>
</xdr:wsDr>
</file>

<file path=xl/drawings/drawing7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99"/>
        </a:graphicData>
      </a:graphic>
    </xdr:graphicFrame>
    <xdr:clientData/>
  </xdr:oneCellAnchor>
</xdr:wsDr>
</file>

<file path=xl/drawings/drawing7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3"/>
        </a:graphicData>
      </a:graphic>
    </xdr:graphicFrame>
    <xdr:clientData/>
  </xdr:oneCellAnchor>
</xdr:wsDr>
</file>

<file path=xl/drawings/drawing7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79.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0"/>
        </a:graphicData>
      </a:graphic>
    </xdr:graphicFrame>
    <xdr:clientData/>
  </xdr:oneCellAnchor>
</xdr:wsDr>
</file>

<file path=xl/drawings/drawing8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104"/>
        </a:graphicData>
      </a:graphic>
    </xdr:graphicFrame>
    <xdr:clientData/>
  </xdr:oneCellAnchor>
</xdr:wsDr>
</file>

<file path=xl/drawings/drawing85.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8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9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105" Type="http://schemas.openxmlformats.org/officeDocument/2006/relationships/hyperlink" Target="http://www.strglobal.com/" TargetMode="External" />
<Relationship Id="rId106"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70" Type="http://schemas.openxmlformats.org/officeDocument/2006/relationships/drawing" Target="../drawings/drawing65.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77" Type="http://schemas.openxmlformats.org/officeDocument/2006/relationships/drawing" Target="../drawings/drawing7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84" Type="http://schemas.openxmlformats.org/officeDocument/2006/relationships/drawing" Target="../drawings/drawing79.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107" Type="http://schemas.openxmlformats.org/officeDocument/2006/relationships/hyperlink" Target="http://www.str.com/data-insights/resources/glossary" TargetMode="External" />
<Relationship Id="rId108" Type="http://schemas.openxmlformats.org/officeDocument/2006/relationships/hyperlink" Target="http://www.hotelnewsnow.com/" TargetMode="External" />
<Relationship Id="rId109" Type="http://schemas.openxmlformats.org/officeDocument/2006/relationships/hyperlink" Target="http://www.hoteldataconference.com/" TargetMode="External" />
<Relationship Id="rId110" Type="http://schemas.openxmlformats.org/officeDocument/2006/relationships/hyperlink" Target="http://www.str.com/data-insights/resources/FAQ" TargetMode="External" />
<Relationship Id="rId111"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1.xml.rels><?xml version="1.0" encoding="utf-8" standalone="yes" ?>
<Relationships xmlns="http://schemas.openxmlformats.org/package/2006/relationships">
<Relationship Id="rId1" Type="http://schemas.openxmlformats.org/officeDocument/2006/relationships/printerSettings" Target="../printerSettings/printerSettings22.bin" />
<Relationship Id="rId22" Type="http://schemas.openxmlformats.org/officeDocument/2006/relationships/drawing" Target="../drawings/drawing23.xml" />
</Relationships>
</file>

<file path=xl/worksheets/_rels/sheet25.xml.rels><?xml version="1.0" encoding="utf-8" standalone="yes" ?>
<Relationships xmlns="http://schemas.openxmlformats.org/package/2006/relationships">
<Relationship Id="rId1" Type="http://schemas.openxmlformats.org/officeDocument/2006/relationships/printerSettings" Target="../printerSettings/printerSettings26.bin" />
<Relationship Id="rId29" Type="http://schemas.openxmlformats.org/officeDocument/2006/relationships/drawing" Target="../drawings/drawing27.xml" />
</Relationships>
</file>

<file path=xl/worksheets/_rels/sheet29.xml.rels><?xml version="1.0" encoding="utf-8" standalone="yes" ?>
<Relationships xmlns="http://schemas.openxmlformats.org/package/2006/relationships">
<Relationship Id="rId1" Type="http://schemas.openxmlformats.org/officeDocument/2006/relationships/printerSettings" Target="../printerSettings/printerSettings30.bin" />
<Relationship Id="rId33" Type="http://schemas.openxmlformats.org/officeDocument/2006/relationships/drawing" Target="../drawings/drawing31.xml" />
</Relationships>
</file>

<file path=xl/worksheets/_rels/sheet33.xml.rels><?xml version="1.0" encoding="utf-8" standalone="yes" ?>
<Relationships xmlns="http://schemas.openxmlformats.org/package/2006/relationships">
<Relationship Id="rId1" Type="http://schemas.openxmlformats.org/officeDocument/2006/relationships/printerSettings" Target="../printerSettings/printerSettings34.bin" />
<Relationship Id="rId37" Type="http://schemas.openxmlformats.org/officeDocument/2006/relationships/drawing" Target="../drawings/drawing35.xml" />
</Relationships>
</file>

<file path=xl/worksheets/_rels/sheet37.xml.rels><?xml version="1.0" encoding="utf-8" standalone="yes" ?>
<Relationships xmlns="http://schemas.openxmlformats.org/package/2006/relationships">
<Relationship Id="rId1" Type="http://schemas.openxmlformats.org/officeDocument/2006/relationships/printerSettings" Target="../printerSettings/printerSettings38.bin" />
<Relationship Id="rId41" Type="http://schemas.openxmlformats.org/officeDocument/2006/relationships/drawing" Target="../drawings/drawing39.xml" />
</Relationships>
</file>

<file path=xl/worksheets/_rels/sheet41.xml.rels><?xml version="1.0" encoding="utf-8" standalone="yes" ?>
<Relationships xmlns="http://schemas.openxmlformats.org/package/2006/relationships">
<Relationship Id="rId1" Type="http://schemas.openxmlformats.org/officeDocument/2006/relationships/printerSettings" Target="../printerSettings/printerSettings42.bin" />
<Relationship Id="rId45" Type="http://schemas.openxmlformats.org/officeDocument/2006/relationships/drawing" Target="../drawings/drawing43.xml" />
</Relationships>
</file>

<file path=xl/worksheets/_rels/sheet45.xml.rels><?xml version="1.0" encoding="utf-8" standalone="yes" ?>
<Relationships xmlns="http://schemas.openxmlformats.org/package/2006/relationships">
<Relationship Id="rId1" Type="http://schemas.openxmlformats.org/officeDocument/2006/relationships/printerSettings" Target="../printerSettings/printerSettings46.bin" />
<Relationship Id="rId49" Type="http://schemas.openxmlformats.org/officeDocument/2006/relationships/drawing" Target="../drawings/drawing47.xml" />
</Relationships>
</file>

<file path=xl/worksheets/_rels/sheet49.xml.rels><?xml version="1.0" encoding="utf-8" standalone="yes" ?>
<Relationships xmlns="http://schemas.openxmlformats.org/package/2006/relationships">
<Relationship Id="rId1" Type="http://schemas.openxmlformats.org/officeDocument/2006/relationships/printerSettings" Target="../printerSettings/printerSettings50.bin" />
<Relationship Id="rId53" Type="http://schemas.openxmlformats.org/officeDocument/2006/relationships/drawing" Target="../drawings/drawing51.xml" />
</Relationships>
</file>

<file path=xl/worksheets/_rels/sheet53.xml.rels><?xml version="1.0" encoding="utf-8" standalone="yes" ?>
<Relationships xmlns="http://schemas.openxmlformats.org/package/2006/relationships">
<Relationship Id="rId1" Type="http://schemas.openxmlformats.org/officeDocument/2006/relationships/printerSettings" Target="../printerSettings/printerSettings54.bin" />
<Relationship Id="rId57" Type="http://schemas.openxmlformats.org/officeDocument/2006/relationships/drawing" Target="../drawings/drawing55.xml" />
</Relationships>
</file>

<file path=xl/worksheets/_rels/sheet56.xml.rels><?xml version="1.0" encoding="utf-8" standalone="yes" ?>
<Relationships xmlns="http://schemas.openxmlformats.org/package/2006/relationships">
<Relationship Id="rId1" Type="http://schemas.openxmlformats.org/officeDocument/2006/relationships/printerSettings" Target="../printerSettings/printerSettings57.bin" />
<Relationship Id="rId29" Type="http://schemas.openxmlformats.org/officeDocument/2006/relationships/drawing" Target="../drawings/drawing58.xml" />
</Relationships>
</file>

<file path=xl/worksheets/_rels/sheet59.xml.rels><?xml version="1.0" encoding="utf-8" standalone="yes" ?>
<Relationships xmlns="http://schemas.openxmlformats.org/package/2006/relationships">
<Relationship Id="rId1" Type="http://schemas.openxmlformats.org/officeDocument/2006/relationships/printerSettings" Target="../printerSettings/printerSettings60.bin" />
<Relationship Id="rId33" Type="http://schemas.openxmlformats.org/officeDocument/2006/relationships/drawing" Target="../drawings/drawing61.xml" />
</Relationships>
</file>

<file path=xl/worksheets/_rels/sheet62.xml.rels><?xml version="1.0" encoding="utf-8" standalone="yes" ?>
<Relationships xmlns="http://schemas.openxmlformats.org/package/2006/relationships">
<Relationship Id="rId1" Type="http://schemas.openxmlformats.org/officeDocument/2006/relationships/printerSettings" Target="../printerSettings/printerSettings63.bin" />
<Relationship Id="rId37" Type="http://schemas.openxmlformats.org/officeDocument/2006/relationships/drawing" Target="../drawings/drawing64.xml" />
</Relationships>
</file>

<file path=xl/worksheets/_rels/sheet66.xml.rels><?xml version="1.0" encoding="utf-8" standalone="yes" ?>
<Relationships xmlns="http://schemas.openxmlformats.org/package/2006/relationships">
<Relationship Id="rId1" Type="http://schemas.openxmlformats.org/officeDocument/2006/relationships/printerSettings" Target="../printerSettings/printerSettings67.bin" />
<Relationship Id="rId70" Type="http://schemas.openxmlformats.org/officeDocument/2006/relationships/drawing" Target="../drawings/drawing68.xml" />
</Relationships>
</file>

<file path=xl/worksheets/_rels/sheet69.xml.rels><?xml version="1.0" encoding="utf-8" standalone="yes" ?>
<Relationships xmlns="http://schemas.openxmlformats.org/package/2006/relationships">
<Relationship Id="rId1" Type="http://schemas.openxmlformats.org/officeDocument/2006/relationships/printerSettings" Target="../printerSettings/printerSettings70.bin" />
<Relationship Id="rId41" Type="http://schemas.openxmlformats.org/officeDocument/2006/relationships/drawing" Target="../drawings/drawing71.xml" />
</Relationships>
</file>

<file path=xl/worksheets/_rels/sheet73.xml.rels><?xml version="1.0" encoding="utf-8" standalone="yes" ?>
<Relationships xmlns="http://schemas.openxmlformats.org/package/2006/relationships">
<Relationship Id="rId1" Type="http://schemas.openxmlformats.org/officeDocument/2006/relationships/printerSettings" Target="../printerSettings/printerSettings74.bin" />
<Relationship Id="rId77" Type="http://schemas.openxmlformats.org/officeDocument/2006/relationships/drawing" Target="../drawings/drawing75.xml" />
</Relationships>
</file>

<file path=xl/worksheets/_rels/sheet76.xml.rels><?xml version="1.0" encoding="utf-8" standalone="yes" ?>
<Relationships xmlns="http://schemas.openxmlformats.org/package/2006/relationships">
<Relationship Id="rId1" Type="http://schemas.openxmlformats.org/officeDocument/2006/relationships/printerSettings" Target="../printerSettings/printerSettings77.bin" />
<Relationship Id="rId45" Type="http://schemas.openxmlformats.org/officeDocument/2006/relationships/drawing" Target="../drawings/drawing78.xml" />
</Relationships>
</file>

<file path=xl/worksheets/_rels/sheet80.xml.rels><?xml version="1.0" encoding="utf-8" standalone="yes" ?>
<Relationships xmlns="http://schemas.openxmlformats.org/package/2006/relationships">
<Relationship Id="rId1" Type="http://schemas.openxmlformats.org/officeDocument/2006/relationships/printerSettings" Target="../printerSettings/printerSettings81.bin" />
<Relationship Id="rId84" Type="http://schemas.openxmlformats.org/officeDocument/2006/relationships/drawing" Target="../drawings/drawing82.xml" />
</Relationships>
</file>

<file path=xl/worksheets/_rels/sheet83.xml.rels><?xml version="1.0" encoding="utf-8" standalone="yes" ?>
<Relationships xmlns="http://schemas.openxmlformats.org/package/2006/relationships">
<Relationship Id="rId1" Type="http://schemas.openxmlformats.org/officeDocument/2006/relationships/printerSettings" Target="../printerSettings/printerSettings84.bin" />
<Relationship Id="rId49" Type="http://schemas.openxmlformats.org/officeDocument/2006/relationships/drawing" Target="../drawings/drawing85.xml" />
</Relationships>
</file>

<file path=xl/worksheets/_rels/sheet86.xml.rels><?xml version="1.0" encoding="utf-8" standalone="yes" ?>
<Relationships xmlns="http://schemas.openxmlformats.org/package/2006/relationships">
<Relationship Id="rId1" Type="http://schemas.openxmlformats.org/officeDocument/2006/relationships/printerSettings" Target="../printerSettings/printerSettings87.bin" />
<Relationship Id="rId53" Type="http://schemas.openxmlformats.org/officeDocument/2006/relationships/drawing" Target="../drawings/drawing88.xml" />
</Relationships>
</file>

<file path=xl/worksheets/_rels/sheet89.xml.rels><?xml version="1.0" encoding="utf-8" standalone="yes" ?>
<Relationships xmlns="http://schemas.openxmlformats.org/package/2006/relationships">
<Relationship Id="rId1" Type="http://schemas.openxmlformats.org/officeDocument/2006/relationships/printerSettings" Target="../printerSettings/printerSettings90.bin" />
<Relationship Id="rId57" Type="http://schemas.openxmlformats.org/officeDocument/2006/relationships/drawing" Target="../drawings/drawing91.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164</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163</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165</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166</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t="str">
        <f>HYPERLINK("#'Response'!A1", "Response Report")</f>
      </c>
      <c r="F7" s="421" t="str">
        <f>HYPERLINK("#'Response'!A1", "14")</f>
      </c>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HYPERLINK("#'SummaryComb'!A1", "Combined Summary")</f>
      </c>
      <c r="C8" s="421" t="str">
        <f>HYPERLINK("#'SummaryComb'!A1", "2")</f>
      </c>
      <c r="D8" s="430"/>
      <c r="E8" s="430" t="str">
        <f>HYPERLINK("#'Glance_2'!A1", "Weekly Performance at a Glance - 2nd Comp")</f>
      </c>
      <c r="F8" s="421" t="str">
        <f>HYPERLINK("#'Glance_2'!A1", "15")</f>
      </c>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HYPERLINK("#'SummaryComb 28Day'!A1", "28 Day Combined Summary")</f>
      </c>
      <c r="C9" s="421" t="str">
        <f>HYPERLINK("#'SummaryComb 28Day'!A1", "3")</f>
      </c>
      <c r="D9" s="430"/>
      <c r="E9" s="430" t="str">
        <f>HYPERLINK("#'Segmentation Glance_2'!A1", "Segmentation at a Glance - 2nd Comp")</f>
      </c>
      <c r="F9" s="421" t="str">
        <f>HYPERLINK("#'Segmentation Glance_2'!A1", "16")</f>
      </c>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HYPERLINK("#'Glance'!A1", "Weekly Performance at a Glance")</f>
      </c>
      <c r="C10" s="421" t="str">
        <f>HYPERLINK("#'Glance'!A1", "4")</f>
      </c>
      <c r="D10" s="430"/>
      <c r="E10" s="430" t="str">
        <f>HYPERLINK("#'Daily by Month_2'!A1", "Daily Data for the Month - 2nd Comp")</f>
      </c>
      <c r="F10" s="421" t="str">
        <f>HYPERLINK("#'Daily by Month_2'!A1", "17")</f>
      </c>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HYPERLINK("#'Segmentation Glance'!A1", "Segmentation at a Glance")</f>
      </c>
      <c r="C11" s="421" t="str">
        <f>HYPERLINK("#'Segmentation Glance'!A1", "5")</f>
      </c>
      <c r="D11" s="430"/>
      <c r="E11" s="430" t="str">
        <f>HYPERLINK("#'Occ_2'!A1", "Occupancy Perspectives - 2nd Comp")</f>
      </c>
      <c r="F11" s="421" t="str">
        <f>HYPERLINK("#'Occ_2'!A1", "18")</f>
      </c>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HYPERLINK("#'Daily by Month'!A1", "Daily Data for the Month")</f>
      </c>
      <c r="C12" s="421" t="str">
        <f>HYPERLINK("#'Daily by Month'!A1", "6")</f>
      </c>
      <c r="D12" s="430"/>
      <c r="E12" s="430" t="str">
        <f>HYPERLINK("#'Segmentation Occ_2'!A1", "Segmentation Occupancy Analysis - 2nd Comp")</f>
      </c>
      <c r="F12" s="421" t="str">
        <f>HYPERLINK("#'Segmentation Occ_2'!A1", "19")</f>
      </c>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HYPERLINK("#'Occ'!A1", "Occupancy Perspectives")</f>
      </c>
      <c r="C13" s="421" t="str">
        <f>HYPERLINK("#'Occ'!A1", "7")</f>
      </c>
      <c r="D13" s="430"/>
      <c r="E13" s="430" t="str">
        <f>HYPERLINK("#'ADR_2'!A1", "ADR Perspectives - 2nd Comp")</f>
      </c>
      <c r="F13" s="421" t="str">
        <f>HYPERLINK("#'ADR_2'!A1", "20")</f>
      </c>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Occ'!A1", "Segmentation Occupancy Analysis")</f>
      </c>
      <c r="C14" s="421" t="str">
        <f>HYPERLINK("#'Segmentation Occ'!A1", "8")</f>
      </c>
      <c r="D14" s="430"/>
      <c r="E14" s="430" t="str">
        <f>HYPERLINK("#'Segmentation ADR_2'!A1", "Segmentation ADR Analysis - 2nd Comp")</f>
      </c>
      <c r="F14" s="421" t="str">
        <f>HYPERLINK("#'Segmentation ADR_2'!A1", "21")</f>
      </c>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HYPERLINK("#'ADR'!A1", "ADR Perspectives")</f>
      </c>
      <c r="C15" s="421" t="str">
        <f>HYPERLINK("#'ADR'!A1", "9")</f>
      </c>
      <c r="D15" s="430"/>
      <c r="E15" s="430" t="str">
        <f>HYPERLINK("#'RevPAR_2'!A1", "RevPAR Perspectives - 2nd Comp")</f>
      </c>
      <c r="F15" s="421" t="str">
        <f>HYPERLINK("#'RevPAR_2'!A1", "22")</f>
      </c>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ADR'!A1", "Segmentation ADR Analysis")</f>
      </c>
      <c r="C16" s="421" t="str">
        <f>HYPERLINK("#'Segmentation ADR'!A1", "10")</f>
      </c>
      <c r="D16" s="430"/>
      <c r="E16" s="430" t="str">
        <f>HYPERLINK("#'Segmentation RevPAR_2'!A1", "Segmentation RevPAR Analysis - 2nd Comp")</f>
      </c>
      <c r="F16" s="421" t="str">
        <f>HYPERLINK("#'Segmentation RevPAR_2'!A1", "23")</f>
      </c>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HYPERLINK("#'RevPAR'!A1", "RevPAR Perspectives")</f>
      </c>
      <c r="C17" s="421" t="str">
        <f>HYPERLINK("#'RevPAR'!A1", "11")</f>
      </c>
      <c r="D17" s="430"/>
      <c r="E17" s="430" t="str">
        <f>HYPERLINK("#'Additional Revenue_2'!A1", "Additional Revenue - 2nd Comp")</f>
      </c>
      <c r="F17" s="421" t="str">
        <f>HYPERLINK("#'Additional Revenue_2'!A1", "24")</f>
      </c>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HYPERLINK("#'Segmentation RevPAR'!A1", "Segmentation RevPAR Analysis")</f>
      </c>
      <c r="C18" s="421" t="str">
        <f>HYPERLINK("#'Segmentation RevPAR'!A1", "12")</f>
      </c>
      <c r="D18" s="430"/>
      <c r="E18" s="430" t="str">
        <f>HYPERLINK("#'Response_2'!A1", "Response Report - 2nd Comp")</f>
      </c>
      <c r="F18" s="421" t="str">
        <f>HYPERLINK("#'Response_2'!A1", "25")</f>
      </c>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HYPERLINK("#'Additional Revenue'!A1", "Additional Revenue")</f>
      </c>
      <c r="C19" s="421" t="str">
        <f>HYPERLINK("#'Additional Revenue'!A1", "13")</f>
      </c>
      <c r="D19" s="430"/>
      <c r="E19" s="430" t="str">
        <f>HYPERLINK("#'Help'!A1", "Help")</f>
      </c>
      <c r="F19" s="421" t="str">
        <f>HYPERLINK("#'Help'!A1", "26")</f>
      </c>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105" display="www.strglobal.com"/>
    <hyperlink ref="M8" r:id="rId106"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125</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177</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178</v>
      </c>
      <c r="R4" s="618" t="s">
        <v>180</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182</v>
      </c>
      <c r="D24" s="276"/>
      <c r="E24" s="276"/>
      <c r="F24" s="276"/>
      <c r="G24" s="276"/>
      <c r="H24" s="276"/>
      <c r="I24" s="276"/>
      <c r="J24" s="276"/>
      <c r="K24" s="276"/>
      <c r="L24" s="276"/>
      <c r="M24" s="276"/>
      <c r="N24" s="658" t="s">
        <v>179</v>
      </c>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20</v>
      </c>
      <c r="D25" s="42">
        <v>21</v>
      </c>
      <c r="E25" s="42">
        <v>22</v>
      </c>
      <c r="F25" s="42">
        <v>23</v>
      </c>
      <c r="G25" s="42">
        <v>24</v>
      </c>
      <c r="H25" s="42">
        <v>25</v>
      </c>
      <c r="I25" s="42">
        <v>26</v>
      </c>
      <c r="J25" s="42">
        <v>27</v>
      </c>
      <c r="K25" s="42">
        <v>28</v>
      </c>
      <c r="L25" s="42">
        <v>29</v>
      </c>
      <c r="M25" s="42">
        <v>30</v>
      </c>
      <c r="N25" s="659">
        <v>1</v>
      </c>
      <c r="O25" s="42">
        <v>2</v>
      </c>
      <c r="P25" s="42">
        <v>3</v>
      </c>
      <c r="Q25" s="42">
        <v>4</v>
      </c>
      <c r="R25" s="42">
        <v>5</v>
      </c>
      <c r="S25" s="42">
        <v>6</v>
      </c>
      <c r="T25" s="42">
        <v>7</v>
      </c>
      <c r="U25" s="42">
        <v>8</v>
      </c>
      <c r="V25" s="42">
        <v>9</v>
      </c>
      <c r="W25" s="42">
        <v>10</v>
      </c>
      <c r="X25" s="323">
        <v>11</v>
      </c>
      <c r="Y25" s="42">
        <v>12</v>
      </c>
      <c r="Z25" s="42">
        <v>13</v>
      </c>
      <c r="AA25" s="42">
        <v>14</v>
      </c>
      <c r="AB25" s="42">
        <v>15</v>
      </c>
      <c r="AC25" s="42">
        <v>16</v>
      </c>
      <c r="AD25" s="337">
        <v>17</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92.42424242424242424242424242</v>
      </c>
      <c r="D26" s="445">
        <v>86.36363636363636363636363636</v>
      </c>
      <c r="E26" s="445">
        <v>89.39393939393939393939393939</v>
      </c>
      <c r="F26" s="445">
        <v>91.66666666666666666666666667</v>
      </c>
      <c r="G26" s="445">
        <v>85.60606060606060606060606061</v>
      </c>
      <c r="H26" s="445">
        <v>83.33333333333333333333333333</v>
      </c>
      <c r="I26" s="445">
        <v>87.87878787878787878787878788</v>
      </c>
      <c r="J26" s="445">
        <v>81.81818181818181818181818182</v>
      </c>
      <c r="K26" s="445">
        <v>93.93939393939393939393939394</v>
      </c>
      <c r="L26" s="445">
        <v>96.96969696969696969696969697</v>
      </c>
      <c r="M26" s="445">
        <v>95.45454545454545454545454545</v>
      </c>
      <c r="N26" s="660">
        <v>93.93939393939393939393939394</v>
      </c>
      <c r="O26" s="445">
        <v>96.96969696969696969696969697</v>
      </c>
      <c r="P26" s="445">
        <v>99.24242424242424242424242424</v>
      </c>
      <c r="Q26" s="445">
        <v>97.72727272727272727272727273</v>
      </c>
      <c r="R26" s="445">
        <v>64.393939393939393939393939390</v>
      </c>
      <c r="S26" s="445">
        <v>51.515151515151515151515151520</v>
      </c>
      <c r="T26" s="445">
        <v>82.57575757575757575757575758</v>
      </c>
      <c r="U26" s="445">
        <v>85.60606060606060606060606061</v>
      </c>
      <c r="V26" s="445">
        <v>79.54545454545454545454545455</v>
      </c>
      <c r="W26" s="445">
        <v>85.60606060606060606060606061</v>
      </c>
      <c r="X26" s="446">
        <v>58.333333333333333333333333330</v>
      </c>
      <c r="Y26" s="445">
        <v>63.636363636363636363636363640</v>
      </c>
      <c r="Z26" s="445">
        <v>69.696969696969696969696969700</v>
      </c>
      <c r="AA26" s="445">
        <v>71.212121212121212121212121210</v>
      </c>
      <c r="AB26" s="445">
        <v>81.06060606060606060606060606</v>
      </c>
      <c r="AC26" s="445">
        <v>86.36363636363636363636363636</v>
      </c>
      <c r="AD26" s="447">
        <v>96.21212121212121212121212121</v>
      </c>
      <c r="AE26" s="448"/>
      <c r="AF26" s="444">
        <v>75.216450216450216450216450220</v>
      </c>
      <c r="AG26" s="445">
        <v>83.87445887445887445887445887</v>
      </c>
      <c r="AH26" s="449">
        <v>80.21390374331550802139037433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81.10465116279069767441860465</v>
      </c>
      <c r="D27" s="81">
        <v>74.709302325581395348837209300</v>
      </c>
      <c r="E27" s="81">
        <v>74.127906976744186046511627910</v>
      </c>
      <c r="F27" s="81">
        <v>76.453488372093023255813953490</v>
      </c>
      <c r="G27" s="81">
        <v>86.33720930232558139534883721</v>
      </c>
      <c r="H27" s="81">
        <v>93.89534883720930232558139535</v>
      </c>
      <c r="I27" s="81">
        <v>97.09302325581395348837209302</v>
      </c>
      <c r="J27" s="81">
        <v>90.40697674418604651162790698</v>
      </c>
      <c r="K27" s="81">
        <v>97.09302325581395348837209302</v>
      </c>
      <c r="L27" s="81">
        <v>97.09302325581395348837209302</v>
      </c>
      <c r="M27" s="81">
        <v>93.89534883720930232558139535</v>
      </c>
      <c r="N27" s="661">
        <v>88.37209302325581395348837209</v>
      </c>
      <c r="O27" s="81">
        <v>97.09302325581395348837209302</v>
      </c>
      <c r="P27" s="81">
        <v>99.12790697674418604651162791</v>
      </c>
      <c r="Q27" s="81">
        <v>68.313953488372093023255813950</v>
      </c>
      <c r="R27" s="81">
        <v>65.697674418604651162790697670</v>
      </c>
      <c r="S27" s="81">
        <v>71.220930232558139534883720930</v>
      </c>
      <c r="T27" s="81">
        <v>82.55813953488372093023255814</v>
      </c>
      <c r="U27" s="81">
        <v>79.94186046511627906976744186</v>
      </c>
      <c r="V27" s="81">
        <v>74.418604651162790697674418600</v>
      </c>
      <c r="W27" s="81">
        <v>72.093023255813953488372093020</v>
      </c>
      <c r="X27" s="82">
        <v>57.267441860465116279069767440</v>
      </c>
      <c r="Y27" s="81">
        <v>51.453488372093023255813953490</v>
      </c>
      <c r="Z27" s="81">
        <v>55.232558139534883720930232560</v>
      </c>
      <c r="AA27" s="81">
        <v>62.500</v>
      </c>
      <c r="AB27" s="81">
        <v>71.802325581395348837209302330</v>
      </c>
      <c r="AC27" s="81">
        <v>79.65116279069767441860465116</v>
      </c>
      <c r="AD27" s="83">
        <v>90.11627906976744186046511628</v>
      </c>
      <c r="AE27" s="88"/>
      <c r="AF27" s="327">
        <v>66.860465116279069767441860470</v>
      </c>
      <c r="AG27" s="81">
        <v>79.60963455149501661129568106</v>
      </c>
      <c r="AH27" s="328">
        <v>74.521203830369357045143638850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181</v>
      </c>
      <c r="C28" s="450">
        <v>66.072359503701386716713585650</v>
      </c>
      <c r="D28" s="451">
        <v>65.227817745803357314148681060</v>
      </c>
      <c r="E28" s="451">
        <v>71.316859555833593994369721610</v>
      </c>
      <c r="F28" s="451">
        <v>76.384110103221770409759149200</v>
      </c>
      <c r="G28" s="451">
        <v>77.927223438640392034198727970</v>
      </c>
      <c r="H28" s="451">
        <v>85.49681993535606297570639141</v>
      </c>
      <c r="I28" s="451">
        <v>89.66739651756855385257011782</v>
      </c>
      <c r="J28" s="451">
        <v>82.72338650818475654259201335</v>
      </c>
      <c r="K28" s="451">
        <v>88.36409133562715045355020332</v>
      </c>
      <c r="L28" s="451">
        <v>91.24178917735376915858617454</v>
      </c>
      <c r="M28" s="451">
        <v>90.49108539255552080075070378</v>
      </c>
      <c r="N28" s="662">
        <v>85.91387759357731206339276405</v>
      </c>
      <c r="O28" s="451">
        <v>93.47304764883745177770826817</v>
      </c>
      <c r="P28" s="451">
        <v>95.18298404754457303722239600</v>
      </c>
      <c r="Q28" s="451">
        <v>80.62767177562297987696799082</v>
      </c>
      <c r="R28" s="451">
        <v>68.720675633406318423522051920</v>
      </c>
      <c r="S28" s="451">
        <v>66.760504639766447711396100510</v>
      </c>
      <c r="T28" s="451">
        <v>70.743405275779376498800959230</v>
      </c>
      <c r="U28" s="451">
        <v>77.791679699718486080700656870</v>
      </c>
      <c r="V28" s="451">
        <v>77.885517672818267125430090710</v>
      </c>
      <c r="W28" s="451">
        <v>76.592638932332394953602335520</v>
      </c>
      <c r="X28" s="452">
        <v>54.186216244395787717651965380</v>
      </c>
      <c r="Y28" s="451">
        <v>61.724533416744864977583150870</v>
      </c>
      <c r="Z28" s="451">
        <v>67.657178604942133249921801690</v>
      </c>
      <c r="AA28" s="451">
        <v>74.997393389636117193201960170</v>
      </c>
      <c r="AB28" s="451">
        <v>77.499739338963611719320196020</v>
      </c>
      <c r="AC28" s="451">
        <v>86.65415493692002919403607549</v>
      </c>
      <c r="AD28" s="453">
        <v>87.11291836096340319049108539</v>
      </c>
      <c r="AE28" s="448"/>
      <c r="AF28" s="450">
        <v>72.833162041795135320315176430</v>
      </c>
      <c r="AG28" s="451">
        <v>78.158467015207709608710547090</v>
      </c>
      <c r="AH28" s="454">
        <v>76.677890424233503222997049930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182</v>
      </c>
      <c r="D31" s="276"/>
      <c r="E31" s="276"/>
      <c r="F31" s="276"/>
      <c r="G31" s="276"/>
      <c r="H31" s="276"/>
      <c r="I31" s="276"/>
      <c r="J31" s="276"/>
      <c r="K31" s="276"/>
      <c r="L31" s="276"/>
      <c r="M31" s="276"/>
      <c r="N31" s="658" t="s">
        <v>179</v>
      </c>
      <c r="O31" s="276"/>
      <c r="P31" s="276"/>
      <c r="Q31" s="276"/>
      <c r="R31" s="276"/>
      <c r="S31" s="277"/>
      <c r="T31" s="277"/>
      <c r="U31" s="277"/>
      <c r="V31" s="277"/>
      <c r="W31" s="277"/>
      <c r="X31" s="312"/>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20</v>
      </c>
      <c r="D32" s="42">
        <v>21</v>
      </c>
      <c r="E32" s="42">
        <v>22</v>
      </c>
      <c r="F32" s="42">
        <v>23</v>
      </c>
      <c r="G32" s="42">
        <v>24</v>
      </c>
      <c r="H32" s="42">
        <v>25</v>
      </c>
      <c r="I32" s="42">
        <v>26</v>
      </c>
      <c r="J32" s="42">
        <v>27</v>
      </c>
      <c r="K32" s="42">
        <v>28</v>
      </c>
      <c r="L32" s="42">
        <v>29</v>
      </c>
      <c r="M32" s="42">
        <v>30</v>
      </c>
      <c r="N32" s="659">
        <v>1</v>
      </c>
      <c r="O32" s="42">
        <v>2</v>
      </c>
      <c r="P32" s="42">
        <v>3</v>
      </c>
      <c r="Q32" s="42">
        <v>4</v>
      </c>
      <c r="R32" s="42">
        <v>5</v>
      </c>
      <c r="S32" s="42">
        <v>6</v>
      </c>
      <c r="T32" s="42">
        <v>7</v>
      </c>
      <c r="U32" s="42">
        <v>8</v>
      </c>
      <c r="V32" s="42">
        <v>9</v>
      </c>
      <c r="W32" s="42">
        <v>10</v>
      </c>
      <c r="X32" s="323">
        <v>11</v>
      </c>
      <c r="Y32" s="42">
        <v>12</v>
      </c>
      <c r="Z32" s="42">
        <v>13</v>
      </c>
      <c r="AA32" s="42">
        <v>14</v>
      </c>
      <c r="AB32" s="42">
        <v>15</v>
      </c>
      <c r="AC32" s="42">
        <v>16</v>
      </c>
      <c r="AD32" s="337">
        <v>17</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16.190476190409795918367384870</v>
      </c>
      <c r="D33" s="445">
        <v>-8.064516129038189386056191090</v>
      </c>
      <c r="E33" s="445">
        <v>-2.4793388430106686701727895100</v>
      </c>
      <c r="F33" s="445">
        <v>7.0796460176498394549299310500</v>
      </c>
      <c r="G33" s="445">
        <v>-13.076923076880284023668617980</v>
      </c>
      <c r="H33" s="445">
        <v>-10.569105691039460638508820710</v>
      </c>
      <c r="I33" s="445">
        <v>-5.6910569105507039460638472900</v>
      </c>
      <c r="J33" s="445">
        <v>-16.279069767465224445646288770</v>
      </c>
      <c r="K33" s="445">
        <v>1.6393442623417360924482880100</v>
      </c>
      <c r="L33" s="445">
        <v>0.7874015748253704507409063800</v>
      </c>
      <c r="M33" s="445">
        <v>1.6129032257998959417273677400</v>
      </c>
      <c r="N33" s="660">
        <v>5.0847457627581729388107069900</v>
      </c>
      <c r="O33" s="445">
        <v>1.5873015873499622071050872800</v>
      </c>
      <c r="P33" s="445">
        <v>3.9682539683034769463341127600</v>
      </c>
      <c r="Q33" s="445">
        <v>8.403361344556034178377236310</v>
      </c>
      <c r="R33" s="445">
        <v>-16.666666666637254901960773940</v>
      </c>
      <c r="S33" s="445">
        <v>-39.285714285725127551020406220</v>
      </c>
      <c r="T33" s="445">
        <v>-6.0344827586336504161712229400</v>
      </c>
      <c r="U33" s="445">
        <v>-2.5862068965651605231866806600</v>
      </c>
      <c r="V33" s="445">
        <v>-17.968750000002563476562499920</v>
      </c>
      <c r="W33" s="445">
        <v>0.892857142839126275510207300</v>
      </c>
      <c r="X33" s="446">
        <v>-16.304347826123345935727772460</v>
      </c>
      <c r="Y33" s="445">
        <v>-20.000000000045714285714259590</v>
      </c>
      <c r="Z33" s="445">
        <v>-15.596330275272721151418208510</v>
      </c>
      <c r="AA33" s="445">
        <v>-13.761467889952562915579473920</v>
      </c>
      <c r="AB33" s="445">
        <v>3.8834951456351022716561411700</v>
      </c>
      <c r="AC33" s="445">
        <v>2.7027027027138056975894825700</v>
      </c>
      <c r="AD33" s="447">
        <v>16.513761467830047975759646950</v>
      </c>
      <c r="AE33" s="448"/>
      <c r="AF33" s="444">
        <v>-5.8265582655474364906250556800</v>
      </c>
      <c r="AG33" s="445">
        <v>-4.732636754735730672740156900</v>
      </c>
      <c r="AH33" s="449">
        <v>-6.6390041494184630085569973100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12.899830024028062427695418940</v>
      </c>
      <c r="D34" s="81">
        <v>3.6529724319011675398264101700</v>
      </c>
      <c r="E34" s="81">
        <v>-3.5416365737732589540849854100</v>
      </c>
      <c r="F34" s="81">
        <v>-4.9435856738944624357039701400</v>
      </c>
      <c r="G34" s="81">
        <v>-0.8896145269093542769488571400</v>
      </c>
      <c r="H34" s="81">
        <v>2.187405617689667613268666100</v>
      </c>
      <c r="I34" s="81">
        <v>1.7049418605177485864825853700</v>
      </c>
      <c r="J34" s="81">
        <v>7.3102641807332088983643332600</v>
      </c>
      <c r="K34" s="81">
        <v>40.282678428214202057351437850</v>
      </c>
      <c r="L34" s="81">
        <v>52.366954098063667312906163680</v>
      </c>
      <c r="M34" s="81">
        <v>41.011294490369094834939365480</v>
      </c>
      <c r="N34" s="661">
        <v>4.0109746538088182209199671400</v>
      </c>
      <c r="O34" s="81">
        <v>5.1213869359040741812158214900</v>
      </c>
      <c r="P34" s="81">
        <v>4.0967243690212299943920695800</v>
      </c>
      <c r="Q34" s="81">
        <v>-16.792015954585760297147575230</v>
      </c>
      <c r="R34" s="81">
        <v>-2.0379872548040889187862216100</v>
      </c>
      <c r="S34" s="81">
        <v>11.349140923259362983384457530</v>
      </c>
      <c r="T34" s="81">
        <v>11.227847154741189486999655010</v>
      </c>
      <c r="U34" s="81">
        <v>3.3816035027903923028475550800</v>
      </c>
      <c r="V34" s="81">
        <v>-10.140071040766014902308712920</v>
      </c>
      <c r="W34" s="81">
        <v>-13.198342689087132374403536500</v>
      </c>
      <c r="X34" s="82">
        <v>-20.546165100838404648459911270</v>
      </c>
      <c r="Y34" s="81">
        <v>-13.763953488345532320930224370</v>
      </c>
      <c r="Z34" s="81">
        <v>-7.4302325581110233953488284200</v>
      </c>
      <c r="AA34" s="81">
        <v>-3.7224264705443440473615716900</v>
      </c>
      <c r="AB34" s="81">
        <v>-7.4302325580990890161001612100</v>
      </c>
      <c r="AC34" s="81">
        <v>-4.9178427085487805284350032800</v>
      </c>
      <c r="AD34" s="83">
        <v>9.763723634376231097379794380</v>
      </c>
      <c r="AE34" s="88"/>
      <c r="AF34" s="327">
        <v>-6.3506474756575051648135546400</v>
      </c>
      <c r="AG34" s="81">
        <v>3.088325889356156307403936800</v>
      </c>
      <c r="AH34" s="328">
        <v>-1.5916694690458736697138670700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181</v>
      </c>
      <c r="C35" s="450">
        <v>-7.3862582862909891404114176300</v>
      </c>
      <c r="D35" s="451">
        <v>-14.289223532983954699120774810</v>
      </c>
      <c r="E35" s="451">
        <v>-10.651726320278289455319152980</v>
      </c>
      <c r="F35" s="451">
        <v>-1.9082612323347831985368956600</v>
      </c>
      <c r="G35" s="451">
        <v>-10.578439681184824789534688870</v>
      </c>
      <c r="H35" s="451">
        <v>-3.4033041519968870730140816200</v>
      </c>
      <c r="I35" s="451">
        <v>6.7820993405364567717993172300</v>
      </c>
      <c r="J35" s="451">
        <v>20.523289264886880503267437580</v>
      </c>
      <c r="K35" s="451">
        <v>26.042658004238101892864731910</v>
      </c>
      <c r="L35" s="451">
        <v>24.764875546201741580703805260</v>
      </c>
      <c r="M35" s="451">
        <v>28.161582479037623434323029550</v>
      </c>
      <c r="N35" s="662">
        <v>6.752853063922516898758833500</v>
      </c>
      <c r="O35" s="451">
        <v>1.5047898024949222668993360300</v>
      </c>
      <c r="P35" s="451">
        <v>4.4609888039548665566495622400</v>
      </c>
      <c r="Q35" s="451">
        <v>-0.1590613249535624750779269100</v>
      </c>
      <c r="R35" s="451">
        <v>-4.796821452065012499889814300</v>
      </c>
      <c r="S35" s="451">
        <v>-14.114106238227832292526017410</v>
      </c>
      <c r="T35" s="451">
        <v>-10.786922436221479292556481790</v>
      </c>
      <c r="U35" s="451">
        <v>-0.3731761620423793254510065500</v>
      </c>
      <c r="V35" s="451">
        <v>-3.9220952512079818961073919700</v>
      </c>
      <c r="W35" s="451">
        <v>-2.3615422787729802208894120800</v>
      </c>
      <c r="X35" s="452">
        <v>-10.891668908090164622788366540</v>
      </c>
      <c r="Y35" s="451">
        <v>-5.6190573550045331098813545200</v>
      </c>
      <c r="Z35" s="451">
        <v>-6.4633529004021841278192796800</v>
      </c>
      <c r="AA35" s="451">
        <v>-1.945763864016141129097586500</v>
      </c>
      <c r="AB35" s="451">
        <v>-0.9227294223823286335516883500</v>
      </c>
      <c r="AC35" s="451">
        <v>2.3500018689074435389265039800</v>
      </c>
      <c r="AD35" s="453">
        <v>6.5646565150914162108366702700</v>
      </c>
      <c r="AE35" s="448"/>
      <c r="AF35" s="450">
        <v>-1.8910619516929490103826109400</v>
      </c>
      <c r="AG35" s="451">
        <v>0.4724250353645159886875358500</v>
      </c>
      <c r="AH35" s="454">
        <v>-1.2306404756621284975052005900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182</v>
      </c>
      <c r="D38" s="276"/>
      <c r="E38" s="276"/>
      <c r="F38" s="276"/>
      <c r="G38" s="276"/>
      <c r="H38" s="276"/>
      <c r="I38" s="276"/>
      <c r="J38" s="276"/>
      <c r="K38" s="276"/>
      <c r="L38" s="276"/>
      <c r="M38" s="276"/>
      <c r="N38" s="658" t="s">
        <v>179</v>
      </c>
      <c r="O38" s="276"/>
      <c r="P38" s="276"/>
      <c r="Q38" s="276"/>
      <c r="R38" s="276"/>
      <c r="S38" s="277"/>
      <c r="T38" s="277"/>
      <c r="U38" s="277"/>
      <c r="V38" s="277"/>
      <c r="W38" s="277"/>
      <c r="X38" s="312"/>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20</v>
      </c>
      <c r="D39" s="42">
        <v>21</v>
      </c>
      <c r="E39" s="42">
        <v>22</v>
      </c>
      <c r="F39" s="42">
        <v>23</v>
      </c>
      <c r="G39" s="42">
        <v>24</v>
      </c>
      <c r="H39" s="42">
        <v>25</v>
      </c>
      <c r="I39" s="42">
        <v>26</v>
      </c>
      <c r="J39" s="42">
        <v>27</v>
      </c>
      <c r="K39" s="42">
        <v>28</v>
      </c>
      <c r="L39" s="42">
        <v>29</v>
      </c>
      <c r="M39" s="42">
        <v>30</v>
      </c>
      <c r="N39" s="659">
        <v>1</v>
      </c>
      <c r="O39" s="42">
        <v>2</v>
      </c>
      <c r="P39" s="42">
        <v>3</v>
      </c>
      <c r="Q39" s="42">
        <v>4</v>
      </c>
      <c r="R39" s="42">
        <v>5</v>
      </c>
      <c r="S39" s="42">
        <v>6</v>
      </c>
      <c r="T39" s="42">
        <v>7</v>
      </c>
      <c r="U39" s="42">
        <v>8</v>
      </c>
      <c r="V39" s="42">
        <v>9</v>
      </c>
      <c r="W39" s="42">
        <v>10</v>
      </c>
      <c r="X39" s="323">
        <v>11</v>
      </c>
      <c r="Y39" s="42">
        <v>12</v>
      </c>
      <c r="Z39" s="42">
        <v>13</v>
      </c>
      <c r="AA39" s="42">
        <v>14</v>
      </c>
      <c r="AB39" s="42">
        <v>15</v>
      </c>
      <c r="AC39" s="42">
        <v>16</v>
      </c>
      <c r="AD39" s="337">
        <v>17</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113.95677202127508000963891968</v>
      </c>
      <c r="D40" s="445">
        <v>115.59957552172572263842685005</v>
      </c>
      <c r="E40" s="445">
        <v>120.59417706483718364731517805</v>
      </c>
      <c r="F40" s="445">
        <v>119.89860583015382420833996062</v>
      </c>
      <c r="G40" s="445">
        <v>99.15314763802550155501895991</v>
      </c>
      <c r="H40" s="445">
        <v>88.75128998968887525679980405</v>
      </c>
      <c r="I40" s="445">
        <v>90.50988931229752927460267459</v>
      </c>
      <c r="J40" s="445">
        <v>90.49985384389132302752716322</v>
      </c>
      <c r="K40" s="445">
        <v>96.75195064418011750043734180</v>
      </c>
      <c r="L40" s="445">
        <v>99.87298131012141161335467541</v>
      </c>
      <c r="M40" s="445">
        <v>101.66056853364362074869795737</v>
      </c>
      <c r="N40" s="660">
        <v>106.29984051031367623604468367</v>
      </c>
      <c r="O40" s="445">
        <v>99.87298131012141161335467541</v>
      </c>
      <c r="P40" s="445">
        <v>100.11552474900046027478370090</v>
      </c>
      <c r="Q40" s="445">
        <v>143.05609284326844594427756616</v>
      </c>
      <c r="R40" s="445">
        <v>98.01555376777309630093716602</v>
      </c>
      <c r="S40" s="445">
        <v>72.331478045721246854214809240</v>
      </c>
      <c r="T40" s="445">
        <v>100.02134016216551008998936387</v>
      </c>
      <c r="U40" s="445">
        <v>107.08539944905761915351866210</v>
      </c>
      <c r="V40" s="445">
        <v>106.88920454540110085227275400</v>
      </c>
      <c r="W40" s="445">
        <v>118.74389051810704915965062092</v>
      </c>
      <c r="X40" s="446">
        <v>101.86125211499717419498917261</v>
      </c>
      <c r="Y40" s="445">
        <v>123.67745249099504322164477520</v>
      </c>
      <c r="Z40" s="445">
        <v>126.18819776722483337530433977</v>
      </c>
      <c r="AA40" s="445">
        <v>113.93939393939393939393939394</v>
      </c>
      <c r="AB40" s="445">
        <v>112.89412342043189693323935860</v>
      </c>
      <c r="AC40" s="445">
        <v>108.42733908427022508100882024</v>
      </c>
      <c r="AD40" s="447">
        <v>106.76441837728303017689907741</v>
      </c>
      <c r="AE40" s="448"/>
      <c r="AF40" s="444">
        <v>112.49764728022075925334905644</v>
      </c>
      <c r="AG40" s="445">
        <v>105.35717108486402025896688225</v>
      </c>
      <c r="AH40" s="449">
        <v>107.63903375188531476838171882</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181</v>
      </c>
      <c r="C41" s="329">
        <v>139.88336895864410531752602315</v>
      </c>
      <c r="D41" s="330">
        <v>132.40307486631697529195501765</v>
      </c>
      <c r="E41" s="330">
        <v>125.34755449235037969200316164</v>
      </c>
      <c r="F41" s="330">
        <v>120.00750750754171112144086092</v>
      </c>
      <c r="G41" s="330">
        <v>109.85385700737929442993300973</v>
      </c>
      <c r="H41" s="330">
        <v>97.46951219507186139946463014</v>
      </c>
      <c r="I41" s="330">
        <v>98.00528541222778622252815995</v>
      </c>
      <c r="J41" s="330">
        <v>98.90574512453204159093094479</v>
      </c>
      <c r="K41" s="330">
        <v>106.30946634489723924219880114</v>
      </c>
      <c r="L41" s="330">
        <v>106.27772410420436532224412313</v>
      </c>
      <c r="M41" s="330">
        <v>105.48502655307010662774272939</v>
      </c>
      <c r="N41" s="663">
        <v>109.34135039714676528504957960</v>
      </c>
      <c r="O41" s="330">
        <v>103.74081022161029262174594398</v>
      </c>
      <c r="P41" s="330">
        <v>104.26488015221126535804138395</v>
      </c>
      <c r="Q41" s="330">
        <v>121.20810458134486873596593261</v>
      </c>
      <c r="R41" s="330">
        <v>93.70387994649211224760656151</v>
      </c>
      <c r="S41" s="330">
        <v>77.164113412708084913512372890</v>
      </c>
      <c r="T41" s="330">
        <v>116.72573189518939212869865974</v>
      </c>
      <c r="U41" s="330">
        <v>110.04526568461632260867598875</v>
      </c>
      <c r="V41" s="330">
        <v>102.13125228187864516847969290</v>
      </c>
      <c r="W41" s="330">
        <v>111.76799990104472310141100916</v>
      </c>
      <c r="X41" s="331">
        <v>107.65345391571223936975525346</v>
      </c>
      <c r="Y41" s="330">
        <v>103.09735872243365950983428982</v>
      </c>
      <c r="Z41" s="330">
        <v>103.01489233534483692653579363</v>
      </c>
      <c r="AA41" s="330">
        <v>94.95279501540156568003319971</v>
      </c>
      <c r="AB41" s="330">
        <v>104.59468219116207343359075973</v>
      </c>
      <c r="AC41" s="330">
        <v>99.66473786112715913822582861</v>
      </c>
      <c r="AD41" s="338">
        <v>110.44529677379615589022973429</v>
      </c>
      <c r="AE41" s="88"/>
      <c r="AF41" s="329">
        <v>103.27225690583420374303912970</v>
      </c>
      <c r="AG41" s="330">
        <v>107.31333670880116837390974068</v>
      </c>
      <c r="AH41" s="332">
        <v>104.61151617441932271415346376</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182</v>
      </c>
      <c r="D44" s="276"/>
      <c r="E44" s="276"/>
      <c r="F44" s="276"/>
      <c r="G44" s="276"/>
      <c r="H44" s="276"/>
      <c r="I44" s="276"/>
      <c r="J44" s="276"/>
      <c r="K44" s="276"/>
      <c r="L44" s="276"/>
      <c r="M44" s="276"/>
      <c r="N44" s="658" t="s">
        <v>179</v>
      </c>
      <c r="O44" s="276"/>
      <c r="P44" s="276"/>
      <c r="Q44" s="276"/>
      <c r="R44" s="276"/>
      <c r="S44" s="277"/>
      <c r="T44" s="277"/>
      <c r="U44" s="277"/>
      <c r="V44" s="277"/>
      <c r="W44" s="277"/>
      <c r="X44" s="312"/>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20</v>
      </c>
      <c r="D45" s="42">
        <v>21</v>
      </c>
      <c r="E45" s="42">
        <v>22</v>
      </c>
      <c r="F45" s="42">
        <v>23</v>
      </c>
      <c r="G45" s="42">
        <v>24</v>
      </c>
      <c r="H45" s="42">
        <v>25</v>
      </c>
      <c r="I45" s="42">
        <v>26</v>
      </c>
      <c r="J45" s="42">
        <v>27</v>
      </c>
      <c r="K45" s="42">
        <v>28</v>
      </c>
      <c r="L45" s="42">
        <v>29</v>
      </c>
      <c r="M45" s="42">
        <v>30</v>
      </c>
      <c r="N45" s="659">
        <v>1</v>
      </c>
      <c r="O45" s="42">
        <v>2</v>
      </c>
      <c r="P45" s="42">
        <v>3</v>
      </c>
      <c r="Q45" s="42">
        <v>4</v>
      </c>
      <c r="R45" s="42">
        <v>5</v>
      </c>
      <c r="S45" s="42">
        <v>6</v>
      </c>
      <c r="T45" s="42">
        <v>7</v>
      </c>
      <c r="U45" s="42">
        <v>8</v>
      </c>
      <c r="V45" s="42">
        <v>9</v>
      </c>
      <c r="W45" s="42">
        <v>10</v>
      </c>
      <c r="X45" s="323">
        <v>11</v>
      </c>
      <c r="Y45" s="42">
        <v>12</v>
      </c>
      <c r="Z45" s="42">
        <v>13</v>
      </c>
      <c r="AA45" s="42">
        <v>14</v>
      </c>
      <c r="AB45" s="42">
        <v>15</v>
      </c>
      <c r="AC45" s="42">
        <v>16</v>
      </c>
      <c r="AD45" s="337">
        <v>17</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2.9146599828229599168098415600</v>
      </c>
      <c r="D46" s="445">
        <v>-11.304536942893720474999508140</v>
      </c>
      <c r="E46" s="445">
        <v>1.1013018396253791946908238500</v>
      </c>
      <c r="F46" s="445">
        <v>12.648522224263833774247223890</v>
      </c>
      <c r="G46" s="445">
        <v>-12.296701795519653519400512540</v>
      </c>
      <c r="H46" s="445">
        <v>-12.483447673091825078371487150</v>
      </c>
      <c r="I46" s="445">
        <v>-7.2720151408292280485398622400</v>
      </c>
      <c r="J46" s="445">
        <v>-21.982364993924885281225492360</v>
      </c>
      <c r="K46" s="445">
        <v>-27.546761010607845499516738320</v>
      </c>
      <c r="L46" s="445">
        <v>-33.852191131976302936948389510</v>
      </c>
      <c r="M46" s="445">
        <v>-27.939883402196790353320578100</v>
      </c>
      <c r="N46" s="660">
        <v>1.0323632794217034156653774100</v>
      </c>
      <c r="O46" s="445">
        <v>-3.3619089812685938288010085300</v>
      </c>
      <c r="P46" s="445">
        <v>-0.1234144508172767360642496700</v>
      </c>
      <c r="Q46" s="445">
        <v>30.279999675652157679877357470</v>
      </c>
      <c r="R46" s="445">
        <v>-14.933012299271171291558969650</v>
      </c>
      <c r="S46" s="445">
        <v>-45.473952281221402212874417620</v>
      </c>
      <c r="T46" s="445">
        <v>-15.519791450584906483388717260</v>
      </c>
      <c r="U46" s="445">
        <v>-5.7726038261658987997775389800</v>
      </c>
      <c r="V46" s="445">
        <v>-8.712091195625183201856841500</v>
      </c>
      <c r="W46" s="445">
        <v>16.233791229915769431674151330</v>
      </c>
      <c r="X46" s="446">
        <v>5.3387193709165856403859320100</v>
      </c>
      <c r="Y46" s="445">
        <v>-7.231368741850669064058900200</v>
      </c>
      <c r="Z46" s="445">
        <v>-8.821560151573039412612840910</v>
      </c>
      <c r="AA46" s="445">
        <v>-10.427185741534127670327159650</v>
      </c>
      <c r="AB46" s="445">
        <v>12.221838745393991586009396100</v>
      </c>
      <c r="AC46" s="445">
        <v>8.014695531051588322104234150</v>
      </c>
      <c r="AD46" s="447">
        <v>6.1496071834865967218211188900</v>
      </c>
      <c r="AE46" s="448"/>
      <c r="AF46" s="444">
        <v>0.5596292936382490014267015700</v>
      </c>
      <c r="AG46" s="445">
        <v>-7.5866618034937466914559373400</v>
      </c>
      <c r="AH46" s="449">
        <v>-5.1289709450083399257971694100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181</v>
      </c>
      <c r="C47" s="329">
        <v>25.457058575230280021744204770</v>
      </c>
      <c r="D47" s="330">
        <v>7.2624559717826886308438303200</v>
      </c>
      <c r="E47" s="330">
        <v>9.146665224449935792543934490</v>
      </c>
      <c r="F47" s="330">
        <v>9.162756581716085030162297610</v>
      </c>
      <c r="G47" s="330">
        <v>-2.7940503238583421290755985100</v>
      </c>
      <c r="H47" s="330">
        <v>-7.4182677535976526642593487800</v>
      </c>
      <c r="I47" s="330">
        <v>-11.680943087038780072365708050</v>
      </c>
      <c r="J47" s="330">
        <v>-30.535475140798621459647289260</v>
      </c>
      <c r="K47" s="330">
        <v>-19.361154491937975351889774650</v>
      </c>
      <c r="L47" s="330">
        <v>-19.218128392701594760544774330</v>
      </c>
      <c r="M47" s="330">
        <v>-20.715005807345851249919794040</v>
      </c>
      <c r="N47" s="663">
        <v>-1.5625880277265683182931155700</v>
      </c>
      <c r="O47" s="330">
        <v>0.0812885628330883442190274200</v>
      </c>
      <c r="P47" s="330">
        <v>-0.4716926781062410330536263200</v>
      </c>
      <c r="Q47" s="330">
        <v>8.576063870296942909276342270</v>
      </c>
      <c r="R47" s="330">
        <v>-12.467908525401669598139821830</v>
      </c>
      <c r="S47" s="330">
        <v>-29.308198290805294364266707410</v>
      </c>
      <c r="T47" s="330">
        <v>5.3270661739031371261693618900</v>
      </c>
      <c r="U47" s="330">
        <v>-2.2213201718433125893766310600</v>
      </c>
      <c r="V47" s="330">
        <v>-14.620067730952732791852707080</v>
      </c>
      <c r="W47" s="330">
        <v>3.3331122773027729238299193600</v>
      </c>
      <c r="X47" s="331">
        <v>-6.0742680865485167664543021400</v>
      </c>
      <c r="Y47" s="330">
        <v>-15.237125464001548249248681390</v>
      </c>
      <c r="Z47" s="330">
        <v>-9.764063239337341280142479200</v>
      </c>
      <c r="AA47" s="330">
        <v>-12.050171916587348230940966440</v>
      </c>
      <c r="AB47" s="330">
        <v>4.8509860434595407061076597700</v>
      </c>
      <c r="AC47" s="330">
        <v>0.3446026647203660902643794600</v>
      </c>
      <c r="AD47" s="338">
        <v>9.336214536905418067480140710</v>
      </c>
      <c r="AE47" s="88"/>
      <c r="AF47" s="329">
        <v>-4.0113534935676521738803956200</v>
      </c>
      <c r="AG47" s="330">
        <v>-5.1805873982386289274324124900</v>
      </c>
      <c r="AH47" s="332">
        <v>-5.4757504753619906643533672500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182</v>
      </c>
      <c r="D50" s="276"/>
      <c r="E50" s="276"/>
      <c r="F50" s="276"/>
      <c r="G50" s="276"/>
      <c r="H50" s="276"/>
      <c r="I50" s="276"/>
      <c r="J50" s="276"/>
      <c r="K50" s="276"/>
      <c r="L50" s="276"/>
      <c r="M50" s="276"/>
      <c r="N50" s="658" t="s">
        <v>179</v>
      </c>
      <c r="O50" s="276"/>
      <c r="P50" s="276"/>
      <c r="Q50" s="276"/>
      <c r="R50" s="276"/>
      <c r="S50" s="277"/>
      <c r="T50" s="277"/>
      <c r="U50" s="277"/>
      <c r="V50" s="277"/>
      <c r="W50" s="277"/>
      <c r="X50" s="312"/>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20</v>
      </c>
      <c r="D51" s="42">
        <v>21</v>
      </c>
      <c r="E51" s="42">
        <v>22</v>
      </c>
      <c r="F51" s="42">
        <v>23</v>
      </c>
      <c r="G51" s="42">
        <v>24</v>
      </c>
      <c r="H51" s="42">
        <v>25</v>
      </c>
      <c r="I51" s="42">
        <v>26</v>
      </c>
      <c r="J51" s="42">
        <v>27</v>
      </c>
      <c r="K51" s="42">
        <v>28</v>
      </c>
      <c r="L51" s="42">
        <v>29</v>
      </c>
      <c r="M51" s="42">
        <v>30</v>
      </c>
      <c r="N51" s="659">
        <v>1</v>
      </c>
      <c r="O51" s="42">
        <v>2</v>
      </c>
      <c r="P51" s="42">
        <v>3</v>
      </c>
      <c r="Q51" s="42">
        <v>4</v>
      </c>
      <c r="R51" s="42">
        <v>5</v>
      </c>
      <c r="S51" s="42">
        <v>6</v>
      </c>
      <c r="T51" s="42">
        <v>7</v>
      </c>
      <c r="U51" s="42">
        <v>8</v>
      </c>
      <c r="V51" s="42">
        <v>9</v>
      </c>
      <c r="W51" s="42">
        <v>10</v>
      </c>
      <c r="X51" s="323">
        <v>11</v>
      </c>
      <c r="Y51" s="42">
        <v>12</v>
      </c>
      <c r="Z51" s="42">
        <v>13</v>
      </c>
      <c r="AA51" s="42">
        <v>14</v>
      </c>
      <c r="AB51" s="42">
        <v>15</v>
      </c>
      <c r="AC51" s="42">
        <v>16</v>
      </c>
      <c r="AD51" s="337">
        <v>17</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170</v>
      </c>
      <c r="D52" s="456" t="s">
        <v>170</v>
      </c>
      <c r="E52" s="456" t="s">
        <v>170</v>
      </c>
      <c r="F52" s="456" t="s">
        <v>174</v>
      </c>
      <c r="G52" s="456" t="s">
        <v>171</v>
      </c>
      <c r="H52" s="456" t="s">
        <v>173</v>
      </c>
      <c r="I52" s="456" t="s">
        <v>172</v>
      </c>
      <c r="J52" s="456" t="s">
        <v>172</v>
      </c>
      <c r="K52" s="456" t="s">
        <v>173</v>
      </c>
      <c r="L52" s="456" t="s">
        <v>171</v>
      </c>
      <c r="M52" s="456" t="s">
        <v>171</v>
      </c>
      <c r="N52" s="664" t="s">
        <v>174</v>
      </c>
      <c r="O52" s="456" t="s">
        <v>171</v>
      </c>
      <c r="P52" s="456" t="s">
        <v>171</v>
      </c>
      <c r="Q52" s="456" t="s">
        <v>174</v>
      </c>
      <c r="R52" s="456" t="s">
        <v>171</v>
      </c>
      <c r="S52" s="456" t="s">
        <v>173</v>
      </c>
      <c r="T52" s="456" t="s">
        <v>171</v>
      </c>
      <c r="U52" s="456" t="s">
        <v>171</v>
      </c>
      <c r="V52" s="456" t="s">
        <v>170</v>
      </c>
      <c r="W52" s="456" t="s">
        <v>170</v>
      </c>
      <c r="X52" s="457" t="s">
        <v>170</v>
      </c>
      <c r="Y52" s="456" t="s">
        <v>170</v>
      </c>
      <c r="Z52" s="456" t="s">
        <v>170</v>
      </c>
      <c r="AA52" s="456" t="s">
        <v>170</v>
      </c>
      <c r="AB52" s="456" t="s">
        <v>171</v>
      </c>
      <c r="AC52" s="456" t="s">
        <v>170</v>
      </c>
      <c r="AD52" s="458" t="s">
        <v>170</v>
      </c>
      <c r="AE52" s="459"/>
      <c r="AF52" s="455" t="s">
        <v>170</v>
      </c>
      <c r="AG52" s="456" t="s">
        <v>170</v>
      </c>
      <c r="AH52" s="460" t="s">
        <v>170</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171</v>
      </c>
      <c r="D53" s="334" t="s">
        <v>173</v>
      </c>
      <c r="E53" s="334" t="s">
        <v>170</v>
      </c>
      <c r="F53" s="334" t="s">
        <v>170</v>
      </c>
      <c r="G53" s="334" t="s">
        <v>173</v>
      </c>
      <c r="H53" s="334" t="s">
        <v>173</v>
      </c>
      <c r="I53" s="334" t="s">
        <v>172</v>
      </c>
      <c r="J53" s="334" t="s">
        <v>172</v>
      </c>
      <c r="K53" s="334" t="s">
        <v>172</v>
      </c>
      <c r="L53" s="334" t="s">
        <v>172</v>
      </c>
      <c r="M53" s="334" t="s">
        <v>172</v>
      </c>
      <c r="N53" s="665" t="s">
        <v>173</v>
      </c>
      <c r="O53" s="334" t="s">
        <v>173</v>
      </c>
      <c r="P53" s="334" t="s">
        <v>171</v>
      </c>
      <c r="Q53" s="334" t="s">
        <v>174</v>
      </c>
      <c r="R53" s="334" t="s">
        <v>171</v>
      </c>
      <c r="S53" s="334" t="s">
        <v>172</v>
      </c>
      <c r="T53" s="334" t="s">
        <v>173</v>
      </c>
      <c r="U53" s="334" t="s">
        <v>171</v>
      </c>
      <c r="V53" s="334" t="s">
        <v>173</v>
      </c>
      <c r="W53" s="334" t="s">
        <v>170</v>
      </c>
      <c r="X53" s="60" t="s">
        <v>171</v>
      </c>
      <c r="Y53" s="61" t="s">
        <v>171</v>
      </c>
      <c r="Z53" s="61" t="s">
        <v>170</v>
      </c>
      <c r="AA53" s="61" t="s">
        <v>171</v>
      </c>
      <c r="AB53" s="61" t="s">
        <v>170</v>
      </c>
      <c r="AC53" s="61" t="s">
        <v>174</v>
      </c>
      <c r="AD53" s="62" t="s">
        <v>174</v>
      </c>
      <c r="AE53" s="59"/>
      <c r="AF53" s="333" t="s">
        <v>170</v>
      </c>
      <c r="AG53" s="334" t="s">
        <v>173</v>
      </c>
      <c r="AH53" s="335" t="s">
        <v>171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45717</v>
      </c>
      <c r="C72" s="666">
        <v>45724</v>
      </c>
      <c r="D72" s="666">
        <v>45731</v>
      </c>
      <c r="E72" s="666">
        <v>45738</v>
      </c>
      <c r="F72" s="666">
        <v>45745</v>
      </c>
      <c r="G72" s="666">
        <v>45752</v>
      </c>
      <c r="H72" s="666">
        <v>45759</v>
      </c>
      <c r="I72" s="666">
        <v>45766</v>
      </c>
      <c r="J72" s="666">
        <v>45773</v>
      </c>
      <c r="K72" s="666">
        <v>45780</v>
      </c>
      <c r="L72" s="666">
        <v>45787</v>
      </c>
      <c r="M72" s="666">
        <v>45794</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92.74891774891774891774891775</v>
      </c>
      <c r="C73" s="666">
        <v>91.34199134199134199134199134</v>
      </c>
      <c r="D73" s="666">
        <v>90.90909090909090909090909091</v>
      </c>
      <c r="E73" s="666">
        <v>90.90909090909090909090909091</v>
      </c>
      <c r="F73" s="666">
        <v>90.25974025974025974025974026</v>
      </c>
      <c r="G73" s="666">
        <v>95.12987012987012987012987013</v>
      </c>
      <c r="H73" s="666">
        <v>93.83116883116883116883116883</v>
      </c>
      <c r="I73" s="666">
        <v>96.21212121212121212121212121</v>
      </c>
      <c r="J73" s="666">
        <v>88.09523809523809523809523810</v>
      </c>
      <c r="K73" s="666">
        <v>94.04761904761904761904761905</v>
      </c>
      <c r="L73" s="666">
        <v>78.138528138528138528138528140</v>
      </c>
      <c r="M73" s="666">
        <v>75.216450216450216450216450220</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91.90199335548172757475083056</v>
      </c>
      <c r="C74" s="666">
        <v>89.36877076411960132890365449</v>
      </c>
      <c r="D74" s="666">
        <v>83.13953488372093023255813953</v>
      </c>
      <c r="E74" s="666">
        <v>88.87043189368770764119601329</v>
      </c>
      <c r="F74" s="666">
        <v>88.41362126245847176079734219</v>
      </c>
      <c r="G74" s="666">
        <v>87.74916943521594684385382060</v>
      </c>
      <c r="H74" s="666">
        <v>89.28571428571428571428571429</v>
      </c>
      <c r="I74" s="666">
        <v>90.19933554817275747508305648</v>
      </c>
      <c r="J74" s="666">
        <v>83.38870431893687707641196013</v>
      </c>
      <c r="K74" s="666">
        <v>94.72591362126245847176079734</v>
      </c>
      <c r="L74" s="666">
        <v>73.463455149501661129568106310</v>
      </c>
      <c r="M74" s="666">
        <v>66.860465116279069767441860470</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181</v>
      </c>
      <c r="B75" s="666">
        <v>90.49255441008018327605956472</v>
      </c>
      <c r="C75" s="666">
        <v>85.56403504857113104535784948</v>
      </c>
      <c r="D75" s="666">
        <v>80.40195772154535041132979277</v>
      </c>
      <c r="E75" s="666">
        <v>88.89781467101054729920709302</v>
      </c>
      <c r="F75" s="666">
        <v>84.58071138483509617530236087</v>
      </c>
      <c r="G75" s="666">
        <v>85.23250100504757225175324965</v>
      </c>
      <c r="H75" s="666">
        <v>88.20322623888466866258545958</v>
      </c>
      <c r="I75" s="666">
        <v>81.27262165422941150185441709</v>
      </c>
      <c r="J75" s="666">
        <v>76.013226685732159613923767820</v>
      </c>
      <c r="K75" s="666">
        <v>89.62718024338293340482893189</v>
      </c>
      <c r="L75" s="666">
        <v>74.160299089920610095774312230</v>
      </c>
      <c r="M75" s="666">
        <v>72.833162041795135320315176430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129</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177</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178</v>
      </c>
      <c r="R4" s="618" t="s">
        <v>180</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182</v>
      </c>
      <c r="D24" s="276"/>
      <c r="E24" s="276"/>
      <c r="F24" s="276"/>
      <c r="G24" s="276"/>
      <c r="H24" s="276"/>
      <c r="I24" s="276"/>
      <c r="J24" s="276"/>
      <c r="K24" s="276"/>
      <c r="L24" s="276"/>
      <c r="M24" s="276"/>
      <c r="N24" s="658" t="s">
        <v>179</v>
      </c>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20</v>
      </c>
      <c r="D25" s="42">
        <v>21</v>
      </c>
      <c r="E25" s="42">
        <v>22</v>
      </c>
      <c r="F25" s="42">
        <v>23</v>
      </c>
      <c r="G25" s="42">
        <v>24</v>
      </c>
      <c r="H25" s="42">
        <v>25</v>
      </c>
      <c r="I25" s="42">
        <v>26</v>
      </c>
      <c r="J25" s="42">
        <v>27</v>
      </c>
      <c r="K25" s="42">
        <v>28</v>
      </c>
      <c r="L25" s="42">
        <v>29</v>
      </c>
      <c r="M25" s="42">
        <v>30</v>
      </c>
      <c r="N25" s="659">
        <v>1</v>
      </c>
      <c r="O25" s="42">
        <v>2</v>
      </c>
      <c r="P25" s="42">
        <v>3</v>
      </c>
      <c r="Q25" s="42">
        <v>4</v>
      </c>
      <c r="R25" s="42">
        <v>5</v>
      </c>
      <c r="S25" s="42">
        <v>6</v>
      </c>
      <c r="T25" s="42">
        <v>7</v>
      </c>
      <c r="U25" s="42">
        <v>8</v>
      </c>
      <c r="V25" s="42">
        <v>9</v>
      </c>
      <c r="W25" s="42">
        <v>10</v>
      </c>
      <c r="X25" s="323">
        <v>11</v>
      </c>
      <c r="Y25" s="42">
        <v>12</v>
      </c>
      <c r="Z25" s="42">
        <v>13</v>
      </c>
      <c r="AA25" s="42">
        <v>14</v>
      </c>
      <c r="AB25" s="42">
        <v>15</v>
      </c>
      <c r="AC25" s="42">
        <v>16</v>
      </c>
      <c r="AD25" s="337">
        <v>17</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210.82786885245901639344262295</v>
      </c>
      <c r="D26" s="462">
        <v>197.21929824561403508771929825</v>
      </c>
      <c r="E26" s="462">
        <v>204.38983050847457627118644068</v>
      </c>
      <c r="F26" s="462">
        <v>198.97520661157024793388429752</v>
      </c>
      <c r="G26" s="462">
        <v>215.20353982300884955752212389</v>
      </c>
      <c r="H26" s="462">
        <v>306.37272727272727272727272727</v>
      </c>
      <c r="I26" s="462">
        <v>325.19827586206896551724137931</v>
      </c>
      <c r="J26" s="462">
        <v>248.25925925925925925925925926</v>
      </c>
      <c r="K26" s="462">
        <v>285.42741935483870967741935484</v>
      </c>
      <c r="L26" s="462">
        <v>311.484375000</v>
      </c>
      <c r="M26" s="462">
        <v>267.27777777777777777777777778</v>
      </c>
      <c r="N26" s="673">
        <v>297.04838709677419354838709677</v>
      </c>
      <c r="O26" s="462">
        <v>420.132812500</v>
      </c>
      <c r="P26" s="462">
        <v>408.95419847328244274809160305</v>
      </c>
      <c r="Q26" s="462">
        <v>289.93023255813953488372093023</v>
      </c>
      <c r="R26" s="462">
        <v>191.56470588235294117647058824</v>
      </c>
      <c r="S26" s="462">
        <v>173.10294117647058823529411765</v>
      </c>
      <c r="T26" s="462">
        <v>185.79816513761467889908256881</v>
      </c>
      <c r="U26" s="462">
        <v>208.4867256637168141592920354</v>
      </c>
      <c r="V26" s="462">
        <v>277.38095238095238095238095238</v>
      </c>
      <c r="W26" s="462">
        <v>262.84070796460176991150442478</v>
      </c>
      <c r="X26" s="463">
        <v>165.72727272727272727272727273</v>
      </c>
      <c r="Y26" s="462">
        <v>148.4047619047619047619047619</v>
      </c>
      <c r="Z26" s="462">
        <v>159.23913043478260869565217391</v>
      </c>
      <c r="AA26" s="462">
        <v>152.77659574468085106382978723</v>
      </c>
      <c r="AB26" s="462">
        <v>168.46728971962616822429906542</v>
      </c>
      <c r="AC26" s="462">
        <v>260.22807017543859649122807018</v>
      </c>
      <c r="AD26" s="464">
        <v>288.45669291338582677165354331</v>
      </c>
      <c r="AE26" s="465"/>
      <c r="AF26" s="461">
        <v>199.37266187050359712230215827</v>
      </c>
      <c r="AG26" s="462">
        <v>251.20387096774193548387096774</v>
      </c>
      <c r="AH26" s="466">
        <v>250.46666666666666666666666667</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298.770609318996415770609319</v>
      </c>
      <c r="D27" s="85">
        <v>285.73929961089494163424124515</v>
      </c>
      <c r="E27" s="85">
        <v>297.21176470588235294117647058</v>
      </c>
      <c r="F27" s="85">
        <v>311.35741444866920152091254752</v>
      </c>
      <c r="G27" s="85">
        <v>340.83501683501683501683501684</v>
      </c>
      <c r="H27" s="85">
        <v>443.26625386996904024767801858</v>
      </c>
      <c r="I27" s="85">
        <v>385.93113772455089820359281438</v>
      </c>
      <c r="J27" s="85">
        <v>316.85530546623794212218649517</v>
      </c>
      <c r="K27" s="85">
        <v>357.93113772455089820359281438</v>
      </c>
      <c r="L27" s="85">
        <v>317.57485029940119760479041917</v>
      </c>
      <c r="M27" s="85">
        <v>304.75851393188854489164086687</v>
      </c>
      <c r="N27" s="674">
        <v>388.5888157894736842105263158</v>
      </c>
      <c r="O27" s="85">
        <v>494.47904191616766467065868265</v>
      </c>
      <c r="P27" s="85">
        <v>493.2463343108504398826979472</v>
      </c>
      <c r="Q27" s="85">
        <v>366.80425531914893617021276597</v>
      </c>
      <c r="R27" s="85">
        <v>240.5309734513274336283185841</v>
      </c>
      <c r="S27" s="85">
        <v>264.41632653061224489795918368</v>
      </c>
      <c r="T27" s="85">
        <v>276.52816901408450704225352112</v>
      </c>
      <c r="U27" s="85">
        <v>278.13818181818181818181818182</v>
      </c>
      <c r="V27" s="85">
        <v>267.42968750000000000000000002</v>
      </c>
      <c r="W27" s="85">
        <v>271.5120967741935483870967742</v>
      </c>
      <c r="X27" s="86">
        <v>226.47208121827411167512690357</v>
      </c>
      <c r="Y27" s="85">
        <v>212.20338983050847457627118643</v>
      </c>
      <c r="Z27" s="85">
        <v>205.21578947368421052631578946</v>
      </c>
      <c r="AA27" s="85">
        <v>193.48837209302325581395348837</v>
      </c>
      <c r="AB27" s="85">
        <v>205.10526315789473684210526314</v>
      </c>
      <c r="AC27" s="85">
        <v>289.25547445255474452554744527</v>
      </c>
      <c r="AD27" s="87">
        <v>292.16774193548387096774193548</v>
      </c>
      <c r="AE27" s="169"/>
      <c r="AF27" s="370">
        <v>238.04658385093167701863354037</v>
      </c>
      <c r="AG27" s="85">
        <v>318.37102243088158581116327595</v>
      </c>
      <c r="AH27" s="371">
        <v>305.39215236346948141349242772</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181</v>
      </c>
      <c r="C28" s="467">
        <v>225.54284361685340066277418337</v>
      </c>
      <c r="D28" s="468">
        <v>206.82560741687979539641943734</v>
      </c>
      <c r="E28" s="468">
        <v>212.94239766081871345029239766</v>
      </c>
      <c r="F28" s="468">
        <v>218.06756756756756756756756757</v>
      </c>
      <c r="G28" s="468">
        <v>218.77990366604227990366604228</v>
      </c>
      <c r="H28" s="468">
        <v>252.42353658536585365853658537</v>
      </c>
      <c r="I28" s="468">
        <v>259.38790697674418604651162791</v>
      </c>
      <c r="J28" s="468">
        <v>238.97769095034030753718174943</v>
      </c>
      <c r="K28" s="468">
        <v>269.46395280235988200589970501</v>
      </c>
      <c r="L28" s="468">
        <v>280.38212775682779110958747572</v>
      </c>
      <c r="M28" s="468">
        <v>265.43899066712754925682682337</v>
      </c>
      <c r="N28" s="675">
        <v>285.45558252427184466019417476</v>
      </c>
      <c r="O28" s="468">
        <v>327.43658672615727830451756832</v>
      </c>
      <c r="P28" s="468">
        <v>346.25260159929893745207580239</v>
      </c>
      <c r="Q28" s="468">
        <v>268.1900944006207164101900944</v>
      </c>
      <c r="R28" s="468">
        <v>207.9854346836595357305416477</v>
      </c>
      <c r="S28" s="468">
        <v>206.61018272684679056692175543</v>
      </c>
      <c r="T28" s="468">
        <v>214.78983050847457627118644068</v>
      </c>
      <c r="U28" s="468">
        <v>228.08390296206942769065808873</v>
      </c>
      <c r="V28" s="468">
        <v>229.53949129852744310575635877</v>
      </c>
      <c r="W28" s="468">
        <v>224.55132044650149741355839913</v>
      </c>
      <c r="X28" s="469">
        <v>186.62632287858379834519915336</v>
      </c>
      <c r="Y28" s="468">
        <v>194.66807432432432432432432432</v>
      </c>
      <c r="Z28" s="468">
        <v>201.01618122977346278317152104</v>
      </c>
      <c r="AA28" s="468">
        <v>203.77408591686361740581120534</v>
      </c>
      <c r="AB28" s="468">
        <v>206.79268128615632988026368895</v>
      </c>
      <c r="AC28" s="468">
        <v>229.9101191192395620262302972</v>
      </c>
      <c r="AD28" s="470">
        <v>229.14506283662477558348294434</v>
      </c>
      <c r="AE28" s="465"/>
      <c r="AF28" s="467">
        <v>209.71927277189251094114278703</v>
      </c>
      <c r="AG28" s="468">
        <v>241.28738928882811718351731597</v>
      </c>
      <c r="AH28" s="471">
        <v>239.91476631925836459474808232</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182</v>
      </c>
      <c r="D33" s="276"/>
      <c r="E33" s="276"/>
      <c r="F33" s="276"/>
      <c r="G33" s="276"/>
      <c r="H33" s="276"/>
      <c r="I33" s="276"/>
      <c r="J33" s="276"/>
      <c r="K33" s="276"/>
      <c r="L33" s="276"/>
      <c r="M33" s="276"/>
      <c r="N33" s="658" t="s">
        <v>179</v>
      </c>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20</v>
      </c>
      <c r="D34" s="42">
        <v>21</v>
      </c>
      <c r="E34" s="42">
        <v>22</v>
      </c>
      <c r="F34" s="42">
        <v>23</v>
      </c>
      <c r="G34" s="42">
        <v>24</v>
      </c>
      <c r="H34" s="42">
        <v>25</v>
      </c>
      <c r="I34" s="42">
        <v>26</v>
      </c>
      <c r="J34" s="42">
        <v>27</v>
      </c>
      <c r="K34" s="42">
        <v>28</v>
      </c>
      <c r="L34" s="42">
        <v>29</v>
      </c>
      <c r="M34" s="42">
        <v>30</v>
      </c>
      <c r="N34" s="659">
        <v>1</v>
      </c>
      <c r="O34" s="42">
        <v>2</v>
      </c>
      <c r="P34" s="42">
        <v>3</v>
      </c>
      <c r="Q34" s="42">
        <v>4</v>
      </c>
      <c r="R34" s="42">
        <v>5</v>
      </c>
      <c r="S34" s="42">
        <v>6</v>
      </c>
      <c r="T34" s="42">
        <v>7</v>
      </c>
      <c r="U34" s="42">
        <v>8</v>
      </c>
      <c r="V34" s="42">
        <v>9</v>
      </c>
      <c r="W34" s="42">
        <v>10</v>
      </c>
      <c r="X34" s="323">
        <v>11</v>
      </c>
      <c r="Y34" s="42">
        <v>12</v>
      </c>
      <c r="Z34" s="42">
        <v>13</v>
      </c>
      <c r="AA34" s="42">
        <v>14</v>
      </c>
      <c r="AB34" s="42">
        <v>15</v>
      </c>
      <c r="AC34" s="42">
        <v>16</v>
      </c>
      <c r="AD34" s="337">
        <v>17</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-6.0322343598409603525779938700</v>
      </c>
      <c r="D35" s="445">
        <v>-14.053584794916632380076293960</v>
      </c>
      <c r="E35" s="445">
        <v>-2.8550181022758797849849739900</v>
      </c>
      <c r="F35" s="445">
        <v>-5.0137368632213759496848255300</v>
      </c>
      <c r="G35" s="445">
        <v>-15.491737873444431541442472620</v>
      </c>
      <c r="H35" s="445">
        <v>-12.952240755480309286784036280</v>
      </c>
      <c r="I35" s="445">
        <v>-2.6636785636938463170342986100</v>
      </c>
      <c r="J35" s="445">
        <v>18.044395298346388832166190340</v>
      </c>
      <c r="K35" s="445">
        <v>39.668478907793841615267961070</v>
      </c>
      <c r="L35" s="445">
        <v>53.888258091494352817341186950</v>
      </c>
      <c r="M35" s="445">
        <v>36.019225332202431439072660450</v>
      </c>
      <c r="N35" s="660">
        <v>-18.605541339827349489056864450</v>
      </c>
      <c r="O35" s="445">
        <v>-7.643786637713167064868609800</v>
      </c>
      <c r="P35" s="445">
        <v>-11.568365670199479265071261270</v>
      </c>
      <c r="Q35" s="445">
        <v>-27.102415697730294398365331180</v>
      </c>
      <c r="R35" s="445">
        <v>7.2720285479295284184869419500</v>
      </c>
      <c r="S35" s="445">
        <v>-10.759358288763481092656750470</v>
      </c>
      <c r="T35" s="445">
        <v>-10.130151130147710847990950290</v>
      </c>
      <c r="U35" s="445">
        <v>5.3743199729271664520023846900</v>
      </c>
      <c r="V35" s="445">
        <v>-1.3866184180593690648129043900</v>
      </c>
      <c r="W35" s="445">
        <v>-1.3763968908889604831385067200</v>
      </c>
      <c r="X35" s="446">
        <v>-11.632612200610776502651407250</v>
      </c>
      <c r="Y35" s="445">
        <v>-3.5437944908428317595301016900</v>
      </c>
      <c r="Z35" s="445">
        <v>4.4851024403320540846857472300</v>
      </c>
      <c r="AA35" s="445">
        <v>-1.8758533016759899506322162300</v>
      </c>
      <c r="AB35" s="445">
        <v>-13.524714237416830599227164150</v>
      </c>
      <c r="AC35" s="445">
        <v>0.8741602565764204145926959900</v>
      </c>
      <c r="AD35" s="447">
        <v>3.7990806759759846514002311900</v>
      </c>
      <c r="AE35" s="448"/>
      <c r="AF35" s="444">
        <v>0.7898293377476600861407470200</v>
      </c>
      <c r="AG35" s="445">
        <v>-0.9737179944193990723259742400</v>
      </c>
      <c r="AH35" s="449">
        <v>-3.1809101814864069854423742700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13.751352045518489243732837720</v>
      </c>
      <c r="D36" s="81">
        <v>11.813968095536702766459179640</v>
      </c>
      <c r="E36" s="81">
        <v>16.804754193014690320130255930</v>
      </c>
      <c r="F36" s="81">
        <v>32.053660760703935614205781480</v>
      </c>
      <c r="G36" s="81">
        <v>15.691477515674793210575950810</v>
      </c>
      <c r="H36" s="81">
        <v>20.900445707312146400217852290</v>
      </c>
      <c r="I36" s="81">
        <v>10.996475441473323579697772380</v>
      </c>
      <c r="J36" s="81">
        <v>38.775059963771200125371660080</v>
      </c>
      <c r="K36" s="81">
        <v>61.058376569474690048677132970</v>
      </c>
      <c r="L36" s="81">
        <v>36.251306039425316441811454860</v>
      </c>
      <c r="M36" s="81">
        <v>14.762511881823077607020141140</v>
      </c>
      <c r="N36" s="661">
        <v>12.453426150085141885801436530</v>
      </c>
      <c r="O36" s="81">
        <v>18.021078392077350218754626480</v>
      </c>
      <c r="P36" s="81">
        <v>14.096371386480780907905046280</v>
      </c>
      <c r="Q36" s="81">
        <v>6.9293224707851701097041461700</v>
      </c>
      <c r="R36" s="81">
        <v>-10.632334208318821090528630060</v>
      </c>
      <c r="S36" s="81">
        <v>13.791369747404807417920895540</v>
      </c>
      <c r="T36" s="81">
        <v>24.025731170403492495097790470</v>
      </c>
      <c r="U36" s="81">
        <v>13.647052106614023228617310140</v>
      </c>
      <c r="V36" s="81">
        <v>-11.407863283410108352217935280</v>
      </c>
      <c r="W36" s="81">
        <v>-6.9201065093784093299276318800</v>
      </c>
      <c r="X36" s="82">
        <v>4.5345276810198486059934950600</v>
      </c>
      <c r="Y36" s="81">
        <v>-2.0154980051983251399506694100</v>
      </c>
      <c r="Z36" s="81">
        <v>-5.3654450554555433845225429400</v>
      </c>
      <c r="AA36" s="81">
        <v>-3.1509534969113085612125012500</v>
      </c>
      <c r="AB36" s="81">
        <v>-11.30436876222708946200350200</v>
      </c>
      <c r="AC36" s="81">
        <v>-2.0873031108786410878297339800</v>
      </c>
      <c r="AD36" s="83">
        <v>-4.4371331608523442113013897200</v>
      </c>
      <c r="AE36" s="88"/>
      <c r="AF36" s="327">
        <v>-2.670044534756574322357903400</v>
      </c>
      <c r="AG36" s="81">
        <v>12.350497509699871656009890410</v>
      </c>
      <c r="AH36" s="328">
        <v>6.3096012670539101091117865300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181</v>
      </c>
      <c r="C37" s="450">
        <v>-1.6548782695141535982139488800</v>
      </c>
      <c r="D37" s="451">
        <v>-12.499886591310302047858731200</v>
      </c>
      <c r="E37" s="451">
        <v>-12.113195853476655229613401600</v>
      </c>
      <c r="F37" s="451">
        <v>-10.343820197683318730464838590</v>
      </c>
      <c r="G37" s="451">
        <v>-16.639111291085671417151347210</v>
      </c>
      <c r="H37" s="451">
        <v>-5.9970931729215659365603103200</v>
      </c>
      <c r="I37" s="451">
        <v>-2.8549856267529762926326431100</v>
      </c>
      <c r="J37" s="451">
        <v>5.9658298927888029846474207600</v>
      </c>
      <c r="K37" s="451">
        <v>15.276168032289406711044783640</v>
      </c>
      <c r="L37" s="451">
        <v>17.443933770330888165260761730</v>
      </c>
      <c r="M37" s="451">
        <v>13.050716780563929720899643760</v>
      </c>
      <c r="N37" s="662">
        <v>3.0488647524396100333251346100</v>
      </c>
      <c r="O37" s="451">
        <v>-3.1787710833697164835347548700</v>
      </c>
      <c r="P37" s="451">
        <v>2.261116179705005799017409300</v>
      </c>
      <c r="Q37" s="451">
        <v>-6.5789141707016189159927414400</v>
      </c>
      <c r="R37" s="451">
        <v>-6.2727531470473605343944598500</v>
      </c>
      <c r="S37" s="451">
        <v>-4.1148726145950780202884622800</v>
      </c>
      <c r="T37" s="451">
        <v>-0.4700370553185834951649993700</v>
      </c>
      <c r="U37" s="451">
        <v>7.2583577335922920890111126900</v>
      </c>
      <c r="V37" s="451">
        <v>-0.1533991890990098200190237400</v>
      </c>
      <c r="W37" s="451">
        <v>0.1931741114286224534999589500</v>
      </c>
      <c r="X37" s="452">
        <v>0.2776270353172040724995801600</v>
      </c>
      <c r="Y37" s="451">
        <v>2.2473547231426979414761881100</v>
      </c>
      <c r="Z37" s="451">
        <v>1.395977208577111881501912100</v>
      </c>
      <c r="AA37" s="451">
        <v>3.9447347807056942555150137500</v>
      </c>
      <c r="AB37" s="451">
        <v>1.8268622126800468047064104900</v>
      </c>
      <c r="AC37" s="451">
        <v>0.7480620807771837737768740800</v>
      </c>
      <c r="AD37" s="453">
        <v>0.0714302484551832053282807700</v>
      </c>
      <c r="AE37" s="448"/>
      <c r="AF37" s="450">
        <v>1.826958042453743485899482500</v>
      </c>
      <c r="AG37" s="451">
        <v>0.1458539983512841807353667900</v>
      </c>
      <c r="AH37" s="454">
        <v>0.4986871544944252874733249100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182</v>
      </c>
      <c r="D40" s="276"/>
      <c r="E40" s="276"/>
      <c r="F40" s="276"/>
      <c r="G40" s="276"/>
      <c r="H40" s="276"/>
      <c r="I40" s="276"/>
      <c r="J40" s="276"/>
      <c r="K40" s="276"/>
      <c r="L40" s="276"/>
      <c r="M40" s="276"/>
      <c r="N40" s="658" t="s">
        <v>179</v>
      </c>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20</v>
      </c>
      <c r="D41" s="280">
        <v>21</v>
      </c>
      <c r="E41" s="280">
        <v>22</v>
      </c>
      <c r="F41" s="280">
        <v>23</v>
      </c>
      <c r="G41" s="280">
        <v>24</v>
      </c>
      <c r="H41" s="280">
        <v>25</v>
      </c>
      <c r="I41" s="280">
        <v>26</v>
      </c>
      <c r="J41" s="280">
        <v>27</v>
      </c>
      <c r="K41" s="280">
        <v>28</v>
      </c>
      <c r="L41" s="280">
        <v>29</v>
      </c>
      <c r="M41" s="280">
        <v>30</v>
      </c>
      <c r="N41" s="676">
        <v>1</v>
      </c>
      <c r="O41" s="280">
        <v>2</v>
      </c>
      <c r="P41" s="280">
        <v>3</v>
      </c>
      <c r="Q41" s="280">
        <v>4</v>
      </c>
      <c r="R41" s="280">
        <v>5</v>
      </c>
      <c r="S41" s="280">
        <v>6</v>
      </c>
      <c r="T41" s="280">
        <v>7</v>
      </c>
      <c r="U41" s="280">
        <v>8</v>
      </c>
      <c r="V41" s="280">
        <v>9</v>
      </c>
      <c r="W41" s="280">
        <v>10</v>
      </c>
      <c r="X41" s="315">
        <v>11</v>
      </c>
      <c r="Y41" s="280">
        <v>12</v>
      </c>
      <c r="Z41" s="280">
        <v>13</v>
      </c>
      <c r="AA41" s="280">
        <v>14</v>
      </c>
      <c r="AB41" s="280">
        <v>15</v>
      </c>
      <c r="AC41" s="280">
        <v>16</v>
      </c>
      <c r="AD41" s="373">
        <v>17</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70.565129994883884883657692770</v>
      </c>
      <c r="D42" s="445">
        <v>69.020711716649975826637901820</v>
      </c>
      <c r="E42" s="445">
        <v>68.769091529981821029481446110</v>
      </c>
      <c r="F42" s="445">
        <v>63.905722933845175477247827850</v>
      </c>
      <c r="G42" s="445">
        <v>63.140091009835999252316120630</v>
      </c>
      <c r="H42" s="445">
        <v>69.117088115302250659750347950</v>
      </c>
      <c r="I42" s="445">
        <v>84.26329053918682966238446098</v>
      </c>
      <c r="J42" s="445">
        <v>78.350987020396252406180142870</v>
      </c>
      <c r="K42" s="445">
        <v>79.74366834059929490890781707</v>
      </c>
      <c r="L42" s="445">
        <v>98.08219218440689387081053797</v>
      </c>
      <c r="M42" s="445">
        <v>87.70149661430049398787802666</v>
      </c>
      <c r="N42" s="660">
        <v>76.442855539539358348161375310</v>
      </c>
      <c r="O42" s="445">
        <v>84.9647359920262199426680600</v>
      </c>
      <c r="P42" s="445">
        <v>82.91074256935337792089336666</v>
      </c>
      <c r="Q42" s="445">
        <v>79.042221662863699756569853400</v>
      </c>
      <c r="R42" s="445">
        <v>79.64242739039128501909594776</v>
      </c>
      <c r="S42" s="445">
        <v>65.466056293781078230582372040</v>
      </c>
      <c r="T42" s="445">
        <v>67.189598007333909472364997140</v>
      </c>
      <c r="U42" s="445">
        <v>74.957966684340518768265731500</v>
      </c>
      <c r="V42" s="445">
        <v>103.72107710777337723672916919</v>
      </c>
      <c r="W42" s="445">
        <v>96.80626060031141314009577837</v>
      </c>
      <c r="X42" s="446">
        <v>73.177793852446475860676449530</v>
      </c>
      <c r="Y42" s="445">
        <v>69.935151376847460516847166050</v>
      </c>
      <c r="Z42" s="445">
        <v>77.595944660579025349014120370</v>
      </c>
      <c r="AA42" s="445">
        <v>78.959057896899833970236176070</v>
      </c>
      <c r="AB42" s="445">
        <v>82.13699011220977827230100162</v>
      </c>
      <c r="AC42" s="445">
        <v>89.96478654998866938157905097</v>
      </c>
      <c r="AD42" s="447">
        <v>98.72982246515994988306467830</v>
      </c>
      <c r="AE42" s="448"/>
      <c r="AF42" s="444">
        <v>83.75363285842415773301438237</v>
      </c>
      <c r="AG42" s="445">
        <v>78.902869064430578950504987560</v>
      </c>
      <c r="AH42" s="449">
        <v>82.01476846351407985814677595</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181</v>
      </c>
      <c r="C43" s="329">
        <v>93.47575186671168418662623810</v>
      </c>
      <c r="D43" s="330">
        <v>95.35535793112771953467436724</v>
      </c>
      <c r="E43" s="330">
        <v>95.98362409446099559731554152</v>
      </c>
      <c r="F43" s="330">
        <v>91.24474988693070876315394237</v>
      </c>
      <c r="G43" s="330">
        <v>98.36531428021332309087886930</v>
      </c>
      <c r="H43" s="330">
        <v>121.37248824618823441808009654</v>
      </c>
      <c r="I43" s="330">
        <v>125.37140981336516355165141234</v>
      </c>
      <c r="J43" s="330">
        <v>103.88386391719281429750866911</v>
      </c>
      <c r="K43" s="330">
        <v>105.92415660292226289903560731</v>
      </c>
      <c r="L43" s="330">
        <v>111.09280662502772135036631804</v>
      </c>
      <c r="M43" s="330">
        <v>100.69273436658892757927651921</v>
      </c>
      <c r="N43" s="663">
        <v>104.06115882196395018992135383</v>
      </c>
      <c r="O43" s="330">
        <v>128.30967263023416612315872534</v>
      </c>
      <c r="P43" s="330">
        <v>118.10862837834897098047971630</v>
      </c>
      <c r="Q43" s="330">
        <v>108.10624203184250694366058405</v>
      </c>
      <c r="R43" s="330">
        <v>92.10486598433233186973585624</v>
      </c>
      <c r="S43" s="330">
        <v>83.78238617859607978529238688</v>
      </c>
      <c r="T43" s="330">
        <v>86.50231004780367501850570920</v>
      </c>
      <c r="U43" s="330">
        <v>91.40790864945888423236818800</v>
      </c>
      <c r="V43" s="330">
        <v>120.84236608341957079332093385</v>
      </c>
      <c r="W43" s="330">
        <v>117.05150851126895375573323117</v>
      </c>
      <c r="X43" s="331">
        <v>88.80166000756385395960986245</v>
      </c>
      <c r="Y43" s="330">
        <v>76.234771633653980854592983740</v>
      </c>
      <c r="Z43" s="330">
        <v>79.217070715686206470615055330</v>
      </c>
      <c r="AA43" s="330">
        <v>74.973515428739963718994522730</v>
      </c>
      <c r="AB43" s="330">
        <v>81.46675630481734103534923239</v>
      </c>
      <c r="AC43" s="330">
        <v>113.18687110092785700264113414</v>
      </c>
      <c r="AD43" s="338">
        <v>125.88387868477885754954371264</v>
      </c>
      <c r="AE43" s="88"/>
      <c r="AF43" s="329">
        <v>95.06644727275502397505276873</v>
      </c>
      <c r="AG43" s="330">
        <v>104.10982178064547342810644798</v>
      </c>
      <c r="AH43" s="332">
        <v>104.39818711838822592422388095</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182</v>
      </c>
      <c r="D46" s="276"/>
      <c r="E46" s="276"/>
      <c r="F46" s="276"/>
      <c r="G46" s="276"/>
      <c r="H46" s="276"/>
      <c r="I46" s="276"/>
      <c r="J46" s="276"/>
      <c r="K46" s="276"/>
      <c r="L46" s="276"/>
      <c r="M46" s="276"/>
      <c r="N46" s="658" t="s">
        <v>179</v>
      </c>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20</v>
      </c>
      <c r="D47" s="42">
        <v>21</v>
      </c>
      <c r="E47" s="42">
        <v>22</v>
      </c>
      <c r="F47" s="42">
        <v>23</v>
      </c>
      <c r="G47" s="42">
        <v>24</v>
      </c>
      <c r="H47" s="42">
        <v>25</v>
      </c>
      <c r="I47" s="42">
        <v>26</v>
      </c>
      <c r="J47" s="42">
        <v>27</v>
      </c>
      <c r="K47" s="42">
        <v>28</v>
      </c>
      <c r="L47" s="42">
        <v>29</v>
      </c>
      <c r="M47" s="42">
        <v>30</v>
      </c>
      <c r="N47" s="659">
        <v>1</v>
      </c>
      <c r="O47" s="42">
        <v>2</v>
      </c>
      <c r="P47" s="42">
        <v>3</v>
      </c>
      <c r="Q47" s="42">
        <v>4</v>
      </c>
      <c r="R47" s="42">
        <v>5</v>
      </c>
      <c r="S47" s="42">
        <v>6</v>
      </c>
      <c r="T47" s="42">
        <v>7</v>
      </c>
      <c r="U47" s="42">
        <v>8</v>
      </c>
      <c r="V47" s="42">
        <v>9</v>
      </c>
      <c r="W47" s="42">
        <v>10</v>
      </c>
      <c r="X47" s="323">
        <v>11</v>
      </c>
      <c r="Y47" s="42">
        <v>12</v>
      </c>
      <c r="Z47" s="42">
        <v>13</v>
      </c>
      <c r="AA47" s="42">
        <v>14</v>
      </c>
      <c r="AB47" s="42">
        <v>15</v>
      </c>
      <c r="AC47" s="42">
        <v>16</v>
      </c>
      <c r="AD47" s="337">
        <v>17</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-17.391957150008462775564692100</v>
      </c>
      <c r="D48" s="445">
        <v>-23.134455677658962012323562370</v>
      </c>
      <c r="E48" s="445">
        <v>-16.831311731390344485774031270</v>
      </c>
      <c r="F48" s="445">
        <v>-28.069950814223381026700492510</v>
      </c>
      <c r="G48" s="445">
        <v>-26.953770544501329109263221840</v>
      </c>
      <c r="H48" s="445">
        <v>-28.000464568000684408043565290</v>
      </c>
      <c r="I48" s="445">
        <v>-12.306835825933919243661415750</v>
      </c>
      <c r="J48" s="445">
        <v>-14.938321533332017976105595960</v>
      </c>
      <c r="K48" s="445">
        <v>-13.280835258217654575149983550</v>
      </c>
      <c r="L48" s="445">
        <v>12.944427884604808924091573250</v>
      </c>
      <c r="M48" s="445">
        <v>18.522349416967891399341208450</v>
      </c>
      <c r="N48" s="660">
        <v>-27.619405253585317501784961390</v>
      </c>
      <c r="O48" s="445">
        <v>-21.746001120680804512711152620</v>
      </c>
      <c r="P48" s="445">
        <v>-22.493911721112300001234497650</v>
      </c>
      <c r="Q48" s="445">
        <v>-31.826385300284431032861525990</v>
      </c>
      <c r="R48" s="445">
        <v>20.034497485817269269378350810</v>
      </c>
      <c r="S48" s="445">
        <v>-21.575210923916089150468849400</v>
      </c>
      <c r="T48" s="445">
        <v>-27.539351695981784322914584320</v>
      </c>
      <c r="U48" s="445">
        <v>-7.2793195954154882917775963900</v>
      </c>
      <c r="V48" s="445">
        <v>11.311664033386548944540392740</v>
      </c>
      <c r="W48" s="445">
        <v>5.9558615835765060247369304700</v>
      </c>
      <c r="X48" s="446">
        <v>-15.465837212128275781386284230</v>
      </c>
      <c r="Y48" s="445">
        <v>-1.5597328705140617900904191600</v>
      </c>
      <c r="Z48" s="445">
        <v>10.409038750788431626126345760</v>
      </c>
      <c r="AA48" s="445">
        <v>1.3165851820770867925400773100</v>
      </c>
      <c r="AB48" s="445">
        <v>-2.5033312737466228094698624700</v>
      </c>
      <c r="AC48" s="445">
        <v>3.0245958507472736396135445800</v>
      </c>
      <c r="AD48" s="447">
        <v>8.618634108916652824386875920</v>
      </c>
      <c r="AE48" s="448"/>
      <c r="AF48" s="444">
        <v>3.5547883033955500903470192100</v>
      </c>
      <c r="AG48" s="445">
        <v>-11.859507344847080899324184240</v>
      </c>
      <c r="AH48" s="449">
        <v>-8.927238307251267858373354780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181</v>
      </c>
      <c r="C49" s="329">
        <v>-4.4510149698581869944279063900</v>
      </c>
      <c r="D49" s="330">
        <v>-1.7756527884379482896179915500</v>
      </c>
      <c r="E49" s="330">
        <v>10.534206859800724965036894630</v>
      </c>
      <c r="F49" s="330">
        <v>5.9450261501663149387306212800</v>
      </c>
      <c r="G49" s="330">
        <v>1.3763929768646814741250602300</v>
      </c>
      <c r="H49" s="330">
        <v>-7.3988643727477819138370219400</v>
      </c>
      <c r="I49" s="330">
        <v>0.1969293681913767141460916100</v>
      </c>
      <c r="J49" s="330">
        <v>11.398547454203641113681960410</v>
      </c>
      <c r="K49" s="330">
        <v>21.159890454235637133804481110</v>
      </c>
      <c r="L49" s="330">
        <v>31.031253084897902282805458980</v>
      </c>
      <c r="M49" s="330">
        <v>20.316995067097021158281117910</v>
      </c>
      <c r="N49" s="663">
        <v>-21.013726006850562369129990160</v>
      </c>
      <c r="O49" s="330">
        <v>-4.6116080164791423324322901800</v>
      </c>
      <c r="P49" s="330">
        <v>-13.523695385440340650986363190</v>
      </c>
      <c r="Q49" s="330">
        <v>-21.968810729212506444801661520</v>
      </c>
      <c r="R49" s="330">
        <v>14.451274469024903763930415270</v>
      </c>
      <c r="S49" s="330">
        <v>-6.9296311694367353057465880800</v>
      </c>
      <c r="T49" s="330">
        <v>-9.705734624125264977969854340</v>
      </c>
      <c r="U49" s="330">
        <v>-1.7565416816961899092713440900</v>
      </c>
      <c r="V49" s="330">
        <v>-1.2351138836397886445250884500</v>
      </c>
      <c r="W49" s="330">
        <v>-1.5665448432448178855697762900</v>
      </c>
      <c r="X49" s="331">
        <v>-11.877264737984605264665691280</v>
      </c>
      <c r="Y49" s="330">
        <v>-5.6638621406936411235419980800</v>
      </c>
      <c r="Z49" s="330">
        <v>3.046595453612849687820493500</v>
      </c>
      <c r="AA49" s="330">
        <v>-5.5996949673983711810190982100</v>
      </c>
      <c r="AB49" s="330">
        <v>-15.076155855656682620771894660</v>
      </c>
      <c r="AC49" s="330">
        <v>0.1251618872132519363369127900</v>
      </c>
      <c r="AD49" s="338">
        <v>3.7249896581995713489331153700</v>
      </c>
      <c r="AE49" s="88"/>
      <c r="AF49" s="329">
        <v>-1.0185207577684046280594761600</v>
      </c>
      <c r="AG49" s="330">
        <v>-1.1179414305312333104637476600</v>
      </c>
      <c r="AH49" s="332">
        <v>-3.66133871017795151728794800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182</v>
      </c>
      <c r="D52" s="276"/>
      <c r="E52" s="276"/>
      <c r="F52" s="276"/>
      <c r="G52" s="276"/>
      <c r="H52" s="276"/>
      <c r="I52" s="276"/>
      <c r="J52" s="276"/>
      <c r="K52" s="276"/>
      <c r="L52" s="276"/>
      <c r="M52" s="276"/>
      <c r="N52" s="658" t="s">
        <v>179</v>
      </c>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20</v>
      </c>
      <c r="D53" s="42">
        <v>21</v>
      </c>
      <c r="E53" s="42">
        <v>22</v>
      </c>
      <c r="F53" s="42">
        <v>23</v>
      </c>
      <c r="G53" s="42">
        <v>24</v>
      </c>
      <c r="H53" s="42">
        <v>25</v>
      </c>
      <c r="I53" s="42">
        <v>26</v>
      </c>
      <c r="J53" s="42">
        <v>27</v>
      </c>
      <c r="K53" s="42">
        <v>28</v>
      </c>
      <c r="L53" s="42">
        <v>29</v>
      </c>
      <c r="M53" s="42">
        <v>30</v>
      </c>
      <c r="N53" s="659">
        <v>1</v>
      </c>
      <c r="O53" s="42">
        <v>2</v>
      </c>
      <c r="P53" s="42">
        <v>3</v>
      </c>
      <c r="Q53" s="42">
        <v>4</v>
      </c>
      <c r="R53" s="42">
        <v>5</v>
      </c>
      <c r="S53" s="42">
        <v>6</v>
      </c>
      <c r="T53" s="42">
        <v>7</v>
      </c>
      <c r="U53" s="42">
        <v>8</v>
      </c>
      <c r="V53" s="42">
        <v>9</v>
      </c>
      <c r="W53" s="42">
        <v>10</v>
      </c>
      <c r="X53" s="323">
        <v>11</v>
      </c>
      <c r="Y53" s="42">
        <v>12</v>
      </c>
      <c r="Z53" s="42">
        <v>13</v>
      </c>
      <c r="AA53" s="42">
        <v>14</v>
      </c>
      <c r="AB53" s="42">
        <v>15</v>
      </c>
      <c r="AC53" s="42">
        <v>16</v>
      </c>
      <c r="AD53" s="337">
        <v>17</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170</v>
      </c>
      <c r="D54" s="456" t="s">
        <v>170</v>
      </c>
      <c r="E54" s="456" t="s">
        <v>170</v>
      </c>
      <c r="F54" s="456" t="s">
        <v>170</v>
      </c>
      <c r="G54" s="456" t="s">
        <v>171</v>
      </c>
      <c r="H54" s="456" t="s">
        <v>170</v>
      </c>
      <c r="I54" s="456" t="s">
        <v>170</v>
      </c>
      <c r="J54" s="456" t="s">
        <v>171</v>
      </c>
      <c r="K54" s="456" t="s">
        <v>170</v>
      </c>
      <c r="L54" s="456" t="s">
        <v>170</v>
      </c>
      <c r="M54" s="456" t="s">
        <v>170</v>
      </c>
      <c r="N54" s="664" t="s">
        <v>170</v>
      </c>
      <c r="O54" s="456" t="s">
        <v>170</v>
      </c>
      <c r="P54" s="456" t="s">
        <v>170</v>
      </c>
      <c r="Q54" s="456" t="s">
        <v>170</v>
      </c>
      <c r="R54" s="456" t="s">
        <v>170</v>
      </c>
      <c r="S54" s="456" t="s">
        <v>170</v>
      </c>
      <c r="T54" s="456" t="s">
        <v>171</v>
      </c>
      <c r="U54" s="456" t="s">
        <v>170</v>
      </c>
      <c r="V54" s="456" t="s">
        <v>170</v>
      </c>
      <c r="W54" s="456" t="s">
        <v>170</v>
      </c>
      <c r="X54" s="457" t="s">
        <v>170</v>
      </c>
      <c r="Y54" s="456" t="s">
        <v>170</v>
      </c>
      <c r="Z54" s="456" t="s">
        <v>170</v>
      </c>
      <c r="AA54" s="456" t="s">
        <v>170</v>
      </c>
      <c r="AB54" s="456" t="s">
        <v>170</v>
      </c>
      <c r="AC54" s="456" t="s">
        <v>170</v>
      </c>
      <c r="AD54" s="458" t="s">
        <v>170</v>
      </c>
      <c r="AE54" s="459"/>
      <c r="AF54" s="455" t="s">
        <v>170</v>
      </c>
      <c r="AG54" s="456" t="s">
        <v>170</v>
      </c>
      <c r="AH54" s="460" t="s">
        <v>170</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171</v>
      </c>
      <c r="D55" s="334" t="s">
        <v>172</v>
      </c>
      <c r="E55" s="334" t="s">
        <v>173</v>
      </c>
      <c r="F55" s="334" t="s">
        <v>173</v>
      </c>
      <c r="G55" s="334" t="s">
        <v>173</v>
      </c>
      <c r="H55" s="334" t="s">
        <v>173</v>
      </c>
      <c r="I55" s="334" t="s">
        <v>171</v>
      </c>
      <c r="J55" s="334" t="s">
        <v>173</v>
      </c>
      <c r="K55" s="334" t="s">
        <v>171</v>
      </c>
      <c r="L55" s="334" t="s">
        <v>170</v>
      </c>
      <c r="M55" s="334" t="s">
        <v>170</v>
      </c>
      <c r="N55" s="665" t="s">
        <v>172</v>
      </c>
      <c r="O55" s="334" t="s">
        <v>173</v>
      </c>
      <c r="P55" s="334" t="s">
        <v>173</v>
      </c>
      <c r="Q55" s="334" t="s">
        <v>173</v>
      </c>
      <c r="R55" s="334" t="s">
        <v>174</v>
      </c>
      <c r="S55" s="334" t="s">
        <v>173</v>
      </c>
      <c r="T55" s="334" t="s">
        <v>173</v>
      </c>
      <c r="U55" s="334" t="s">
        <v>171</v>
      </c>
      <c r="V55" s="334" t="s">
        <v>174</v>
      </c>
      <c r="W55" s="334" t="s">
        <v>174</v>
      </c>
      <c r="X55" s="60" t="s">
        <v>172</v>
      </c>
      <c r="Y55" s="61" t="s">
        <v>171</v>
      </c>
      <c r="Z55" s="61" t="s">
        <v>174</v>
      </c>
      <c r="AA55" s="61" t="s">
        <v>170</v>
      </c>
      <c r="AB55" s="61" t="s">
        <v>173</v>
      </c>
      <c r="AC55" s="61" t="s">
        <v>171</v>
      </c>
      <c r="AD55" s="62" t="s">
        <v>174</v>
      </c>
      <c r="AE55" s="59"/>
      <c r="AF55" s="333" t="s">
        <v>174</v>
      </c>
      <c r="AG55" s="334" t="s">
        <v>171</v>
      </c>
      <c r="AH55" s="335" t="s">
        <v>171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45717</v>
      </c>
      <c r="C72" s="666">
        <v>45724</v>
      </c>
      <c r="D72" s="666">
        <v>45731</v>
      </c>
      <c r="E72" s="666">
        <v>45738</v>
      </c>
      <c r="F72" s="666">
        <v>45745</v>
      </c>
      <c r="G72" s="666">
        <v>45752</v>
      </c>
      <c r="H72" s="666">
        <v>45759</v>
      </c>
      <c r="I72" s="666">
        <v>45766</v>
      </c>
      <c r="J72" s="666">
        <v>45773</v>
      </c>
      <c r="K72" s="666">
        <v>45780</v>
      </c>
      <c r="L72" s="666">
        <v>45787</v>
      </c>
      <c r="M72" s="666">
        <v>45794</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356.41073512252042007001166861</v>
      </c>
      <c r="C73" s="666">
        <v>294.28199052132701421800947867</v>
      </c>
      <c r="D73" s="666">
        <v>272.44761904761904761904761905</v>
      </c>
      <c r="E73" s="666">
        <v>292.02738095238095238095238095</v>
      </c>
      <c r="F73" s="666">
        <v>328.03836930455635491606714628</v>
      </c>
      <c r="G73" s="666">
        <v>264.93856655290102389078498294</v>
      </c>
      <c r="H73" s="666">
        <v>297.68166089965397923875432526</v>
      </c>
      <c r="I73" s="666">
        <v>261.60854893138357705286839145</v>
      </c>
      <c r="J73" s="666">
        <v>236.04422604422604422604422604</v>
      </c>
      <c r="K73" s="666">
        <v>322.13578826237054085155350978</v>
      </c>
      <c r="L73" s="666">
        <v>232.81440443213296398891966759</v>
      </c>
      <c r="M73" s="666">
        <v>199.37266187050359712230215827</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456.69905106190691369182105739</v>
      </c>
      <c r="C74" s="666">
        <v>380.43819702602230483271375465</v>
      </c>
      <c r="D74" s="666">
        <v>360.12587412587412587412587413</v>
      </c>
      <c r="E74" s="666">
        <v>398.99439252336448598130841121</v>
      </c>
      <c r="F74" s="666">
        <v>380.24565523720056364490371066</v>
      </c>
      <c r="G74" s="666">
        <v>341.34264079507808802650260293</v>
      </c>
      <c r="H74" s="666">
        <v>323.78790697674418604651162791</v>
      </c>
      <c r="I74" s="666">
        <v>374.43093922651933701657458564</v>
      </c>
      <c r="J74" s="666">
        <v>342.5159362549800796812749004</v>
      </c>
      <c r="K74" s="666">
        <v>383.20122753178430512932924156</v>
      </c>
      <c r="L74" s="666">
        <v>280.47484454494064443188241945</v>
      </c>
      <c r="M74" s="666">
        <v>238.04658385093167701863354037</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181</v>
      </c>
      <c r="B75" s="666">
        <v>319.08957751109649843827059017</v>
      </c>
      <c r="C75" s="666">
        <v>289.62673644313855034163812438</v>
      </c>
      <c r="D75" s="666">
        <v>265.91052232316317279404962348</v>
      </c>
      <c r="E75" s="666">
        <v>286.60591050570634894072760133</v>
      </c>
      <c r="F75" s="666">
        <v>303.53818418460672576333192627</v>
      </c>
      <c r="G75" s="666">
        <v>260.3981971594780147790996279</v>
      </c>
      <c r="H75" s="666">
        <v>261.89942077443977236266612628</v>
      </c>
      <c r="I75" s="666">
        <v>255.10352979986804486474598636</v>
      </c>
      <c r="J75" s="666">
        <v>229.51864479846373914917798287</v>
      </c>
      <c r="K75" s="666">
        <v>288.92838980938294583949611952</v>
      </c>
      <c r="L75" s="666">
        <v>226.77635622326216634196308422</v>
      </c>
      <c r="M75" s="666">
        <v>209.71927277189251094114278703</v>
      </c>
      <c r="N75" s="666"/>
      <c r="O75" s="666"/>
      <c r="P75" s="666"/>
      <c r="Q75" s="666"/>
      <c r="R75" s="666"/>
      <c r="S75" s="666"/>
      <c r="T75" s="666"/>
      <c r="U75" s="666"/>
      <c r="V75" s="666"/>
      <c r="W75" s="666"/>
      <c r="X75" s="666"/>
      <c r="Y75" s="666"/>
      <c r="Z75" s="666"/>
      <c r="AA75" s="666"/>
      <c r="AB75" s="666"/>
      <c r="AC75" s="666"/>
      <c r="AD75" s="666"/>
      <c r="AE75" s="666"/>
      <c r="AF75" s="666"/>
      <c r="AG75" s="666"/>
      <c r="AH75" s="666"/>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133</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177</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178</v>
      </c>
      <c r="R4" s="618" t="s">
        <v>183</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182</v>
      </c>
      <c r="D24" s="276"/>
      <c r="E24" s="276"/>
      <c r="F24" s="276"/>
      <c r="G24" s="276"/>
      <c r="H24" s="276"/>
      <c r="I24" s="276"/>
      <c r="J24" s="276"/>
      <c r="K24" s="276"/>
      <c r="L24" s="276"/>
      <c r="M24" s="276"/>
      <c r="N24" s="658" t="s">
        <v>179</v>
      </c>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20</v>
      </c>
      <c r="D25" s="280">
        <v>21</v>
      </c>
      <c r="E25" s="280">
        <v>22</v>
      </c>
      <c r="F25" s="280">
        <v>23</v>
      </c>
      <c r="G25" s="280">
        <v>24</v>
      </c>
      <c r="H25" s="280">
        <v>25</v>
      </c>
      <c r="I25" s="280">
        <v>26</v>
      </c>
      <c r="J25" s="280">
        <v>27</v>
      </c>
      <c r="K25" s="280">
        <v>28</v>
      </c>
      <c r="L25" s="280">
        <v>29</v>
      </c>
      <c r="M25" s="280">
        <v>30</v>
      </c>
      <c r="N25" s="676">
        <v>1</v>
      </c>
      <c r="O25" s="280">
        <v>2</v>
      </c>
      <c r="P25" s="280">
        <v>3</v>
      </c>
      <c r="Q25" s="280">
        <v>4</v>
      </c>
      <c r="R25" s="280">
        <v>5</v>
      </c>
      <c r="S25" s="280">
        <v>6</v>
      </c>
      <c r="T25" s="280">
        <v>7</v>
      </c>
      <c r="U25" s="280">
        <v>8</v>
      </c>
      <c r="V25" s="280">
        <v>9</v>
      </c>
      <c r="W25" s="280">
        <v>10</v>
      </c>
      <c r="X25" s="315">
        <v>11</v>
      </c>
      <c r="Y25" s="280">
        <v>12</v>
      </c>
      <c r="Z25" s="280">
        <v>13</v>
      </c>
      <c r="AA25" s="280">
        <v>14</v>
      </c>
      <c r="AB25" s="280">
        <v>15</v>
      </c>
      <c r="AC25" s="280">
        <v>16</v>
      </c>
      <c r="AD25" s="373">
        <v>17</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194.85606060606060606060606061</v>
      </c>
      <c r="D26" s="462">
        <v>170.32575757575757575757575758</v>
      </c>
      <c r="E26" s="462">
        <v>182.71212121212121212121212121</v>
      </c>
      <c r="F26" s="462">
        <v>182.39393939393939393939393939</v>
      </c>
      <c r="G26" s="462">
        <v>184.22727272727272727272727273</v>
      </c>
      <c r="H26" s="462">
        <v>255.31060606060606060606060606</v>
      </c>
      <c r="I26" s="462">
        <v>285.78030303030303030303030303</v>
      </c>
      <c r="J26" s="462">
        <v>203.12121212121212121212121212</v>
      </c>
      <c r="K26" s="462">
        <v>268.12878787878787878787878788</v>
      </c>
      <c r="L26" s="462">
        <v>302.04545454545454545454545455</v>
      </c>
      <c r="M26" s="462">
        <v>255.12878787878787878787878788</v>
      </c>
      <c r="N26" s="673">
        <v>279.04545454545454545454545455</v>
      </c>
      <c r="O26" s="462">
        <v>407.40151515151515151515151515</v>
      </c>
      <c r="P26" s="462">
        <v>405.85606060606060606060606061</v>
      </c>
      <c r="Q26" s="462">
        <v>283.34090909090909090909090909</v>
      </c>
      <c r="R26" s="462">
        <v>123.35606060606060606060606061</v>
      </c>
      <c r="S26" s="462">
        <v>89.17424242424242424242424242</v>
      </c>
      <c r="T26" s="462">
        <v>153.42424242424242424242424242</v>
      </c>
      <c r="U26" s="462">
        <v>178.47727272727272727272727273</v>
      </c>
      <c r="V26" s="462">
        <v>220.64393939393939393939393939</v>
      </c>
      <c r="W26" s="462">
        <v>225.00757575757575757575757576</v>
      </c>
      <c r="X26" s="463">
        <v>96.67424242424242424242424242</v>
      </c>
      <c r="Y26" s="462">
        <v>94.43939393939393939393939394</v>
      </c>
      <c r="Z26" s="462">
        <v>110.98484848484848484848484848</v>
      </c>
      <c r="AA26" s="462">
        <v>108.79545454545454545454545455</v>
      </c>
      <c r="AB26" s="462">
        <v>136.56060606060606060606060606</v>
      </c>
      <c r="AC26" s="462">
        <v>224.74242424242424242424242424</v>
      </c>
      <c r="AD26" s="464">
        <v>277.53030303030303030303030303</v>
      </c>
      <c r="AE26" s="465"/>
      <c r="AF26" s="461">
        <v>149.96103896103896103896103896</v>
      </c>
      <c r="AG26" s="462">
        <v>210.69588744588744588744588745</v>
      </c>
      <c r="AH26" s="466">
        <v>200.90909090909090909090909091</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242.31686046511627906976744186</v>
      </c>
      <c r="D27" s="85">
        <v>213.47383720930232558139534884</v>
      </c>
      <c r="E27" s="85">
        <v>220.31686046511627906976744186</v>
      </c>
      <c r="F27" s="85">
        <v>238.0436046511627906976744186</v>
      </c>
      <c r="G27" s="85">
        <v>294.26744186046511627906976744</v>
      </c>
      <c r="H27" s="85">
        <v>416.2063953488372093023255814</v>
      </c>
      <c r="I27" s="85">
        <v>374.71220930232558139534883721</v>
      </c>
      <c r="J27" s="85">
        <v>286.4593023255813953488372093</v>
      </c>
      <c r="K27" s="85">
        <v>347.52616279069767441860465116</v>
      </c>
      <c r="L27" s="85">
        <v>308.34302325581395348837209302</v>
      </c>
      <c r="M27" s="85">
        <v>286.15406976744186046511627907</v>
      </c>
      <c r="N27" s="674">
        <v>343.40406976744186046511627907</v>
      </c>
      <c r="O27" s="85">
        <v>480.10465116279069767441860465</v>
      </c>
      <c r="P27" s="85">
        <v>488.94476744186046511627906977</v>
      </c>
      <c r="Q27" s="85">
        <v>250.57848837209302325581395349</v>
      </c>
      <c r="R27" s="85">
        <v>158.02325581395348837209302326</v>
      </c>
      <c r="S27" s="85">
        <v>188.31976744186046511627906977</v>
      </c>
      <c r="T27" s="85">
        <v>228.29651162790697674418604651</v>
      </c>
      <c r="U27" s="85">
        <v>222.34883720930232558139534884</v>
      </c>
      <c r="V27" s="85">
        <v>199.01744186046511627906976744</v>
      </c>
      <c r="W27" s="85">
        <v>195.74127906976744186046511628</v>
      </c>
      <c r="X27" s="86">
        <v>129.69476744186046511627906977</v>
      </c>
      <c r="Y27" s="85">
        <v>109.18604651162790697674418605</v>
      </c>
      <c r="Z27" s="85">
        <v>113.34593023255813953488372093</v>
      </c>
      <c r="AA27" s="85">
        <v>120.93023255813953488372093023</v>
      </c>
      <c r="AB27" s="85">
        <v>147.27034883720930232558139535</v>
      </c>
      <c r="AC27" s="85">
        <v>230.39534883720930232558139535</v>
      </c>
      <c r="AD27" s="87">
        <v>263.2906976744186046511627907</v>
      </c>
      <c r="AE27" s="169"/>
      <c r="AF27" s="370">
        <v>159.15905315614617940199335548</v>
      </c>
      <c r="AG27" s="85">
        <v>253.45400747508305647840531561</v>
      </c>
      <c r="AH27" s="371">
        <v>227.5819083447332421340629275</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181</v>
      </c>
      <c r="C28" s="467">
        <v>149.02147846939839432801584819</v>
      </c>
      <c r="D28" s="468">
        <v>134.90783025753310395162131165</v>
      </c>
      <c r="E28" s="468">
        <v>151.86383067459076217287039933</v>
      </c>
      <c r="F28" s="468">
        <v>166.56897091022833906787613388</v>
      </c>
      <c r="G28" s="468">
        <v>170.48910436867896986758419351</v>
      </c>
      <c r="H28" s="468">
        <v>215.8140965488478782191637994</v>
      </c>
      <c r="I28" s="468">
        <v>232.58638306745907621728703993</v>
      </c>
      <c r="J28" s="468">
        <v>197.69043895318527786466478991</v>
      </c>
      <c r="K28" s="468">
        <v>238.10937337086852257324575123</v>
      </c>
      <c r="L28" s="468">
        <v>255.82566989886351788134709624</v>
      </c>
      <c r="M28" s="468">
        <v>240.19862370972786987801063497</v>
      </c>
      <c r="N28" s="675">
        <v>245.24595975393598164946303827</v>
      </c>
      <c r="O28" s="468">
        <v>306.06495673026795954540715254</v>
      </c>
      <c r="P28" s="468">
        <v>329.57355854446877280784068397</v>
      </c>
      <c r="Q28" s="468">
        <v>216.23542904806589510999895736</v>
      </c>
      <c r="R28" s="468">
        <v>142.92899593368783234282139506</v>
      </c>
      <c r="S28" s="468">
        <v>137.93400062558648733187363153</v>
      </c>
      <c r="T28" s="468">
        <v>151.9496402877697841726618705</v>
      </c>
      <c r="U28" s="468">
        <v>177.43029923886977374622041497</v>
      </c>
      <c r="V28" s="468">
        <v>178.77802106141174017307892816</v>
      </c>
      <c r="W28" s="468">
        <v>171.98978208737357939735168387</v>
      </c>
      <c r="X28" s="469">
        <v>101.12574288395370659993744135</v>
      </c>
      <c r="Y28" s="468">
        <v>120.15796058805129809196121364</v>
      </c>
      <c r="Z28" s="468">
        <v>136.00187675946199562089458868</v>
      </c>
      <c r="AA28" s="468">
        <v>152.82525284120529663225940986</v>
      </c>
      <c r="AB28" s="468">
        <v>160.2637889688249400479616307</v>
      </c>
      <c r="AC28" s="468">
        <v>199.22667083724324887915754353</v>
      </c>
      <c r="AD28" s="470">
        <v>199.61495151704723177979355646</v>
      </c>
      <c r="AE28" s="465"/>
      <c r="AF28" s="467">
        <v>152.74517777082681680742362632</v>
      </c>
      <c r="AG28" s="468">
        <v>188.58652456916454414108464781</v>
      </c>
      <c r="AH28" s="471">
        <v>183.96158162983679552521665532</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182</v>
      </c>
      <c r="D33" s="276"/>
      <c r="E33" s="276"/>
      <c r="F33" s="276"/>
      <c r="G33" s="276"/>
      <c r="H33" s="276"/>
      <c r="I33" s="276"/>
      <c r="J33" s="276"/>
      <c r="K33" s="276"/>
      <c r="L33" s="276"/>
      <c r="M33" s="276"/>
      <c r="N33" s="658" t="s">
        <v>179</v>
      </c>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20</v>
      </c>
      <c r="D34" s="280">
        <v>21</v>
      </c>
      <c r="E34" s="280">
        <v>22</v>
      </c>
      <c r="F34" s="280">
        <v>23</v>
      </c>
      <c r="G34" s="280">
        <v>24</v>
      </c>
      <c r="H34" s="280">
        <v>25</v>
      </c>
      <c r="I34" s="280">
        <v>26</v>
      </c>
      <c r="J34" s="280">
        <v>27</v>
      </c>
      <c r="K34" s="280">
        <v>28</v>
      </c>
      <c r="L34" s="280">
        <v>29</v>
      </c>
      <c r="M34" s="280">
        <v>30</v>
      </c>
      <c r="N34" s="676">
        <v>1</v>
      </c>
      <c r="O34" s="280">
        <v>2</v>
      </c>
      <c r="P34" s="280">
        <v>3</v>
      </c>
      <c r="Q34" s="280">
        <v>4</v>
      </c>
      <c r="R34" s="280">
        <v>5</v>
      </c>
      <c r="S34" s="280">
        <v>6</v>
      </c>
      <c r="T34" s="280">
        <v>7</v>
      </c>
      <c r="U34" s="280">
        <v>8</v>
      </c>
      <c r="V34" s="280">
        <v>9</v>
      </c>
      <c r="W34" s="280">
        <v>10</v>
      </c>
      <c r="X34" s="315">
        <v>11</v>
      </c>
      <c r="Y34" s="280">
        <v>12</v>
      </c>
      <c r="Z34" s="280">
        <v>13</v>
      </c>
      <c r="AA34" s="280">
        <v>14</v>
      </c>
      <c r="AB34" s="280">
        <v>15</v>
      </c>
      <c r="AC34" s="280">
        <v>16</v>
      </c>
      <c r="AD34" s="373">
        <v>17</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9.181594362847284462274168480</v>
      </c>
      <c r="D35" s="445">
        <v>-20.984747311447838187876894570</v>
      </c>
      <c r="E35" s="445">
        <v>-5.263571372438733016835089400</v>
      </c>
      <c r="F35" s="445">
        <v>1.7109543322812901295145631700</v>
      </c>
      <c r="G35" s="445">
        <v>-26.542818305405248243170746670</v>
      </c>
      <c r="H35" s="445">
        <v>-22.152410431724423708142773980</v>
      </c>
      <c r="I35" s="445">
        <v>-8.203144011296547244229641510</v>
      </c>
      <c r="J35" s="445">
        <v>-1.172134168815350860806027500</v>
      </c>
      <c r="K35" s="445">
        <v>41.958126102991050336845628680</v>
      </c>
      <c r="L35" s="445">
        <v>55.099976659165032285276173970</v>
      </c>
      <c r="M35" s="445">
        <v>38.213083805309277505563751590</v>
      </c>
      <c r="N35" s="660">
        <v>-14.466840052009248882782984150</v>
      </c>
      <c r="O35" s="445">
        <v>-6.1778149970399832489970106400</v>
      </c>
      <c r="P35" s="445">
        <v>-8.059173831707757847520913330</v>
      </c>
      <c r="Q35" s="445">
        <v>-20.976568277370827743521086090</v>
      </c>
      <c r="R35" s="445">
        <v>-10.606642876734226805226766370</v>
      </c>
      <c r="S35" s="445">
        <v>-45.818181818170844649021861990</v>
      </c>
      <c r="T35" s="445">
        <v>-15.553331665407277457926652390</v>
      </c>
      <c r="U35" s="445">
        <v>2.6491220426196783841779526600</v>
      </c>
      <c r="V35" s="445">
        <v>-19.106210421071515946190772450</v>
      </c>
      <c r="W35" s="445">
        <v>-0.4958290060021845513615329300</v>
      </c>
      <c r="X35" s="446">
        <v>-26.040338472226319285251085760</v>
      </c>
      <c r="Y35" s="445">
        <v>-22.835035592718687207004329950</v>
      </c>
      <c r="Z35" s="445">
        <v>-11.810739224667492085332931920</v>
      </c>
      <c r="AA35" s="445">
        <v>-15.379176241836255375465181360</v>
      </c>
      <c r="AB35" s="445">
        <v>-10.166450712676912923125628810</v>
      </c>
      <c r="AC35" s="445">
        <v>3.6004889121791039348136626400</v>
      </c>
      <c r="AD35" s="447">
        <v>20.940213264651699027177949020</v>
      </c>
      <c r="AE35" s="448"/>
      <c r="AF35" s="444">
        <v>-5.0827487943631987796828508100</v>
      </c>
      <c r="AG35" s="445">
        <v>-5.6602722135099647197299783700</v>
      </c>
      <c r="AH35" s="449">
        <v>-9.608733571902858608174294090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28.425083109327255551579673630</v>
      </c>
      <c r="D36" s="81">
        <v>15.898501525008992662806484350</v>
      </c>
      <c r="E36" s="81">
        <v>12.667954298636565702467523020</v>
      </c>
      <c r="F36" s="81">
        <v>25.525474905528882992773170960</v>
      </c>
      <c r="G36" s="81">
        <v>14.662269325300986542197854180</v>
      </c>
      <c r="H36" s="81">
        <v>23.545028848456833196441950120</v>
      </c>
      <c r="I36" s="81">
        <v>12.888900814931306875751642590</v>
      </c>
      <c r="J36" s="81">
        <v>48.919883464152357969630435060</v>
      </c>
      <c r="K36" s="81">
        <v>125.93700448464347269415579572</v>
      </c>
      <c r="L36" s="81">
        <v>107.60196493112631094974481971</v>
      </c>
      <c r="M36" s="81">
        <v>61.828103594089655554566785130</v>
      </c>
      <c r="N36" s="661">
        <v>16.963904570287324698354993850</v>
      </c>
      <c r="O36" s="81">
        <v>24.065394482417242627717000240</v>
      </c>
      <c r="P36" s="81">
        <v>18.770585237301587570480287270</v>
      </c>
      <c r="Q36" s="81">
        <v>-11.026266418611184210614581800</v>
      </c>
      <c r="R36" s="81">
        <v>-12.453635847070145344232619940</v>
      </c>
      <c r="S36" s="81">
        <v>26.705712658594601838853869810</v>
      </c>
      <c r="T36" s="81">
        <v>37.951150698725019541350452160</v>
      </c>
      <c r="U36" s="81">
        <v>17.490144801403647001301675720</v>
      </c>
      <c r="V36" s="81">
        <v>-20.391168883048236229913415740</v>
      </c>
      <c r="W36" s="81">
        <v>-19.205109826911923347741837300</v>
      </c>
      <c r="X36" s="82">
        <v>-16.943308963757680099871438060</v>
      </c>
      <c r="Y36" s="81">
        <v>-15.502039285595049591578413420</v>
      </c>
      <c r="Z36" s="81">
        <v>-12.397012568185190820025722350</v>
      </c>
      <c r="AA36" s="81">
        <v>-6.7560880404352019786134688200</v>
      </c>
      <c r="AB36" s="81">
        <v>-17.894660432117127999857594130</v>
      </c>
      <c r="AC36" s="81">
        <v>-6.9024955355962818087792871600</v>
      </c>
      <c r="AD36" s="83">
        <v>4.893361054411667034694743900</v>
      </c>
      <c r="AE36" s="88"/>
      <c r="AF36" s="327">
        <v>-8.851126894548571470103160100</v>
      </c>
      <c r="AG36" s="81">
        <v>15.820247011178259817850511840</v>
      </c>
      <c r="AH36" s="328">
        <v>4.6175038009581860252884192200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181</v>
      </c>
      <c r="C37" s="450">
        <v>-8.918902972556678654692991470</v>
      </c>
      <c r="D37" s="451">
        <v>-25.002973387932683611308997990</v>
      </c>
      <c r="E37" s="451">
        <v>-21.474657702845476934163586290</v>
      </c>
      <c r="F37" s="451">
        <v>-12.054694319205497748941542700</v>
      </c>
      <c r="G37" s="451">
        <v>-25.457392620864090132834050100</v>
      </c>
      <c r="H37" s="451">
        <v>-9.196298003923361016525213980</v>
      </c>
      <c r="I37" s="451">
        <v>3.733485752373644169583648900</v>
      </c>
      <c r="J37" s="451">
        <v>27.713503683576703737326731090</v>
      </c>
      <c r="K37" s="451">
        <v>45.297146233265573960991248430</v>
      </c>
      <c r="L37" s="451">
        <v>46.528777805027615288280111940</v>
      </c>
      <c r="M37" s="451">
        <v>44.887587629909773282147040240</v>
      </c>
      <c r="N37" s="662">
        <v>10.007603173137288004010262340</v>
      </c>
      <c r="O37" s="451">
        <v>-1.7218151039373928131228459600</v>
      </c>
      <c r="P37" s="451">
        <v>6.8229731232574810400620509200</v>
      </c>
      <c r="Q37" s="451">
        <v>-6.7275109875757559529966191900</v>
      </c>
      <c r="R37" s="451">
        <v>-10.768681830547460904920805670</v>
      </c>
      <c r="S37" s="451">
        <v>-17.648201360369589279459656310</v>
      </c>
      <c r="T37" s="451">
        <v>-11.206256959020344157826096150</v>
      </c>
      <c r="U37" s="451">
        <v>6.8580951107555178857711238500</v>
      </c>
      <c r="V37" s="451">
        <v>-4.0694779780098420630609922800</v>
      </c>
      <c r="W37" s="451">
        <v>-2.1729300556385082744836692600</v>
      </c>
      <c r="X37" s="452">
        <v>-10.644280090254273576497679370</v>
      </c>
      <c r="Y37" s="451">
        <v>-3.497982782703307709840912300</v>
      </c>
      <c r="Z37" s="451">
        <v>-5.1576026252317397708569974200</v>
      </c>
      <c r="AA37" s="451">
        <v>1.9222156928138443400115799800</v>
      </c>
      <c r="AB37" s="451">
        <v>0.8872757952417300817462336800</v>
      </c>
      <c r="AC37" s="451">
        <v>3.1156434225318643549898641900</v>
      </c>
      <c r="AD37" s="453">
        <v>6.6407759139716841416275817500</v>
      </c>
      <c r="AE37" s="448"/>
      <c r="AF37" s="450">
        <v>-0.0986528176440484155189469300</v>
      </c>
      <c r="AG37" s="451">
        <v>0.6189680845215315862874395300</v>
      </c>
      <c r="AH37" s="454">
        <v>-0.73809036710605204855776200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182</v>
      </c>
      <c r="D40" s="276"/>
      <c r="E40" s="276"/>
      <c r="F40" s="276"/>
      <c r="G40" s="276"/>
      <c r="H40" s="276"/>
      <c r="I40" s="276"/>
      <c r="J40" s="276"/>
      <c r="K40" s="276"/>
      <c r="L40" s="276"/>
      <c r="M40" s="276"/>
      <c r="N40" s="658" t="s">
        <v>179</v>
      </c>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20</v>
      </c>
      <c r="D41" s="280">
        <v>21</v>
      </c>
      <c r="E41" s="280">
        <v>22</v>
      </c>
      <c r="F41" s="280">
        <v>23</v>
      </c>
      <c r="G41" s="280">
        <v>24</v>
      </c>
      <c r="H41" s="280">
        <v>25</v>
      </c>
      <c r="I41" s="280">
        <v>26</v>
      </c>
      <c r="J41" s="280">
        <v>27</v>
      </c>
      <c r="K41" s="280">
        <v>28</v>
      </c>
      <c r="L41" s="280">
        <v>29</v>
      </c>
      <c r="M41" s="280">
        <v>30</v>
      </c>
      <c r="N41" s="676">
        <v>1</v>
      </c>
      <c r="O41" s="280">
        <v>2</v>
      </c>
      <c r="P41" s="280">
        <v>3</v>
      </c>
      <c r="Q41" s="280">
        <v>4</v>
      </c>
      <c r="R41" s="280">
        <v>5</v>
      </c>
      <c r="S41" s="280">
        <v>6</v>
      </c>
      <c r="T41" s="280">
        <v>7</v>
      </c>
      <c r="U41" s="280">
        <v>8</v>
      </c>
      <c r="V41" s="280">
        <v>9</v>
      </c>
      <c r="W41" s="280">
        <v>10</v>
      </c>
      <c r="X41" s="315">
        <v>11</v>
      </c>
      <c r="Y41" s="280">
        <v>12</v>
      </c>
      <c r="Z41" s="280">
        <v>13</v>
      </c>
      <c r="AA41" s="280">
        <v>14</v>
      </c>
      <c r="AB41" s="280">
        <v>15</v>
      </c>
      <c r="AC41" s="280">
        <v>16</v>
      </c>
      <c r="AD41" s="373">
        <v>17</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80.41374431480181826904772695</v>
      </c>
      <c r="D42" s="445">
        <v>79.78764976654353423000502888</v>
      </c>
      <c r="E42" s="445">
        <v>82.93152000550784564358584773</v>
      </c>
      <c r="F42" s="445">
        <v>76.622070843363835395219710800</v>
      </c>
      <c r="G42" s="445">
        <v>62.605387657737291594518565360</v>
      </c>
      <c r="H42" s="445">
        <v>61.342307305644376926013599420</v>
      </c>
      <c r="I42" s="445">
        <v>76.266610997921625034724510550</v>
      </c>
      <c r="J42" s="445">
        <v>70.907528738702717232378498500</v>
      </c>
      <c r="K42" s="445">
        <v>77.153554634754295790507009670</v>
      </c>
      <c r="L42" s="445">
        <v>97.95760946888004676309808863</v>
      </c>
      <c r="M42" s="445">
        <v>89.15784007061965422757750872</v>
      </c>
      <c r="N42" s="660">
        <v>81.25863352011585856345119659</v>
      </c>
      <c r="O42" s="445">
        <v>84.85681489750205666347901447</v>
      </c>
      <c r="P42" s="445">
        <v>83.00652499656566977856260927</v>
      </c>
      <c r="Q42" s="445">
        <v>113.07471400743629680111265126</v>
      </c>
      <c r="R42" s="445">
        <v>78.061966240751211497884408860</v>
      </c>
      <c r="S42" s="445">
        <v>47.352566135551471072828107180</v>
      </c>
      <c r="T42" s="445">
        <v>67.203936376526099312230341020</v>
      </c>
      <c r="U42" s="445">
        <v>80.26903804280731661714585854</v>
      </c>
      <c r="V42" s="445">
        <v>110.86663426645708205871803380</v>
      </c>
      <c r="W42" s="445">
        <v>114.95152010186854687132872471</v>
      </c>
      <c r="X42" s="446">
        <v>74.539817088264611732085476650</v>
      </c>
      <c r="Y42" s="445">
        <v>86.49401361863636468802593346</v>
      </c>
      <c r="Z42" s="445">
        <v>97.91692410754732823166192471</v>
      </c>
      <c r="AA42" s="445">
        <v>89.96547202800143976096020327</v>
      </c>
      <c r="AB42" s="445">
        <v>92.72783499112029399183704296</v>
      </c>
      <c r="AC42" s="445">
        <v>97.54642416901819531582820546</v>
      </c>
      <c r="AD42" s="447">
        <v>105.40832071990348955170306283</v>
      </c>
      <c r="AE42" s="448"/>
      <c r="AF42" s="444">
        <v>94.22086647748537965201788510</v>
      </c>
      <c r="AG42" s="445">
        <v>83.12983075108282663254614796</v>
      </c>
      <c r="AH42" s="449">
        <v>88.27990430803053067870748832</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181</v>
      </c>
      <c r="C43" s="329">
        <v>130.75703087060182234536762984</v>
      </c>
      <c r="D43" s="330">
        <v>126.25342595063237169754891207</v>
      </c>
      <c r="E43" s="330">
        <v>120.31312551546267955569202023</v>
      </c>
      <c r="F43" s="330">
        <v>109.50055007079973370488798917</v>
      </c>
      <c r="G43" s="330">
        <v>108.05809169415456790504299962</v>
      </c>
      <c r="H43" s="330">
        <v>118.30117223268364611044347919</v>
      </c>
      <c r="I43" s="330">
        <v>122.87060801292282441758742022</v>
      </c>
      <c r="J43" s="330">
        <v>102.74710967144838427839145825</v>
      </c>
      <c r="K43" s="330">
        <v>112.60740561486716919889434899</v>
      </c>
      <c r="L43" s="330">
        <v>118.06690652459551379301049773</v>
      </c>
      <c r="M43" s="330">
        <v>106.21575758366218744585735763</v>
      </c>
      <c r="N43" s="663">
        <v>113.78187629491296941907881879</v>
      </c>
      <c r="O43" s="330">
        <v>133.10949397925076956039460625</v>
      </c>
      <c r="P43" s="330">
        <v>123.14581982803718042724277449</v>
      </c>
      <c r="Q43" s="330">
        <v>131.03352690084933513359754700</v>
      </c>
      <c r="R43" s="330">
        <v>86.30583304683772729408906910</v>
      </c>
      <c r="S43" s="330">
        <v>64.649935490736459330097693720</v>
      </c>
      <c r="T43" s="330">
        <v>100.97045450956610108710557227</v>
      </c>
      <c r="U43" s="330">
        <v>100.59007593002085617626527661</v>
      </c>
      <c r="V43" s="330">
        <v>123.41782176801299941329698339</v>
      </c>
      <c r="W43" s="330">
        <v>130.82612991697013723078367285</v>
      </c>
      <c r="X43" s="331">
        <v>95.59805413260218719603650236</v>
      </c>
      <c r="Y43" s="330">
        <v>78.596035982277538485311493390</v>
      </c>
      <c r="Z43" s="330">
        <v>81.60538010891527916958535424</v>
      </c>
      <c r="AA43" s="330">
        <v>71.189448420872818412341506280</v>
      </c>
      <c r="AB43" s="330">
        <v>85.20989484854345219480999738</v>
      </c>
      <c r="AC43" s="330">
        <v>112.80739837593064383445804423</v>
      </c>
      <c r="AD43" s="338">
        <v>139.03282340384580376704723764</v>
      </c>
      <c r="AE43" s="88"/>
      <c r="AF43" s="329">
        <v>98.17726565879628221646520180</v>
      </c>
      <c r="AG43" s="330">
        <v>111.72372359435184837936520134</v>
      </c>
      <c r="AH43" s="332">
        <v>109.21252640314632749535541355</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182</v>
      </c>
      <c r="D46" s="276"/>
      <c r="E46" s="276"/>
      <c r="F46" s="276"/>
      <c r="G46" s="276"/>
      <c r="H46" s="276"/>
      <c r="I46" s="276"/>
      <c r="J46" s="276"/>
      <c r="K46" s="276"/>
      <c r="L46" s="276"/>
      <c r="M46" s="276"/>
      <c r="N46" s="658" t="s">
        <v>179</v>
      </c>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20</v>
      </c>
      <c r="D47" s="280">
        <v>21</v>
      </c>
      <c r="E47" s="280">
        <v>22</v>
      </c>
      <c r="F47" s="280">
        <v>23</v>
      </c>
      <c r="G47" s="280">
        <v>24</v>
      </c>
      <c r="H47" s="280">
        <v>25</v>
      </c>
      <c r="I47" s="280">
        <v>26</v>
      </c>
      <c r="J47" s="280">
        <v>27</v>
      </c>
      <c r="K47" s="280">
        <v>28</v>
      </c>
      <c r="L47" s="280">
        <v>29</v>
      </c>
      <c r="M47" s="280">
        <v>30</v>
      </c>
      <c r="N47" s="676">
        <v>1</v>
      </c>
      <c r="O47" s="280">
        <v>2</v>
      </c>
      <c r="P47" s="280">
        <v>3</v>
      </c>
      <c r="Q47" s="280">
        <v>4</v>
      </c>
      <c r="R47" s="280">
        <v>5</v>
      </c>
      <c r="S47" s="280">
        <v>6</v>
      </c>
      <c r="T47" s="280">
        <v>7</v>
      </c>
      <c r="U47" s="280">
        <v>8</v>
      </c>
      <c r="V47" s="280">
        <v>9</v>
      </c>
      <c r="W47" s="280">
        <v>10</v>
      </c>
      <c r="X47" s="315">
        <v>11</v>
      </c>
      <c r="Y47" s="280">
        <v>12</v>
      </c>
      <c r="Z47" s="280">
        <v>13</v>
      </c>
      <c r="AA47" s="280">
        <v>14</v>
      </c>
      <c r="AB47" s="280">
        <v>15</v>
      </c>
      <c r="AC47" s="280">
        <v>16</v>
      </c>
      <c r="AD47" s="373">
        <v>17</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-14.984213582390254039650315910</v>
      </c>
      <c r="D48" s="445">
        <v>-31.823749531818083653241776300</v>
      </c>
      <c r="E48" s="445">
        <v>-15.915373437551907768207777380</v>
      </c>
      <c r="F48" s="445">
        <v>-18.971862557080936366012245930</v>
      </c>
      <c r="G48" s="445">
        <v>-35.936047553543025599519897030</v>
      </c>
      <c r="H48" s="445">
        <v>-36.988488898441882700929321250</v>
      </c>
      <c r="I48" s="445">
        <v>-18.683896002127690306520841510</v>
      </c>
      <c r="J48" s="445">
        <v>-33.636890163883754731959723920</v>
      </c>
      <c r="K48" s="445">
        <v>-37.169156320012648711847760460</v>
      </c>
      <c r="L48" s="445">
        <v>-25.289735715819039168046401780</v>
      </c>
      <c r="M48" s="445">
        <v>-14.592656815650543444717862130</v>
      </c>
      <c r="N48" s="660">
        <v>-26.872174571937355231785076060</v>
      </c>
      <c r="O48" s="445">
        <v>-24.376829337131957946375114960</v>
      </c>
      <c r="P48" s="445">
        <v>-22.589565434451485718250298550</v>
      </c>
      <c r="Q48" s="445">
        <v>-11.183414990265685606739497800</v>
      </c>
      <c r="R48" s="445">
        <v>2.1097312128761160077606928700</v>
      </c>
      <c r="S48" s="445">
        <v>-57.238062085002496488448100820</v>
      </c>
      <c r="T48" s="445">
        <v>-38.785093196519790452675660530</v>
      </c>
      <c r="U48" s="445">
        <v>-12.631717140063084440520875870</v>
      </c>
      <c r="V48" s="445">
        <v>1.6140903514388129351212809500</v>
      </c>
      <c r="W48" s="445">
        <v>23.156514948980974863180813780</v>
      </c>
      <c r="X48" s="446">
        <v>-10.952795488226637400431650470</v>
      </c>
      <c r="Y48" s="445">
        <v>-8.678311577045359397795105910</v>
      </c>
      <c r="Z48" s="445">
        <v>0.6692389844676247717185084300</v>
      </c>
      <c r="AA48" s="445">
        <v>-9.247883341852773055157378750</v>
      </c>
      <c r="AB48" s="445">
        <v>9.412554360228533635457998220</v>
      </c>
      <c r="AC48" s="445">
        <v>11.281703530282249515315061380</v>
      </c>
      <c r="AD48" s="447">
        <v>15.298253434714359757578121470</v>
      </c>
      <c r="AE48" s="448"/>
      <c r="AF48" s="444">
        <v>4.1343112336569701801294790200</v>
      </c>
      <c r="AG48" s="445">
        <v>-18.546428434576793587390304610</v>
      </c>
      <c r="AH48" s="449">
        <v>-13.598333793136218357483929560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181</v>
      </c>
      <c r="C49" s="329">
        <v>19.872946117416974941035551670</v>
      </c>
      <c r="D49" s="330">
        <v>5.3578471814217311399735886800</v>
      </c>
      <c r="E49" s="330">
        <v>20.644400719710572560457204500</v>
      </c>
      <c r="F49" s="330">
        <v>15.652511006699797961112197670</v>
      </c>
      <c r="G49" s="330">
        <v>-1.4561144595266912219384346400</v>
      </c>
      <c r="H49" s="330">
        <v>-14.268264556383983261540998010</v>
      </c>
      <c r="I49" s="330">
        <v>-11.507016926239115188230049210</v>
      </c>
      <c r="J49" s="330">
        <v>-22.617528310834301909851294610</v>
      </c>
      <c r="K49" s="330">
        <v>-2.2980631188173610520114515600</v>
      </c>
      <c r="L49" s="330">
        <v>5.849498632627447036381672500</v>
      </c>
      <c r="M49" s="330">
        <v>-4.6066774481655084585452590200</v>
      </c>
      <c r="N49" s="663">
        <v>-22.247956067726400792670995040</v>
      </c>
      <c r="O49" s="330">
        <v>-4.5340681635623130396520172500</v>
      </c>
      <c r="P49" s="330">
        <v>-13.931597782642147875815774500</v>
      </c>
      <c r="Q49" s="330">
        <v>-15.276806098631948992873761440</v>
      </c>
      <c r="R49" s="330">
        <v>0.1815942620985746487264700</v>
      </c>
      <c r="S49" s="330">
        <v>-34.206879416295476729790449110</v>
      </c>
      <c r="T49" s="330">
        <v>-4.8956993561928813075814397400</v>
      </c>
      <c r="U49" s="330">
        <v>-3.9388434388900727122350969400</v>
      </c>
      <c r="V49" s="330">
        <v>-15.674607128274977875806880930</v>
      </c>
      <c r="W49" s="330">
        <v>1.7143527354410083939116012100</v>
      </c>
      <c r="X49" s="331">
        <v>-17.230075923049122593216721800</v>
      </c>
      <c r="Y49" s="330">
        <v>-20.037977824346087078929013680</v>
      </c>
      <c r="Z49" s="330">
        <v>-7.0149392925626190391842642800</v>
      </c>
      <c r="AA49" s="330">
        <v>-16.975094013634197440531607330</v>
      </c>
      <c r="AB49" s="330">
        <v>-10.956512028633223564577322220</v>
      </c>
      <c r="AC49" s="330">
        <v>0.4701958631897738897943901600</v>
      </c>
      <c r="AD49" s="338">
        <v>13.408977221146289801447044910</v>
      </c>
      <c r="AE49" s="88"/>
      <c r="AF49" s="329">
        <v>-4.989017783317536635047926600</v>
      </c>
      <c r="AG49" s="330">
        <v>-6.2406128959548377189566746800</v>
      </c>
      <c r="AH49" s="332">
        <v>-8.936603413716705488919916760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182</v>
      </c>
      <c r="D52" s="276"/>
      <c r="E52" s="276"/>
      <c r="F52" s="276"/>
      <c r="G52" s="276"/>
      <c r="H52" s="276"/>
      <c r="I52" s="276"/>
      <c r="J52" s="276"/>
      <c r="K52" s="276"/>
      <c r="L52" s="276"/>
      <c r="M52" s="276"/>
      <c r="N52" s="658" t="s">
        <v>179</v>
      </c>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20</v>
      </c>
      <c r="D53" s="280">
        <v>21</v>
      </c>
      <c r="E53" s="280">
        <v>22</v>
      </c>
      <c r="F53" s="280">
        <v>23</v>
      </c>
      <c r="G53" s="280">
        <v>24</v>
      </c>
      <c r="H53" s="280">
        <v>25</v>
      </c>
      <c r="I53" s="280">
        <v>26</v>
      </c>
      <c r="J53" s="280">
        <v>27</v>
      </c>
      <c r="K53" s="280">
        <v>28</v>
      </c>
      <c r="L53" s="280">
        <v>29</v>
      </c>
      <c r="M53" s="280">
        <v>30</v>
      </c>
      <c r="N53" s="676">
        <v>1</v>
      </c>
      <c r="O53" s="280">
        <v>2</v>
      </c>
      <c r="P53" s="280">
        <v>3</v>
      </c>
      <c r="Q53" s="280">
        <v>4</v>
      </c>
      <c r="R53" s="280">
        <v>5</v>
      </c>
      <c r="S53" s="280">
        <v>6</v>
      </c>
      <c r="T53" s="280">
        <v>7</v>
      </c>
      <c r="U53" s="280">
        <v>8</v>
      </c>
      <c r="V53" s="280">
        <v>9</v>
      </c>
      <c r="W53" s="280">
        <v>10</v>
      </c>
      <c r="X53" s="315">
        <v>11</v>
      </c>
      <c r="Y53" s="280">
        <v>12</v>
      </c>
      <c r="Z53" s="280">
        <v>13</v>
      </c>
      <c r="AA53" s="280">
        <v>14</v>
      </c>
      <c r="AB53" s="280">
        <v>15</v>
      </c>
      <c r="AC53" s="280">
        <v>16</v>
      </c>
      <c r="AD53" s="373">
        <v>17</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170</v>
      </c>
      <c r="D54" s="445" t="s">
        <v>170</v>
      </c>
      <c r="E54" s="445" t="s">
        <v>170</v>
      </c>
      <c r="F54" s="445" t="s">
        <v>170</v>
      </c>
      <c r="G54" s="445" t="s">
        <v>171</v>
      </c>
      <c r="H54" s="445" t="s">
        <v>170</v>
      </c>
      <c r="I54" s="445" t="s">
        <v>170</v>
      </c>
      <c r="J54" s="445" t="s">
        <v>171</v>
      </c>
      <c r="K54" s="445" t="s">
        <v>170</v>
      </c>
      <c r="L54" s="445" t="s">
        <v>170</v>
      </c>
      <c r="M54" s="445" t="s">
        <v>170</v>
      </c>
      <c r="N54" s="660" t="s">
        <v>170</v>
      </c>
      <c r="O54" s="445" t="s">
        <v>170</v>
      </c>
      <c r="P54" s="445" t="s">
        <v>170</v>
      </c>
      <c r="Q54" s="445" t="s">
        <v>170</v>
      </c>
      <c r="R54" s="445" t="s">
        <v>170</v>
      </c>
      <c r="S54" s="445" t="s">
        <v>171</v>
      </c>
      <c r="T54" s="445" t="s">
        <v>170</v>
      </c>
      <c r="U54" s="445" t="s">
        <v>170</v>
      </c>
      <c r="V54" s="445" t="s">
        <v>170</v>
      </c>
      <c r="W54" s="445" t="s">
        <v>170</v>
      </c>
      <c r="X54" s="446" t="s">
        <v>171</v>
      </c>
      <c r="Y54" s="445" t="s">
        <v>171</v>
      </c>
      <c r="Z54" s="445" t="s">
        <v>171</v>
      </c>
      <c r="AA54" s="445" t="s">
        <v>171</v>
      </c>
      <c r="AB54" s="445" t="s">
        <v>170</v>
      </c>
      <c r="AC54" s="445" t="s">
        <v>170</v>
      </c>
      <c r="AD54" s="447" t="s">
        <v>170</v>
      </c>
      <c r="AE54" s="448"/>
      <c r="AF54" s="444" t="s">
        <v>170</v>
      </c>
      <c r="AG54" s="445" t="s">
        <v>170</v>
      </c>
      <c r="AH54" s="449" t="s">
        <v>170</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171</v>
      </c>
      <c r="D55" s="330" t="s">
        <v>173</v>
      </c>
      <c r="E55" s="330" t="s">
        <v>171</v>
      </c>
      <c r="F55" s="330" t="s">
        <v>171</v>
      </c>
      <c r="G55" s="330" t="s">
        <v>173</v>
      </c>
      <c r="H55" s="330" t="s">
        <v>173</v>
      </c>
      <c r="I55" s="330" t="s">
        <v>172</v>
      </c>
      <c r="J55" s="330" t="s">
        <v>172</v>
      </c>
      <c r="K55" s="330" t="s">
        <v>173</v>
      </c>
      <c r="L55" s="330" t="s">
        <v>171</v>
      </c>
      <c r="M55" s="330" t="s">
        <v>173</v>
      </c>
      <c r="N55" s="663" t="s">
        <v>172</v>
      </c>
      <c r="O55" s="330" t="s">
        <v>173</v>
      </c>
      <c r="P55" s="330" t="s">
        <v>172</v>
      </c>
      <c r="Q55" s="330" t="s">
        <v>171</v>
      </c>
      <c r="R55" s="330" t="s">
        <v>170</v>
      </c>
      <c r="S55" s="330" t="s">
        <v>173</v>
      </c>
      <c r="T55" s="330" t="s">
        <v>173</v>
      </c>
      <c r="U55" s="330" t="s">
        <v>170</v>
      </c>
      <c r="V55" s="330" t="s">
        <v>170</v>
      </c>
      <c r="W55" s="330" t="s">
        <v>170</v>
      </c>
      <c r="X55" s="89" t="s">
        <v>171</v>
      </c>
      <c r="Y55" s="90" t="s">
        <v>173</v>
      </c>
      <c r="Z55" s="90" t="s">
        <v>170</v>
      </c>
      <c r="AA55" s="90" t="s">
        <v>171</v>
      </c>
      <c r="AB55" s="90" t="s">
        <v>170</v>
      </c>
      <c r="AC55" s="90" t="s">
        <v>174</v>
      </c>
      <c r="AD55" s="91" t="s">
        <v>174</v>
      </c>
      <c r="AE55" s="88"/>
      <c r="AF55" s="329" t="s">
        <v>170</v>
      </c>
      <c r="AG55" s="330" t="s">
        <v>173</v>
      </c>
      <c r="AH55" s="332" t="s">
        <v>171</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66"/>
      <c r="B72" s="666" t="n">
        <v>45717</v>
      </c>
      <c r="C72" s="666">
        <v>45724</v>
      </c>
      <c r="D72" s="666">
        <v>45731</v>
      </c>
      <c r="E72" s="666">
        <v>45738</v>
      </c>
      <c r="F72" s="666">
        <v>45745</v>
      </c>
      <c r="G72" s="666">
        <v>45752</v>
      </c>
      <c r="H72" s="666">
        <v>45759</v>
      </c>
      <c r="I72" s="666">
        <v>45766</v>
      </c>
      <c r="J72" s="666">
        <v>45773</v>
      </c>
      <c r="K72" s="666">
        <v>45780</v>
      </c>
      <c r="L72" s="666">
        <v>45787</v>
      </c>
      <c r="M72" s="666">
        <v>45794</v>
      </c>
      <c r="N72" s="666"/>
      <c r="O72" s="666"/>
      <c r="P72" s="666"/>
      <c r="Q72" s="666"/>
      <c r="R72" s="666"/>
      <c r="S72" s="666"/>
      <c r="T72" s="666"/>
      <c r="U72" s="666"/>
      <c r="V72" s="666"/>
      <c r="W72" s="666"/>
      <c r="X72" s="666"/>
      <c r="Y72" s="666"/>
      <c r="Z72" s="666"/>
      <c r="AA72" s="666"/>
      <c r="AB72" s="666"/>
      <c r="AC72" s="666"/>
      <c r="AD72" s="666"/>
      <c r="AE72" s="666"/>
      <c r="AF72" s="666"/>
      <c r="AG72" s="666"/>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66" t="s">
        <v>32</v>
      </c>
      <c r="B73" s="666">
        <v>330.56709956709956709956709957</v>
      </c>
      <c r="C73" s="666">
        <v>268.8030303030303030303030303</v>
      </c>
      <c r="D73" s="666">
        <v>247.67965367965367965367965368</v>
      </c>
      <c r="E73" s="666">
        <v>265.47943722943722943722943723</v>
      </c>
      <c r="F73" s="666">
        <v>296.08658008658008658008658009</v>
      </c>
      <c r="G73" s="666">
        <v>252.03571428571428571428571429</v>
      </c>
      <c r="H73" s="666">
        <v>279.31818181818181818181818182</v>
      </c>
      <c r="I73" s="666">
        <v>251.6991341991341991341991342</v>
      </c>
      <c r="J73" s="666">
        <v>207.94372294372294372294372294</v>
      </c>
      <c r="K73" s="666">
        <v>302.96103896103896103896103896</v>
      </c>
      <c r="L73" s="666">
        <v>181.91774891774891774891774892</v>
      </c>
      <c r="M73" s="666">
        <v>149.96103896103896103896103896</v>
      </c>
      <c r="N73" s="666"/>
      <c r="O73" s="666"/>
      <c r="P73" s="666"/>
      <c r="Q73" s="666"/>
      <c r="R73" s="666"/>
      <c r="S73" s="666"/>
      <c r="T73" s="666"/>
      <c r="U73" s="666"/>
      <c r="V73" s="666"/>
      <c r="W73" s="666"/>
      <c r="X73" s="666"/>
      <c r="Y73" s="666"/>
      <c r="Z73" s="666"/>
      <c r="AA73" s="666"/>
      <c r="AB73" s="666"/>
      <c r="AC73" s="666"/>
      <c r="AD73" s="666"/>
      <c r="AE73" s="666"/>
      <c r="AF73" s="666"/>
      <c r="AG73" s="666"/>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66" t="s">
        <v>26</v>
      </c>
      <c r="B74" s="666">
        <v>419.71553156146179401993355482</v>
      </c>
      <c r="C74" s="666">
        <v>339.99294019933554817275747508</v>
      </c>
      <c r="D74" s="666">
        <v>299.40697674418604651162790698</v>
      </c>
      <c r="E74" s="666">
        <v>354.58803986710963455149501661</v>
      </c>
      <c r="F74" s="666">
        <v>336.18895348837209302325581395</v>
      </c>
      <c r="G74" s="666">
        <v>299.52533222591362126245847176</v>
      </c>
      <c r="H74" s="666">
        <v>289.09634551495016611295681063</v>
      </c>
      <c r="I74" s="666">
        <v>337.73421926910299003322259136</v>
      </c>
      <c r="J74" s="666">
        <v>285.61960132890365448504983389</v>
      </c>
      <c r="K74" s="666">
        <v>362.99086378737541528239202658</v>
      </c>
      <c r="L74" s="666">
        <v>206.04651162790697674418604651</v>
      </c>
      <c r="M74" s="666">
        <v>159.15905315614617940199335548</v>
      </c>
      <c r="N74" s="666"/>
      <c r="O74" s="666"/>
      <c r="P74" s="666"/>
      <c r="Q74" s="666"/>
      <c r="R74" s="666"/>
      <c r="S74" s="666"/>
      <c r="T74" s="666"/>
      <c r="U74" s="666"/>
      <c r="V74" s="666"/>
      <c r="W74" s="666"/>
      <c r="X74" s="666"/>
      <c r="Y74" s="666"/>
      <c r="Z74" s="666"/>
      <c r="AA74" s="666"/>
      <c r="AB74" s="666"/>
      <c r="AC74" s="666"/>
      <c r="AD74" s="666"/>
      <c r="AE74" s="666"/>
      <c r="AF74" s="666"/>
      <c r="AG74" s="666"/>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66" t="s">
        <v>181</v>
      </c>
      <c r="B75" s="666">
        <v>288.75230954612397911366983532</v>
      </c>
      <c r="C75" s="666">
        <v>247.81632228023980601300188929</v>
      </c>
      <c r="D75" s="666">
        <v>213.79726573541006530697252347</v>
      </c>
      <c r="E75" s="666">
        <v>254.78639115752517814373484477</v>
      </c>
      <c r="F75" s="666">
        <v>256.73475550795138424004403386</v>
      </c>
      <c r="G75" s="666">
        <v>221.94389601107785768526376915</v>
      </c>
      <c r="H75" s="666">
        <v>231.00373862400762619717890284</v>
      </c>
      <c r="I75" s="666">
        <v>207.32932660083113633316948925</v>
      </c>
      <c r="J75" s="666">
        <v>174.46452775667664626063124656</v>
      </c>
      <c r="K75" s="666">
        <v>258.9583687087597003142827353</v>
      </c>
      <c r="L75" s="666">
        <v>168.17802404039501318200098306</v>
      </c>
      <c r="M75" s="666">
        <v>152.74517777082681680742362632</v>
      </c>
      <c r="N75" s="666"/>
      <c r="O75" s="666"/>
      <c r="P75" s="666"/>
      <c r="Q75" s="666"/>
      <c r="R75" s="666"/>
      <c r="S75" s="666"/>
      <c r="T75" s="666"/>
      <c r="U75" s="666"/>
      <c r="V75" s="666"/>
      <c r="W75" s="666"/>
      <c r="X75" s="666"/>
      <c r="Y75" s="666"/>
      <c r="Z75" s="666"/>
      <c r="AA75" s="666"/>
      <c r="AB75" s="666"/>
      <c r="AC75" s="666"/>
      <c r="AD75" s="666"/>
      <c r="AE75" s="666"/>
      <c r="AF75" s="666"/>
      <c r="AG75" s="666"/>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107" display="For all STR definitions, please click here or visit www.str.com/data-insights/resources/glossary"/>
    <hyperlink ref="A14:I14" r:id="rId108" display="For the latest in industry news, visit HotelNewsNow.com."/>
    <hyperlink ref="A15:I15" r:id="rId109" display="To learn more about the Hotel Data Conference, visit HotelDataConference.com."/>
    <hyperlink ref="A9:F9" r:id="rId110" display="For all STR FAQs, please click here or visit www.str.com/data-insights/resources/FAQ"/>
    <hyperlink ref="A12:E12" r:id="rId111"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115</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167</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0.5833333333333333333333333333</v>
      </c>
      <c r="F5" s="219">
        <v>-16.304347826123345935727772460</v>
      </c>
      <c r="G5" s="217"/>
      <c r="H5" s="221">
        <v>0.6363636363636363636363636364</v>
      </c>
      <c r="I5" s="219">
        <v>-20.000000000045714285714259590</v>
      </c>
      <c r="J5" s="217"/>
      <c r="K5" s="221">
        <v>0.696969696969696969696969697</v>
      </c>
      <c r="L5" s="219">
        <v>-15.596330275272721151418208510</v>
      </c>
      <c r="M5" s="217"/>
      <c r="N5" s="221">
        <v>0.7121212121212121212121212121</v>
      </c>
      <c r="O5" s="219">
        <v>-13.761467889952562915579473920</v>
      </c>
      <c r="P5" s="217"/>
      <c r="Q5" s="221">
        <v>0.8106060606060606060606060606</v>
      </c>
      <c r="R5" s="219">
        <v>3.8834951456351022716561411700</v>
      </c>
      <c r="S5" s="217"/>
      <c r="T5" s="221">
        <v>0.8636363636363636363636363636</v>
      </c>
      <c r="U5" s="219">
        <v>2.7027027027138056975894825700</v>
      </c>
      <c r="V5" s="217"/>
      <c r="W5" s="221">
        <v>0.9621212121212121212121212121</v>
      </c>
      <c r="X5" s="219">
        <v>16.513761467830047975759646950</v>
      </c>
      <c r="Y5" s="217"/>
      <c r="Z5" s="222">
        <v>0.7521645021645021645021645022</v>
      </c>
      <c r="AA5" s="219">
        <v>-5.8265582655474364906250556800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0.5726744186046511627906976744</v>
      </c>
      <c r="F6" s="219">
        <v>-20.546165100838404648459911270</v>
      </c>
      <c r="G6" s="217"/>
      <c r="H6" s="221">
        <v>0.5145348837209302325581395349</v>
      </c>
      <c r="I6" s="219">
        <v>-13.763953488345532320930224370</v>
      </c>
      <c r="J6" s="217"/>
      <c r="K6" s="221">
        <v>0.5523255813953488372093023256</v>
      </c>
      <c r="L6" s="219">
        <v>-7.4302325581110233953488284200</v>
      </c>
      <c r="M6" s="217"/>
      <c r="N6" s="221">
        <v>0.625</v>
      </c>
      <c r="O6" s="219">
        <v>-3.7224264705443440473615716900</v>
      </c>
      <c r="P6" s="217"/>
      <c r="Q6" s="221">
        <v>0.7180232558139534883720930233</v>
      </c>
      <c r="R6" s="219">
        <v>-7.4302325580990890161001612100</v>
      </c>
      <c r="S6" s="217"/>
      <c r="T6" s="221">
        <v>0.7965116279069767441860465116</v>
      </c>
      <c r="U6" s="219">
        <v>-4.9178427085487805284350032800</v>
      </c>
      <c r="V6" s="217"/>
      <c r="W6" s="221">
        <v>0.9011627906976744186046511628</v>
      </c>
      <c r="X6" s="219">
        <v>9.763723634376231097379794380</v>
      </c>
      <c r="Y6" s="217"/>
      <c r="Z6" s="222">
        <v>0.6686046511627906976744186047</v>
      </c>
      <c r="AA6" s="219">
        <v>-6.3506474756575051648135546400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101.86125211499717419498917261</v>
      </c>
      <c r="F7" s="218">
        <v>5.3387193709165856403859320100</v>
      </c>
      <c r="H7" s="223">
        <v>123.67745249099504322164477520</v>
      </c>
      <c r="I7" s="218">
        <v>-7.231368741850669064058900200</v>
      </c>
      <c r="K7" s="223">
        <v>126.18819776722483337530433977</v>
      </c>
      <c r="L7" s="218">
        <v>-8.821560151573039412612840910</v>
      </c>
      <c r="N7" s="223">
        <v>113.93939393939393939393939394</v>
      </c>
      <c r="O7" s="218">
        <v>-10.427185741534127670327159650</v>
      </c>
      <c r="Q7" s="223">
        <v>112.89412342043189693323935860</v>
      </c>
      <c r="R7" s="218">
        <v>12.221838745393991586009396100</v>
      </c>
      <c r="T7" s="223">
        <v>108.42733908427022508100882024</v>
      </c>
      <c r="U7" s="218">
        <v>8.014695531051588322104234150</v>
      </c>
      <c r="W7" s="223">
        <v>106.76441837728303017689907741</v>
      </c>
      <c r="X7" s="218">
        <v>6.1496071834865967218211188900</v>
      </c>
      <c r="Z7" s="224">
        <v>112.49764728022075925334905644</v>
      </c>
      <c r="AA7" s="218">
        <v>0.5596292936382490014267015700</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170</v>
      </c>
      <c r="F8" s="228" t="s">
        <v>171</v>
      </c>
      <c r="G8" s="229"/>
      <c r="H8" s="227" t="s">
        <v>170</v>
      </c>
      <c r="I8" s="228" t="s">
        <v>171</v>
      </c>
      <c r="J8" s="229"/>
      <c r="K8" s="227" t="s">
        <v>170</v>
      </c>
      <c r="L8" s="228" t="s">
        <v>170</v>
      </c>
      <c r="M8" s="229"/>
      <c r="N8" s="227" t="s">
        <v>170</v>
      </c>
      <c r="O8" s="228" t="s">
        <v>171</v>
      </c>
      <c r="P8" s="229"/>
      <c r="Q8" s="227" t="s">
        <v>171</v>
      </c>
      <c r="R8" s="228" t="s">
        <v>170</v>
      </c>
      <c r="S8" s="229"/>
      <c r="T8" s="227" t="s">
        <v>170</v>
      </c>
      <c r="U8" s="228" t="s">
        <v>174</v>
      </c>
      <c r="V8" s="229"/>
      <c r="W8" s="227" t="s">
        <v>170</v>
      </c>
      <c r="X8" s="228" t="s">
        <v>174</v>
      </c>
      <c r="Y8" s="229"/>
      <c r="Z8" s="230" t="s">
        <v>170</v>
      </c>
      <c r="AA8" s="228" t="s">
        <v>170</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0.5757575757575757575757575758</v>
      </c>
      <c r="F10" s="219">
        <v>-17.391304347862003780718320860</v>
      </c>
      <c r="G10" s="217"/>
      <c r="H10" s="221">
        <v>0.553030303030303030303030303</v>
      </c>
      <c r="I10" s="219">
        <v>-30.476190476230204081632630360</v>
      </c>
      <c r="J10" s="217"/>
      <c r="K10" s="221">
        <v>0.6136363636363636363636363636</v>
      </c>
      <c r="L10" s="219">
        <v>-25.688073394533591448531248800</v>
      </c>
      <c r="M10" s="217"/>
      <c r="N10" s="221">
        <v>0.6287878787878787878787878788</v>
      </c>
      <c r="O10" s="219">
        <v>-23.853211009213433212692514200</v>
      </c>
      <c r="P10" s="217"/>
      <c r="Q10" s="221">
        <v>0.7272727272727272727272727273</v>
      </c>
      <c r="R10" s="219">
        <v>-6.7961165048507493637477611900</v>
      </c>
      <c r="S10" s="217"/>
      <c r="T10" s="221">
        <v>0.8636363636363636363636363636</v>
      </c>
      <c r="U10" s="219">
        <v>2.7027027027138056975894825700</v>
      </c>
      <c r="V10" s="217"/>
      <c r="W10" s="221">
        <v>0.9621212121212121212121212121</v>
      </c>
      <c r="X10" s="219">
        <v>16.513761467830047975759646950</v>
      </c>
      <c r="Y10" s="217"/>
      <c r="Z10" s="222">
        <v>0.7034632034632034632034632035</v>
      </c>
      <c r="AA10" s="219">
        <v>-11.924119241159472976843577250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0.5726744186046511627906976744</v>
      </c>
      <c r="F11" s="219">
        <v>-20.282198871922837640659507060</v>
      </c>
      <c r="G11" s="217"/>
      <c r="H11" s="221">
        <v>0.5145348837209302325581395349</v>
      </c>
      <c r="I11" s="219">
        <v>-13.763953488345532320930224370</v>
      </c>
      <c r="J11" s="217"/>
      <c r="K11" s="221">
        <v>0.5377906976744186046511627908</v>
      </c>
      <c r="L11" s="219">
        <v>-9.866279069739680674418596080</v>
      </c>
      <c r="M11" s="217"/>
      <c r="N11" s="221">
        <v>0.6075581395348837209302325581</v>
      </c>
      <c r="O11" s="219">
        <v>-6.4092424760175251437142720200</v>
      </c>
      <c r="P11" s="217"/>
      <c r="Q11" s="221">
        <v>0.7034883720930232558139534884</v>
      </c>
      <c r="R11" s="219">
        <v>-9.304114490121374663547526370</v>
      </c>
      <c r="S11" s="217"/>
      <c r="T11" s="221">
        <v>0.7965116279069767441860465116</v>
      </c>
      <c r="U11" s="219">
        <v>-4.9178427085487805284350032800</v>
      </c>
      <c r="V11" s="217"/>
      <c r="W11" s="221">
        <v>0.8982558139534883720930232558</v>
      </c>
      <c r="X11" s="219">
        <v>9.409647106523404545452762780</v>
      </c>
      <c r="Y11" s="217"/>
      <c r="Z11" s="222">
        <v>0.6615448504983388704318936877</v>
      </c>
      <c r="AA11" s="219">
        <v>-7.2952199469205438997631262500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100.53837871096754345485309953</v>
      </c>
      <c r="F12" s="218">
        <v>3.6264102661387612504074548100</v>
      </c>
      <c r="H12" s="223">
        <v>107.48159561718883752782057866</v>
      </c>
      <c r="I12" s="218">
        <v>-19.379641882798795734241663280</v>
      </c>
      <c r="K12" s="223">
        <v>114.10319410319410319410319407</v>
      </c>
      <c r="L12" s="218">
        <v>-17.553690407315104717153610010</v>
      </c>
      <c r="N12" s="223">
        <v>103.49427287226330288531245470</v>
      </c>
      <c r="O12" s="218">
        <v>-18.638558971698179135460377630</v>
      </c>
      <c r="Q12" s="223">
        <v>103.38091660405709992486851991</v>
      </c>
      <c r="R12" s="218">
        <v>2.7652830899452640887500084500</v>
      </c>
      <c r="T12" s="223">
        <v>108.42733908427339084273390843</v>
      </c>
      <c r="U12" s="218">
        <v>8.014695531051588322104234150</v>
      </c>
      <c r="W12" s="223">
        <v>107.10993429440031381778954594</v>
      </c>
      <c r="X12" s="218">
        <v>6.4931334204227332886204801700</v>
      </c>
      <c r="Z12" s="224">
        <v>106.33643402004983925887880691</v>
      </c>
      <c r="AA12" s="218">
        <v>-4.9931614007050966711445143700</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170</v>
      </c>
      <c r="F13" s="232" t="s">
        <v>171</v>
      </c>
      <c r="G13" s="176"/>
      <c r="H13" s="231" t="s">
        <v>170</v>
      </c>
      <c r="I13" s="232" t="s">
        <v>173</v>
      </c>
      <c r="J13" s="176"/>
      <c r="K13" s="231" t="s">
        <v>170</v>
      </c>
      <c r="L13" s="232" t="s">
        <v>173</v>
      </c>
      <c r="M13" s="176"/>
      <c r="N13" s="231" t="s">
        <v>170</v>
      </c>
      <c r="O13" s="232" t="s">
        <v>171</v>
      </c>
      <c r="P13" s="176"/>
      <c r="Q13" s="231" t="s">
        <v>171</v>
      </c>
      <c r="R13" s="232" t="s">
        <v>170</v>
      </c>
      <c r="S13" s="176"/>
      <c r="T13" s="231" t="s">
        <v>170</v>
      </c>
      <c r="U13" s="232" t="s">
        <v>174</v>
      </c>
      <c r="V13" s="176"/>
      <c r="W13" s="231" t="s">
        <v>170</v>
      </c>
      <c r="X13" s="232" t="s">
        <v>174</v>
      </c>
      <c r="Y13" s="176"/>
      <c r="Z13" s="233" t="s">
        <v>170</v>
      </c>
      <c r="AA13" s="232" t="s">
        <v>170</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0.0075757575757575757575757576</v>
      </c>
      <c r="F15" s="219">
        <v>0</v>
      </c>
      <c r="G15" s="217"/>
      <c r="H15" s="221">
        <v>0.0833333333333333333333333333</v>
      </c>
      <c r="I15" s="219">
        <v>0</v>
      </c>
      <c r="J15" s="217"/>
      <c r="K15" s="221">
        <v>0.0833333333333333333333333333</v>
      </c>
      <c r="L15" s="219">
        <v>0</v>
      </c>
      <c r="M15" s="217"/>
      <c r="N15" s="221">
        <v>0.0833333333333333333333333333</v>
      </c>
      <c r="O15" s="219">
        <v>0</v>
      </c>
      <c r="P15" s="217"/>
      <c r="Q15" s="221">
        <v>0.0833333333333333333333333333</v>
      </c>
      <c r="R15" s="219">
        <v>0</v>
      </c>
      <c r="S15" s="217"/>
      <c r="T15" s="221">
        <v>0</v>
      </c>
      <c r="U15" s="219">
        <v>0</v>
      </c>
      <c r="V15" s="217"/>
      <c r="W15" s="221">
        <v>0</v>
      </c>
      <c r="X15" s="219">
        <v>0</v>
      </c>
      <c r="Y15" s="217"/>
      <c r="Z15" s="222">
        <v>0.0487012987012987012987012987</v>
      </c>
      <c r="AA15" s="219">
        <v>0</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v>
      </c>
      <c r="F16" s="219">
        <v>-100</v>
      </c>
      <c r="G16" s="217"/>
      <c r="H16" s="221">
        <v>0</v>
      </c>
      <c r="I16" s="219">
        <v>0</v>
      </c>
      <c r="J16" s="217"/>
      <c r="K16" s="221">
        <v>0.0145348837209302325581395349</v>
      </c>
      <c r="L16" s="219">
        <v>0</v>
      </c>
      <c r="M16" s="217"/>
      <c r="N16" s="221">
        <v>0.0174418604651162790697674419</v>
      </c>
      <c r="O16" s="219">
        <v>0</v>
      </c>
      <c r="P16" s="217"/>
      <c r="Q16" s="221">
        <v>0.0145348837209302325581395349</v>
      </c>
      <c r="R16" s="219">
        <v>0</v>
      </c>
      <c r="S16" s="217"/>
      <c r="T16" s="221">
        <v>0</v>
      </c>
      <c r="U16" s="219">
        <v>0</v>
      </c>
      <c r="V16" s="217"/>
      <c r="W16" s="221">
        <v>0.002906976744186046511627907</v>
      </c>
      <c r="X16" s="219">
        <v>0</v>
      </c>
      <c r="Y16" s="217"/>
      <c r="Z16" s="222">
        <v>0.0070598006644518272425249169</v>
      </c>
      <c r="AA16" s="219">
        <v>1970.6395347698357558202171602</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c r="F17" s="218">
        <v>0</v>
      </c>
      <c r="H17" s="223"/>
      <c r="I17" s="218">
        <v>0</v>
      </c>
      <c r="K17" s="223">
        <v>573.33333333333333333333333246</v>
      </c>
      <c r="L17" s="218">
        <v>0</v>
      </c>
      <c r="N17" s="223">
        <v>477.77777777777777777777777650</v>
      </c>
      <c r="O17" s="218">
        <v>0</v>
      </c>
      <c r="Q17" s="223">
        <v>573.33333333333333333333333246</v>
      </c>
      <c r="R17" s="218">
        <v>0</v>
      </c>
      <c r="T17" s="223"/>
      <c r="U17" s="218">
        <v>0</v>
      </c>
      <c r="W17" s="223">
        <v>0</v>
      </c>
      <c r="X17" s="218">
        <v>0</v>
      </c>
      <c r="Z17" s="224">
        <v>689.83957219251336898395722349</v>
      </c>
      <c r="AA17" s="218">
        <v>0</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174</v>
      </c>
      <c r="F18" s="232" t="s">
        <v>174</v>
      </c>
      <c r="G18" s="176"/>
      <c r="H18" s="231" t="s">
        <v>174</v>
      </c>
      <c r="I18" s="232" t="s">
        <v>174</v>
      </c>
      <c r="J18" s="176"/>
      <c r="K18" s="231" t="s">
        <v>174</v>
      </c>
      <c r="L18" s="232" t="s">
        <v>174</v>
      </c>
      <c r="M18" s="176"/>
      <c r="N18" s="231" t="s">
        <v>174</v>
      </c>
      <c r="O18" s="232" t="s">
        <v>174</v>
      </c>
      <c r="P18" s="176"/>
      <c r="Q18" s="231" t="s">
        <v>174</v>
      </c>
      <c r="R18" s="232" t="s">
        <v>174</v>
      </c>
      <c r="S18" s="176"/>
      <c r="T18" s="231" t="s">
        <v>175</v>
      </c>
      <c r="U18" s="232"/>
      <c r="V18" s="176"/>
      <c r="W18" s="231" t="s">
        <v>175</v>
      </c>
      <c r="X18" s="232"/>
      <c r="Y18" s="176"/>
      <c r="Z18" s="233" t="s">
        <v>174</v>
      </c>
      <c r="AA18" s="232" t="s">
        <v>170</v>
      </c>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c r="F22" s="218">
        <v>0</v>
      </c>
      <c r="H22" s="223"/>
      <c r="I22" s="218">
        <v>0</v>
      </c>
      <c r="K22" s="223"/>
      <c r="L22" s="218">
        <v>0</v>
      </c>
      <c r="N22" s="223"/>
      <c r="O22" s="218">
        <v>0</v>
      </c>
      <c r="Q22" s="223"/>
      <c r="R22" s="218">
        <v>0</v>
      </c>
      <c r="T22" s="223"/>
      <c r="U22" s="218">
        <v>0</v>
      </c>
      <c r="W22" s="223"/>
      <c r="X22" s="218">
        <v>0</v>
      </c>
      <c r="Z22" s="224"/>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175</v>
      </c>
      <c r="F23" s="232"/>
      <c r="G23" s="176"/>
      <c r="H23" s="231" t="s">
        <v>175</v>
      </c>
      <c r="I23" s="232"/>
      <c r="J23" s="176"/>
      <c r="K23" s="231" t="s">
        <v>175</v>
      </c>
      <c r="L23" s="232"/>
      <c r="M23" s="176"/>
      <c r="N23" s="231" t="s">
        <v>175</v>
      </c>
      <c r="O23" s="232"/>
      <c r="P23" s="176"/>
      <c r="Q23" s="231" t="s">
        <v>175</v>
      </c>
      <c r="R23" s="232"/>
      <c r="S23" s="176"/>
      <c r="T23" s="231" t="s">
        <v>175</v>
      </c>
      <c r="U23" s="232"/>
      <c r="V23" s="176"/>
      <c r="W23" s="231" t="s">
        <v>175</v>
      </c>
      <c r="X23" s="232"/>
      <c r="Y23" s="176"/>
      <c r="Z23" s="233" t="s">
        <v>175</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165.72727272727272727272727273</v>
      </c>
      <c r="F27" s="219">
        <v>-11.632612200610776502651407250</v>
      </c>
      <c r="G27" s="217"/>
      <c r="H27" s="598">
        <v>148.4047619047619047619047619</v>
      </c>
      <c r="I27" s="219">
        <v>-3.5437944908428317595301016900</v>
      </c>
      <c r="J27" s="217"/>
      <c r="K27" s="225">
        <v>159.23913043478260869565217391</v>
      </c>
      <c r="L27" s="219">
        <v>4.4851024403320540846857472300</v>
      </c>
      <c r="M27" s="217"/>
      <c r="N27" s="598">
        <v>152.77659574468085106382978723</v>
      </c>
      <c r="O27" s="219">
        <v>-1.8758533016759899506322162300</v>
      </c>
      <c r="P27" s="217"/>
      <c r="Q27" s="598">
        <v>168.46728971962616822429906542</v>
      </c>
      <c r="R27" s="219">
        <v>-13.524714237416830599227164150</v>
      </c>
      <c r="S27" s="217"/>
      <c r="T27" s="598">
        <v>260.22807017543859649122807018</v>
      </c>
      <c r="U27" s="219">
        <v>0.8741602565764204145926959900</v>
      </c>
      <c r="V27" s="217"/>
      <c r="W27" s="598">
        <v>288.45669291338582677165354331</v>
      </c>
      <c r="X27" s="219">
        <v>3.7990806759759846514002311900</v>
      </c>
      <c r="Y27" s="217"/>
      <c r="Z27" s="599">
        <v>199.37266187050359712230215827</v>
      </c>
      <c r="AA27" s="219">
        <v>0.7898293377476600861407470200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226.47208121827411167512690357</v>
      </c>
      <c r="F28" s="219">
        <v>4.5345276810198486059934950600</v>
      </c>
      <c r="G28" s="217"/>
      <c r="H28" s="598">
        <v>212.20338983050847457627118643</v>
      </c>
      <c r="I28" s="219">
        <v>-2.0154980051983251399506694100</v>
      </c>
      <c r="J28" s="217"/>
      <c r="K28" s="598">
        <v>205.21578947368421052631578946</v>
      </c>
      <c r="L28" s="219">
        <v>-5.3654450554555433845225429400</v>
      </c>
      <c r="M28" s="217"/>
      <c r="N28" s="598">
        <v>193.48837209302325581395348837</v>
      </c>
      <c r="O28" s="219">
        <v>-3.1509534969113085612125012500</v>
      </c>
      <c r="P28" s="217"/>
      <c r="Q28" s="598">
        <v>205.10526315789473684210526314</v>
      </c>
      <c r="R28" s="219">
        <v>-11.30436876222708946200350200</v>
      </c>
      <c r="S28" s="217"/>
      <c r="T28" s="598">
        <v>289.25547445255474452554744527</v>
      </c>
      <c r="U28" s="219">
        <v>-2.0873031108786410878297339800</v>
      </c>
      <c r="V28" s="217"/>
      <c r="W28" s="598">
        <v>292.16774193548387096774193548</v>
      </c>
      <c r="X28" s="219">
        <v>-4.4371331608523442113013897200</v>
      </c>
      <c r="Y28" s="217"/>
      <c r="Z28" s="599">
        <v>238.04658385093167701863354037</v>
      </c>
      <c r="AA28" s="219">
        <v>-2.670044534756574322357903400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73.177793852446475860676449530</v>
      </c>
      <c r="F29" s="218">
        <v>-15.465837212128275781386284230</v>
      </c>
      <c r="H29" s="223">
        <v>69.935151376847460516847166050</v>
      </c>
      <c r="I29" s="218">
        <v>-1.5597328705140617900904191600</v>
      </c>
      <c r="K29" s="223">
        <v>77.595944660579025349014120370</v>
      </c>
      <c r="L29" s="218">
        <v>10.409038750788431626126345760</v>
      </c>
      <c r="N29" s="223">
        <v>78.959057896899833970236176070</v>
      </c>
      <c r="O29" s="218">
        <v>1.3165851820770867925400773100</v>
      </c>
      <c r="Q29" s="223">
        <v>82.13699011220977827230100162</v>
      </c>
      <c r="R29" s="218">
        <v>-2.5033312737466228094698624700</v>
      </c>
      <c r="T29" s="223">
        <v>89.96478654998866938157905097</v>
      </c>
      <c r="U29" s="218">
        <v>3.0245958507472736396135445800</v>
      </c>
      <c r="W29" s="223">
        <v>98.72982246515994988306467830</v>
      </c>
      <c r="X29" s="218">
        <v>8.618634108916652824386875920</v>
      </c>
      <c r="Z29" s="224">
        <v>83.75363285842415773301438237</v>
      </c>
      <c r="AA29" s="218">
        <v>3.5547883033955500903470192100</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170</v>
      </c>
      <c r="F30" s="228" t="s">
        <v>172</v>
      </c>
      <c r="G30" s="229"/>
      <c r="H30" s="227" t="s">
        <v>170</v>
      </c>
      <c r="I30" s="228" t="s">
        <v>171</v>
      </c>
      <c r="J30" s="229"/>
      <c r="K30" s="227" t="s">
        <v>170</v>
      </c>
      <c r="L30" s="228" t="s">
        <v>174</v>
      </c>
      <c r="M30" s="229"/>
      <c r="N30" s="227" t="s">
        <v>170</v>
      </c>
      <c r="O30" s="228" t="s">
        <v>170</v>
      </c>
      <c r="P30" s="229"/>
      <c r="Q30" s="227" t="s">
        <v>170</v>
      </c>
      <c r="R30" s="228" t="s">
        <v>173</v>
      </c>
      <c r="S30" s="229"/>
      <c r="T30" s="227" t="s">
        <v>170</v>
      </c>
      <c r="U30" s="228" t="s">
        <v>171</v>
      </c>
      <c r="V30" s="229"/>
      <c r="W30" s="227" t="s">
        <v>170</v>
      </c>
      <c r="X30" s="228" t="s">
        <v>174</v>
      </c>
      <c r="Y30" s="229"/>
      <c r="Z30" s="230" t="s">
        <v>170</v>
      </c>
      <c r="AA30" s="228" t="s">
        <v>174</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164.05263157894736842105263158</v>
      </c>
      <c r="F32" s="219">
        <v>-12.525547089018728352525010840</v>
      </c>
      <c r="G32" s="217"/>
      <c r="H32" s="598">
        <v>145.3013698630136986301369863</v>
      </c>
      <c r="I32" s="219">
        <v>-5.560855242211772716320123600</v>
      </c>
      <c r="J32" s="217"/>
      <c r="K32" s="598">
        <v>157.91358024691358024691358025</v>
      </c>
      <c r="L32" s="219">
        <v>3.6153397959924425477974264900</v>
      </c>
      <c r="M32" s="217"/>
      <c r="N32" s="598">
        <v>150.6265060240963855421686747</v>
      </c>
      <c r="O32" s="219">
        <v>-3.256795965889883560230957600</v>
      </c>
      <c r="P32" s="217"/>
      <c r="Q32" s="598">
        <v>168.40625</v>
      </c>
      <c r="R32" s="219">
        <v>-13.556046297226931083258496540</v>
      </c>
      <c r="S32" s="217"/>
      <c r="T32" s="598">
        <v>260.22807017543859649122807018</v>
      </c>
      <c r="U32" s="219">
        <v>0.8741602565764204145926959900</v>
      </c>
      <c r="V32" s="217"/>
      <c r="W32" s="598">
        <v>288.45669291338582677165354331</v>
      </c>
      <c r="X32" s="219">
        <v>3.7990806759759846514002311900</v>
      </c>
      <c r="Y32" s="217"/>
      <c r="Z32" s="599">
        <v>201.28461538461538461538461538</v>
      </c>
      <c r="AA32" s="219">
        <v>1.7563884767042333076002216400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226.47208121827411167512690358</v>
      </c>
      <c r="F33" s="219">
        <v>4.5062437801421856951730057200</v>
      </c>
      <c r="G33" s="217"/>
      <c r="H33" s="598">
        <v>212.20338983050847457627118642</v>
      </c>
      <c r="I33" s="219">
        <v>-2.0154980051983251399506694100</v>
      </c>
      <c r="J33" s="217"/>
      <c r="K33" s="598">
        <v>205.6216216216216216216216216</v>
      </c>
      <c r="L33" s="219">
        <v>-5.1782969573450401743403198900</v>
      </c>
      <c r="M33" s="217"/>
      <c r="N33" s="598">
        <v>193.8277511961722488038277512</v>
      </c>
      <c r="O33" s="219">
        <v>-2.9810800198258164577388274600</v>
      </c>
      <c r="P33" s="217"/>
      <c r="Q33" s="598">
        <v>206.47107438016528925619834709</v>
      </c>
      <c r="R33" s="219">
        <v>-10.713737948342692396472464130</v>
      </c>
      <c r="S33" s="217"/>
      <c r="T33" s="598">
        <v>289.25547445255474452554744526</v>
      </c>
      <c r="U33" s="219">
        <v>-2.0873031108786410878297339900</v>
      </c>
      <c r="V33" s="217"/>
      <c r="W33" s="598">
        <v>292.01618122977346278317152104</v>
      </c>
      <c r="X33" s="219">
        <v>-4.4867059694105498901727014700</v>
      </c>
      <c r="Y33" s="217"/>
      <c r="Z33" s="599">
        <v>238.65662272441933458882611425</v>
      </c>
      <c r="AA33" s="219">
        <v>-2.4293056779987441581709966600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72.438346791555825571999032650</v>
      </c>
      <c r="F34" s="218">
        <v>-16.297390713756135639839020260</v>
      </c>
      <c r="H34" s="223">
        <v>68.472690270909011335288196430</v>
      </c>
      <c r="I34" s="218">
        <v>-3.6182836722280030573341212900</v>
      </c>
      <c r="K34" s="223">
        <v>76.798139709986888395580999870</v>
      </c>
      <c r="L34" s="218">
        <v>9.273865023734675633209143760</v>
      </c>
      <c r="N34" s="223">
        <v>77.711527422947777285394354510</v>
      </c>
      <c r="O34" s="218">
        <v>-0.2841878121697264449837586600</v>
      </c>
      <c r="Q34" s="223">
        <v>81.56408858023455950046031302</v>
      </c>
      <c r="R34" s="218">
        <v>-3.1833658209193560526560145900</v>
      </c>
      <c r="T34" s="223">
        <v>89.96478655000274482511922281</v>
      </c>
      <c r="U34" s="218">
        <v>3.0245958507472736396135445800</v>
      </c>
      <c r="W34" s="223">
        <v>98.78106469942949970902102876</v>
      </c>
      <c r="X34" s="218">
        <v>8.675008782293956524630944180</v>
      </c>
      <c r="Z34" s="224">
        <v>84.34067870684736379933391875</v>
      </c>
      <c r="AA34" s="218">
        <v>4.289909161624344438402336500</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170</v>
      </c>
      <c r="F35" s="232" t="s">
        <v>172</v>
      </c>
      <c r="G35" s="176"/>
      <c r="H35" s="231" t="s">
        <v>170</v>
      </c>
      <c r="I35" s="232" t="s">
        <v>171</v>
      </c>
      <c r="J35" s="176"/>
      <c r="K35" s="231" t="s">
        <v>170</v>
      </c>
      <c r="L35" s="232" t="s">
        <v>174</v>
      </c>
      <c r="M35" s="176"/>
      <c r="N35" s="231" t="s">
        <v>170</v>
      </c>
      <c r="O35" s="232" t="s">
        <v>170</v>
      </c>
      <c r="P35" s="176"/>
      <c r="Q35" s="231" t="s">
        <v>170</v>
      </c>
      <c r="R35" s="232" t="s">
        <v>173</v>
      </c>
      <c r="S35" s="176"/>
      <c r="T35" s="231" t="s">
        <v>170</v>
      </c>
      <c r="U35" s="232" t="s">
        <v>171</v>
      </c>
      <c r="V35" s="176"/>
      <c r="W35" s="231" t="s">
        <v>170</v>
      </c>
      <c r="X35" s="232" t="s">
        <v>174</v>
      </c>
      <c r="Y35" s="176"/>
      <c r="Z35" s="233" t="s">
        <v>170</v>
      </c>
      <c r="AA35" s="232" t="s">
        <v>174</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293</v>
      </c>
      <c r="F37" s="219">
        <v>0</v>
      </c>
      <c r="G37" s="217"/>
      <c r="H37" s="598">
        <v>169</v>
      </c>
      <c r="I37" s="219">
        <v>0</v>
      </c>
      <c r="J37" s="217"/>
      <c r="K37" s="598">
        <v>169</v>
      </c>
      <c r="L37" s="219">
        <v>0</v>
      </c>
      <c r="M37" s="217"/>
      <c r="N37" s="598">
        <v>169</v>
      </c>
      <c r="O37" s="219">
        <v>0</v>
      </c>
      <c r="P37" s="217"/>
      <c r="Q37" s="598">
        <v>169</v>
      </c>
      <c r="R37" s="219">
        <v>0</v>
      </c>
      <c r="S37" s="217"/>
      <c r="T37" s="598">
        <v>0</v>
      </c>
      <c r="U37" s="219">
        <v>0</v>
      </c>
      <c r="V37" s="217"/>
      <c r="W37" s="598">
        <v>0</v>
      </c>
      <c r="X37" s="219">
        <v>0</v>
      </c>
      <c r="Y37" s="217"/>
      <c r="Z37" s="599">
        <v>171.75555555555555555555555556</v>
      </c>
      <c r="AA37" s="219">
        <v>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0</v>
      </c>
      <c r="F38" s="219">
        <v>-100</v>
      </c>
      <c r="G38" s="217"/>
      <c r="H38" s="598">
        <v>0</v>
      </c>
      <c r="I38" s="219">
        <v>0</v>
      </c>
      <c r="J38" s="217"/>
      <c r="K38" s="598">
        <v>190.19999999999999999999999998</v>
      </c>
      <c r="L38" s="219">
        <v>0</v>
      </c>
      <c r="M38" s="217"/>
      <c r="N38" s="598">
        <v>181.66666666666666666666666667</v>
      </c>
      <c r="O38" s="219">
        <v>0</v>
      </c>
      <c r="P38" s="217"/>
      <c r="Q38" s="598">
        <v>138.99999999999999999999999999</v>
      </c>
      <c r="R38" s="219">
        <v>0</v>
      </c>
      <c r="S38" s="217"/>
      <c r="T38" s="598">
        <v>0</v>
      </c>
      <c r="U38" s="219">
        <v>0</v>
      </c>
      <c r="V38" s="217"/>
      <c r="W38" s="598">
        <v>339</v>
      </c>
      <c r="X38" s="219">
        <v>0</v>
      </c>
      <c r="Y38" s="217"/>
      <c r="Z38" s="599">
        <v>180.88235294117647058823529412</v>
      </c>
      <c r="AA38" s="219">
        <v>-9.103970157464713630447344830</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c r="F39" s="218">
        <v>0</v>
      </c>
      <c r="H39" s="223"/>
      <c r="I39" s="218">
        <v>0</v>
      </c>
      <c r="K39" s="223">
        <v>88.85383806519453207150368035</v>
      </c>
      <c r="L39" s="218">
        <v>0</v>
      </c>
      <c r="N39" s="223">
        <v>93.02752293577981651376146789</v>
      </c>
      <c r="O39" s="218">
        <v>0</v>
      </c>
      <c r="Q39" s="223">
        <v>121.58273381294964028776978418</v>
      </c>
      <c r="R39" s="218">
        <v>0</v>
      </c>
      <c r="T39" s="223"/>
      <c r="U39" s="218">
        <v>0</v>
      </c>
      <c r="W39" s="223">
        <v>0</v>
      </c>
      <c r="X39" s="218">
        <v>0</v>
      </c>
      <c r="Z39" s="224">
        <v>94.95429087624209575429087624</v>
      </c>
      <c r="AA39" s="218">
        <v>0</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174</v>
      </c>
      <c r="F40" s="232" t="s">
        <v>174</v>
      </c>
      <c r="G40" s="176"/>
      <c r="H40" s="231" t="s">
        <v>174</v>
      </c>
      <c r="I40" s="232" t="s">
        <v>174</v>
      </c>
      <c r="J40" s="176"/>
      <c r="K40" s="231" t="s">
        <v>170</v>
      </c>
      <c r="L40" s="232" t="s">
        <v>174</v>
      </c>
      <c r="M40" s="176"/>
      <c r="N40" s="231" t="s">
        <v>170</v>
      </c>
      <c r="O40" s="232" t="s">
        <v>174</v>
      </c>
      <c r="P40" s="176"/>
      <c r="Q40" s="231" t="s">
        <v>174</v>
      </c>
      <c r="R40" s="232" t="s">
        <v>174</v>
      </c>
      <c r="S40" s="176"/>
      <c r="T40" s="231" t="s">
        <v>175</v>
      </c>
      <c r="U40" s="232"/>
      <c r="V40" s="176"/>
      <c r="W40" s="231" t="s">
        <v>175</v>
      </c>
      <c r="X40" s="232"/>
      <c r="Y40" s="176"/>
      <c r="Z40" s="233" t="s">
        <v>170</v>
      </c>
      <c r="AA40" s="232" t="s">
        <v>174</v>
      </c>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c r="F44" s="218">
        <v>0</v>
      </c>
      <c r="H44" s="223"/>
      <c r="I44" s="218">
        <v>0</v>
      </c>
      <c r="K44" s="223"/>
      <c r="L44" s="218">
        <v>0</v>
      </c>
      <c r="N44" s="223"/>
      <c r="O44" s="218">
        <v>0</v>
      </c>
      <c r="Q44" s="223"/>
      <c r="R44" s="218">
        <v>0</v>
      </c>
      <c r="T44" s="223"/>
      <c r="U44" s="218">
        <v>0</v>
      </c>
      <c r="W44" s="223"/>
      <c r="X44" s="218">
        <v>0</v>
      </c>
      <c r="Z44" s="224"/>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175</v>
      </c>
      <c r="F45" s="232"/>
      <c r="G45" s="176"/>
      <c r="H45" s="231" t="s">
        <v>175</v>
      </c>
      <c r="I45" s="232"/>
      <c r="J45" s="176"/>
      <c r="K45" s="231" t="s">
        <v>175</v>
      </c>
      <c r="L45" s="232"/>
      <c r="M45" s="176"/>
      <c r="N45" s="231" t="s">
        <v>175</v>
      </c>
      <c r="O45" s="232"/>
      <c r="P45" s="176"/>
      <c r="Q45" s="231" t="s">
        <v>175</v>
      </c>
      <c r="R45" s="232"/>
      <c r="S45" s="176"/>
      <c r="T45" s="231" t="s">
        <v>175</v>
      </c>
      <c r="U45" s="232"/>
      <c r="V45" s="176"/>
      <c r="W45" s="231" t="s">
        <v>175</v>
      </c>
      <c r="X45" s="232"/>
      <c r="Y45" s="176"/>
      <c r="Z45" s="233" t="s">
        <v>175</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96.67424242424242424242424242</v>
      </c>
      <c r="F49" s="219">
        <v>-26.040338472226319285251085760</v>
      </c>
      <c r="G49" s="217"/>
      <c r="H49" s="598">
        <v>94.43939393939393939393939394</v>
      </c>
      <c r="I49" s="219">
        <v>-22.835035592718687207004329950</v>
      </c>
      <c r="J49" s="217"/>
      <c r="K49" s="598">
        <v>110.98484848484848484848484848</v>
      </c>
      <c r="L49" s="219">
        <v>-11.810739224667492085332931920</v>
      </c>
      <c r="M49" s="217"/>
      <c r="N49" s="598">
        <v>108.79545454545454545454545455</v>
      </c>
      <c r="O49" s="219">
        <v>-15.379176241836255375465181360</v>
      </c>
      <c r="P49" s="217"/>
      <c r="Q49" s="598">
        <v>136.56060606060606060606060606</v>
      </c>
      <c r="R49" s="219">
        <v>-10.166450712676912923125628810</v>
      </c>
      <c r="S49" s="217"/>
      <c r="T49" s="598">
        <v>224.74242424242424242424242424</v>
      </c>
      <c r="U49" s="219">
        <v>3.6004889121791039348136626400</v>
      </c>
      <c r="V49" s="217"/>
      <c r="W49" s="598">
        <v>277.53030303030303030303030303</v>
      </c>
      <c r="X49" s="219">
        <v>20.940213264651699027177949020</v>
      </c>
      <c r="Y49" s="217"/>
      <c r="Z49" s="599">
        <v>149.96103896103896103896103896</v>
      </c>
      <c r="AA49" s="219">
        <v>-5.0827487943631987796828508100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129.69476744186046511627906977</v>
      </c>
      <c r="F50" s="219">
        <v>-16.943308963757680099871438060</v>
      </c>
      <c r="G50" s="217"/>
      <c r="H50" s="598">
        <v>109.18604651162790697674418605</v>
      </c>
      <c r="I50" s="219">
        <v>-15.502039285595049591578413420</v>
      </c>
      <c r="J50" s="217"/>
      <c r="K50" s="598">
        <v>113.34593023255813953488372093</v>
      </c>
      <c r="L50" s="219">
        <v>-12.397012568185190820025722350</v>
      </c>
      <c r="M50" s="217"/>
      <c r="N50" s="598">
        <v>120.93023255813953488372093023</v>
      </c>
      <c r="O50" s="219">
        <v>-6.7560880404352019786134688200</v>
      </c>
      <c r="P50" s="217"/>
      <c r="Q50" s="598">
        <v>147.27034883720930232558139535</v>
      </c>
      <c r="R50" s="219">
        <v>-17.894660432117127999857594130</v>
      </c>
      <c r="S50" s="217"/>
      <c r="T50" s="598">
        <v>230.39534883720930232558139535</v>
      </c>
      <c r="U50" s="219">
        <v>-6.9024955355962818087792871600</v>
      </c>
      <c r="V50" s="217"/>
      <c r="W50" s="598">
        <v>263.2906976744186046511627907</v>
      </c>
      <c r="X50" s="219">
        <v>4.893361054411667034694743900</v>
      </c>
      <c r="Y50" s="217"/>
      <c r="Z50" s="599">
        <v>159.15905315614617940199335548</v>
      </c>
      <c r="AA50" s="219">
        <v>-8.851126894548571470103160100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74.539817088264611732085476650</v>
      </c>
      <c r="F51" s="218">
        <v>-10.952795488226637400431650470</v>
      </c>
      <c r="H51" s="223">
        <v>86.49401361863636468802593346</v>
      </c>
      <c r="I51" s="218">
        <v>-8.678311577045359397795105910</v>
      </c>
      <c r="K51" s="223">
        <v>97.91692410754732823166192471</v>
      </c>
      <c r="L51" s="218">
        <v>0.6692389844676247717185084300</v>
      </c>
      <c r="N51" s="223">
        <v>89.96547202800143976096020327</v>
      </c>
      <c r="O51" s="218">
        <v>-9.247883341852773055157378750</v>
      </c>
      <c r="Q51" s="223">
        <v>92.72783499112029399183704296</v>
      </c>
      <c r="R51" s="218">
        <v>9.412554360228533635457998220</v>
      </c>
      <c r="T51" s="223">
        <v>97.54642416901819531582820546</v>
      </c>
      <c r="U51" s="218">
        <v>11.281703530282249515315061380</v>
      </c>
      <c r="W51" s="223">
        <v>105.40832071990348955170306283</v>
      </c>
      <c r="X51" s="218">
        <v>15.298253434714359757578121470</v>
      </c>
      <c r="Z51" s="224">
        <v>94.22086647748537965201788510</v>
      </c>
      <c r="AA51" s="218">
        <v>4.1343112336569701801294790200</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171</v>
      </c>
      <c r="F52" s="228" t="s">
        <v>171</v>
      </c>
      <c r="G52" s="229"/>
      <c r="H52" s="227" t="s">
        <v>171</v>
      </c>
      <c r="I52" s="228" t="s">
        <v>173</v>
      </c>
      <c r="J52" s="229"/>
      <c r="K52" s="227" t="s">
        <v>171</v>
      </c>
      <c r="L52" s="228" t="s">
        <v>170</v>
      </c>
      <c r="M52" s="229"/>
      <c r="N52" s="227" t="s">
        <v>171</v>
      </c>
      <c r="O52" s="228" t="s">
        <v>171</v>
      </c>
      <c r="P52" s="229"/>
      <c r="Q52" s="227" t="s">
        <v>170</v>
      </c>
      <c r="R52" s="228" t="s">
        <v>170</v>
      </c>
      <c r="S52" s="229"/>
      <c r="T52" s="227" t="s">
        <v>170</v>
      </c>
      <c r="U52" s="228" t="s">
        <v>174</v>
      </c>
      <c r="V52" s="229"/>
      <c r="W52" s="227" t="s">
        <v>170</v>
      </c>
      <c r="X52" s="228" t="s">
        <v>174</v>
      </c>
      <c r="Y52" s="229"/>
      <c r="Z52" s="230" t="s">
        <v>170</v>
      </c>
      <c r="AA52" s="228" t="s">
        <v>170</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94.45454545454545454545454545</v>
      </c>
      <c r="F54" s="219">
        <v>-27.738495421339843965873406260</v>
      </c>
      <c r="G54" s="217"/>
      <c r="H54" s="598">
        <v>80.35606060606060606060606061</v>
      </c>
      <c r="I54" s="219">
        <v>-34.342308882718363164182169720</v>
      </c>
      <c r="J54" s="217"/>
      <c r="K54" s="598">
        <v>96.90151515151515151515151515</v>
      </c>
      <c r="L54" s="219">
        <v>-23.001444738752347526518329840</v>
      </c>
      <c r="M54" s="217"/>
      <c r="N54" s="598">
        <v>94.71212121212121212121212121</v>
      </c>
      <c r="O54" s="219">
        <v>-26.333156561203040505818933050</v>
      </c>
      <c r="P54" s="217"/>
      <c r="Q54" s="598">
        <v>122.47727272727272727272727273</v>
      </c>
      <c r="R54" s="219">
        <v>-19.430878102288230956849663870</v>
      </c>
      <c r="S54" s="217"/>
      <c r="T54" s="598">
        <v>224.74242424242424242424242424</v>
      </c>
      <c r="U54" s="219">
        <v>3.6004889121791039348136626400</v>
      </c>
      <c r="V54" s="217"/>
      <c r="W54" s="598">
        <v>277.53030303030303030303030303</v>
      </c>
      <c r="X54" s="219">
        <v>20.940213264651699027177949020</v>
      </c>
      <c r="Y54" s="217"/>
      <c r="Z54" s="599">
        <v>141.59632034632034632034632035</v>
      </c>
      <c r="AA54" s="219">
        <v>-10.377164620756539305590238340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129.69476744186046511627906977</v>
      </c>
      <c r="F55" s="219">
        <v>-16.689920417006559413489833680</v>
      </c>
      <c r="G55" s="217"/>
      <c r="H55" s="598">
        <v>109.18604651162790697674418605</v>
      </c>
      <c r="I55" s="219">
        <v>-15.502039285595049591578413420</v>
      </c>
      <c r="J55" s="217"/>
      <c r="K55" s="598">
        <v>110.5813953488372093023255814</v>
      </c>
      <c r="L55" s="219">
        <v>-14.533670798229454458561680340</v>
      </c>
      <c r="M55" s="217"/>
      <c r="N55" s="598">
        <v>117.76162790697674418604651163</v>
      </c>
      <c r="O55" s="219">
        <v>-9.199257848991106542154606290</v>
      </c>
      <c r="P55" s="217"/>
      <c r="Q55" s="598">
        <v>145.250000000000000000000000</v>
      </c>
      <c r="R55" s="219">
        <v>-19.021033993627532374822537020</v>
      </c>
      <c r="S55" s="217"/>
      <c r="T55" s="598">
        <v>230.39534883720930232558139535</v>
      </c>
      <c r="U55" s="219">
        <v>-6.9024955355962818087792871600</v>
      </c>
      <c r="V55" s="217"/>
      <c r="W55" s="598">
        <v>262.30523255813953488372093023</v>
      </c>
      <c r="X55" s="219">
        <v>4.5007579386866575933137263900</v>
      </c>
      <c r="Y55" s="217"/>
      <c r="Z55" s="599">
        <v>157.88205980066445182724252492</v>
      </c>
      <c r="AA55" s="219">
        <v>-9.547302432476236645663076580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72.828339429258402697828899770</v>
      </c>
      <c r="F56" s="218">
        <v>-13.261990697528165162219187410</v>
      </c>
      <c r="H56" s="223">
        <v>73.595540065188627488946977770</v>
      </c>
      <c r="I56" s="218">
        <v>-22.296715136990223578727152920</v>
      </c>
      <c r="K56" s="223">
        <v>87.62913042092852818404868878</v>
      </c>
      <c r="L56" s="218">
        <v>-9.907730938736172035648619150</v>
      </c>
      <c r="N56" s="223">
        <v>80.42698024430929886372986842</v>
      </c>
      <c r="O56" s="218">
        <v>-18.869778270925367597192432690</v>
      </c>
      <c r="Q56" s="223">
        <v>84.32170239399155061805664215</v>
      </c>
      <c r="R56" s="218">
        <v>-0.5061118076024368375208332100</v>
      </c>
      <c r="T56" s="223">
        <v>97.54642416901425683095209692</v>
      </c>
      <c r="U56" s="218">
        <v>11.281703530282249515315061380</v>
      </c>
      <c r="W56" s="223">
        <v>105.80433349486799998253679280</v>
      </c>
      <c r="X56" s="218">
        <v>15.731422097123946122614834170</v>
      </c>
      <c r="Z56" s="224">
        <v>89.68487016516897099778892614</v>
      </c>
      <c r="AA56" s="218">
        <v>-0.9174543277123967380790425300</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171</v>
      </c>
      <c r="F57" s="232" t="s">
        <v>173</v>
      </c>
      <c r="G57" s="176"/>
      <c r="H57" s="231" t="s">
        <v>171</v>
      </c>
      <c r="I57" s="232" t="s">
        <v>172</v>
      </c>
      <c r="J57" s="176"/>
      <c r="K57" s="231" t="s">
        <v>171</v>
      </c>
      <c r="L57" s="232" t="s">
        <v>170</v>
      </c>
      <c r="M57" s="176"/>
      <c r="N57" s="231" t="s">
        <v>171</v>
      </c>
      <c r="O57" s="232" t="s">
        <v>171</v>
      </c>
      <c r="P57" s="176"/>
      <c r="Q57" s="231" t="s">
        <v>171</v>
      </c>
      <c r="R57" s="232" t="s">
        <v>170</v>
      </c>
      <c r="S57" s="176"/>
      <c r="T57" s="231" t="s">
        <v>170</v>
      </c>
      <c r="U57" s="232" t="s">
        <v>174</v>
      </c>
      <c r="V57" s="176"/>
      <c r="W57" s="231" t="s">
        <v>170</v>
      </c>
      <c r="X57" s="232" t="s">
        <v>174</v>
      </c>
      <c r="Y57" s="176"/>
      <c r="Z57" s="233" t="s">
        <v>171</v>
      </c>
      <c r="AA57" s="232" t="s">
        <v>170</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2.2196969696969696969696969697</v>
      </c>
      <c r="F59" s="219">
        <v>0</v>
      </c>
      <c r="G59" s="217"/>
      <c r="H59" s="598">
        <v>14.083333333333333333333333333</v>
      </c>
      <c r="I59" s="219">
        <v>0</v>
      </c>
      <c r="J59" s="217"/>
      <c r="K59" s="598">
        <v>14.083333333333333333333333333</v>
      </c>
      <c r="L59" s="219">
        <v>0</v>
      </c>
      <c r="M59" s="217"/>
      <c r="N59" s="598">
        <v>14.083333333333333333333333333</v>
      </c>
      <c r="O59" s="219">
        <v>0</v>
      </c>
      <c r="P59" s="217"/>
      <c r="Q59" s="598">
        <v>14.083333333333333333333333333</v>
      </c>
      <c r="R59" s="219">
        <v>0</v>
      </c>
      <c r="S59" s="217"/>
      <c r="T59" s="598">
        <v>0</v>
      </c>
      <c r="U59" s="219">
        <v>0</v>
      </c>
      <c r="V59" s="217"/>
      <c r="W59" s="598">
        <v>0</v>
      </c>
      <c r="X59" s="219">
        <v>0</v>
      </c>
      <c r="Y59" s="217"/>
      <c r="Z59" s="599">
        <v>8.364718614718614718614718615</v>
      </c>
      <c r="AA59" s="219">
        <v>0</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0</v>
      </c>
      <c r="F60" s="219">
        <v>-100</v>
      </c>
      <c r="G60" s="217"/>
      <c r="H60" s="598">
        <v>0</v>
      </c>
      <c r="I60" s="219">
        <v>0</v>
      </c>
      <c r="J60" s="217"/>
      <c r="K60" s="598">
        <v>2.7645348837209302325581395349</v>
      </c>
      <c r="L60" s="219">
        <v>0</v>
      </c>
      <c r="M60" s="217"/>
      <c r="N60" s="598">
        <v>3.1686046511627906976744186047</v>
      </c>
      <c r="O60" s="219">
        <v>0</v>
      </c>
      <c r="P60" s="217"/>
      <c r="Q60" s="598">
        <v>2.0203488372093023255813953488</v>
      </c>
      <c r="R60" s="219">
        <v>0</v>
      </c>
      <c r="S60" s="217"/>
      <c r="T60" s="598">
        <v>0</v>
      </c>
      <c r="U60" s="219">
        <v>0</v>
      </c>
      <c r="V60" s="217"/>
      <c r="W60" s="598">
        <v>0.9854651162790697674418604651</v>
      </c>
      <c r="X60" s="219">
        <v>0</v>
      </c>
      <c r="Y60" s="217"/>
      <c r="Z60" s="599">
        <v>1.2769933554817275747508305648</v>
      </c>
      <c r="AA60" s="219">
        <v>1782.1291287874701209352970644</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c r="F61" s="218">
        <v>0</v>
      </c>
      <c r="H61" s="223"/>
      <c r="I61" s="218">
        <v>0</v>
      </c>
      <c r="K61" s="223">
        <v>509.42867157378198387662110058</v>
      </c>
      <c r="L61" s="218">
        <v>0</v>
      </c>
      <c r="N61" s="223">
        <v>444.46483180428134556574923546</v>
      </c>
      <c r="O61" s="218">
        <v>0</v>
      </c>
      <c r="Q61" s="223">
        <v>697.07434052757793764988009592</v>
      </c>
      <c r="R61" s="218">
        <v>0</v>
      </c>
      <c r="T61" s="223"/>
      <c r="U61" s="218">
        <v>0</v>
      </c>
      <c r="W61" s="223">
        <v>0</v>
      </c>
      <c r="X61" s="218">
        <v>0</v>
      </c>
      <c r="Z61" s="224">
        <v>655.03227395910322739591032275</v>
      </c>
      <c r="AA61" s="218">
        <v>0</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174</v>
      </c>
      <c r="F62" s="232" t="s">
        <v>174</v>
      </c>
      <c r="G62" s="176"/>
      <c r="H62" s="231" t="s">
        <v>174</v>
      </c>
      <c r="I62" s="232" t="s">
        <v>174</v>
      </c>
      <c r="J62" s="176"/>
      <c r="K62" s="231" t="s">
        <v>174</v>
      </c>
      <c r="L62" s="232" t="s">
        <v>174</v>
      </c>
      <c r="M62" s="176"/>
      <c r="N62" s="231" t="s">
        <v>174</v>
      </c>
      <c r="O62" s="232" t="s">
        <v>174</v>
      </c>
      <c r="P62" s="176"/>
      <c r="Q62" s="231" t="s">
        <v>174</v>
      </c>
      <c r="R62" s="232" t="s">
        <v>174</v>
      </c>
      <c r="S62" s="176"/>
      <c r="T62" s="231" t="s">
        <v>175</v>
      </c>
      <c r="U62" s="232"/>
      <c r="V62" s="176"/>
      <c r="W62" s="231" t="s">
        <v>175</v>
      </c>
      <c r="X62" s="232"/>
      <c r="Y62" s="176"/>
      <c r="Z62" s="233" t="s">
        <v>174</v>
      </c>
      <c r="AA62" s="232" t="s">
        <v>170</v>
      </c>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c r="F66" s="218">
        <v>0</v>
      </c>
      <c r="H66" s="223"/>
      <c r="I66" s="218">
        <v>0</v>
      </c>
      <c r="K66" s="223"/>
      <c r="L66" s="218">
        <v>0</v>
      </c>
      <c r="N66" s="223"/>
      <c r="O66" s="218">
        <v>0</v>
      </c>
      <c r="Q66" s="223"/>
      <c r="R66" s="218">
        <v>0</v>
      </c>
      <c r="T66" s="223"/>
      <c r="U66" s="218">
        <v>0</v>
      </c>
      <c r="W66" s="223"/>
      <c r="X66" s="218">
        <v>0</v>
      </c>
      <c r="Z66" s="224"/>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175</v>
      </c>
      <c r="F67" s="232"/>
      <c r="G67" s="176"/>
      <c r="H67" s="231" t="s">
        <v>175</v>
      </c>
      <c r="I67" s="232"/>
      <c r="J67" s="176"/>
      <c r="K67" s="231" t="s">
        <v>175</v>
      </c>
      <c r="L67" s="232"/>
      <c r="M67" s="176"/>
      <c r="N67" s="231" t="s">
        <v>175</v>
      </c>
      <c r="O67" s="232"/>
      <c r="P67" s="176"/>
      <c r="Q67" s="231" t="s">
        <v>175</v>
      </c>
      <c r="R67" s="232"/>
      <c r="S67" s="176"/>
      <c r="T67" s="231" t="s">
        <v>175</v>
      </c>
      <c r="U67" s="232"/>
      <c r="V67" s="176"/>
      <c r="W67" s="231" t="s">
        <v>175</v>
      </c>
      <c r="X67" s="232"/>
      <c r="Y67" s="176"/>
      <c r="Z67" s="233" t="s">
        <v>175</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V112"/>
  <sheetViews>
    <sheetView showGridLines="0" zoomScale="75" workbookViewId="0"/>
  </sheetViews>
  <sheetFormatPr defaultRowHeight="12.75"/>
  <cols>
    <col min="1" max="1" width="2.7109375" customWidth="1"/>
    <col min="2" max="2" width="15.7109375" customWidth="1"/>
    <col min="3" max="3" width="1.42578125" customWidth="1"/>
    <col min="4" max="4" width="11" customWidth="1"/>
    <col min="6" max="6" width="8.7109375" customWidth="1"/>
    <col min="7" max="7" width="2.42578125" customWidth="1"/>
    <col min="9" max="9" width="8.7109375" customWidth="1"/>
    <col min="10" max="10" width="2.42578125" customWidth="1"/>
    <col min="12" max="12" width="8.7109375" customWidth="1"/>
    <col min="13" max="13" width="2.42578125" customWidth="1"/>
    <col min="15" max="15" width="8.7109375" customWidth="1"/>
    <col min="16" max="16" width="2.42578125" customWidth="1"/>
    <col min="18" max="18" width="8.7109375" customWidth="1"/>
    <col min="19" max="19" width="2.42578125" customWidth="1"/>
    <col min="21" max="21" width="8.7109375" customWidth="1"/>
    <col min="22" max="22" width="2.42578125" customWidth="1"/>
    <col min="24" max="24" width="8.7109375" customWidth="1"/>
    <col min="25" max="25" width="2.42578125" customWidth="1"/>
    <col min="27" max="27" width="8.7109375" customWidth="1"/>
    <col min="28" max="28" width="1.7109375" customWidth="1"/>
  </cols>
  <sheetData>
    <row r="1" ht="30" customHeight="1">
      <c r="B1" s="20" t="s">
        <v>117</v>
      </c>
      <c r="C1" s="20"/>
      <c r="AA1" s="176" t="s">
        <v>169</v>
      </c>
      <c r="AC1" s="244"/>
      <c r="AD1" s="244"/>
      <c r="AE1" s="244"/>
      <c r="AF1" s="244"/>
      <c r="AG1" s="244"/>
      <c r="AH1" s="244"/>
      <c r="AI1" s="244"/>
      <c r="AJ1" s="244"/>
      <c r="AK1" s="244"/>
      <c r="AL1" s="244"/>
      <c r="AM1" s="244"/>
      <c r="AN1" s="244"/>
      <c r="AO1" s="244"/>
      <c r="AP1" s="244"/>
      <c r="AQ1" s="244"/>
      <c r="AR1" s="244"/>
      <c r="AS1" s="244"/>
      <c r="AT1" s="244"/>
      <c r="AU1" s="244"/>
      <c r="AV1" s="244"/>
    </row>
    <row r="2" ht="15">
      <c r="B2" s="612" t="s">
        <v>176</v>
      </c>
      <c r="C2" s="612"/>
      <c r="D2" s="612"/>
      <c r="E2" s="612"/>
      <c r="F2" s="612"/>
      <c r="G2" s="612"/>
      <c r="H2" s="612"/>
      <c r="I2" s="612"/>
      <c r="J2" s="612"/>
      <c r="K2" s="612"/>
      <c r="L2" s="612"/>
      <c r="M2" s="612"/>
      <c r="N2" s="612"/>
      <c r="O2" s="612"/>
      <c r="P2" s="612"/>
      <c r="Q2" s="612"/>
      <c r="R2" s="612"/>
      <c r="S2" s="612"/>
      <c r="T2" s="612"/>
      <c r="U2" s="612"/>
      <c r="V2" s="612"/>
      <c r="W2" s="612"/>
      <c r="X2" s="612"/>
      <c r="Y2" s="612"/>
      <c r="Z2" s="612"/>
      <c r="AA2" s="612"/>
      <c r="AC2" s="244"/>
      <c r="AD2" s="244"/>
      <c r="AE2" s="244"/>
      <c r="AF2" s="244"/>
      <c r="AG2" s="244"/>
      <c r="AH2" s="244"/>
      <c r="AI2" s="244"/>
      <c r="AJ2" s="244"/>
      <c r="AK2" s="244"/>
      <c r="AL2" s="244"/>
      <c r="AM2" s="244"/>
      <c r="AN2" s="244"/>
      <c r="AO2" s="244"/>
      <c r="AP2" s="244"/>
      <c r="AQ2" s="244"/>
      <c r="AR2" s="244"/>
      <c r="AS2" s="244"/>
      <c r="AT2" s="244"/>
      <c r="AU2" s="244"/>
      <c r="AV2" s="244"/>
    </row>
    <row r="3" ht="19.5" customHeight="1">
      <c r="B3" s="220" t="s">
        <v>28</v>
      </c>
      <c r="C3" s="57"/>
      <c r="E3" s="648" t="s">
        <v>40</v>
      </c>
      <c r="F3" s="648"/>
      <c r="H3" s="648" t="s">
        <v>39</v>
      </c>
      <c r="I3" s="648"/>
      <c r="K3" s="648" t="s">
        <v>41</v>
      </c>
      <c r="L3" s="648"/>
      <c r="N3" s="648" t="s">
        <v>42</v>
      </c>
      <c r="O3" s="648"/>
      <c r="Q3" s="648" t="s">
        <v>43</v>
      </c>
      <c r="R3" s="648"/>
      <c r="T3" s="648" t="s">
        <v>44</v>
      </c>
      <c r="U3" s="648"/>
      <c r="W3" s="648" t="s">
        <v>45</v>
      </c>
      <c r="X3" s="648"/>
      <c r="Z3" s="649" t="s">
        <v>23</v>
      </c>
      <c r="AA3" s="649"/>
      <c r="AC3" s="244"/>
      <c r="AD3" s="244"/>
      <c r="AE3" s="244"/>
      <c r="AF3" s="244"/>
      <c r="AG3" s="244"/>
      <c r="AH3" s="244"/>
      <c r="AI3" s="244"/>
      <c r="AJ3" s="244"/>
      <c r="AK3" s="244"/>
      <c r="AL3" s="244"/>
      <c r="AM3" s="244"/>
      <c r="AN3" s="244"/>
      <c r="AO3" s="244"/>
      <c r="AP3" s="244"/>
      <c r="AQ3" s="244"/>
      <c r="AR3" s="244"/>
      <c r="AS3" s="244"/>
      <c r="AT3" s="244"/>
      <c r="AU3" s="244"/>
      <c r="AV3" s="244"/>
    </row>
    <row r="4">
      <c r="E4" s="176"/>
      <c r="F4" s="176" t="s">
        <v>57</v>
      </c>
      <c r="G4" s="176"/>
      <c r="H4" s="176"/>
      <c r="I4" s="176" t="s">
        <v>57</v>
      </c>
      <c r="J4" s="176"/>
      <c r="K4" s="176"/>
      <c r="L4" s="176" t="s">
        <v>57</v>
      </c>
      <c r="M4" s="176"/>
      <c r="N4" s="176"/>
      <c r="O4" s="176" t="s">
        <v>57</v>
      </c>
      <c r="P4" s="176"/>
      <c r="Q4" s="176"/>
      <c r="R4" s="176" t="s">
        <v>57</v>
      </c>
      <c r="S4" s="176"/>
      <c r="T4" s="176"/>
      <c r="U4" s="176" t="s">
        <v>57</v>
      </c>
      <c r="V4" s="176"/>
      <c r="W4" s="176"/>
      <c r="X4" s="176" t="s">
        <v>57</v>
      </c>
      <c r="Y4" s="176"/>
      <c r="Z4" s="226"/>
      <c r="AA4" s="176" t="s">
        <v>57</v>
      </c>
      <c r="AC4" s="244"/>
      <c r="AD4" s="244"/>
      <c r="AE4" s="244"/>
      <c r="AF4" s="244"/>
      <c r="AG4" s="244"/>
      <c r="AH4" s="244"/>
      <c r="AI4" s="244"/>
      <c r="AJ4" s="244"/>
      <c r="AK4" s="244"/>
      <c r="AL4" s="244"/>
      <c r="AM4" s="244"/>
      <c r="AN4" s="244"/>
      <c r="AO4" s="244"/>
      <c r="AP4" s="244"/>
      <c r="AQ4" s="244"/>
      <c r="AR4" s="244"/>
      <c r="AS4" s="244"/>
      <c r="AT4" s="244"/>
      <c r="AU4" s="244"/>
      <c r="AV4" s="244"/>
    </row>
    <row r="5">
      <c r="B5" s="216" t="s">
        <v>23</v>
      </c>
      <c r="C5" s="216"/>
      <c r="D5" s="217" t="s">
        <v>32</v>
      </c>
      <c r="E5" s="221">
        <v>0.8257575757575757575757575758</v>
      </c>
      <c r="F5" s="219">
        <v>-2.022471910108836763034970200</v>
      </c>
      <c r="G5" s="217"/>
      <c r="H5" s="221">
        <v>0.7708333333333333333333333333</v>
      </c>
      <c r="I5" s="219">
        <v>-10.154525386361066035115393700</v>
      </c>
      <c r="J5" s="217"/>
      <c r="K5" s="221">
        <v>0.7689393939393939393939393939</v>
      </c>
      <c r="L5" s="219">
        <v>-13.432835820936867899309403290</v>
      </c>
      <c r="M5" s="217"/>
      <c r="N5" s="221">
        <v>0.8522727272727272727272727273</v>
      </c>
      <c r="O5" s="219">
        <v>-2.5974025974025974025974025900</v>
      </c>
      <c r="P5" s="217"/>
      <c r="Q5" s="221">
        <v>0.865530303030303030303030303</v>
      </c>
      <c r="R5" s="219">
        <v>-2.1413276231598659262961336700</v>
      </c>
      <c r="S5" s="217"/>
      <c r="T5" s="221">
        <v>0.865530303030303030303030303</v>
      </c>
      <c r="U5" s="219">
        <v>-6.3524590163504568664337346400</v>
      </c>
      <c r="V5" s="217"/>
      <c r="W5" s="221">
        <v>0.9223484848484848484848484848</v>
      </c>
      <c r="X5" s="219">
        <v>3.6170212765393064735174594400</v>
      </c>
      <c r="Y5" s="217"/>
      <c r="Z5" s="222">
        <v>0.8387445887445887445887445887</v>
      </c>
      <c r="AA5" s="219">
        <v>-4.732636754735730672740156900</v>
      </c>
      <c r="AC5" s="244"/>
      <c r="AD5" s="244"/>
      <c r="AE5" s="244"/>
      <c r="AF5" s="244"/>
      <c r="AG5" s="244"/>
      <c r="AH5" s="244"/>
      <c r="AI5" s="244"/>
      <c r="AJ5" s="244"/>
      <c r="AK5" s="244"/>
      <c r="AL5" s="244"/>
      <c r="AM5" s="244"/>
      <c r="AN5" s="244"/>
      <c r="AO5" s="244"/>
      <c r="AP5" s="244"/>
      <c r="AQ5" s="244"/>
      <c r="AR5" s="244"/>
      <c r="AS5" s="244"/>
      <c r="AT5" s="244"/>
      <c r="AU5" s="244"/>
      <c r="AV5" s="244"/>
    </row>
    <row r="6">
      <c r="D6" s="217" t="s">
        <v>26</v>
      </c>
      <c r="E6" s="221">
        <v>0.7427325581395348837209302326</v>
      </c>
      <c r="F6" s="219">
        <v>-4.2446332736612034154396404500</v>
      </c>
      <c r="G6" s="217"/>
      <c r="H6" s="221">
        <v>0.7223837209302325581395348837</v>
      </c>
      <c r="I6" s="219">
        <v>7.8107850649051053331744281700</v>
      </c>
      <c r="J6" s="217"/>
      <c r="K6" s="221">
        <v>0.744186046511627906976744186</v>
      </c>
      <c r="L6" s="219">
        <v>12.669901892889437669234409480</v>
      </c>
      <c r="M6" s="217"/>
      <c r="N6" s="221">
        <v>0.7885174418604651162790697674</v>
      </c>
      <c r="O6" s="219">
        <v>10.221453924844423011864293450</v>
      </c>
      <c r="P6" s="217"/>
      <c r="Q6" s="221">
        <v>0.8161337209302325581395348837</v>
      </c>
      <c r="R6" s="219">
        <v>-0.1576557461092716614605412900</v>
      </c>
      <c r="S6" s="217"/>
      <c r="T6" s="221">
        <v>0.8626453488372093023255813953</v>
      </c>
      <c r="U6" s="219">
        <v>-1.646693561116216931037554300</v>
      </c>
      <c r="V6" s="217"/>
      <c r="W6" s="221">
        <v>0.8960755813953488372093023256</v>
      </c>
      <c r="X6" s="219">
        <v>0.72586682885999151993991400</v>
      </c>
      <c r="Y6" s="217"/>
      <c r="Z6" s="222">
        <v>0.7960963455149501661129568106</v>
      </c>
      <c r="AA6" s="219">
        <v>3.088325889356156307403936800</v>
      </c>
      <c r="AC6" s="244"/>
      <c r="AD6" s="244"/>
      <c r="AE6" s="244"/>
      <c r="AF6" s="244"/>
      <c r="AG6" s="244"/>
      <c r="AH6" s="244"/>
      <c r="AI6" s="244"/>
      <c r="AJ6" s="244"/>
      <c r="AK6" s="244"/>
      <c r="AL6" s="244"/>
      <c r="AM6" s="244"/>
      <c r="AN6" s="244"/>
      <c r="AO6" s="244"/>
      <c r="AP6" s="244"/>
      <c r="AQ6" s="244"/>
      <c r="AR6" s="244"/>
      <c r="AS6" s="244"/>
      <c r="AT6" s="244"/>
      <c r="AU6" s="244"/>
      <c r="AV6" s="244"/>
    </row>
    <row r="7">
      <c r="D7" t="s">
        <v>91</v>
      </c>
      <c r="E7" s="223">
        <v>111.1783193974279</v>
      </c>
      <c r="F7" s="218">
        <v>2.3206650859005</v>
      </c>
      <c r="H7" s="223">
        <v>106.7069081153932</v>
      </c>
      <c r="I7" s="218">
        <v>-16.6637414247141</v>
      </c>
      <c r="K7" s="223">
        <v>103.3262310605544</v>
      </c>
      <c r="L7" s="218">
        <v>-23.1674451430943</v>
      </c>
      <c r="N7" s="223">
        <v>108.0854629242364</v>
      </c>
      <c r="O7" s="218">
        <v>-11.6300920245186</v>
      </c>
      <c r="Q7" s="223">
        <v>106.0525108610896</v>
      </c>
      <c r="R7" s="218">
        <v>-1.9868041879897</v>
      </c>
      <c r="T7" s="223">
        <v>100.3344310842448</v>
      </c>
      <c r="U7" s="218">
        <v>-4.7845523710519</v>
      </c>
      <c r="W7" s="223">
        <v>102.9319963626934</v>
      </c>
      <c r="X7" s="218">
        <v>2.8703197488765</v>
      </c>
      <c r="Z7" s="224">
        <v>105.3571710848640</v>
      </c>
      <c r="AA7" s="218">
        <v>-7.5866618034937</v>
      </c>
      <c r="AC7" s="244"/>
      <c r="AD7" s="244"/>
      <c r="AE7" s="244"/>
      <c r="AF7" s="244"/>
      <c r="AG7" s="244"/>
      <c r="AH7" s="244"/>
      <c r="AI7" s="244"/>
      <c r="AJ7" s="244"/>
      <c r="AK7" s="244"/>
      <c r="AL7" s="244"/>
      <c r="AM7" s="244"/>
      <c r="AN7" s="244"/>
      <c r="AO7" s="244"/>
      <c r="AP7" s="244"/>
      <c r="AQ7" s="244"/>
      <c r="AR7" s="244"/>
      <c r="AS7" s="244"/>
      <c r="AT7" s="244"/>
      <c r="AU7" s="244"/>
      <c r="AV7" s="244"/>
    </row>
    <row r="8">
      <c r="D8" s="214" t="s">
        <v>55</v>
      </c>
      <c r="E8" s="227" t="s">
        <v>170</v>
      </c>
      <c r="F8" s="228" t="s">
        <v>173</v>
      </c>
      <c r="G8" s="229"/>
      <c r="H8" s="227" t="s">
        <v>170</v>
      </c>
      <c r="I8" s="228" t="s">
        <v>172</v>
      </c>
      <c r="J8" s="229"/>
      <c r="K8" s="227" t="s">
        <v>171</v>
      </c>
      <c r="L8" s="228" t="s">
        <v>173</v>
      </c>
      <c r="M8" s="229"/>
      <c r="N8" s="227" t="s">
        <v>170</v>
      </c>
      <c r="O8" s="228" t="s">
        <v>173</v>
      </c>
      <c r="P8" s="229"/>
      <c r="Q8" s="227" t="s">
        <v>170</v>
      </c>
      <c r="R8" s="228" t="s">
        <v>171</v>
      </c>
      <c r="S8" s="229"/>
      <c r="T8" s="227" t="s">
        <v>171</v>
      </c>
      <c r="U8" s="228" t="s">
        <v>173</v>
      </c>
      <c r="V8" s="229"/>
      <c r="W8" s="227" t="s">
        <v>170</v>
      </c>
      <c r="X8" s="228" t="s">
        <v>170</v>
      </c>
      <c r="Y8" s="229"/>
      <c r="Z8" s="230" t="s">
        <v>170</v>
      </c>
      <c r="AA8" s="228" t="s">
        <v>173</v>
      </c>
      <c r="AC8" s="244"/>
      <c r="AD8" s="244"/>
      <c r="AE8" s="244"/>
      <c r="AF8" s="244"/>
      <c r="AG8" s="244"/>
      <c r="AH8" s="244"/>
      <c r="AI8" s="244"/>
      <c r="AJ8" s="244"/>
      <c r="AK8" s="244"/>
      <c r="AL8" s="244"/>
      <c r="AM8" s="244"/>
      <c r="AN8" s="244"/>
      <c r="AO8" s="244"/>
      <c r="AP8" s="244"/>
      <c r="AQ8" s="244"/>
      <c r="AR8" s="244"/>
      <c r="AS8" s="244"/>
      <c r="AT8" s="244"/>
      <c r="AU8" s="244"/>
      <c r="AV8" s="244"/>
    </row>
    <row r="9" ht="8.1" customHeight="1">
      <c r="F9" s="218"/>
      <c r="I9" s="218"/>
      <c r="L9" s="218"/>
      <c r="O9" s="218"/>
      <c r="R9" s="218"/>
      <c r="U9" s="218"/>
      <c r="X9" s="218"/>
      <c r="Z9" s="215"/>
      <c r="AA9" s="218"/>
      <c r="AC9" s="244"/>
      <c r="AD9" s="244"/>
      <c r="AE9" s="244"/>
      <c r="AF9" s="244"/>
      <c r="AG9" s="244"/>
      <c r="AH9" s="244"/>
      <c r="AI9" s="244"/>
      <c r="AJ9" s="244"/>
      <c r="AK9" s="244"/>
      <c r="AL9" s="244"/>
      <c r="AM9" s="244"/>
      <c r="AN9" s="244"/>
      <c r="AO9" s="244"/>
      <c r="AP9" s="244"/>
      <c r="AQ9" s="244"/>
      <c r="AR9" s="244"/>
      <c r="AS9" s="244"/>
      <c r="AT9" s="244"/>
      <c r="AU9" s="244"/>
      <c r="AV9" s="244"/>
    </row>
    <row r="10" ht="12.75" customHeight="1">
      <c r="B10" s="216" t="s">
        <v>21</v>
      </c>
      <c r="C10" s="216"/>
      <c r="D10" s="217" t="s">
        <v>32</v>
      </c>
      <c r="E10" s="221">
        <v>0.7613636363636363636363636364</v>
      </c>
      <c r="F10" s="219">
        <v>2.2900763359028494842957930700</v>
      </c>
      <c r="G10" s="217"/>
      <c r="H10" s="221">
        <v>0.7064393939393939393939393939</v>
      </c>
      <c r="I10" s="219">
        <v>-14.645308924535127690881736860</v>
      </c>
      <c r="J10" s="217"/>
      <c r="K10" s="221">
        <v>0.7026515151515151515151515152</v>
      </c>
      <c r="L10" s="219">
        <v>-16.629213483143069814417371430</v>
      </c>
      <c r="M10" s="217"/>
      <c r="N10" s="221">
        <v>0.7556818181818181818181818182</v>
      </c>
      <c r="O10" s="219">
        <v>-6.5573770491663224171689616900</v>
      </c>
      <c r="P10" s="217"/>
      <c r="Q10" s="221">
        <v>0.7784090909090909090909090909</v>
      </c>
      <c r="R10" s="219">
        <v>2.4937655859940174501402517600</v>
      </c>
      <c r="S10" s="217"/>
      <c r="T10" s="221">
        <v>0.7727272727272727272727272727</v>
      </c>
      <c r="U10" s="219">
        <v>6.2499999999601562500000149400</v>
      </c>
      <c r="V10" s="217"/>
      <c r="W10" s="221">
        <v>0.8314393939393939393939393939</v>
      </c>
      <c r="X10" s="219">
        <v>15.526315789468819944598338150</v>
      </c>
      <c r="Y10" s="217"/>
      <c r="Z10" s="222">
        <v>0.7583874458874458874458874459</v>
      </c>
      <c r="AA10" s="219">
        <v>-2.2322985698753476439315056100</v>
      </c>
      <c r="AC10" s="244"/>
      <c r="AD10" s="244"/>
      <c r="AE10" s="244"/>
      <c r="AF10" s="244"/>
      <c r="AG10" s="244"/>
      <c r="AH10" s="244"/>
      <c r="AI10" s="244"/>
      <c r="AJ10" s="244"/>
      <c r="AK10" s="244"/>
      <c r="AL10" s="244"/>
      <c r="AM10" s="244"/>
      <c r="AN10" s="244"/>
      <c r="AO10" s="244"/>
      <c r="AP10" s="244"/>
      <c r="AQ10" s="244"/>
      <c r="AR10" s="244"/>
      <c r="AS10" s="244"/>
      <c r="AT10" s="244"/>
      <c r="AU10" s="244"/>
      <c r="AV10" s="244"/>
    </row>
    <row r="11">
      <c r="D11" s="217" t="s">
        <v>26</v>
      </c>
      <c r="E11" s="221">
        <v>0.7194355104733630216064654461</v>
      </c>
      <c r="F11" s="219">
        <v>-6.1654540425304249653744555400</v>
      </c>
      <c r="G11" s="217"/>
      <c r="H11" s="221">
        <v>0.6803329635862913096695226438</v>
      </c>
      <c r="I11" s="219">
        <v>3.2824317907814882670329121500</v>
      </c>
      <c r="J11" s="217"/>
      <c r="K11" s="221">
        <v>0.676012676324818909645444148</v>
      </c>
      <c r="L11" s="219">
        <v>5.297141776937634519379583300</v>
      </c>
      <c r="M11" s="217"/>
      <c r="N11" s="221">
        <v>0.7103788923925896728419392984</v>
      </c>
      <c r="O11" s="219">
        <v>1.4135454557015050871456350500</v>
      </c>
      <c r="P11" s="217"/>
      <c r="Q11" s="221">
        <v>0.7398677114930906639703404112</v>
      </c>
      <c r="R11" s="219">
        <v>-7.8738273058745550306417457900</v>
      </c>
      <c r="S11" s="217"/>
      <c r="T11" s="221">
        <v>0.8257161558601570922531957493</v>
      </c>
      <c r="U11" s="219">
        <v>-5.3419783022663459341467710900</v>
      </c>
      <c r="V11" s="217"/>
      <c r="W11" s="221">
        <v>0.8591820695401863495189758352</v>
      </c>
      <c r="X11" s="219">
        <v>-3.1614560491408977162983986200</v>
      </c>
      <c r="Y11" s="217"/>
      <c r="Z11" s="222">
        <v>0.7444179970957852885008405046</v>
      </c>
      <c r="AA11" s="219">
        <v>-2.244101836541730358782647700</v>
      </c>
      <c r="AC11" s="244"/>
      <c r="AD11" s="244"/>
      <c r="AE11" s="244"/>
      <c r="AF11" s="244"/>
      <c r="AG11" s="244"/>
      <c r="AH11" s="244"/>
      <c r="AI11" s="244"/>
      <c r="AJ11" s="244"/>
      <c r="AK11" s="244"/>
      <c r="AL11" s="244"/>
      <c r="AM11" s="244"/>
      <c r="AN11" s="244"/>
      <c r="AO11" s="244"/>
      <c r="AP11" s="244"/>
      <c r="AQ11" s="244"/>
      <c r="AR11" s="244"/>
      <c r="AS11" s="244"/>
      <c r="AT11" s="244"/>
      <c r="AU11" s="244"/>
      <c r="AV11" s="244"/>
    </row>
    <row r="12">
      <c r="D12" t="s">
        <v>22</v>
      </c>
      <c r="E12" s="223">
        <v>105.8279199845265</v>
      </c>
      <c r="F12" s="218">
        <v>9.0111059761549</v>
      </c>
      <c r="H12" s="223">
        <v>103.8373019904531</v>
      </c>
      <c r="I12" s="218">
        <v>-17.3579769612499</v>
      </c>
      <c r="K12" s="223">
        <v>103.9405827374912</v>
      </c>
      <c r="L12" s="218">
        <v>-20.8233147548663</v>
      </c>
      <c r="N12" s="223">
        <v>106.3772905239639</v>
      </c>
      <c r="O12" s="218">
        <v>-7.8598203712644</v>
      </c>
      <c r="Q12" s="223">
        <v>105.2092257598750</v>
      </c>
      <c r="R12" s="218">
        <v>11.2536889232433</v>
      </c>
      <c r="T12" s="223">
        <v>93.5826757467839</v>
      </c>
      <c r="U12" s="218">
        <v>12.2461658234575</v>
      </c>
      <c r="W12" s="223">
        <v>96.7710364794438</v>
      </c>
      <c r="X12" s="218">
        <v>19.2978653708100</v>
      </c>
      <c r="Z12" s="224">
        <v>101.8765597884443</v>
      </c>
      <c r="AA12" s="218">
        <v>0.0120742244509</v>
      </c>
      <c r="AC12" s="244"/>
      <c r="AD12" s="244"/>
      <c r="AE12" s="244"/>
      <c r="AF12" s="244"/>
      <c r="AG12" s="244"/>
      <c r="AH12" s="244"/>
      <c r="AI12" s="244"/>
      <c r="AJ12" s="244"/>
      <c r="AK12" s="244"/>
      <c r="AL12" s="244"/>
      <c r="AM12" s="244"/>
      <c r="AN12" s="244"/>
      <c r="AO12" s="244"/>
      <c r="AP12" s="244"/>
      <c r="AQ12" s="244"/>
      <c r="AR12" s="244"/>
      <c r="AS12" s="244"/>
      <c r="AT12" s="244"/>
      <c r="AU12" s="244"/>
      <c r="AV12" s="244"/>
    </row>
    <row r="13">
      <c r="D13" t="s">
        <v>55</v>
      </c>
      <c r="E13" s="231" t="s">
        <v>170</v>
      </c>
      <c r="F13" s="232" t="s">
        <v>170</v>
      </c>
      <c r="G13" s="176"/>
      <c r="H13" s="231" t="s">
        <v>170</v>
      </c>
      <c r="I13" s="232" t="s">
        <v>173</v>
      </c>
      <c r="J13" s="176"/>
      <c r="K13" s="231" t="s">
        <v>170</v>
      </c>
      <c r="L13" s="232" t="s">
        <v>173</v>
      </c>
      <c r="M13" s="176"/>
      <c r="N13" s="231" t="s">
        <v>170</v>
      </c>
      <c r="O13" s="232" t="s">
        <v>171</v>
      </c>
      <c r="P13" s="176"/>
      <c r="Q13" s="231" t="s">
        <v>170</v>
      </c>
      <c r="R13" s="232" t="s">
        <v>170</v>
      </c>
      <c r="S13" s="176"/>
      <c r="T13" s="231" t="s">
        <v>173</v>
      </c>
      <c r="U13" s="232" t="s">
        <v>174</v>
      </c>
      <c r="V13" s="176"/>
      <c r="W13" s="231" t="s">
        <v>171</v>
      </c>
      <c r="X13" s="232" t="s">
        <v>174</v>
      </c>
      <c r="Y13" s="176"/>
      <c r="Z13" s="233" t="s">
        <v>170</v>
      </c>
      <c r="AA13" s="232" t="s">
        <v>170</v>
      </c>
      <c r="AC13" s="244"/>
      <c r="AD13" s="244"/>
      <c r="AE13" s="244"/>
      <c r="AF13" s="244"/>
      <c r="AG13" s="244"/>
      <c r="AH13" s="244"/>
      <c r="AI13" s="244"/>
      <c r="AJ13" s="244"/>
      <c r="AK13" s="244"/>
      <c r="AL13" s="244"/>
      <c r="AM13" s="244"/>
      <c r="AN13" s="244"/>
      <c r="AO13" s="244"/>
      <c r="AP13" s="244"/>
      <c r="AQ13" s="244"/>
      <c r="AR13" s="244"/>
      <c r="AS13" s="244"/>
      <c r="AT13" s="244"/>
      <c r="AU13" s="244"/>
      <c r="AV13" s="244"/>
    </row>
    <row r="14" ht="8.1" customHeight="1">
      <c r="F14" s="218"/>
      <c r="I14" s="218"/>
      <c r="L14" s="218"/>
      <c r="O14" s="218"/>
      <c r="R14" s="218"/>
      <c r="U14" s="218"/>
      <c r="X14" s="218"/>
      <c r="Z14" s="215"/>
      <c r="AA14" s="218"/>
      <c r="AC14" s="244"/>
      <c r="AD14" s="244"/>
      <c r="AE14" s="244"/>
      <c r="AF14" s="244"/>
      <c r="AG14" s="244"/>
      <c r="AH14" s="244"/>
      <c r="AI14" s="244"/>
      <c r="AJ14" s="244"/>
      <c r="AK14" s="244"/>
      <c r="AL14" s="244"/>
      <c r="AM14" s="244"/>
      <c r="AN14" s="244"/>
      <c r="AO14" s="244"/>
      <c r="AP14" s="244"/>
      <c r="AQ14" s="244"/>
      <c r="AR14" s="244"/>
      <c r="AS14" s="244"/>
      <c r="AT14" s="244"/>
      <c r="AU14" s="244"/>
      <c r="AV14" s="244"/>
    </row>
    <row r="15" ht="12.75" customHeight="1">
      <c r="B15" s="216" t="s">
        <v>24</v>
      </c>
      <c r="C15" s="216"/>
      <c r="D15" s="217" t="s">
        <v>32</v>
      </c>
      <c r="E15" s="221">
        <v>0.0643939393939393939393939394</v>
      </c>
      <c r="F15" s="219">
        <v>-34.615384615485207100591561210</v>
      </c>
      <c r="G15" s="217"/>
      <c r="H15" s="221">
        <v>0.0643939393939393939393939394</v>
      </c>
      <c r="I15" s="219">
        <v>112.50000000021250000000021252</v>
      </c>
      <c r="J15" s="217"/>
      <c r="K15" s="221">
        <v>0.0662878787878787878787878788</v>
      </c>
      <c r="L15" s="219">
        <v>45.833333331875000000014583360</v>
      </c>
      <c r="M15" s="217"/>
      <c r="N15" s="221">
        <v>0.0965909090909090909090909091</v>
      </c>
      <c r="O15" s="219">
        <v>45.714285714019265306122936210</v>
      </c>
      <c r="P15" s="217"/>
      <c r="Q15" s="221">
        <v>0.0871212121212121212121212121</v>
      </c>
      <c r="R15" s="219">
        <v>-30.303030303030303030303030320</v>
      </c>
      <c r="S15" s="217"/>
      <c r="T15" s="221">
        <v>0.0928030303030303030303030303</v>
      </c>
      <c r="U15" s="219">
        <v>-52.884615384687869822485095590</v>
      </c>
      <c r="V15" s="217"/>
      <c r="W15" s="221">
        <v>0.0909090909090909090909090909</v>
      </c>
      <c r="X15" s="219">
        <v>-46.666666666808888888888509630</v>
      </c>
      <c r="Y15" s="217"/>
      <c r="Z15" s="222">
        <v>0.0803571428571428571428571429</v>
      </c>
      <c r="AA15" s="219">
        <v>-23.255813953640670632774170410</v>
      </c>
      <c r="AC15" s="244"/>
      <c r="AD15" s="244"/>
      <c r="AE15" s="244"/>
      <c r="AF15" s="244"/>
      <c r="AG15" s="244"/>
      <c r="AH15" s="244"/>
      <c r="AI15" s="244"/>
      <c r="AJ15" s="244"/>
      <c r="AK15" s="244"/>
      <c r="AL15" s="244"/>
      <c r="AM15" s="244"/>
      <c r="AN15" s="244"/>
      <c r="AO15" s="244"/>
      <c r="AP15" s="244"/>
      <c r="AQ15" s="244"/>
      <c r="AR15" s="244"/>
      <c r="AS15" s="244"/>
      <c r="AT15" s="244"/>
      <c r="AU15" s="244"/>
      <c r="AV15" s="244"/>
    </row>
    <row r="16">
      <c r="D16" s="217" t="s">
        <v>26</v>
      </c>
      <c r="E16" s="221">
        <v>0.0232970476661718621144647864</v>
      </c>
      <c r="F16" s="219">
        <v>160.30567926419040958842856384</v>
      </c>
      <c r="G16" s="217"/>
      <c r="H16" s="221">
        <v>0.0420507573439412484700122399</v>
      </c>
      <c r="I16" s="219">
        <v>270.93194373279951661291604762</v>
      </c>
      <c r="J16" s="217"/>
      <c r="K16" s="221">
        <v>0.0681733701868089973313000381</v>
      </c>
      <c r="L16" s="219">
        <v>268.57602719819567395293853947</v>
      </c>
      <c r="M16" s="217"/>
      <c r="N16" s="221">
        <v>0.0781385494678754434371304691</v>
      </c>
      <c r="O16" s="219">
        <v>423.84083564772358886917710421</v>
      </c>
      <c r="P16" s="217"/>
      <c r="Q16" s="221">
        <v>0.0762660094371418941691944725</v>
      </c>
      <c r="R16" s="219">
        <v>432.59096591060766027588207992</v>
      </c>
      <c r="S16" s="217"/>
      <c r="T16" s="221">
        <v>0.0369291929770522100723856461</v>
      </c>
      <c r="U16" s="219">
        <v>673.66659282669213841101121818</v>
      </c>
      <c r="V16" s="217"/>
      <c r="W16" s="221">
        <v>0.0368935118551624876903264904</v>
      </c>
      <c r="X16" s="219">
        <v>1445.8381466462871361591341553</v>
      </c>
      <c r="Y16" s="217"/>
      <c r="Z16" s="222">
        <v>0.0516783484191648776121163061</v>
      </c>
      <c r="AA16" s="219">
        <v>381.18284416549409419319654445</v>
      </c>
      <c r="AC16" s="244"/>
      <c r="AD16" s="244"/>
      <c r="AE16" s="244"/>
      <c r="AF16" s="244"/>
      <c r="AG16" s="244"/>
      <c r="AH16" s="244"/>
      <c r="AI16" s="244"/>
      <c r="AJ16" s="244"/>
      <c r="AK16" s="244"/>
      <c r="AL16" s="244"/>
      <c r="AM16" s="244"/>
      <c r="AN16" s="244"/>
      <c r="AO16" s="244"/>
      <c r="AP16" s="244"/>
      <c r="AQ16" s="244"/>
      <c r="AR16" s="244"/>
      <c r="AS16" s="244"/>
      <c r="AT16" s="244"/>
      <c r="AU16" s="244"/>
      <c r="AV16" s="244"/>
    </row>
    <row r="17">
      <c r="D17" t="s">
        <v>22</v>
      </c>
      <c r="E17" s="223">
        <v>276.4038616271396</v>
      </c>
      <c r="F17" s="218">
        <v>-74.8816024414361</v>
      </c>
      <c r="H17" s="223">
        <v>153.1338398192427</v>
      </c>
      <c r="I17" s="218">
        <v>-42.7118630276791</v>
      </c>
      <c r="K17" s="223">
        <v>97.2342699298138</v>
      </c>
      <c r="L17" s="218">
        <v>-60.4333102069927</v>
      </c>
      <c r="N17" s="223">
        <v>123.6149247055909</v>
      </c>
      <c r="O17" s="218">
        <v>-72.1834809739696</v>
      </c>
      <c r="Q17" s="223">
        <v>114.2333429588697</v>
      </c>
      <c r="R17" s="218">
        <v>-86.9136027161229</v>
      </c>
      <c r="T17" s="223">
        <v>251.2999143003999</v>
      </c>
      <c r="U17" s="218">
        <v>-93.9101177364646</v>
      </c>
      <c r="W17" s="223">
        <v>246.4094263142652</v>
      </c>
      <c r="X17" s="218">
        <v>-96.5498759718619</v>
      </c>
      <c r="Z17" s="224">
        <v>155.4947967872728</v>
      </c>
      <c r="AA17" s="218">
        <v>-84.0509305397517</v>
      </c>
      <c r="AC17" s="244"/>
      <c r="AD17" s="244"/>
      <c r="AE17" s="244"/>
      <c r="AF17" s="244"/>
      <c r="AG17" s="244"/>
      <c r="AH17" s="244"/>
      <c r="AI17" s="244"/>
      <c r="AJ17" s="244"/>
      <c r="AK17" s="244"/>
      <c r="AL17" s="244"/>
      <c r="AM17" s="244"/>
      <c r="AN17" s="244"/>
      <c r="AO17" s="244"/>
      <c r="AP17" s="244"/>
      <c r="AQ17" s="244"/>
      <c r="AR17" s="244"/>
      <c r="AS17" s="244"/>
      <c r="AT17" s="244"/>
      <c r="AU17" s="244"/>
      <c r="AV17" s="244"/>
    </row>
    <row r="18">
      <c r="D18" t="s">
        <v>55</v>
      </c>
      <c r="E18" s="231" t="s">
        <v>174</v>
      </c>
      <c r="F18" s="232" t="s">
        <v>173</v>
      </c>
      <c r="G18" s="176"/>
      <c r="H18" s="231" t="s">
        <v>170</v>
      </c>
      <c r="I18" s="232" t="s">
        <v>170</v>
      </c>
      <c r="J18" s="176"/>
      <c r="K18" s="231" t="s">
        <v>170</v>
      </c>
      <c r="L18" s="232" t="s">
        <v>170</v>
      </c>
      <c r="M18" s="176"/>
      <c r="N18" s="231" t="s">
        <v>170</v>
      </c>
      <c r="O18" s="232" t="s">
        <v>171</v>
      </c>
      <c r="P18" s="176"/>
      <c r="Q18" s="231" t="s">
        <v>170</v>
      </c>
      <c r="R18" s="232" t="s">
        <v>172</v>
      </c>
      <c r="S18" s="176"/>
      <c r="T18" s="231" t="s">
        <v>174</v>
      </c>
      <c r="U18" s="232" t="s">
        <v>172</v>
      </c>
      <c r="V18" s="176"/>
      <c r="W18" s="231" t="s">
        <v>174</v>
      </c>
      <c r="X18" s="232" t="s">
        <v>172</v>
      </c>
      <c r="Y18" s="176"/>
      <c r="Z18" s="233" t="s">
        <v>170</v>
      </c>
      <c r="AA18" s="232" t="s">
        <v>173</v>
      </c>
      <c r="AC18" s="244"/>
      <c r="AD18" s="244"/>
      <c r="AE18" s="244"/>
      <c r="AF18" s="244"/>
      <c r="AG18" s="244"/>
      <c r="AH18" s="244"/>
      <c r="AI18" s="244"/>
      <c r="AJ18" s="244"/>
      <c r="AK18" s="244"/>
      <c r="AL18" s="244"/>
      <c r="AM18" s="244"/>
      <c r="AN18" s="244"/>
      <c r="AO18" s="244"/>
      <c r="AP18" s="244"/>
      <c r="AQ18" s="244"/>
      <c r="AR18" s="244"/>
      <c r="AS18" s="244"/>
      <c r="AT18" s="244"/>
      <c r="AU18" s="244"/>
      <c r="AV18" s="244"/>
    </row>
    <row r="19" ht="8.1" customHeight="1">
      <c r="F19" s="218"/>
      <c r="I19" s="218"/>
      <c r="L19" s="218"/>
      <c r="O19" s="218"/>
      <c r="R19" s="218"/>
      <c r="U19" s="218"/>
      <c r="X19" s="218"/>
      <c r="Z19" s="215"/>
      <c r="AA19" s="218"/>
      <c r="AC19" s="244"/>
      <c r="AD19" s="244"/>
      <c r="AE19" s="244"/>
      <c r="AF19" s="244"/>
      <c r="AG19" s="244"/>
      <c r="AH19" s="244"/>
      <c r="AI19" s="244"/>
      <c r="AJ19" s="244"/>
      <c r="AK19" s="244"/>
      <c r="AL19" s="244"/>
      <c r="AM19" s="244"/>
      <c r="AN19" s="244"/>
      <c r="AO19" s="244"/>
      <c r="AP19" s="244"/>
      <c r="AQ19" s="244"/>
      <c r="AR19" s="244"/>
      <c r="AS19" s="244"/>
      <c r="AT19" s="244"/>
      <c r="AU19" s="244"/>
      <c r="AV19" s="244"/>
    </row>
    <row r="20" ht="12.75" customHeight="1">
      <c r="B20" s="216" t="s">
        <v>25</v>
      </c>
      <c r="C20" s="216"/>
      <c r="D20" s="217" t="s">
        <v>32</v>
      </c>
      <c r="E20" s="221">
        <v>0</v>
      </c>
      <c r="F20" s="219">
        <v>0</v>
      </c>
      <c r="G20" s="217"/>
      <c r="H20" s="221">
        <v>0</v>
      </c>
      <c r="I20" s="219">
        <v>0</v>
      </c>
      <c r="J20" s="217"/>
      <c r="K20" s="221">
        <v>0</v>
      </c>
      <c r="L20" s="219">
        <v>0</v>
      </c>
      <c r="M20" s="217"/>
      <c r="N20" s="221">
        <v>0</v>
      </c>
      <c r="O20" s="219">
        <v>0</v>
      </c>
      <c r="P20" s="217"/>
      <c r="Q20" s="221">
        <v>0</v>
      </c>
      <c r="R20" s="219">
        <v>0</v>
      </c>
      <c r="S20" s="217"/>
      <c r="T20" s="221">
        <v>0</v>
      </c>
      <c r="U20" s="219">
        <v>0</v>
      </c>
      <c r="V20" s="217"/>
      <c r="W20" s="221">
        <v>0</v>
      </c>
      <c r="X20" s="219">
        <v>0</v>
      </c>
      <c r="Y20" s="217"/>
      <c r="Z20" s="222">
        <v>0</v>
      </c>
      <c r="AA20" s="219">
        <v>0</v>
      </c>
      <c r="AC20" s="244"/>
      <c r="AD20" s="244"/>
      <c r="AE20" s="244"/>
      <c r="AF20" s="244"/>
      <c r="AG20" s="244"/>
      <c r="AH20" s="244"/>
      <c r="AI20" s="244"/>
      <c r="AJ20" s="244"/>
      <c r="AK20" s="244"/>
      <c r="AL20" s="244"/>
      <c r="AM20" s="244"/>
      <c r="AN20" s="244"/>
      <c r="AO20" s="244"/>
      <c r="AP20" s="244"/>
      <c r="AQ20" s="244"/>
      <c r="AR20" s="244"/>
      <c r="AS20" s="244"/>
      <c r="AT20" s="244"/>
      <c r="AU20" s="244"/>
      <c r="AV20" s="244"/>
    </row>
    <row r="21">
      <c r="D21" s="217" t="s">
        <v>26</v>
      </c>
      <c r="E21" s="221">
        <v>0</v>
      </c>
      <c r="F21" s="219">
        <v>0</v>
      </c>
      <c r="G21" s="217"/>
      <c r="H21" s="221">
        <v>0</v>
      </c>
      <c r="I21" s="219">
        <v>0</v>
      </c>
      <c r="J21" s="217"/>
      <c r="K21" s="221">
        <v>0</v>
      </c>
      <c r="L21" s="219">
        <v>0</v>
      </c>
      <c r="M21" s="217"/>
      <c r="N21" s="221">
        <v>0</v>
      </c>
      <c r="O21" s="219">
        <v>0</v>
      </c>
      <c r="P21" s="217"/>
      <c r="Q21" s="221">
        <v>0</v>
      </c>
      <c r="R21" s="219">
        <v>0</v>
      </c>
      <c r="S21" s="217"/>
      <c r="T21" s="221">
        <v>0</v>
      </c>
      <c r="U21" s="219">
        <v>0</v>
      </c>
      <c r="V21" s="217"/>
      <c r="W21" s="221">
        <v>0</v>
      </c>
      <c r="X21" s="219">
        <v>0</v>
      </c>
      <c r="Y21" s="217"/>
      <c r="Z21" s="222">
        <v>0</v>
      </c>
      <c r="AA21" s="219">
        <v>0</v>
      </c>
      <c r="AC21" s="244"/>
      <c r="AD21" s="244"/>
      <c r="AE21" s="244"/>
      <c r="AF21" s="244"/>
      <c r="AG21" s="244"/>
      <c r="AH21" s="244"/>
      <c r="AI21" s="244"/>
      <c r="AJ21" s="244"/>
      <c r="AK21" s="244"/>
      <c r="AL21" s="244"/>
      <c r="AM21" s="244"/>
      <c r="AN21" s="244"/>
      <c r="AO21" s="244"/>
      <c r="AP21" s="244"/>
      <c r="AQ21" s="244"/>
      <c r="AR21" s="244"/>
      <c r="AS21" s="244"/>
      <c r="AT21" s="244"/>
      <c r="AU21" s="244"/>
      <c r="AV21" s="244"/>
    </row>
    <row r="22">
      <c r="D22" t="s">
        <v>22</v>
      </c>
      <c r="E22" s="223">
        <v>0</v>
      </c>
      <c r="F22" s="218">
        <v>0</v>
      </c>
      <c r="H22" s="223">
        <v>0</v>
      </c>
      <c r="I22" s="218">
        <v>0</v>
      </c>
      <c r="K22" s="223">
        <v>0</v>
      </c>
      <c r="L22" s="218">
        <v>0</v>
      </c>
      <c r="N22" s="223">
        <v>0</v>
      </c>
      <c r="O22" s="218">
        <v>0</v>
      </c>
      <c r="Q22" s="223">
        <v>0</v>
      </c>
      <c r="R22" s="218">
        <v>0</v>
      </c>
      <c r="T22" s="223">
        <v>0</v>
      </c>
      <c r="U22" s="218">
        <v>0</v>
      </c>
      <c r="W22" s="223">
        <v>0</v>
      </c>
      <c r="X22" s="218">
        <v>0</v>
      </c>
      <c r="Z22" s="224">
        <v>0</v>
      </c>
      <c r="AA22" s="218">
        <v>0</v>
      </c>
      <c r="AC22" s="244"/>
      <c r="AD22" s="244"/>
      <c r="AE22" s="244"/>
      <c r="AF22" s="244"/>
      <c r="AG22" s="244"/>
      <c r="AH22" s="244"/>
      <c r="AI22" s="244"/>
      <c r="AJ22" s="244"/>
      <c r="AK22" s="244"/>
      <c r="AL22" s="244"/>
      <c r="AM22" s="244"/>
      <c r="AN22" s="244"/>
      <c r="AO22" s="244"/>
      <c r="AP22" s="244"/>
      <c r="AQ22" s="244"/>
      <c r="AR22" s="244"/>
      <c r="AS22" s="244"/>
      <c r="AT22" s="244"/>
      <c r="AU22" s="244"/>
      <c r="AV22" s="244"/>
    </row>
    <row r="23">
      <c r="D23" t="s">
        <v>55</v>
      </c>
      <c r="E23" s="231" t="s">
        <v>175</v>
      </c>
      <c r="F23" s="232"/>
      <c r="G23" s="176"/>
      <c r="H23" s="231" t="s">
        <v>175</v>
      </c>
      <c r="I23" s="232"/>
      <c r="J23" s="176"/>
      <c r="K23" s="231" t="s">
        <v>175</v>
      </c>
      <c r="L23" s="232"/>
      <c r="M23" s="176"/>
      <c r="N23" s="231" t="s">
        <v>175</v>
      </c>
      <c r="O23" s="232"/>
      <c r="P23" s="176"/>
      <c r="Q23" s="231" t="s">
        <v>175</v>
      </c>
      <c r="R23" s="232"/>
      <c r="S23" s="176"/>
      <c r="T23" s="231" t="s">
        <v>175</v>
      </c>
      <c r="U23" s="232"/>
      <c r="V23" s="176"/>
      <c r="W23" s="231" t="s">
        <v>175</v>
      </c>
      <c r="X23" s="232"/>
      <c r="Y23" s="176"/>
      <c r="Z23" s="233" t="s">
        <v>175</v>
      </c>
      <c r="AA23" s="232"/>
      <c r="AC23" s="244"/>
      <c r="AD23" s="244"/>
      <c r="AE23" s="244"/>
      <c r="AF23" s="244"/>
      <c r="AG23" s="244"/>
      <c r="AH23" s="244"/>
      <c r="AI23" s="244"/>
      <c r="AJ23" s="244"/>
      <c r="AK23" s="244"/>
      <c r="AL23" s="244"/>
      <c r="AM23" s="244"/>
      <c r="AN23" s="244"/>
      <c r="AO23" s="244"/>
      <c r="AP23" s="244"/>
      <c r="AQ23" s="244"/>
      <c r="AR23" s="244"/>
      <c r="AS23" s="244"/>
      <c r="AT23" s="244"/>
      <c r="AU23" s="244"/>
      <c r="AV23" s="244"/>
    </row>
    <row r="24" ht="15">
      <c r="B24" s="612"/>
      <c r="C24" s="612"/>
      <c r="D24" s="612"/>
      <c r="E24" s="612"/>
      <c r="F24" s="612"/>
      <c r="G24" s="612"/>
      <c r="H24" s="612"/>
      <c r="I24" s="612"/>
      <c r="J24" s="612"/>
      <c r="K24" s="612"/>
      <c r="L24" s="612"/>
      <c r="M24" s="612"/>
      <c r="N24" s="612"/>
      <c r="O24" s="612"/>
      <c r="P24" s="612"/>
      <c r="Q24" s="612"/>
      <c r="R24" s="612"/>
      <c r="S24" s="612"/>
      <c r="T24" s="612"/>
      <c r="U24" s="612"/>
      <c r="V24" s="612"/>
      <c r="W24" s="612"/>
      <c r="X24" s="612"/>
      <c r="Y24" s="612"/>
      <c r="Z24" s="612"/>
      <c r="AA24" s="612"/>
      <c r="AC24" s="244"/>
      <c r="AD24" s="244"/>
      <c r="AE24" s="244"/>
      <c r="AF24" s="244"/>
      <c r="AG24" s="244"/>
      <c r="AH24" s="244"/>
      <c r="AI24" s="244"/>
      <c r="AJ24" s="244"/>
      <c r="AK24" s="244"/>
      <c r="AL24" s="244"/>
      <c r="AM24" s="244"/>
      <c r="AN24" s="244"/>
      <c r="AO24" s="244"/>
      <c r="AP24" s="244"/>
      <c r="AQ24" s="244"/>
      <c r="AR24" s="244"/>
      <c r="AS24" s="244"/>
      <c r="AT24" s="244"/>
      <c r="AU24" s="244"/>
      <c r="AV24" s="244"/>
    </row>
    <row r="25" ht="18">
      <c r="B25" s="220" t="s">
        <v>12</v>
      </c>
      <c r="C25" s="57"/>
      <c r="E25" s="648" t="s">
        <v>40</v>
      </c>
      <c r="F25" s="648"/>
      <c r="H25" s="648" t="s">
        <v>39</v>
      </c>
      <c r="I25" s="648"/>
      <c r="K25" s="648" t="s">
        <v>41</v>
      </c>
      <c r="L25" s="648"/>
      <c r="N25" s="648" t="s">
        <v>42</v>
      </c>
      <c r="O25" s="648"/>
      <c r="Q25" s="648" t="s">
        <v>43</v>
      </c>
      <c r="R25" s="648"/>
      <c r="T25" s="648" t="s">
        <v>44</v>
      </c>
      <c r="U25" s="648"/>
      <c r="W25" s="648" t="s">
        <v>45</v>
      </c>
      <c r="X25" s="648"/>
      <c r="Z25" s="649" t="s">
        <v>23</v>
      </c>
      <c r="AA25" s="649"/>
      <c r="AC25" s="244"/>
      <c r="AD25" s="244"/>
      <c r="AE25" s="244"/>
      <c r="AF25" s="244"/>
      <c r="AG25" s="244"/>
      <c r="AH25" s="244"/>
      <c r="AI25" s="244"/>
      <c r="AJ25" s="244"/>
      <c r="AK25" s="244"/>
      <c r="AL25" s="244"/>
      <c r="AM25" s="244"/>
      <c r="AN25" s="244"/>
      <c r="AO25" s="244"/>
      <c r="AP25" s="244"/>
      <c r="AQ25" s="244"/>
      <c r="AR25" s="244"/>
      <c r="AS25" s="244"/>
      <c r="AT25" s="244"/>
      <c r="AU25" s="244"/>
      <c r="AV25" s="244"/>
    </row>
    <row r="26">
      <c r="E26" s="176"/>
      <c r="F26" s="176" t="s">
        <v>57</v>
      </c>
      <c r="G26" s="176"/>
      <c r="H26" s="176"/>
      <c r="I26" s="176" t="s">
        <v>57</v>
      </c>
      <c r="J26" s="176"/>
      <c r="K26" s="176"/>
      <c r="L26" s="176" t="s">
        <v>57</v>
      </c>
      <c r="M26" s="176"/>
      <c r="N26" s="176"/>
      <c r="O26" s="176" t="s">
        <v>57</v>
      </c>
      <c r="P26" s="176"/>
      <c r="Q26" s="176"/>
      <c r="R26" s="176" t="s">
        <v>57</v>
      </c>
      <c r="S26" s="176"/>
      <c r="T26" s="176"/>
      <c r="U26" s="176" t="s">
        <v>57</v>
      </c>
      <c r="V26" s="176"/>
      <c r="W26" s="176"/>
      <c r="X26" s="176" t="s">
        <v>57</v>
      </c>
      <c r="Y26" s="176"/>
      <c r="Z26" s="226"/>
      <c r="AA26" s="176" t="s">
        <v>57</v>
      </c>
      <c r="AC26" s="244"/>
      <c r="AD26" s="244"/>
      <c r="AE26" s="244"/>
      <c r="AF26" s="244"/>
      <c r="AG26" s="244"/>
      <c r="AH26" s="244"/>
      <c r="AI26" s="244"/>
      <c r="AJ26" s="244"/>
      <c r="AK26" s="244"/>
      <c r="AL26" s="244"/>
      <c r="AM26" s="244"/>
      <c r="AN26" s="244"/>
      <c r="AO26" s="244"/>
      <c r="AP26" s="244"/>
      <c r="AQ26" s="244"/>
      <c r="AR26" s="244"/>
      <c r="AS26" s="244"/>
      <c r="AT26" s="244"/>
      <c r="AU26" s="244"/>
      <c r="AV26" s="244"/>
    </row>
    <row r="27">
      <c r="B27" s="216" t="s">
        <v>23</v>
      </c>
      <c r="C27" s="216"/>
      <c r="D27" s="217" t="s">
        <v>32</v>
      </c>
      <c r="E27" s="598">
        <v>235.53899082568807339449541284</v>
      </c>
      <c r="F27" s="219">
        <v>-9.070927711720199318089967530</v>
      </c>
      <c r="G27" s="217"/>
      <c r="H27" s="598">
        <v>212.83783783783783783783783784</v>
      </c>
      <c r="I27" s="219">
        <v>9.867747550661309899771807820</v>
      </c>
      <c r="J27" s="217"/>
      <c r="K27" s="225">
        <v>222.68226600985221674876847291</v>
      </c>
      <c r="L27" s="219">
        <v>16.689179739443118476599007130</v>
      </c>
      <c r="M27" s="217"/>
      <c r="N27" s="598">
        <v>205.25777777777777777777777778</v>
      </c>
      <c r="O27" s="219">
        <v>6.5615162752632620147363650400</v>
      </c>
      <c r="P27" s="217"/>
      <c r="Q27" s="598">
        <v>224.80743982494529540481400438</v>
      </c>
      <c r="R27" s="219">
        <v>-11.914927593623275249492385890</v>
      </c>
      <c r="S27" s="217"/>
      <c r="T27" s="598">
        <v>320.06345733041575492341356674</v>
      </c>
      <c r="U27" s="219">
        <v>-5.4808728836475879881523548600</v>
      </c>
      <c r="V27" s="217"/>
      <c r="W27" s="598">
        <v>323.67761806981519507186858316</v>
      </c>
      <c r="X27" s="219">
        <v>-4.6234362408196011619358258800</v>
      </c>
      <c r="Y27" s="217"/>
      <c r="Z27" s="599">
        <v>251.20387096774193548387096774</v>
      </c>
      <c r="AA27" s="219">
        <v>-0.9737179944193990723259742400</v>
      </c>
      <c r="AC27" s="244"/>
      <c r="AD27" s="244"/>
      <c r="AE27" s="244"/>
      <c r="AF27" s="244"/>
      <c r="AG27" s="244"/>
      <c r="AH27" s="244"/>
      <c r="AI27" s="244"/>
      <c r="AJ27" s="244"/>
      <c r="AK27" s="244"/>
      <c r="AL27" s="244"/>
      <c r="AM27" s="244"/>
      <c r="AN27" s="244"/>
      <c r="AO27" s="244"/>
      <c r="AP27" s="244"/>
      <c r="AQ27" s="244"/>
      <c r="AR27" s="244"/>
      <c r="AS27" s="244"/>
      <c r="AT27" s="244"/>
      <c r="AU27" s="244"/>
      <c r="AV27" s="244"/>
    </row>
    <row r="28">
      <c r="D28" s="217" t="s">
        <v>26</v>
      </c>
      <c r="E28" s="598">
        <v>305.98140900195694716242661448</v>
      </c>
      <c r="F28" s="219">
        <v>15.939921896539706298058590460</v>
      </c>
      <c r="G28" s="217"/>
      <c r="H28" s="598">
        <v>286.62374245472837022132796781</v>
      </c>
      <c r="I28" s="219">
        <v>18.600588457718826691981898120</v>
      </c>
      <c r="J28" s="217"/>
      <c r="K28" s="598">
        <v>278.9375</v>
      </c>
      <c r="L28" s="219">
        <v>18.465206061428782951119177540</v>
      </c>
      <c r="M28" s="217"/>
      <c r="N28" s="598">
        <v>276.91981566820276497695852535</v>
      </c>
      <c r="O28" s="219">
        <v>19.765838846105143145093773660</v>
      </c>
      <c r="P28" s="217"/>
      <c r="Q28" s="598">
        <v>308.55565449688334817453250223</v>
      </c>
      <c r="R28" s="219">
        <v>9.797866148117494338078483410</v>
      </c>
      <c r="S28" s="217"/>
      <c r="T28" s="598">
        <v>384.20303285593934288121314238</v>
      </c>
      <c r="U28" s="219">
        <v>10.364462112021791556103258430</v>
      </c>
      <c r="V28" s="217"/>
      <c r="W28" s="598">
        <v>369.02270884022708840227088402</v>
      </c>
      <c r="X28" s="219">
        <v>6.1669862852807293853619887200</v>
      </c>
      <c r="Y28" s="217"/>
      <c r="Z28" s="599">
        <v>318.37102243088158581116327595</v>
      </c>
      <c r="AA28" s="219">
        <v>12.350497509699871656009890410</v>
      </c>
      <c r="AC28" s="244"/>
      <c r="AD28" s="244"/>
      <c r="AE28" s="244"/>
      <c r="AF28" s="244"/>
      <c r="AG28" s="244"/>
      <c r="AH28" s="244"/>
      <c r="AI28" s="244"/>
      <c r="AJ28" s="244"/>
      <c r="AK28" s="244"/>
      <c r="AL28" s="244"/>
      <c r="AM28" s="244"/>
      <c r="AN28" s="244"/>
      <c r="AO28" s="244"/>
      <c r="AP28" s="244"/>
      <c r="AQ28" s="244"/>
      <c r="AR28" s="244"/>
      <c r="AS28" s="244"/>
      <c r="AT28" s="244"/>
      <c r="AU28" s="244"/>
      <c r="AV28" s="244"/>
    </row>
    <row r="29">
      <c r="D29" t="s">
        <v>92</v>
      </c>
      <c r="E29" s="223">
        <v>76.9782032163100</v>
      </c>
      <c r="F29" s="218">
        <v>-21.5722498334779</v>
      </c>
      <c r="H29" s="223">
        <v>74.2568762849352</v>
      </c>
      <c r="I29" s="218">
        <v>-7.3632357314363</v>
      </c>
      <c r="K29" s="223">
        <v>79.8323158448944</v>
      </c>
      <c r="L29" s="218">
        <v>-1.4991965834874</v>
      </c>
      <c r="N29" s="223">
        <v>74.1217371109743</v>
      </c>
      <c r="O29" s="218">
        <v>-11.0251159246334</v>
      </c>
      <c r="Q29" s="223">
        <v>72.8579873836679</v>
      </c>
      <c r="R29" s="218">
        <v>-19.7752420001035</v>
      </c>
      <c r="T29" s="223">
        <v>83.3058122814089</v>
      </c>
      <c r="U29" s="218">
        <v>-14.3572801356714</v>
      </c>
      <c r="W29" s="223">
        <v>87.7121137306428</v>
      </c>
      <c r="X29" s="218">
        <v>-10.1636326918556</v>
      </c>
      <c r="Z29" s="224">
        <v>78.9028690644306</v>
      </c>
      <c r="AA29" s="218">
        <v>-11.8595073448471</v>
      </c>
      <c r="AC29" s="244"/>
      <c r="AD29" s="244"/>
      <c r="AE29" s="244"/>
      <c r="AF29" s="244"/>
      <c r="AG29" s="244"/>
      <c r="AH29" s="244"/>
      <c r="AI29" s="244"/>
      <c r="AJ29" s="244"/>
      <c r="AK29" s="244"/>
      <c r="AL29" s="244"/>
      <c r="AM29" s="244"/>
      <c r="AN29" s="244"/>
      <c r="AO29" s="244"/>
      <c r="AP29" s="244"/>
      <c r="AQ29" s="244"/>
      <c r="AR29" s="244"/>
      <c r="AS29" s="244"/>
      <c r="AT29" s="244"/>
      <c r="AU29" s="244"/>
      <c r="AV29" s="244"/>
    </row>
    <row r="30">
      <c r="D30" s="214" t="s">
        <v>55</v>
      </c>
      <c r="E30" s="227" t="s">
        <v>170</v>
      </c>
      <c r="F30" s="228" t="s">
        <v>172</v>
      </c>
      <c r="G30" s="229"/>
      <c r="H30" s="227" t="s">
        <v>170</v>
      </c>
      <c r="I30" s="228" t="s">
        <v>171</v>
      </c>
      <c r="J30" s="229"/>
      <c r="K30" s="227" t="s">
        <v>170</v>
      </c>
      <c r="L30" s="228" t="s">
        <v>170</v>
      </c>
      <c r="M30" s="229"/>
      <c r="N30" s="227" t="s">
        <v>170</v>
      </c>
      <c r="O30" s="228" t="s">
        <v>171</v>
      </c>
      <c r="P30" s="229"/>
      <c r="Q30" s="227" t="s">
        <v>170</v>
      </c>
      <c r="R30" s="228" t="s">
        <v>172</v>
      </c>
      <c r="S30" s="229"/>
      <c r="T30" s="227" t="s">
        <v>170</v>
      </c>
      <c r="U30" s="228" t="s">
        <v>171</v>
      </c>
      <c r="V30" s="229"/>
      <c r="W30" s="227" t="s">
        <v>170</v>
      </c>
      <c r="X30" s="228" t="s">
        <v>171</v>
      </c>
      <c r="Y30" s="229"/>
      <c r="Z30" s="230" t="s">
        <v>170</v>
      </c>
      <c r="AA30" s="228" t="s">
        <v>171</v>
      </c>
      <c r="AC30" s="244"/>
      <c r="AD30" s="244"/>
      <c r="AE30" s="244"/>
      <c r="AF30" s="244"/>
      <c r="AG30" s="244"/>
      <c r="AH30" s="244"/>
      <c r="AI30" s="244"/>
      <c r="AJ30" s="244"/>
      <c r="AK30" s="244"/>
      <c r="AL30" s="244"/>
      <c r="AM30" s="244"/>
      <c r="AN30" s="244"/>
      <c r="AO30" s="244"/>
      <c r="AP30" s="244"/>
      <c r="AQ30" s="244"/>
      <c r="AR30" s="244"/>
      <c r="AS30" s="244"/>
      <c r="AT30" s="244"/>
      <c r="AU30" s="244"/>
      <c r="AV30" s="244"/>
    </row>
    <row r="31" ht="8.1" customHeight="1">
      <c r="F31" s="218"/>
      <c r="I31" s="218"/>
      <c r="L31" s="218"/>
      <c r="O31" s="218"/>
      <c r="R31" s="218"/>
      <c r="U31" s="218"/>
      <c r="X31" s="218"/>
      <c r="Z31" s="215"/>
      <c r="AA31" s="218"/>
      <c r="AC31" s="244"/>
      <c r="AD31" s="244"/>
      <c r="AE31" s="244"/>
      <c r="AF31" s="244"/>
      <c r="AG31" s="244"/>
      <c r="AH31" s="244"/>
      <c r="AI31" s="244"/>
      <c r="AJ31" s="244"/>
      <c r="AK31" s="244"/>
      <c r="AL31" s="244"/>
      <c r="AM31" s="244"/>
      <c r="AN31" s="244"/>
      <c r="AO31" s="244"/>
      <c r="AP31" s="244"/>
      <c r="AQ31" s="244"/>
      <c r="AR31" s="244"/>
      <c r="AS31" s="244"/>
      <c r="AT31" s="244"/>
      <c r="AU31" s="244"/>
      <c r="AV31" s="244"/>
    </row>
    <row r="32">
      <c r="B32" s="216" t="s">
        <v>21</v>
      </c>
      <c r="C32" s="216"/>
      <c r="D32" s="217" t="s">
        <v>32</v>
      </c>
      <c r="E32" s="598">
        <v>220.33582089552238805970149254</v>
      </c>
      <c r="F32" s="219">
        <v>-6.1923369459487388272025729900</v>
      </c>
      <c r="G32" s="217"/>
      <c r="H32" s="598">
        <v>211.12332439678284182305630027</v>
      </c>
      <c r="I32" s="219">
        <v>9.403295065156025134004300870</v>
      </c>
      <c r="J32" s="217"/>
      <c r="K32" s="598">
        <v>221.27762803234501347708894879</v>
      </c>
      <c r="L32" s="219">
        <v>16.413719305302404191908048870</v>
      </c>
      <c r="M32" s="217"/>
      <c r="N32" s="598">
        <v>199.35087719298245614035087719</v>
      </c>
      <c r="O32" s="219">
        <v>5.7991530400256707213984948100</v>
      </c>
      <c r="P32" s="217"/>
      <c r="Q32" s="598">
        <v>214.22384428223844282238442822</v>
      </c>
      <c r="R32" s="219">
        <v>-8.333143152845541994552066010</v>
      </c>
      <c r="S32" s="217"/>
      <c r="T32" s="598">
        <v>308.77205882352941176470588235</v>
      </c>
      <c r="U32" s="219">
        <v>-4.9459903251429979601976325400</v>
      </c>
      <c r="V32" s="217"/>
      <c r="W32" s="598">
        <v>313.98177676537585421412300683</v>
      </c>
      <c r="X32" s="219">
        <v>-1.900863168890492371505137900</v>
      </c>
      <c r="Y32" s="217"/>
      <c r="Z32" s="599">
        <v>242.89047449161612557973599715</v>
      </c>
      <c r="AA32" s="219">
        <v>2.1429908849587508079493238100</v>
      </c>
      <c r="AC32" s="244"/>
      <c r="AD32" s="244"/>
      <c r="AE32" s="244"/>
      <c r="AF32" s="244"/>
      <c r="AG32" s="244"/>
      <c r="AH32" s="244"/>
      <c r="AI32" s="244"/>
      <c r="AJ32" s="244"/>
      <c r="AK32" s="244"/>
      <c r="AL32" s="244"/>
      <c r="AM32" s="244"/>
      <c r="AN32" s="244"/>
      <c r="AO32" s="244"/>
      <c r="AP32" s="244"/>
      <c r="AQ32" s="244"/>
      <c r="AR32" s="244"/>
      <c r="AS32" s="244"/>
      <c r="AT32" s="244"/>
      <c r="AU32" s="244"/>
      <c r="AV32" s="244"/>
    </row>
    <row r="33">
      <c r="D33" s="217" t="s">
        <v>26</v>
      </c>
      <c r="E33" s="598">
        <v>300.52924861829201203754781939</v>
      </c>
      <c r="F33" s="219">
        <v>13.447948305366676303913900760</v>
      </c>
      <c r="G33" s="217"/>
      <c r="H33" s="598">
        <v>279.4378433377669783625229522</v>
      </c>
      <c r="I33" s="219">
        <v>15.673660208440561606607882490</v>
      </c>
      <c r="J33" s="217"/>
      <c r="K33" s="598">
        <v>266.78702150887644335255338345</v>
      </c>
      <c r="L33" s="219">
        <v>15.486864241107389026636045450</v>
      </c>
      <c r="M33" s="217"/>
      <c r="N33" s="598">
        <v>263.16477275001438306686095151</v>
      </c>
      <c r="O33" s="219">
        <v>14.519550726109439371727963100</v>
      </c>
      <c r="P33" s="217"/>
      <c r="Q33" s="598">
        <v>295.75919891312195571074029105</v>
      </c>
      <c r="R33" s="219">
        <v>5.4398520156361268704224751200</v>
      </c>
      <c r="S33" s="217"/>
      <c r="T33" s="598">
        <v>380.49463837917032164776588143</v>
      </c>
      <c r="U33" s="219">
        <v>9.052586733475932980982387660</v>
      </c>
      <c r="V33" s="217"/>
      <c r="W33" s="598">
        <v>364.74260221451133780356414623</v>
      </c>
      <c r="X33" s="219">
        <v>4.8235889102725468677050158700</v>
      </c>
      <c r="Y33" s="217"/>
      <c r="Z33" s="599">
        <v>310.88598448930038742351543234</v>
      </c>
      <c r="AA33" s="219">
        <v>9.758038290869599376836509280</v>
      </c>
      <c r="AC33" s="244"/>
      <c r="AD33" s="244"/>
      <c r="AE33" s="244"/>
      <c r="AF33" s="244"/>
      <c r="AG33" s="244"/>
      <c r="AH33" s="244"/>
      <c r="AI33" s="244"/>
      <c r="AJ33" s="244"/>
      <c r="AK33" s="244"/>
      <c r="AL33" s="244"/>
      <c r="AM33" s="244"/>
      <c r="AN33" s="244"/>
      <c r="AO33" s="244"/>
      <c r="AP33" s="244"/>
      <c r="AQ33" s="244"/>
      <c r="AR33" s="244"/>
      <c r="AS33" s="244"/>
      <c r="AT33" s="244"/>
      <c r="AU33" s="244"/>
      <c r="AV33" s="244"/>
    </row>
    <row r="34">
      <c r="D34" t="s">
        <v>22</v>
      </c>
      <c r="E34" s="223">
        <v>73.3159324453539</v>
      </c>
      <c r="F34" s="218">
        <v>-17.3121555256730</v>
      </c>
      <c r="H34" s="223">
        <v>75.5528749703258</v>
      </c>
      <c r="I34" s="218">
        <v>-5.4207372119001</v>
      </c>
      <c r="K34" s="223">
        <v>82.9416763907172</v>
      </c>
      <c r="L34" s="218">
        <v>0.8025631921998</v>
      </c>
      <c r="N34" s="223">
        <v>75.7513534618711</v>
      </c>
      <c r="O34" s="218">
        <v>-7.6147676364135</v>
      </c>
      <c r="Q34" s="223">
        <v>72.4318449162360</v>
      </c>
      <c r="R34" s="218">
        <v>-13.0624189101396</v>
      </c>
      <c r="T34" s="223">
        <v>81.1501734002906</v>
      </c>
      <c r="U34" s="218">
        <v>-12.8365382958561</v>
      </c>
      <c r="W34" s="223">
        <v>86.0831103520854</v>
      </c>
      <c r="X34" s="218">
        <v>-6.4150179831532</v>
      </c>
      <c r="Z34" s="224">
        <v>78.1284736559026</v>
      </c>
      <c r="AA34" s="218">
        <v>-6.9380316235208</v>
      </c>
      <c r="AC34" s="244"/>
      <c r="AD34" s="244"/>
      <c r="AE34" s="244"/>
      <c r="AF34" s="244"/>
      <c r="AG34" s="244"/>
      <c r="AH34" s="244"/>
      <c r="AI34" s="244"/>
      <c r="AJ34" s="244"/>
      <c r="AK34" s="244"/>
      <c r="AL34" s="244"/>
      <c r="AM34" s="244"/>
      <c r="AN34" s="244"/>
      <c r="AO34" s="244"/>
      <c r="AP34" s="244"/>
      <c r="AQ34" s="244"/>
      <c r="AR34" s="244"/>
      <c r="AS34" s="244"/>
      <c r="AT34" s="244"/>
      <c r="AU34" s="244"/>
      <c r="AV34" s="244"/>
    </row>
    <row r="35">
      <c r="D35" t="s">
        <v>55</v>
      </c>
      <c r="E35" s="231" t="s">
        <v>170</v>
      </c>
      <c r="F35" s="232" t="s">
        <v>173</v>
      </c>
      <c r="G35" s="176"/>
      <c r="H35" s="231" t="s">
        <v>170</v>
      </c>
      <c r="I35" s="232" t="s">
        <v>171</v>
      </c>
      <c r="J35" s="176"/>
      <c r="K35" s="231" t="s">
        <v>170</v>
      </c>
      <c r="L35" s="232" t="s">
        <v>170</v>
      </c>
      <c r="M35" s="176"/>
      <c r="N35" s="231" t="s">
        <v>170</v>
      </c>
      <c r="O35" s="232" t="s">
        <v>171</v>
      </c>
      <c r="P35" s="176"/>
      <c r="Q35" s="231" t="s">
        <v>170</v>
      </c>
      <c r="R35" s="232" t="s">
        <v>171</v>
      </c>
      <c r="S35" s="176"/>
      <c r="T35" s="231" t="s">
        <v>170</v>
      </c>
      <c r="U35" s="232" t="s">
        <v>171</v>
      </c>
      <c r="V35" s="176"/>
      <c r="W35" s="231" t="s">
        <v>170</v>
      </c>
      <c r="X35" s="232" t="s">
        <v>170</v>
      </c>
      <c r="Y35" s="176"/>
      <c r="Z35" s="233" t="s">
        <v>170</v>
      </c>
      <c r="AA35" s="232" t="s">
        <v>170</v>
      </c>
      <c r="AC35" s="244"/>
      <c r="AD35" s="244"/>
      <c r="AE35" s="244"/>
      <c r="AF35" s="244"/>
      <c r="AG35" s="244"/>
      <c r="AH35" s="244"/>
      <c r="AI35" s="244"/>
      <c r="AJ35" s="244"/>
      <c r="AK35" s="244"/>
      <c r="AL35" s="244"/>
      <c r="AM35" s="244"/>
      <c r="AN35" s="244"/>
      <c r="AO35" s="244"/>
      <c r="AP35" s="244"/>
      <c r="AQ35" s="244"/>
      <c r="AR35" s="244"/>
      <c r="AS35" s="244"/>
      <c r="AT35" s="244"/>
      <c r="AU35" s="244"/>
      <c r="AV35" s="244"/>
    </row>
    <row r="36" ht="8.1" customHeight="1">
      <c r="F36" s="218"/>
      <c r="I36" s="218"/>
      <c r="L36" s="218"/>
      <c r="O36" s="218"/>
      <c r="R36" s="218"/>
      <c r="U36" s="218"/>
      <c r="X36" s="218"/>
      <c r="Z36" s="215"/>
      <c r="AA36" s="218"/>
      <c r="AC36" s="244"/>
      <c r="AD36" s="244"/>
      <c r="AE36" s="244"/>
      <c r="AF36" s="244"/>
      <c r="AG36" s="244"/>
      <c r="AH36" s="244"/>
      <c r="AI36" s="244"/>
      <c r="AJ36" s="244"/>
      <c r="AK36" s="244"/>
      <c r="AL36" s="244"/>
      <c r="AM36" s="244"/>
      <c r="AN36" s="244"/>
      <c r="AO36" s="244"/>
      <c r="AP36" s="244"/>
      <c r="AQ36" s="244"/>
      <c r="AR36" s="244"/>
      <c r="AS36" s="244"/>
      <c r="AT36" s="244"/>
      <c r="AU36" s="244"/>
      <c r="AV36" s="244"/>
    </row>
    <row r="37">
      <c r="B37" s="216" t="s">
        <v>24</v>
      </c>
      <c r="C37" s="216"/>
      <c r="D37" s="217" t="s">
        <v>32</v>
      </c>
      <c r="E37" s="598">
        <v>415.29411764705882352941176471</v>
      </c>
      <c r="F37" s="219">
        <v>-5.9561289132743902337528617800</v>
      </c>
      <c r="G37" s="217"/>
      <c r="H37" s="598">
        <v>231.64705882352941176470588235</v>
      </c>
      <c r="I37" s="219">
        <v>8.214684413911550021468441390</v>
      </c>
      <c r="J37" s="217"/>
      <c r="K37" s="598">
        <v>237.57142857142857142857142857</v>
      </c>
      <c r="L37" s="219">
        <v>15.982796698844865269717352410</v>
      </c>
      <c r="M37" s="217"/>
      <c r="N37" s="598">
        <v>251.47058823529411764705882353</v>
      </c>
      <c r="O37" s="219">
        <v>3.1462626067654297157747430400</v>
      </c>
      <c r="P37" s="217"/>
      <c r="Q37" s="598">
        <v>319.36956521739130434782608696</v>
      </c>
      <c r="R37" s="219">
        <v>-17.252026442310255854578367560</v>
      </c>
      <c r="S37" s="217"/>
      <c r="T37" s="598">
        <v>414.08163265306122448979591837</v>
      </c>
      <c r="U37" s="219">
        <v>6.3058252182714616967310792300</v>
      </c>
      <c r="V37" s="217"/>
      <c r="W37" s="598">
        <v>412.35416666666666666666666667</v>
      </c>
      <c r="X37" s="219">
        <v>-2.0226120703388228566394472600</v>
      </c>
      <c r="Y37" s="217"/>
      <c r="Z37" s="599">
        <v>329.66329966329966329966329966</v>
      </c>
      <c r="AA37" s="219">
        <v>-11.216790094712715572605909010</v>
      </c>
      <c r="AC37" s="244"/>
      <c r="AD37" s="244"/>
      <c r="AE37" s="244"/>
      <c r="AF37" s="244"/>
      <c r="AG37" s="244"/>
      <c r="AH37" s="244"/>
      <c r="AI37" s="244"/>
      <c r="AJ37" s="244"/>
      <c r="AK37" s="244"/>
      <c r="AL37" s="244"/>
      <c r="AM37" s="244"/>
      <c r="AN37" s="244"/>
      <c r="AO37" s="244"/>
      <c r="AP37" s="244"/>
      <c r="AQ37" s="244"/>
      <c r="AR37" s="244"/>
      <c r="AS37" s="244"/>
      <c r="AT37" s="244"/>
      <c r="AU37" s="244"/>
      <c r="AV37" s="244"/>
    </row>
    <row r="38">
      <c r="D38" s="217" t="s">
        <v>26</v>
      </c>
      <c r="E38" s="598">
        <v>474.34942906229300349004430849</v>
      </c>
      <c r="F38" s="219">
        <v>164.99879344691444487033381103</v>
      </c>
      <c r="G38" s="217"/>
      <c r="H38" s="598">
        <v>402.88333802605154608999676659</v>
      </c>
      <c r="I38" s="219">
        <v>62.902920176446550706047969480</v>
      </c>
      <c r="J38" s="217"/>
      <c r="K38" s="598">
        <v>399.42263167097176375835979623</v>
      </c>
      <c r="L38" s="219">
        <v>2.4493674796334043434790294900</v>
      </c>
      <c r="M38" s="217"/>
      <c r="N38" s="598">
        <v>401.97066725909901450246473936</v>
      </c>
      <c r="O38" s="219">
        <v>34.961878392330190656538886060</v>
      </c>
      <c r="P38" s="217"/>
      <c r="Q38" s="598">
        <v>432.69594160320882462965578158</v>
      </c>
      <c r="R38" s="219">
        <v>39.467209361548594539272209430</v>
      </c>
      <c r="S38" s="217"/>
      <c r="T38" s="598">
        <v>467.12066481376553327547169545</v>
      </c>
      <c r="U38" s="219">
        <v>128.70118365761488697467552039</v>
      </c>
      <c r="V38" s="217"/>
      <c r="W38" s="598">
        <v>468.69852400718434324976627413</v>
      </c>
      <c r="X38" s="219">
        <v>123.72250073622235289056288299</v>
      </c>
      <c r="Y38" s="217"/>
      <c r="Z38" s="599">
        <v>426.19174664333463416913134456</v>
      </c>
      <c r="AA38" s="219">
        <v>45.789480890275355431962157120</v>
      </c>
      <c r="AC38" s="244"/>
      <c r="AD38" s="244"/>
      <c r="AE38" s="244"/>
      <c r="AF38" s="244"/>
      <c r="AG38" s="244"/>
      <c r="AH38" s="244"/>
      <c r="AI38" s="244"/>
      <c r="AJ38" s="244"/>
      <c r="AK38" s="244"/>
      <c r="AL38" s="244"/>
      <c r="AM38" s="244"/>
      <c r="AN38" s="244"/>
      <c r="AO38" s="244"/>
      <c r="AP38" s="244"/>
      <c r="AQ38" s="244"/>
      <c r="AR38" s="244"/>
      <c r="AS38" s="244"/>
      <c r="AT38" s="244"/>
      <c r="AU38" s="244"/>
      <c r="AV38" s="244"/>
    </row>
    <row r="39">
      <c r="D39" t="s">
        <v>22</v>
      </c>
      <c r="E39" s="223">
        <v>87.5502513975863</v>
      </c>
      <c r="F39" s="218">
        <v>-64.5115851798807</v>
      </c>
      <c r="H39" s="223">
        <v>57.4973042961937</v>
      </c>
      <c r="I39" s="218">
        <v>-33.5710591948584</v>
      </c>
      <c r="K39" s="223">
        <v>59.4787099512963</v>
      </c>
      <c r="L39" s="218">
        <v>13.2098709363322</v>
      </c>
      <c r="N39" s="223">
        <v>62.5594374708945</v>
      </c>
      <c r="O39" s="218">
        <v>-23.5737796216937</v>
      </c>
      <c r="Q39" s="223">
        <v>73.8092351950614</v>
      </c>
      <c r="R39" s="218">
        <v>-40.6685098694432</v>
      </c>
      <c r="T39" s="223">
        <v>88.6455393314957</v>
      </c>
      <c r="U39" s="218">
        <v>-53.5175885327378</v>
      </c>
      <c r="W39" s="223">
        <v>87.9785502930946</v>
      </c>
      <c r="X39" s="218">
        <v>-56.2058408933988</v>
      </c>
      <c r="Z39" s="224">
        <v>77.3509347047986</v>
      </c>
      <c r="AA39" s="218">
        <v>-39.1017723891043</v>
      </c>
      <c r="AC39" s="244"/>
      <c r="AD39" s="244"/>
      <c r="AE39" s="244"/>
      <c r="AF39" s="244"/>
      <c r="AG39" s="244"/>
      <c r="AH39" s="244"/>
      <c r="AI39" s="244"/>
      <c r="AJ39" s="244"/>
      <c r="AK39" s="244"/>
      <c r="AL39" s="244"/>
      <c r="AM39" s="244"/>
      <c r="AN39" s="244"/>
      <c r="AO39" s="244"/>
      <c r="AP39" s="244"/>
      <c r="AQ39" s="244"/>
      <c r="AR39" s="244"/>
      <c r="AS39" s="244"/>
      <c r="AT39" s="244"/>
      <c r="AU39" s="244"/>
      <c r="AV39" s="244"/>
    </row>
    <row r="40">
      <c r="D40" t="s">
        <v>55</v>
      </c>
      <c r="E40" s="231" t="s">
        <v>170</v>
      </c>
      <c r="F40" s="232" t="s">
        <v>171</v>
      </c>
      <c r="G40" s="176"/>
      <c r="H40" s="231" t="s">
        <v>171</v>
      </c>
      <c r="I40" s="232" t="s">
        <v>170</v>
      </c>
      <c r="J40" s="176"/>
      <c r="K40" s="231" t="s">
        <v>171</v>
      </c>
      <c r="L40" s="232" t="s">
        <v>174</v>
      </c>
      <c r="M40" s="176"/>
      <c r="N40" s="231" t="s">
        <v>171</v>
      </c>
      <c r="O40" s="232" t="s">
        <v>171</v>
      </c>
      <c r="P40" s="176"/>
      <c r="Q40" s="231" t="s">
        <v>170</v>
      </c>
      <c r="R40" s="232" t="s">
        <v>172</v>
      </c>
      <c r="S40" s="176"/>
      <c r="T40" s="231" t="s">
        <v>170</v>
      </c>
      <c r="U40" s="232" t="s">
        <v>170</v>
      </c>
      <c r="V40" s="176"/>
      <c r="W40" s="231" t="s">
        <v>170</v>
      </c>
      <c r="X40" s="232" t="s">
        <v>172</v>
      </c>
      <c r="Y40" s="176"/>
      <c r="Z40" s="233" t="s">
        <v>170</v>
      </c>
      <c r="AA40" s="232" t="s">
        <v>173</v>
      </c>
      <c r="AC40" s="244"/>
      <c r="AD40" s="244"/>
      <c r="AE40" s="244"/>
      <c r="AF40" s="244"/>
      <c r="AG40" s="244"/>
      <c r="AH40" s="244"/>
      <c r="AI40" s="244"/>
      <c r="AJ40" s="244"/>
      <c r="AK40" s="244"/>
      <c r="AL40" s="244"/>
      <c r="AM40" s="244"/>
      <c r="AN40" s="244"/>
      <c r="AO40" s="244"/>
      <c r="AP40" s="244"/>
      <c r="AQ40" s="244"/>
      <c r="AR40" s="244"/>
      <c r="AS40" s="244"/>
      <c r="AT40" s="244"/>
      <c r="AU40" s="244"/>
      <c r="AV40" s="244"/>
    </row>
    <row r="41" ht="8.1" customHeight="1">
      <c r="F41" s="218"/>
      <c r="I41" s="218"/>
      <c r="L41" s="218"/>
      <c r="O41" s="218"/>
      <c r="R41" s="218"/>
      <c r="U41" s="218"/>
      <c r="X41" s="218"/>
      <c r="Z41" s="215"/>
      <c r="AA41" s="218"/>
      <c r="AC41" s="244"/>
      <c r="AD41" s="244"/>
      <c r="AE41" s="244"/>
      <c r="AF41" s="244"/>
      <c r="AG41" s="244"/>
      <c r="AH41" s="244"/>
      <c r="AI41" s="244"/>
      <c r="AJ41" s="244"/>
      <c r="AK41" s="244"/>
      <c r="AL41" s="244"/>
      <c r="AM41" s="244"/>
      <c r="AN41" s="244"/>
      <c r="AO41" s="244"/>
      <c r="AP41" s="244"/>
      <c r="AQ41" s="244"/>
      <c r="AR41" s="244"/>
      <c r="AS41" s="244"/>
      <c r="AT41" s="244"/>
      <c r="AU41" s="244"/>
      <c r="AV41" s="244"/>
    </row>
    <row r="42">
      <c r="B42" s="216" t="s">
        <v>25</v>
      </c>
      <c r="C42" s="216"/>
      <c r="D42" s="217" t="s">
        <v>32</v>
      </c>
      <c r="E42" s="598">
        <v>0</v>
      </c>
      <c r="F42" s="219">
        <v>0</v>
      </c>
      <c r="G42" s="217"/>
      <c r="H42" s="598">
        <v>0</v>
      </c>
      <c r="I42" s="219">
        <v>0</v>
      </c>
      <c r="J42" s="217"/>
      <c r="K42" s="598">
        <v>0</v>
      </c>
      <c r="L42" s="219">
        <v>0</v>
      </c>
      <c r="M42" s="217"/>
      <c r="N42" s="598">
        <v>0</v>
      </c>
      <c r="O42" s="219">
        <v>0</v>
      </c>
      <c r="P42" s="217"/>
      <c r="Q42" s="598">
        <v>0</v>
      </c>
      <c r="R42" s="219">
        <v>0</v>
      </c>
      <c r="S42" s="217"/>
      <c r="T42" s="598">
        <v>0</v>
      </c>
      <c r="U42" s="219">
        <v>0</v>
      </c>
      <c r="V42" s="217"/>
      <c r="W42" s="598">
        <v>0</v>
      </c>
      <c r="X42" s="219">
        <v>0</v>
      </c>
      <c r="Y42" s="217"/>
      <c r="Z42" s="599">
        <v>0</v>
      </c>
      <c r="AA42" s="219">
        <v>0</v>
      </c>
      <c r="AC42" s="244"/>
      <c r="AD42" s="244"/>
      <c r="AE42" s="244"/>
      <c r="AF42" s="244"/>
      <c r="AG42" s="244"/>
      <c r="AH42" s="244"/>
      <c r="AI42" s="244"/>
      <c r="AJ42" s="244"/>
      <c r="AK42" s="244"/>
      <c r="AL42" s="244"/>
      <c r="AM42" s="244"/>
      <c r="AN42" s="244"/>
      <c r="AO42" s="244"/>
      <c r="AP42" s="244"/>
      <c r="AQ42" s="244"/>
      <c r="AR42" s="244"/>
      <c r="AS42" s="244"/>
      <c r="AT42" s="244"/>
      <c r="AU42" s="244"/>
      <c r="AV42" s="244"/>
    </row>
    <row r="43">
      <c r="D43" s="217" t="s">
        <v>26</v>
      </c>
      <c r="E43" s="598">
        <v>0</v>
      </c>
      <c r="F43" s="219">
        <v>0</v>
      </c>
      <c r="G43" s="217"/>
      <c r="H43" s="598">
        <v>0</v>
      </c>
      <c r="I43" s="219">
        <v>0</v>
      </c>
      <c r="J43" s="217"/>
      <c r="K43" s="598">
        <v>0</v>
      </c>
      <c r="L43" s="219">
        <v>0</v>
      </c>
      <c r="M43" s="217"/>
      <c r="N43" s="598">
        <v>0</v>
      </c>
      <c r="O43" s="219">
        <v>0</v>
      </c>
      <c r="P43" s="217"/>
      <c r="Q43" s="598">
        <v>0</v>
      </c>
      <c r="R43" s="219">
        <v>0</v>
      </c>
      <c r="S43" s="217"/>
      <c r="T43" s="598">
        <v>0</v>
      </c>
      <c r="U43" s="219">
        <v>0</v>
      </c>
      <c r="V43" s="217"/>
      <c r="W43" s="598">
        <v>0</v>
      </c>
      <c r="X43" s="219">
        <v>0</v>
      </c>
      <c r="Y43" s="217"/>
      <c r="Z43" s="599">
        <v>0</v>
      </c>
      <c r="AA43" s="219">
        <v>0</v>
      </c>
      <c r="AC43" s="244"/>
      <c r="AD43" s="244"/>
      <c r="AE43" s="244"/>
      <c r="AF43" s="244"/>
      <c r="AG43" s="244"/>
      <c r="AH43" s="244"/>
      <c r="AI43" s="244"/>
      <c r="AJ43" s="244"/>
      <c r="AK43" s="244"/>
      <c r="AL43" s="244"/>
      <c r="AM43" s="244"/>
      <c r="AN43" s="244"/>
      <c r="AO43" s="244"/>
      <c r="AP43" s="244"/>
      <c r="AQ43" s="244"/>
      <c r="AR43" s="244"/>
      <c r="AS43" s="244"/>
      <c r="AT43" s="244"/>
      <c r="AU43" s="244"/>
      <c r="AV43" s="244"/>
    </row>
    <row r="44">
      <c r="D44" t="s">
        <v>22</v>
      </c>
      <c r="E44" s="223">
        <v>0</v>
      </c>
      <c r="F44" s="218">
        <v>0</v>
      </c>
      <c r="H44" s="223">
        <v>0</v>
      </c>
      <c r="I44" s="218">
        <v>0</v>
      </c>
      <c r="K44" s="223">
        <v>0</v>
      </c>
      <c r="L44" s="218">
        <v>0</v>
      </c>
      <c r="N44" s="223">
        <v>0</v>
      </c>
      <c r="O44" s="218">
        <v>0</v>
      </c>
      <c r="Q44" s="223">
        <v>0</v>
      </c>
      <c r="R44" s="218">
        <v>0</v>
      </c>
      <c r="T44" s="223">
        <v>0</v>
      </c>
      <c r="U44" s="218">
        <v>0</v>
      </c>
      <c r="W44" s="223">
        <v>0</v>
      </c>
      <c r="X44" s="218">
        <v>0</v>
      </c>
      <c r="Z44" s="224">
        <v>0</v>
      </c>
      <c r="AA44" s="218">
        <v>0</v>
      </c>
      <c r="AC44" s="244"/>
      <c r="AD44" s="244"/>
      <c r="AE44" s="244"/>
      <c r="AF44" s="244"/>
      <c r="AG44" s="244"/>
      <c r="AH44" s="244"/>
      <c r="AI44" s="244"/>
      <c r="AJ44" s="244"/>
      <c r="AK44" s="244"/>
      <c r="AL44" s="244"/>
      <c r="AM44" s="244"/>
      <c r="AN44" s="244"/>
      <c r="AO44" s="244"/>
      <c r="AP44" s="244"/>
      <c r="AQ44" s="244"/>
      <c r="AR44" s="244"/>
      <c r="AS44" s="244"/>
      <c r="AT44" s="244"/>
      <c r="AU44" s="244"/>
      <c r="AV44" s="244"/>
    </row>
    <row r="45">
      <c r="D45" t="s">
        <v>55</v>
      </c>
      <c r="E45" s="231" t="s">
        <v>175</v>
      </c>
      <c r="F45" s="232"/>
      <c r="G45" s="176"/>
      <c r="H45" s="231" t="s">
        <v>175</v>
      </c>
      <c r="I45" s="232"/>
      <c r="J45" s="176"/>
      <c r="K45" s="231" t="s">
        <v>175</v>
      </c>
      <c r="L45" s="232"/>
      <c r="M45" s="176"/>
      <c r="N45" s="231" t="s">
        <v>175</v>
      </c>
      <c r="O45" s="232"/>
      <c r="P45" s="176"/>
      <c r="Q45" s="231" t="s">
        <v>175</v>
      </c>
      <c r="R45" s="232"/>
      <c r="S45" s="176"/>
      <c r="T45" s="231" t="s">
        <v>175</v>
      </c>
      <c r="U45" s="232"/>
      <c r="V45" s="176"/>
      <c r="W45" s="231" t="s">
        <v>175</v>
      </c>
      <c r="X45" s="232"/>
      <c r="Y45" s="176"/>
      <c r="Z45" s="233" t="s">
        <v>175</v>
      </c>
      <c r="AA45" s="232"/>
      <c r="AC45" s="244"/>
      <c r="AD45" s="244"/>
      <c r="AE45" s="244"/>
      <c r="AF45" s="244"/>
      <c r="AG45" s="244"/>
      <c r="AH45" s="244"/>
      <c r="AI45" s="244"/>
      <c r="AJ45" s="244"/>
      <c r="AK45" s="244"/>
      <c r="AL45" s="244"/>
      <c r="AM45" s="244"/>
      <c r="AN45" s="244"/>
      <c r="AO45" s="244"/>
      <c r="AP45" s="244"/>
      <c r="AQ45" s="244"/>
      <c r="AR45" s="244"/>
      <c r="AS45" s="244"/>
      <c r="AT45" s="244"/>
      <c r="AU45" s="244"/>
      <c r="AV45" s="244"/>
    </row>
    <row r="46" ht="15">
      <c r="B46" s="612"/>
      <c r="C46" s="612"/>
      <c r="D46" s="612"/>
      <c r="E46" s="612"/>
      <c r="F46" s="612"/>
      <c r="G46" s="612"/>
      <c r="H46" s="612"/>
      <c r="I46" s="612"/>
      <c r="J46" s="612"/>
      <c r="K46" s="612"/>
      <c r="L46" s="612"/>
      <c r="M46" s="612"/>
      <c r="N46" s="612"/>
      <c r="O46" s="612"/>
      <c r="P46" s="612"/>
      <c r="Q46" s="612"/>
      <c r="R46" s="612"/>
      <c r="S46" s="612"/>
      <c r="T46" s="612"/>
      <c r="U46" s="612"/>
      <c r="V46" s="612"/>
      <c r="W46" s="612"/>
      <c r="X46" s="612"/>
      <c r="Y46" s="612"/>
      <c r="Z46" s="612"/>
      <c r="AA46" s="612"/>
      <c r="AC46" s="244"/>
      <c r="AD46" s="244"/>
      <c r="AE46" s="244"/>
      <c r="AF46" s="244"/>
      <c r="AG46" s="244"/>
      <c r="AH46" s="244"/>
      <c r="AI46" s="244"/>
      <c r="AJ46" s="244"/>
      <c r="AK46" s="244"/>
      <c r="AL46" s="244"/>
      <c r="AM46" s="244"/>
      <c r="AN46" s="244"/>
      <c r="AO46" s="244"/>
      <c r="AP46" s="244"/>
      <c r="AQ46" s="244"/>
      <c r="AR46" s="244"/>
      <c r="AS46" s="244"/>
      <c r="AT46" s="244"/>
      <c r="AU46" s="244"/>
      <c r="AV46" s="244"/>
    </row>
    <row r="47" ht="18">
      <c r="B47" s="220" t="s">
        <v>13</v>
      </c>
      <c r="C47" s="57"/>
      <c r="E47" s="648" t="s">
        <v>40</v>
      </c>
      <c r="F47" s="648"/>
      <c r="H47" s="648" t="s">
        <v>39</v>
      </c>
      <c r="I47" s="648"/>
      <c r="K47" s="648" t="s">
        <v>41</v>
      </c>
      <c r="L47" s="648"/>
      <c r="N47" s="648" t="s">
        <v>42</v>
      </c>
      <c r="O47" s="648"/>
      <c r="Q47" s="648" t="s">
        <v>43</v>
      </c>
      <c r="R47" s="648"/>
      <c r="T47" s="648" t="s">
        <v>44</v>
      </c>
      <c r="U47" s="648"/>
      <c r="W47" s="648" t="s">
        <v>45</v>
      </c>
      <c r="X47" s="648"/>
      <c r="Z47" s="649" t="s">
        <v>23</v>
      </c>
      <c r="AA47" s="649"/>
      <c r="AC47" s="244"/>
      <c r="AD47" s="244"/>
      <c r="AE47" s="244"/>
      <c r="AF47" s="244"/>
      <c r="AG47" s="244"/>
      <c r="AH47" s="244"/>
      <c r="AI47" s="244"/>
      <c r="AJ47" s="244"/>
      <c r="AK47" s="244"/>
      <c r="AL47" s="244"/>
      <c r="AM47" s="244"/>
      <c r="AN47" s="244"/>
      <c r="AO47" s="244"/>
      <c r="AP47" s="244"/>
      <c r="AQ47" s="244"/>
      <c r="AR47" s="244"/>
      <c r="AS47" s="244"/>
      <c r="AT47" s="244"/>
      <c r="AU47" s="244"/>
      <c r="AV47" s="244"/>
    </row>
    <row r="48">
      <c r="E48" s="176"/>
      <c r="F48" s="176" t="s">
        <v>57</v>
      </c>
      <c r="G48" s="176"/>
      <c r="H48" s="176"/>
      <c r="I48" s="176" t="s">
        <v>57</v>
      </c>
      <c r="J48" s="176"/>
      <c r="K48" s="176"/>
      <c r="L48" s="176" t="s">
        <v>57</v>
      </c>
      <c r="M48" s="176"/>
      <c r="N48" s="176"/>
      <c r="O48" s="176" t="s">
        <v>57</v>
      </c>
      <c r="P48" s="176"/>
      <c r="Q48" s="176"/>
      <c r="R48" s="176" t="s">
        <v>57</v>
      </c>
      <c r="S48" s="176"/>
      <c r="T48" s="176"/>
      <c r="U48" s="176" t="s">
        <v>57</v>
      </c>
      <c r="V48" s="176"/>
      <c r="W48" s="176"/>
      <c r="X48" s="176" t="s">
        <v>57</v>
      </c>
      <c r="Y48" s="176"/>
      <c r="Z48" s="226"/>
      <c r="AA48" s="176" t="s">
        <v>57</v>
      </c>
      <c r="AC48" s="244"/>
      <c r="AD48" s="244"/>
      <c r="AE48" s="244"/>
      <c r="AF48" s="244"/>
      <c r="AG48" s="244"/>
      <c r="AH48" s="244"/>
      <c r="AI48" s="244"/>
      <c r="AJ48" s="244"/>
      <c r="AK48" s="244"/>
      <c r="AL48" s="244"/>
      <c r="AM48" s="244"/>
      <c r="AN48" s="244"/>
      <c r="AO48" s="244"/>
      <c r="AP48" s="244"/>
      <c r="AQ48" s="244"/>
      <c r="AR48" s="244"/>
      <c r="AS48" s="244"/>
      <c r="AT48" s="244"/>
      <c r="AU48" s="244"/>
      <c r="AV48" s="244"/>
    </row>
    <row r="49">
      <c r="B49" s="216" t="s">
        <v>23</v>
      </c>
      <c r="C49" s="216"/>
      <c r="D49" s="217" t="s">
        <v>32</v>
      </c>
      <c r="E49" s="598">
        <v>194.49810606060606060606060606</v>
      </c>
      <c r="F49" s="219">
        <v>-10.909942656874410531417234200</v>
      </c>
      <c r="G49" s="217"/>
      <c r="H49" s="598">
        <v>164.062500000</v>
      </c>
      <c r="I49" s="219">
        <v>-1.2888007657326100918270839900</v>
      </c>
      <c r="J49" s="217"/>
      <c r="K49" s="598">
        <v>171.22916666666666666666666667</v>
      </c>
      <c r="L49" s="219">
        <v>1.0145138042969773273944564700</v>
      </c>
      <c r="M49" s="217"/>
      <c r="N49" s="598">
        <v>174.93560606060606060606060606</v>
      </c>
      <c r="O49" s="219">
        <v>3.7936846836517949336955582500</v>
      </c>
      <c r="P49" s="217"/>
      <c r="Q49" s="598">
        <v>194.57765151515151515151515152</v>
      </c>
      <c r="R49" s="219">
        <v>-13.801117580938977201637075400</v>
      </c>
      <c r="S49" s="217"/>
      <c r="T49" s="598">
        <v>277.02462121212121212121212121</v>
      </c>
      <c r="U49" s="219">
        <v>-11.485161696360268346614094110</v>
      </c>
      <c r="V49" s="217"/>
      <c r="W49" s="598">
        <v>298.54356060606060606060606061</v>
      </c>
      <c r="X49" s="219">
        <v>-1.1736456367542264983423135200</v>
      </c>
      <c r="Y49" s="217"/>
      <c r="Z49" s="599">
        <v>210.69588744588744588744588745</v>
      </c>
      <c r="AA49" s="219">
        <v>-5.6602722135099647197299783700</v>
      </c>
      <c r="AC49" s="244"/>
      <c r="AD49" s="244"/>
      <c r="AE49" s="244"/>
      <c r="AF49" s="244"/>
      <c r="AG49" s="244"/>
      <c r="AH49" s="244"/>
      <c r="AI49" s="244"/>
      <c r="AJ49" s="244"/>
      <c r="AK49" s="244"/>
      <c r="AL49" s="244"/>
      <c r="AM49" s="244"/>
      <c r="AN49" s="244"/>
      <c r="AO49" s="244"/>
      <c r="AP49" s="244"/>
      <c r="AQ49" s="244"/>
      <c r="AR49" s="244"/>
      <c r="AS49" s="244"/>
      <c r="AT49" s="244"/>
      <c r="AU49" s="244"/>
      <c r="AV49" s="244"/>
    </row>
    <row r="50">
      <c r="D50" s="217" t="s">
        <v>26</v>
      </c>
      <c r="E50" s="598">
        <v>227.2623546511627906976744186</v>
      </c>
      <c r="F50" s="219">
        <v>11.018697394242469003817568340</v>
      </c>
      <c r="G50" s="217"/>
      <c r="H50" s="598">
        <v>207.05232558139534883720930233</v>
      </c>
      <c r="I50" s="219">
        <v>27.864225507850030370867269760</v>
      </c>
      <c r="J50" s="217"/>
      <c r="K50" s="598">
        <v>207.5813953488372093023255814</v>
      </c>
      <c r="L50" s="219">
        <v>33.474631446558337865854376270</v>
      </c>
      <c r="M50" s="217"/>
      <c r="N50" s="598">
        <v>218.3561046511627906976744186</v>
      </c>
      <c r="O50" s="219">
        <v>32.007648881380158979333598610</v>
      </c>
      <c r="P50" s="217"/>
      <c r="Q50" s="598">
        <v>251.82267441860465116279069767</v>
      </c>
      <c r="R50" s="219">
        <v>9.624763503119320375636758550</v>
      </c>
      <c r="S50" s="217"/>
      <c r="T50" s="598">
        <v>331.43095930232558139534883721</v>
      </c>
      <c r="U50" s="219">
        <v>8.547097620650495402961829400</v>
      </c>
      <c r="V50" s="217"/>
      <c r="W50" s="598">
        <v>330.67223837209302325581395349</v>
      </c>
      <c r="X50" s="219">
        <v>6.9376172219432672249047632900</v>
      </c>
      <c r="Y50" s="217"/>
      <c r="Z50" s="599">
        <v>253.45400747508305647840531561</v>
      </c>
      <c r="AA50" s="219">
        <v>15.820247011178259817850511840</v>
      </c>
      <c r="AC50" s="244"/>
      <c r="AD50" s="244"/>
      <c r="AE50" s="244"/>
      <c r="AF50" s="244"/>
      <c r="AG50" s="244"/>
      <c r="AH50" s="244"/>
      <c r="AI50" s="244"/>
      <c r="AJ50" s="244"/>
      <c r="AK50" s="244"/>
      <c r="AL50" s="244"/>
      <c r="AM50" s="244"/>
      <c r="AN50" s="244"/>
      <c r="AO50" s="244"/>
      <c r="AP50" s="244"/>
      <c r="AQ50" s="244"/>
      <c r="AR50" s="244"/>
      <c r="AS50" s="244"/>
      <c r="AT50" s="244"/>
      <c r="AU50" s="244"/>
      <c r="AV50" s="244"/>
    </row>
    <row r="51">
      <c r="D51" t="s">
        <v>93</v>
      </c>
      <c r="E51" s="223">
        <v>85.5830726382818</v>
      </c>
      <c r="F51" s="218">
        <v>-19.7522044176769</v>
      </c>
      <c r="H51" s="223">
        <v>79.2372167466918</v>
      </c>
      <c r="I51" s="218">
        <v>-22.7999865934722</v>
      </c>
      <c r="K51" s="223">
        <v>82.4877231309432</v>
      </c>
      <c r="L51" s="218">
        <v>-24.3193161804990</v>
      </c>
      <c r="N51" s="223">
        <v>80.1148226838203</v>
      </c>
      <c r="O51" s="218">
        <v>-21.3729768213103</v>
      </c>
      <c r="Q51" s="223">
        <v>77.2677249832193</v>
      </c>
      <c r="R51" s="218">
        <v>-21.3691508519130</v>
      </c>
      <c r="T51" s="223">
        <v>83.5844128126382</v>
      </c>
      <c r="U51" s="218">
        <v>-18.4549009196288</v>
      </c>
      <c r="W51" s="223">
        <v>90.2838297148231</v>
      </c>
      <c r="X51" s="218">
        <v>-7.5850416994554</v>
      </c>
      <c r="Z51" s="224">
        <v>83.1298307510828</v>
      </c>
      <c r="AA51" s="218">
        <v>-18.5464284345768</v>
      </c>
      <c r="AC51" s="244"/>
      <c r="AD51" s="244"/>
      <c r="AE51" s="244"/>
      <c r="AF51" s="244"/>
      <c r="AG51" s="244"/>
      <c r="AH51" s="244"/>
      <c r="AI51" s="244"/>
      <c r="AJ51" s="244"/>
      <c r="AK51" s="244"/>
      <c r="AL51" s="244"/>
      <c r="AM51" s="244"/>
      <c r="AN51" s="244"/>
      <c r="AO51" s="244"/>
      <c r="AP51" s="244"/>
      <c r="AQ51" s="244"/>
      <c r="AR51" s="244"/>
      <c r="AS51" s="244"/>
      <c r="AT51" s="244"/>
      <c r="AU51" s="244"/>
      <c r="AV51" s="244"/>
    </row>
    <row r="52">
      <c r="D52" s="214" t="s">
        <v>55</v>
      </c>
      <c r="E52" s="227" t="s">
        <v>170</v>
      </c>
      <c r="F52" s="228" t="s">
        <v>173</v>
      </c>
      <c r="G52" s="229"/>
      <c r="H52" s="227" t="s">
        <v>170</v>
      </c>
      <c r="I52" s="228" t="s">
        <v>173</v>
      </c>
      <c r="J52" s="229"/>
      <c r="K52" s="227" t="s">
        <v>170</v>
      </c>
      <c r="L52" s="228" t="s">
        <v>173</v>
      </c>
      <c r="M52" s="229"/>
      <c r="N52" s="227" t="s">
        <v>170</v>
      </c>
      <c r="O52" s="228" t="s">
        <v>173</v>
      </c>
      <c r="P52" s="229"/>
      <c r="Q52" s="227" t="s">
        <v>170</v>
      </c>
      <c r="R52" s="228" t="s">
        <v>173</v>
      </c>
      <c r="S52" s="229"/>
      <c r="T52" s="227" t="s">
        <v>170</v>
      </c>
      <c r="U52" s="228" t="s">
        <v>171</v>
      </c>
      <c r="V52" s="229"/>
      <c r="W52" s="227" t="s">
        <v>170</v>
      </c>
      <c r="X52" s="228" t="s">
        <v>174</v>
      </c>
      <c r="Y52" s="229"/>
      <c r="Z52" s="230" t="s">
        <v>170</v>
      </c>
      <c r="AA52" s="228" t="s">
        <v>173</v>
      </c>
      <c r="AC52" s="244"/>
      <c r="AD52" s="244"/>
      <c r="AE52" s="244"/>
      <c r="AF52" s="244"/>
      <c r="AG52" s="244"/>
      <c r="AH52" s="244"/>
      <c r="AI52" s="244"/>
      <c r="AJ52" s="244"/>
      <c r="AK52" s="244"/>
      <c r="AL52" s="244"/>
      <c r="AM52" s="244"/>
      <c r="AN52" s="244"/>
      <c r="AO52" s="244"/>
      <c r="AP52" s="244"/>
      <c r="AQ52" s="244"/>
      <c r="AR52" s="244"/>
      <c r="AS52" s="244"/>
      <c r="AT52" s="244"/>
      <c r="AU52" s="244"/>
      <c r="AV52" s="244"/>
    </row>
    <row r="53" ht="8.1" customHeight="1">
      <c r="F53" s="218"/>
      <c r="I53" s="218"/>
      <c r="L53" s="218"/>
      <c r="O53" s="218"/>
      <c r="R53" s="218"/>
      <c r="U53" s="218"/>
      <c r="X53" s="218"/>
      <c r="Z53" s="215"/>
      <c r="AA53" s="218"/>
      <c r="AC53" s="244"/>
      <c r="AD53" s="244"/>
      <c r="AE53" s="244"/>
      <c r="AF53" s="244"/>
      <c r="AG53" s="244"/>
      <c r="AH53" s="244"/>
      <c r="AI53" s="244"/>
      <c r="AJ53" s="244"/>
      <c r="AK53" s="244"/>
      <c r="AL53" s="244"/>
      <c r="AM53" s="244"/>
      <c r="AN53" s="244"/>
      <c r="AO53" s="244"/>
      <c r="AP53" s="244"/>
      <c r="AQ53" s="244"/>
      <c r="AR53" s="244"/>
      <c r="AS53" s="244"/>
      <c r="AT53" s="244"/>
      <c r="AU53" s="244"/>
      <c r="AV53" s="244"/>
    </row>
    <row r="54">
      <c r="B54" s="216" t="s">
        <v>21</v>
      </c>
      <c r="C54" s="216"/>
      <c r="D54" s="217" t="s">
        <v>32</v>
      </c>
      <c r="E54" s="598">
        <v>167.75568181818181818181818182</v>
      </c>
      <c r="F54" s="219">
        <v>-4.0440698531237748931326648500</v>
      </c>
      <c r="G54" s="217"/>
      <c r="H54" s="598">
        <v>149.14583333333333333333333333</v>
      </c>
      <c r="I54" s="219">
        <v>-6.6191554707029513541728797800</v>
      </c>
      <c r="J54" s="217"/>
      <c r="K54" s="598">
        <v>155.48106060606060606060606061</v>
      </c>
      <c r="L54" s="219">
        <v>-2.9449666016653479534343917400</v>
      </c>
      <c r="M54" s="217"/>
      <c r="N54" s="598">
        <v>150.64583333333333333333333333</v>
      </c>
      <c r="O54" s="219">
        <v>-1.1384963396714899938493748700</v>
      </c>
      <c r="P54" s="217"/>
      <c r="Q54" s="598">
        <v>166.75378787878787878787878788</v>
      </c>
      <c r="R54" s="219">
        <v>-6.0471866229647482951175867800</v>
      </c>
      <c r="S54" s="217"/>
      <c r="T54" s="598">
        <v>238.59659090909090909090909091</v>
      </c>
      <c r="U54" s="219">
        <v>0.9948852795511100648221803100</v>
      </c>
      <c r="V54" s="217"/>
      <c r="W54" s="598">
        <v>261.05681818181818181818181818</v>
      </c>
      <c r="X54" s="219">
        <v>13.330318602250612130989967470</v>
      </c>
      <c r="Y54" s="217"/>
      <c r="Z54" s="599">
        <v>184.20508658008658008658008658</v>
      </c>
      <c r="AA54" s="219">
        <v>-0.1371456398889063533780383400</v>
      </c>
      <c r="AC54" s="244"/>
      <c r="AD54" s="244"/>
      <c r="AE54" s="244"/>
      <c r="AF54" s="244"/>
      <c r="AG54" s="244"/>
      <c r="AH54" s="244"/>
      <c r="AI54" s="244"/>
      <c r="AJ54" s="244"/>
      <c r="AK54" s="244"/>
      <c r="AL54" s="244"/>
      <c r="AM54" s="244"/>
      <c r="AN54" s="244"/>
      <c r="AO54" s="244"/>
      <c r="AP54" s="244"/>
      <c r="AQ54" s="244"/>
      <c r="AR54" s="244"/>
      <c r="AS54" s="244"/>
      <c r="AT54" s="244"/>
      <c r="AU54" s="244"/>
      <c r="AV54" s="244"/>
    </row>
    <row r="55">
      <c r="D55" s="217" t="s">
        <v>26</v>
      </c>
      <c r="E55" s="598">
        <v>216.21141339187714221623474211</v>
      </c>
      <c r="F55" s="219">
        <v>6.4533671903932273371558421400</v>
      </c>
      <c r="G55" s="217"/>
      <c r="H55" s="598">
        <v>190.11077609614479733465842276</v>
      </c>
      <c r="I55" s="219">
        <v>19.470569204734381089883223030</v>
      </c>
      <c r="J55" s="217"/>
      <c r="K55" s="598">
        <v>180.35140841894259165819092611</v>
      </c>
      <c r="L55" s="219">
        <v>21.604367173725992075904917130</v>
      </c>
      <c r="M55" s="217"/>
      <c r="N55" s="598">
        <v>186.94669978290278246455169343</v>
      </c>
      <c r="O55" s="219">
        <v>16.138336631243588789443633230</v>
      </c>
      <c r="P55" s="217"/>
      <c r="Q55" s="598">
        <v>218.82268165288132900295608448</v>
      </c>
      <c r="R55" s="219">
        <v>-2.862299843690506931558376600</v>
      </c>
      <c r="S55" s="217"/>
      <c r="T55" s="598">
        <v>314.18057012784911184726487025</v>
      </c>
      <c r="U55" s="219">
        <v>3.2270212121769481116076219900</v>
      </c>
      <c r="V55" s="217"/>
      <c r="W55" s="598">
        <v>313.38030382013680784233294972</v>
      </c>
      <c r="X55" s="219">
        <v>1.5096372177738787424144020300</v>
      </c>
      <c r="Y55" s="217"/>
      <c r="Z55" s="599">
        <v>231.4291218986763660523128127</v>
      </c>
      <c r="AA55" s="219">
        <v>7.2949561378633335231938838400</v>
      </c>
      <c r="AC55" s="244"/>
      <c r="AD55" s="244"/>
      <c r="AE55" s="244"/>
      <c r="AF55" s="244"/>
      <c r="AG55" s="244"/>
      <c r="AH55" s="244"/>
      <c r="AI55" s="244"/>
      <c r="AJ55" s="244"/>
      <c r="AK55" s="244"/>
      <c r="AL55" s="244"/>
      <c r="AM55" s="244"/>
      <c r="AN55" s="244"/>
      <c r="AO55" s="244"/>
      <c r="AP55" s="244"/>
      <c r="AQ55" s="244"/>
      <c r="AR55" s="244"/>
      <c r="AS55" s="244"/>
      <c r="AT55" s="244"/>
      <c r="AU55" s="244"/>
      <c r="AV55" s="244"/>
    </row>
    <row r="56">
      <c r="D56" t="s">
        <v>22</v>
      </c>
      <c r="E56" s="223">
        <v>77.5887263241333</v>
      </c>
      <c r="F56" s="218">
        <v>-9.8610662307197</v>
      </c>
      <c r="H56" s="223">
        <v>78.4520669454008</v>
      </c>
      <c r="I56" s="218">
        <v>-21.8377838567632</v>
      </c>
      <c r="K56" s="223">
        <v>86.2100617728067</v>
      </c>
      <c r="L56" s="218">
        <v>-20.1878718222701</v>
      </c>
      <c r="N56" s="223">
        <v>80.5822373480128</v>
      </c>
      <c r="O56" s="218">
        <v>-14.8760809497107</v>
      </c>
      <c r="Q56" s="223">
        <v>76.2049832399437</v>
      </c>
      <c r="R56" s="218">
        <v>-3.2787339767785</v>
      </c>
      <c r="T56" s="223">
        <v>75.9425036411502</v>
      </c>
      <c r="U56" s="218">
        <v>-2.1623562381605</v>
      </c>
      <c r="W56" s="223">
        <v>83.3035181214456</v>
      </c>
      <c r="X56" s="218">
        <v>11.6448858537264</v>
      </c>
      <c r="Z56" s="224">
        <v>79.5946011758693</v>
      </c>
      <c r="AA56" s="218">
        <v>-6.9267951125542</v>
      </c>
      <c r="AC56" s="244"/>
      <c r="AD56" s="244"/>
      <c r="AE56" s="244"/>
      <c r="AF56" s="244"/>
      <c r="AG56" s="244"/>
      <c r="AH56" s="244"/>
      <c r="AI56" s="244"/>
      <c r="AJ56" s="244"/>
      <c r="AK56" s="244"/>
      <c r="AL56" s="244"/>
      <c r="AM56" s="244"/>
      <c r="AN56" s="244"/>
      <c r="AO56" s="244"/>
      <c r="AP56" s="244"/>
      <c r="AQ56" s="244"/>
      <c r="AR56" s="244"/>
      <c r="AS56" s="244"/>
      <c r="AT56" s="244"/>
      <c r="AU56" s="244"/>
      <c r="AV56" s="244"/>
    </row>
    <row r="57">
      <c r="D57" t="s">
        <v>55</v>
      </c>
      <c r="E57" s="231" t="s">
        <v>171</v>
      </c>
      <c r="F57" s="232" t="s">
        <v>171</v>
      </c>
      <c r="G57" s="176"/>
      <c r="H57" s="231" t="s">
        <v>170</v>
      </c>
      <c r="I57" s="232" t="s">
        <v>173</v>
      </c>
      <c r="J57" s="176"/>
      <c r="K57" s="231" t="s">
        <v>170</v>
      </c>
      <c r="L57" s="232" t="s">
        <v>173</v>
      </c>
      <c r="M57" s="176"/>
      <c r="N57" s="231" t="s">
        <v>171</v>
      </c>
      <c r="O57" s="232" t="s">
        <v>173</v>
      </c>
      <c r="P57" s="176"/>
      <c r="Q57" s="231" t="s">
        <v>171</v>
      </c>
      <c r="R57" s="232" t="s">
        <v>170</v>
      </c>
      <c r="S57" s="176"/>
      <c r="T57" s="231" t="s">
        <v>170</v>
      </c>
      <c r="U57" s="232" t="s">
        <v>174</v>
      </c>
      <c r="V57" s="176"/>
      <c r="W57" s="231" t="s">
        <v>170</v>
      </c>
      <c r="X57" s="232" t="s">
        <v>174</v>
      </c>
      <c r="Y57" s="176"/>
      <c r="Z57" s="233" t="s">
        <v>170</v>
      </c>
      <c r="AA57" s="232" t="s">
        <v>170</v>
      </c>
      <c r="AC57" s="244"/>
      <c r="AD57" s="244"/>
      <c r="AE57" s="244"/>
      <c r="AF57" s="244"/>
      <c r="AG57" s="244"/>
      <c r="AH57" s="244"/>
      <c r="AI57" s="244"/>
      <c r="AJ57" s="244"/>
      <c r="AK57" s="244"/>
      <c r="AL57" s="244"/>
      <c r="AM57" s="244"/>
      <c r="AN57" s="244"/>
      <c r="AO57" s="244"/>
      <c r="AP57" s="244"/>
      <c r="AQ57" s="244"/>
      <c r="AR57" s="244"/>
      <c r="AS57" s="244"/>
      <c r="AT57" s="244"/>
      <c r="AU57" s="244"/>
      <c r="AV57" s="244"/>
    </row>
    <row r="58" ht="8.1" customHeight="1">
      <c r="F58" s="218"/>
      <c r="I58" s="218"/>
      <c r="L58" s="218"/>
      <c r="O58" s="218"/>
      <c r="R58" s="218"/>
      <c r="U58" s="218"/>
      <c r="X58" s="218"/>
      <c r="Z58" s="215"/>
      <c r="AA58" s="218"/>
      <c r="AC58" s="244"/>
      <c r="AD58" s="244"/>
      <c r="AE58" s="244"/>
      <c r="AF58" s="244"/>
      <c r="AG58" s="244"/>
      <c r="AH58" s="244"/>
      <c r="AI58" s="244"/>
      <c r="AJ58" s="244"/>
      <c r="AK58" s="244"/>
      <c r="AL58" s="244"/>
      <c r="AM58" s="244"/>
      <c r="AN58" s="244"/>
      <c r="AO58" s="244"/>
      <c r="AP58" s="244"/>
      <c r="AQ58" s="244"/>
      <c r="AR58" s="244"/>
      <c r="AS58" s="244"/>
      <c r="AT58" s="244"/>
      <c r="AU58" s="244"/>
      <c r="AV58" s="244"/>
    </row>
    <row r="59">
      <c r="B59" s="216" t="s">
        <v>24</v>
      </c>
      <c r="C59" s="216"/>
      <c r="D59" s="217" t="s">
        <v>32</v>
      </c>
      <c r="E59" s="598">
        <v>26.742424242424242424242424242</v>
      </c>
      <c r="F59" s="219">
        <v>-38.509776597091676019054717020</v>
      </c>
      <c r="G59" s="217"/>
      <c r="H59" s="598">
        <v>14.916666666666666666666666667</v>
      </c>
      <c r="I59" s="219">
        <v>129.95620438106599094252142430</v>
      </c>
      <c r="J59" s="217"/>
      <c r="K59" s="598">
        <v>15.748106060606060606060606061</v>
      </c>
      <c r="L59" s="219">
        <v>69.141578519231337073080052950</v>
      </c>
      <c r="M59" s="217"/>
      <c r="N59" s="598">
        <v>24.289772727272727272727272727</v>
      </c>
      <c r="O59" s="219">
        <v>50.298839798288715490637957370</v>
      </c>
      <c r="P59" s="217"/>
      <c r="Q59" s="598">
        <v>27.823863636363636363636363636</v>
      </c>
      <c r="R59" s="219">
        <v>-42.327169944625538445863008090</v>
      </c>
      <c r="S59" s="217"/>
      <c r="T59" s="598">
        <v>38.428030303030303030303030303</v>
      </c>
      <c r="U59" s="219">
        <v>-49.913601579866716642492250460</v>
      </c>
      <c r="V59" s="217"/>
      <c r="W59" s="598">
        <v>37.486742424242424242424242424</v>
      </c>
      <c r="X59" s="219">
        <v>-47.745393104150079506510367010</v>
      </c>
      <c r="Y59" s="217"/>
      <c r="Z59" s="599">
        <v>26.490800865800865800865800866</v>
      </c>
      <c r="AA59" s="219">
        <v>-31.864048212172026235357101990</v>
      </c>
      <c r="AC59" s="244"/>
      <c r="AD59" s="244"/>
      <c r="AE59" s="244"/>
      <c r="AF59" s="244"/>
      <c r="AG59" s="244"/>
      <c r="AH59" s="244"/>
      <c r="AI59" s="244"/>
      <c r="AJ59" s="244"/>
      <c r="AK59" s="244"/>
      <c r="AL59" s="244"/>
      <c r="AM59" s="244"/>
      <c r="AN59" s="244"/>
      <c r="AO59" s="244"/>
      <c r="AP59" s="244"/>
      <c r="AQ59" s="244"/>
      <c r="AR59" s="244"/>
      <c r="AS59" s="244"/>
      <c r="AT59" s="244"/>
      <c r="AU59" s="244"/>
      <c r="AV59" s="244"/>
    </row>
    <row r="60">
      <c r="D60" s="217" t="s">
        <v>26</v>
      </c>
      <c r="E60" s="598">
        <v>11.050941259285648481439676493</v>
      </c>
      <c r="F60" s="219">
        <v>589.80690930069327304548757863</v>
      </c>
      <c r="G60" s="217"/>
      <c r="H60" s="598">
        <v>16.941549485250551502550879561</v>
      </c>
      <c r="I60" s="219">
        <v>504.25896821174786268252526733</v>
      </c>
      <c r="J60" s="217"/>
      <c r="K60" s="598">
        <v>27.229986929894617644134655285</v>
      </c>
      <c r="L60" s="219">
        <v>277.60380854933304294069430085</v>
      </c>
      <c r="M60" s="217"/>
      <c r="N60" s="598">
        <v>31.409404868260008233122725174</v>
      </c>
      <c r="O60" s="219">
        <v>606.98543154901153144960117232</v>
      </c>
      <c r="P60" s="217"/>
      <c r="Q60" s="598">
        <v>32.999992765723322159834613186</v>
      </c>
      <c r="R60" s="219">
        <v>642.78975745997391070769824265</v>
      </c>
      <c r="S60" s="217"/>
      <c r="T60" s="598">
        <v>17.250389174476469548083966959</v>
      </c>
      <c r="U60" s="219">
        <v>1669.3846554364426014884435013</v>
      </c>
      <c r="V60" s="217"/>
      <c r="W60" s="598">
        <v>17.291934551956215413481003765</v>
      </c>
      <c r="X60" s="219">
        <v>3358.3877590795991608298348206</v>
      </c>
      <c r="Y60" s="217"/>
      <c r="Z60" s="599">
        <v>22.024885576406690426092502917</v>
      </c>
      <c r="AA60" s="219">
        <v>601.51397064943348985574518122</v>
      </c>
      <c r="AC60" s="244"/>
      <c r="AD60" s="244"/>
      <c r="AE60" s="244"/>
      <c r="AF60" s="244"/>
      <c r="AG60" s="244"/>
      <c r="AH60" s="244"/>
      <c r="AI60" s="244"/>
      <c r="AJ60" s="244"/>
      <c r="AK60" s="244"/>
      <c r="AL60" s="244"/>
      <c r="AM60" s="244"/>
      <c r="AN60" s="244"/>
      <c r="AO60" s="244"/>
      <c r="AP60" s="244"/>
      <c r="AQ60" s="244"/>
      <c r="AR60" s="244"/>
      <c r="AS60" s="244"/>
      <c r="AT60" s="244"/>
      <c r="AU60" s="244"/>
      <c r="AV60" s="244"/>
    </row>
    <row r="61">
      <c r="D61" t="s">
        <v>22</v>
      </c>
      <c r="E61" s="223">
        <v>241.9922757251013</v>
      </c>
      <c r="F61" s="218">
        <v>-91.0858788780293</v>
      </c>
      <c r="H61" s="223">
        <v>88.0478298611924</v>
      </c>
      <c r="I61" s="218">
        <v>-61.9440974025646</v>
      </c>
      <c r="K61" s="223">
        <v>57.8336893849691</v>
      </c>
      <c r="L61" s="218">
        <v>-55.2066015518017</v>
      </c>
      <c r="N61" s="223">
        <v>77.3328015259125</v>
      </c>
      <c r="O61" s="218">
        <v>-78.7408858667835</v>
      </c>
      <c r="Q61" s="223">
        <v>84.3147567755942</v>
      </c>
      <c r="R61" s="218">
        <v>-92.2356454870070</v>
      </c>
      <c r="T61" s="223">
        <v>222.7661643705736</v>
      </c>
      <c r="U61" s="218">
        <v>-97.1692758685239</v>
      </c>
      <c r="W61" s="223">
        <v>216.7874410553253</v>
      </c>
      <c r="X61" s="218">
        <v>-98.4890471937826</v>
      </c>
      <c r="Z61" s="224">
        <v>120.2766787319257</v>
      </c>
      <c r="AA61" s="218">
        <v>-90.2872993784112</v>
      </c>
      <c r="AC61" s="244"/>
      <c r="AD61" s="244"/>
      <c r="AE61" s="244"/>
      <c r="AF61" s="244"/>
      <c r="AG61" s="244"/>
      <c r="AH61" s="244"/>
      <c r="AI61" s="244"/>
      <c r="AJ61" s="244"/>
      <c r="AK61" s="244"/>
      <c r="AL61" s="244"/>
      <c r="AM61" s="244"/>
      <c r="AN61" s="244"/>
      <c r="AO61" s="244"/>
      <c r="AP61" s="244"/>
      <c r="AQ61" s="244"/>
      <c r="AR61" s="244"/>
      <c r="AS61" s="244"/>
      <c r="AT61" s="244"/>
      <c r="AU61" s="244"/>
      <c r="AV61" s="244"/>
    </row>
    <row r="62">
      <c r="D62" t="s">
        <v>55</v>
      </c>
      <c r="E62" s="231" t="s">
        <v>174</v>
      </c>
      <c r="F62" s="232" t="s">
        <v>173</v>
      </c>
      <c r="G62" s="176"/>
      <c r="H62" s="231" t="s">
        <v>170</v>
      </c>
      <c r="I62" s="232" t="s">
        <v>170</v>
      </c>
      <c r="J62" s="176"/>
      <c r="K62" s="231" t="s">
        <v>170</v>
      </c>
      <c r="L62" s="232" t="s">
        <v>170</v>
      </c>
      <c r="M62" s="176"/>
      <c r="N62" s="231" t="s">
        <v>170</v>
      </c>
      <c r="O62" s="232" t="s">
        <v>171</v>
      </c>
      <c r="P62" s="176"/>
      <c r="Q62" s="231" t="s">
        <v>170</v>
      </c>
      <c r="R62" s="232" t="s">
        <v>172</v>
      </c>
      <c r="S62" s="176"/>
      <c r="T62" s="231" t="s">
        <v>174</v>
      </c>
      <c r="U62" s="232" t="s">
        <v>172</v>
      </c>
      <c r="V62" s="176"/>
      <c r="W62" s="231" t="s">
        <v>174</v>
      </c>
      <c r="X62" s="232" t="s">
        <v>172</v>
      </c>
      <c r="Y62" s="176"/>
      <c r="Z62" s="233" t="s">
        <v>170</v>
      </c>
      <c r="AA62" s="232" t="s">
        <v>173</v>
      </c>
      <c r="AC62" s="244"/>
      <c r="AD62" s="244"/>
      <c r="AE62" s="244"/>
      <c r="AF62" s="244"/>
      <c r="AG62" s="244"/>
      <c r="AH62" s="244"/>
      <c r="AI62" s="244"/>
      <c r="AJ62" s="244"/>
      <c r="AK62" s="244"/>
      <c r="AL62" s="244"/>
      <c r="AM62" s="244"/>
      <c r="AN62" s="244"/>
      <c r="AO62" s="244"/>
      <c r="AP62" s="244"/>
      <c r="AQ62" s="244"/>
      <c r="AR62" s="244"/>
      <c r="AS62" s="244"/>
      <c r="AT62" s="244"/>
      <c r="AU62" s="244"/>
      <c r="AV62" s="244"/>
    </row>
    <row r="63" ht="8.1" customHeight="1">
      <c r="F63" s="218"/>
      <c r="I63" s="218"/>
      <c r="L63" s="218"/>
      <c r="O63" s="218"/>
      <c r="R63" s="218"/>
      <c r="U63" s="218"/>
      <c r="X63" s="218"/>
      <c r="Z63" s="215"/>
      <c r="AA63" s="218"/>
      <c r="AC63" s="244"/>
      <c r="AD63" s="244"/>
      <c r="AE63" s="244"/>
      <c r="AF63" s="244"/>
      <c r="AG63" s="244"/>
      <c r="AH63" s="244"/>
      <c r="AI63" s="244"/>
      <c r="AJ63" s="244"/>
      <c r="AK63" s="244"/>
      <c r="AL63" s="244"/>
      <c r="AM63" s="244"/>
      <c r="AN63" s="244"/>
      <c r="AO63" s="244"/>
      <c r="AP63" s="244"/>
      <c r="AQ63" s="244"/>
      <c r="AR63" s="244"/>
      <c r="AS63" s="244"/>
      <c r="AT63" s="244"/>
      <c r="AU63" s="244"/>
      <c r="AV63" s="244"/>
    </row>
    <row r="64">
      <c r="B64" s="216" t="s">
        <v>25</v>
      </c>
      <c r="C64" s="216"/>
      <c r="D64" s="217" t="s">
        <v>32</v>
      </c>
      <c r="E64" s="598">
        <v>0</v>
      </c>
      <c r="F64" s="219">
        <v>0</v>
      </c>
      <c r="G64" s="217"/>
      <c r="H64" s="598">
        <v>0</v>
      </c>
      <c r="I64" s="219">
        <v>0</v>
      </c>
      <c r="J64" s="217"/>
      <c r="K64" s="598">
        <v>0</v>
      </c>
      <c r="L64" s="219">
        <v>0</v>
      </c>
      <c r="M64" s="217"/>
      <c r="N64" s="598">
        <v>0</v>
      </c>
      <c r="O64" s="219">
        <v>0</v>
      </c>
      <c r="P64" s="217"/>
      <c r="Q64" s="598">
        <v>0</v>
      </c>
      <c r="R64" s="219">
        <v>0</v>
      </c>
      <c r="S64" s="217"/>
      <c r="T64" s="598">
        <v>0</v>
      </c>
      <c r="U64" s="219">
        <v>0</v>
      </c>
      <c r="V64" s="217"/>
      <c r="W64" s="598">
        <v>0</v>
      </c>
      <c r="X64" s="219">
        <v>0</v>
      </c>
      <c r="Y64" s="217"/>
      <c r="Z64" s="599">
        <v>0</v>
      </c>
      <c r="AA64" s="219">
        <v>0</v>
      </c>
      <c r="AC64" s="244"/>
      <c r="AD64" s="244"/>
      <c r="AE64" s="244"/>
      <c r="AF64" s="244"/>
      <c r="AG64" s="244"/>
      <c r="AH64" s="244"/>
      <c r="AI64" s="244"/>
      <c r="AJ64" s="244"/>
      <c r="AK64" s="244"/>
      <c r="AL64" s="244"/>
      <c r="AM64" s="244"/>
      <c r="AN64" s="244"/>
      <c r="AO64" s="244"/>
      <c r="AP64" s="244"/>
      <c r="AQ64" s="244"/>
      <c r="AR64" s="244"/>
      <c r="AS64" s="244"/>
      <c r="AT64" s="244"/>
      <c r="AU64" s="244"/>
      <c r="AV64" s="244"/>
    </row>
    <row r="65">
      <c r="D65" s="217" t="s">
        <v>26</v>
      </c>
      <c r="E65" s="598">
        <v>0</v>
      </c>
      <c r="F65" s="219">
        <v>0</v>
      </c>
      <c r="G65" s="217"/>
      <c r="H65" s="598">
        <v>0</v>
      </c>
      <c r="I65" s="219">
        <v>0</v>
      </c>
      <c r="J65" s="217"/>
      <c r="K65" s="598">
        <v>0</v>
      </c>
      <c r="L65" s="219">
        <v>0</v>
      </c>
      <c r="M65" s="217"/>
      <c r="N65" s="598">
        <v>0</v>
      </c>
      <c r="O65" s="219">
        <v>0</v>
      </c>
      <c r="P65" s="217"/>
      <c r="Q65" s="598">
        <v>0</v>
      </c>
      <c r="R65" s="219">
        <v>0</v>
      </c>
      <c r="S65" s="217"/>
      <c r="T65" s="598">
        <v>0</v>
      </c>
      <c r="U65" s="219">
        <v>0</v>
      </c>
      <c r="V65" s="217"/>
      <c r="W65" s="598">
        <v>0</v>
      </c>
      <c r="X65" s="219">
        <v>0</v>
      </c>
      <c r="Y65" s="217"/>
      <c r="Z65" s="599">
        <v>0</v>
      </c>
      <c r="AA65" s="219">
        <v>0</v>
      </c>
      <c r="AC65" s="244"/>
      <c r="AD65" s="244"/>
      <c r="AE65" s="244"/>
      <c r="AF65" s="244"/>
      <c r="AG65" s="244"/>
      <c r="AH65" s="244"/>
      <c r="AI65" s="244"/>
      <c r="AJ65" s="244"/>
      <c r="AK65" s="244"/>
      <c r="AL65" s="244"/>
      <c r="AM65" s="244"/>
      <c r="AN65" s="244"/>
      <c r="AO65" s="244"/>
      <c r="AP65" s="244"/>
      <c r="AQ65" s="244"/>
      <c r="AR65" s="244"/>
      <c r="AS65" s="244"/>
      <c r="AT65" s="244"/>
      <c r="AU65" s="244"/>
      <c r="AV65" s="244"/>
    </row>
    <row r="66">
      <c r="D66" t="s">
        <v>22</v>
      </c>
      <c r="E66" s="223">
        <v>0</v>
      </c>
      <c r="F66" s="218">
        <v>0</v>
      </c>
      <c r="H66" s="223">
        <v>0</v>
      </c>
      <c r="I66" s="218">
        <v>0</v>
      </c>
      <c r="K66" s="223">
        <v>0</v>
      </c>
      <c r="L66" s="218">
        <v>0</v>
      </c>
      <c r="N66" s="223">
        <v>0</v>
      </c>
      <c r="O66" s="218">
        <v>0</v>
      </c>
      <c r="Q66" s="223">
        <v>0</v>
      </c>
      <c r="R66" s="218">
        <v>0</v>
      </c>
      <c r="T66" s="223">
        <v>0</v>
      </c>
      <c r="U66" s="218">
        <v>0</v>
      </c>
      <c r="W66" s="223">
        <v>0</v>
      </c>
      <c r="X66" s="218">
        <v>0</v>
      </c>
      <c r="Z66" s="224">
        <v>0</v>
      </c>
      <c r="AA66" s="218">
        <v>0</v>
      </c>
      <c r="AC66" s="244"/>
      <c r="AD66" s="244"/>
      <c r="AE66" s="244"/>
      <c r="AF66" s="244"/>
      <c r="AG66" s="244"/>
      <c r="AH66" s="244"/>
      <c r="AI66" s="244"/>
      <c r="AJ66" s="244"/>
      <c r="AK66" s="244"/>
      <c r="AL66" s="244"/>
      <c r="AM66" s="244"/>
      <c r="AN66" s="244"/>
      <c r="AO66" s="244"/>
      <c r="AP66" s="244"/>
      <c r="AQ66" s="244"/>
      <c r="AR66" s="244"/>
      <c r="AS66" s="244"/>
      <c r="AT66" s="244"/>
      <c r="AU66" s="244"/>
      <c r="AV66" s="244"/>
    </row>
    <row r="67">
      <c r="D67" t="s">
        <v>55</v>
      </c>
      <c r="E67" s="231" t="s">
        <v>175</v>
      </c>
      <c r="F67" s="232"/>
      <c r="G67" s="176"/>
      <c r="H67" s="231" t="s">
        <v>175</v>
      </c>
      <c r="I67" s="232"/>
      <c r="J67" s="176"/>
      <c r="K67" s="231" t="s">
        <v>175</v>
      </c>
      <c r="L67" s="232"/>
      <c r="M67" s="176"/>
      <c r="N67" s="231" t="s">
        <v>175</v>
      </c>
      <c r="O67" s="232"/>
      <c r="P67" s="176"/>
      <c r="Q67" s="231" t="s">
        <v>175</v>
      </c>
      <c r="R67" s="232"/>
      <c r="S67" s="176"/>
      <c r="T67" s="231" t="s">
        <v>175</v>
      </c>
      <c r="U67" s="232"/>
      <c r="V67" s="176"/>
      <c r="W67" s="231" t="s">
        <v>175</v>
      </c>
      <c r="X67" s="232"/>
      <c r="Y67" s="176"/>
      <c r="Z67" s="233" t="s">
        <v>175</v>
      </c>
      <c r="AA67" s="232"/>
      <c r="AC67" s="244"/>
      <c r="AD67" s="244"/>
      <c r="AE67" s="244"/>
      <c r="AF67" s="244"/>
      <c r="AG67" s="244"/>
      <c r="AH67" s="244"/>
      <c r="AI67" s="244"/>
      <c r="AJ67" s="244"/>
      <c r="AK67" s="244"/>
      <c r="AL67" s="244"/>
      <c r="AM67" s="244"/>
      <c r="AN67" s="244"/>
      <c r="AO67" s="244"/>
      <c r="AP67" s="244"/>
      <c r="AQ67" s="244"/>
      <c r="AR67" s="244"/>
      <c r="AS67" s="244"/>
      <c r="AT67" s="244"/>
      <c r="AU67" s="244"/>
      <c r="AV67" s="244"/>
    </row>
    <row r="68" ht="15">
      <c r="B68" s="612"/>
      <c r="C68" s="612"/>
      <c r="D68" s="612"/>
      <c r="E68" s="612"/>
      <c r="F68" s="612"/>
      <c r="G68" s="612"/>
      <c r="H68" s="612"/>
      <c r="I68" s="612"/>
      <c r="J68" s="612"/>
      <c r="K68" s="612"/>
      <c r="L68" s="612"/>
      <c r="M68" s="612"/>
      <c r="N68" s="612"/>
      <c r="O68" s="612"/>
      <c r="P68" s="612"/>
      <c r="Q68" s="612"/>
      <c r="R68" s="612"/>
      <c r="S68" s="612"/>
      <c r="T68" s="612"/>
      <c r="U68" s="612"/>
      <c r="V68" s="612"/>
      <c r="W68" s="612"/>
      <c r="X68" s="612"/>
      <c r="Y68" s="612"/>
      <c r="Z68" s="612"/>
      <c r="AA68" s="612"/>
      <c r="AC68" s="244"/>
      <c r="AD68" s="244"/>
      <c r="AE68" s="244"/>
      <c r="AF68" s="244"/>
      <c r="AG68" s="244"/>
      <c r="AH68" s="244"/>
      <c r="AI68" s="244"/>
      <c r="AJ68" s="244"/>
      <c r="AK68" s="244"/>
      <c r="AL68" s="244"/>
      <c r="AM68" s="244"/>
      <c r="AN68" s="244"/>
      <c r="AO68" s="244"/>
      <c r="AP68" s="244"/>
      <c r="AQ68" s="244"/>
      <c r="AR68" s="244"/>
      <c r="AS68" s="244"/>
      <c r="AT68" s="244"/>
      <c r="AU68" s="244"/>
      <c r="AV68" s="244"/>
    </row>
    <row r="69" ht="15.75">
      <c r="B69" t="s">
        <v>168</v>
      </c>
      <c r="Y69" s="80"/>
      <c r="Z69" s="242"/>
      <c r="AC69" s="244"/>
      <c r="AD69" s="244"/>
      <c r="AE69" s="244"/>
      <c r="AF69" s="244"/>
      <c r="AG69" s="244"/>
      <c r="AH69" s="244"/>
      <c r="AI69" s="244"/>
      <c r="AJ69" s="244"/>
      <c r="AK69" s="244"/>
      <c r="AL69" s="244"/>
      <c r="AM69" s="244"/>
      <c r="AN69" s="244"/>
      <c r="AO69" s="244"/>
      <c r="AP69" s="244"/>
      <c r="AQ69" s="244"/>
      <c r="AR69" s="244"/>
      <c r="AS69" s="244"/>
      <c r="AT69" s="244"/>
      <c r="AU69" s="244"/>
      <c r="AV69" s="244"/>
    </row>
    <row r="70" ht="6" customHeight="1">
      <c r="Y70" s="80"/>
      <c r="AC70" s="244"/>
      <c r="AD70" s="244"/>
      <c r="AE70" s="244"/>
      <c r="AF70" s="244"/>
      <c r="AG70" s="244"/>
      <c r="AH70" s="244"/>
      <c r="AI70" s="244"/>
      <c r="AJ70" s="244"/>
      <c r="AK70" s="244"/>
      <c r="AL70" s="244"/>
      <c r="AM70" s="244"/>
      <c r="AN70" s="244"/>
      <c r="AO70" s="244"/>
      <c r="AP70" s="244"/>
      <c r="AQ70" s="244"/>
      <c r="AR70" s="244"/>
      <c r="AS70" s="244"/>
      <c r="AT70" s="244"/>
      <c r="AU70" s="244"/>
      <c r="AV70" s="244"/>
    </row>
    <row r="71" ht="34.5" customHeight="1">
      <c r="B71" s="650" t="s">
        <v>114</v>
      </c>
      <c r="C71" s="650"/>
      <c r="D71" s="650"/>
      <c r="E71" s="650"/>
      <c r="F71" s="650"/>
      <c r="G71" s="650"/>
      <c r="H71" s="650"/>
      <c r="I71" s="650"/>
      <c r="J71" s="650"/>
      <c r="K71" s="650"/>
      <c r="L71" s="650"/>
      <c r="M71" s="650"/>
      <c r="N71" s="650"/>
      <c r="O71" s="650"/>
      <c r="P71" s="650"/>
      <c r="Q71" s="650"/>
      <c r="R71" s="650"/>
      <c r="S71" s="650"/>
      <c r="T71" s="650"/>
      <c r="U71" s="650"/>
      <c r="V71" s="650"/>
      <c r="W71" s="650"/>
      <c r="X71" s="650"/>
      <c r="Y71" s="650"/>
      <c r="Z71" s="650"/>
      <c r="AA71" s="650"/>
      <c r="AC71" s="244"/>
      <c r="AD71" s="244"/>
      <c r="AE71" s="244"/>
      <c r="AF71" s="244"/>
      <c r="AG71" s="244"/>
      <c r="AH71" s="244"/>
      <c r="AI71" s="244"/>
      <c r="AJ71" s="244"/>
      <c r="AK71" s="244"/>
      <c r="AL71" s="244"/>
      <c r="AM71" s="244"/>
      <c r="AN71" s="244"/>
      <c r="AO71" s="244"/>
      <c r="AP71" s="244"/>
      <c r="AQ71" s="244"/>
      <c r="AR71" s="244"/>
      <c r="AS71" s="244"/>
      <c r="AT71" s="244"/>
      <c r="AU71" s="244"/>
      <c r="AV71" s="244"/>
    </row>
    <row r="72">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row>
  </sheetData>
  <mergeCells count="29">
    <mergeCell ref="B71:AA71"/>
    <mergeCell ref="B2:AA2"/>
    <mergeCell ref="B24:AA24"/>
    <mergeCell ref="B46:AA46"/>
    <mergeCell ref="B68:AA68"/>
    <mergeCell ref="E3:F3"/>
    <mergeCell ref="H3:I3"/>
    <mergeCell ref="K3:L3"/>
    <mergeCell ref="N3:O3"/>
    <mergeCell ref="Q3:R3"/>
    <mergeCell ref="T3:U3"/>
    <mergeCell ref="W3:X3"/>
    <mergeCell ref="Z3:AA3"/>
    <mergeCell ref="E25:F25"/>
    <mergeCell ref="H25:I25"/>
    <mergeCell ref="K25:L25"/>
    <mergeCell ref="N25:O25"/>
    <mergeCell ref="Q25:R25"/>
    <mergeCell ref="T25:U25"/>
    <mergeCell ref="W25:X25"/>
    <mergeCell ref="Z25:AA25"/>
    <mergeCell ref="T47:U47"/>
    <mergeCell ref="W47:X47"/>
    <mergeCell ref="Z47:AA47"/>
    <mergeCell ref="E47:F47"/>
    <mergeCell ref="H47:I47"/>
    <mergeCell ref="K47:L47"/>
    <mergeCell ref="N47:O47"/>
    <mergeCell ref="Q47:R47"/>
  </mergeCells>
  <phoneticPr fontId="39" type="noConversion"/>
  <printOptions horizontalCentered="1" verticalCentered="1"/>
  <pageMargins left="0" right="0" top="0" bottom="0" header="0" footer="0"/>
  <pageSetup scale="64" orientation="landscape" horizontalDpi="1200" verticalDpi="1200" r:id="rId1"/>
  <headerFooter alignWithMargins="0">
    <oddHeader/>
    <oddFooter/>
  </headerFooter>
  <drawing r:id="rId22"/>
</worksheet>
</file>

<file path=xl/worksheets/sheet2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119</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177</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178</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0.5833333333333333333333333333</v>
      </c>
      <c r="F10" s="73">
        <v>-16.304347826123345935727772460</v>
      </c>
      <c r="G10" s="66"/>
      <c r="H10" s="67">
        <v>0.6363636363636363636363636364</v>
      </c>
      <c r="I10" s="73">
        <v>-20.000000000045714285714259590</v>
      </c>
      <c r="J10" s="66"/>
      <c r="K10" s="67">
        <v>0.696969696969696969696969697</v>
      </c>
      <c r="L10" s="73">
        <v>-15.596330275272721151418208510</v>
      </c>
      <c r="M10" s="67"/>
      <c r="N10" s="67">
        <v>0.7121212121212121212121212121</v>
      </c>
      <c r="O10" s="73">
        <v>-13.761467889952562915579473920</v>
      </c>
      <c r="P10" s="66"/>
      <c r="Q10" s="67">
        <v>0.8106060606060606060606060606</v>
      </c>
      <c r="R10" s="73">
        <v>3.8834951456351022716561411700</v>
      </c>
      <c r="S10" s="66"/>
      <c r="T10" s="67">
        <v>0.8636363636363636363636363636</v>
      </c>
      <c r="U10" s="73">
        <v>2.7027027027138056975894825700</v>
      </c>
      <c r="V10" s="66"/>
      <c r="W10" s="67">
        <v>0.9621212121212121212121212121</v>
      </c>
      <c r="X10" s="73">
        <v>16.513761467830047975759646950</v>
      </c>
      <c r="Y10" s="177"/>
      <c r="Z10" s="67">
        <v>0.7521645021645021645021645022</v>
      </c>
      <c r="AA10" s="73">
        <v>-5.8265582655474364906250556800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0.5726744186046511627906976744</v>
      </c>
      <c r="F11" s="81">
        <v>-20.546165100838404648459911270</v>
      </c>
      <c r="G11" s="181"/>
      <c r="H11" s="180">
        <v>0.5145348837209302325581395349</v>
      </c>
      <c r="I11" s="81">
        <v>-13.763953488345532320930224370</v>
      </c>
      <c r="J11" s="181"/>
      <c r="K11" s="180">
        <v>0.5523255813953488372093023256</v>
      </c>
      <c r="L11" s="81">
        <v>-7.4302325581110233953488284200</v>
      </c>
      <c r="M11" s="180"/>
      <c r="N11" s="180">
        <v>0.625</v>
      </c>
      <c r="O11" s="81">
        <v>-3.7224264705443440473615716900</v>
      </c>
      <c r="P11" s="181"/>
      <c r="Q11" s="180">
        <v>0.7180232558139534883720930233</v>
      </c>
      <c r="R11" s="81">
        <v>-7.4302325580990890161001612100</v>
      </c>
      <c r="S11" s="182"/>
      <c r="T11" s="180">
        <v>0.7965116279069767441860465116</v>
      </c>
      <c r="U11" s="81">
        <v>-4.9178427085487805284350032800</v>
      </c>
      <c r="V11" s="181"/>
      <c r="W11" s="180">
        <v>0.9011627906976744186046511628</v>
      </c>
      <c r="X11" s="81">
        <v>9.763723634376231097379794380</v>
      </c>
      <c r="Y11" s="183"/>
      <c r="Z11" s="180">
        <v>0.6686046511627906976744186047</v>
      </c>
      <c r="AA11" s="81">
        <v>-6.3506474756575051648135546400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101.86125211499717419498917261</v>
      </c>
      <c r="F12" s="73">
        <v>5.3387193709165856403859320100</v>
      </c>
      <c r="G12" s="68"/>
      <c r="H12" s="68">
        <v>123.67745249099504322164477520</v>
      </c>
      <c r="I12" s="73">
        <v>-7.231368741850669064058900200</v>
      </c>
      <c r="J12" s="68"/>
      <c r="K12" s="68">
        <v>126.18819776722483337530433977</v>
      </c>
      <c r="L12" s="73">
        <v>-8.821560151573039412612840910</v>
      </c>
      <c r="M12" s="68"/>
      <c r="N12" s="68">
        <v>113.93939393939393939393939394</v>
      </c>
      <c r="O12" s="73">
        <v>-10.427185741534127670327159650</v>
      </c>
      <c r="P12" s="68"/>
      <c r="Q12" s="68">
        <v>112.89412342043189693323935860</v>
      </c>
      <c r="R12" s="73">
        <v>12.221838745393991586009396100</v>
      </c>
      <c r="S12" s="68"/>
      <c r="T12" s="68">
        <v>108.42733908427022508100882024</v>
      </c>
      <c r="U12" s="73">
        <v>8.014695531051588322104234150</v>
      </c>
      <c r="V12" s="68"/>
      <c r="W12" s="68">
        <v>106.76441837728303017689907741</v>
      </c>
      <c r="X12" s="73">
        <v>6.1496071834865967218211188900</v>
      </c>
      <c r="Y12" s="174"/>
      <c r="Z12" s="68">
        <v>112.49764728022075925334905644</v>
      </c>
      <c r="AA12" s="73">
        <v>0.5596292936382490014267015700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165.72727272727272727272727273</v>
      </c>
      <c r="F14" s="73">
        <v>-11.632612200610776502651407250</v>
      </c>
      <c r="G14" s="70"/>
      <c r="H14" s="237">
        <v>148.4047619047619047619047619</v>
      </c>
      <c r="I14" s="73">
        <v>-3.5437944908428317595301016900</v>
      </c>
      <c r="J14" s="70"/>
      <c r="K14" s="237">
        <v>159.23913043478260869565217391</v>
      </c>
      <c r="L14" s="73">
        <v>4.4851024403320540846857472300</v>
      </c>
      <c r="M14" s="70"/>
      <c r="N14" s="237">
        <v>152.77659574468085106382978723</v>
      </c>
      <c r="O14" s="73">
        <v>-1.8758533016759899506322162300</v>
      </c>
      <c r="P14" s="70"/>
      <c r="Q14" s="237">
        <v>168.46728971962616822429906542</v>
      </c>
      <c r="R14" s="73">
        <v>-13.524714237416830599227164150</v>
      </c>
      <c r="S14" s="70"/>
      <c r="T14" s="237">
        <v>260.22807017543859649122807018</v>
      </c>
      <c r="U14" s="73">
        <v>0.8741602565764204145926959900</v>
      </c>
      <c r="V14" s="70"/>
      <c r="W14" s="237">
        <v>288.45669291338582677165354331</v>
      </c>
      <c r="X14" s="73">
        <v>3.7990806759759846514002311900</v>
      </c>
      <c r="Y14" s="178"/>
      <c r="Z14" s="237">
        <v>199.37266187050359712230215827</v>
      </c>
      <c r="AA14" s="73">
        <v>0.7898293377476600861407470200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226.47208121827411167512690357</v>
      </c>
      <c r="F15" s="81">
        <v>4.5345276810198486059934950600</v>
      </c>
      <c r="G15" s="184"/>
      <c r="H15" s="238">
        <v>212.20338983050847457627118643</v>
      </c>
      <c r="I15" s="81">
        <v>-2.0154980051983251399506694100</v>
      </c>
      <c r="J15" s="184"/>
      <c r="K15" s="238">
        <v>205.21578947368421052631578946</v>
      </c>
      <c r="L15" s="81">
        <v>-5.3654450554555433845225429400</v>
      </c>
      <c r="M15" s="184"/>
      <c r="N15" s="238">
        <v>193.48837209302325581395348837</v>
      </c>
      <c r="O15" s="81">
        <v>-3.1509534969113085612125012500</v>
      </c>
      <c r="P15" s="184"/>
      <c r="Q15" s="238">
        <v>205.10526315789473684210526314</v>
      </c>
      <c r="R15" s="81">
        <v>-11.30436876222708946200350200</v>
      </c>
      <c r="S15" s="184"/>
      <c r="T15" s="238">
        <v>289.25547445255474452554744527</v>
      </c>
      <c r="U15" s="81">
        <v>-2.0873031108786410878297339800</v>
      </c>
      <c r="V15" s="184"/>
      <c r="W15" s="238">
        <v>292.16774193548387096774193548</v>
      </c>
      <c r="X15" s="81">
        <v>-4.4371331608523442113013897200</v>
      </c>
      <c r="Y15" s="186"/>
      <c r="Z15" s="238">
        <v>238.04658385093167701863354037</v>
      </c>
      <c r="AA15" s="81">
        <v>-2.670044534756574322357903400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73.177793852446475860676449530</v>
      </c>
      <c r="F16" s="73">
        <v>-15.465837212128275781386284230</v>
      </c>
      <c r="G16" s="68"/>
      <c r="H16" s="68">
        <v>69.935151376847460516847166050</v>
      </c>
      <c r="I16" s="73">
        <v>-1.5597328705140617900904191600</v>
      </c>
      <c r="J16" s="68"/>
      <c r="K16" s="68">
        <v>77.595944660579025349014120370</v>
      </c>
      <c r="L16" s="73">
        <v>10.409038750788431626126345760</v>
      </c>
      <c r="M16" s="68"/>
      <c r="N16" s="68">
        <v>78.959057896899833970236176070</v>
      </c>
      <c r="O16" s="73">
        <v>1.3165851820770867925400773100</v>
      </c>
      <c r="P16" s="68"/>
      <c r="Q16" s="68">
        <v>82.13699011220977827230100162</v>
      </c>
      <c r="R16" s="73">
        <v>-2.5033312737466228094698624700</v>
      </c>
      <c r="S16" s="68"/>
      <c r="T16" s="68">
        <v>89.96478654998866938157905097</v>
      </c>
      <c r="U16" s="73">
        <v>3.0245958507472736396135445800</v>
      </c>
      <c r="V16" s="68"/>
      <c r="W16" s="68">
        <v>98.72982246515994988306467830</v>
      </c>
      <c r="X16" s="73">
        <v>8.618634108916652824386875920</v>
      </c>
      <c r="Y16" s="174"/>
      <c r="Z16" s="68">
        <v>83.75363285842415773301438237</v>
      </c>
      <c r="AA16" s="73">
        <v>3.5547883033955500903470192100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96.67424242424242424242424242</v>
      </c>
      <c r="F18" s="73">
        <v>-26.040338472226319285251085760</v>
      </c>
      <c r="G18" s="70"/>
      <c r="H18" s="237">
        <v>94.43939393939393939393939394</v>
      </c>
      <c r="I18" s="73">
        <v>-22.835035592718687207004329950</v>
      </c>
      <c r="J18" s="70"/>
      <c r="K18" s="237">
        <v>110.98484848484848484848484848</v>
      </c>
      <c r="L18" s="73">
        <v>-11.810739224667492085332931920</v>
      </c>
      <c r="M18" s="70"/>
      <c r="N18" s="237">
        <v>108.79545454545454545454545455</v>
      </c>
      <c r="O18" s="73">
        <v>-15.379176241836255375465181360</v>
      </c>
      <c r="P18" s="70"/>
      <c r="Q18" s="237">
        <v>136.56060606060606060606060606</v>
      </c>
      <c r="R18" s="73">
        <v>-10.166450712676912923125628810</v>
      </c>
      <c r="S18" s="70"/>
      <c r="T18" s="237">
        <v>224.74242424242424242424242424</v>
      </c>
      <c r="U18" s="73">
        <v>3.6004889121791039348136626400</v>
      </c>
      <c r="V18" s="70"/>
      <c r="W18" s="237">
        <v>277.53030303030303030303030303</v>
      </c>
      <c r="X18" s="73">
        <v>20.940213264651699027177949020</v>
      </c>
      <c r="Y18" s="178"/>
      <c r="Z18" s="237">
        <v>149.96103896103896103896103896</v>
      </c>
      <c r="AA18" s="73">
        <v>-5.0827487943631987796828508100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129.69476744186046511627906977</v>
      </c>
      <c r="F19" s="81">
        <v>-16.943308963757680099871438060</v>
      </c>
      <c r="G19" s="184"/>
      <c r="H19" s="238">
        <v>109.18604651162790697674418605</v>
      </c>
      <c r="I19" s="81">
        <v>-15.502039285595049591578413420</v>
      </c>
      <c r="J19" s="184"/>
      <c r="K19" s="238">
        <v>113.34593023255813953488372093</v>
      </c>
      <c r="L19" s="81">
        <v>-12.397012568185190820025722350</v>
      </c>
      <c r="M19" s="184"/>
      <c r="N19" s="238">
        <v>120.93023255813953488372093023</v>
      </c>
      <c r="O19" s="81">
        <v>-6.7560880404352019786134688200</v>
      </c>
      <c r="P19" s="184"/>
      <c r="Q19" s="238">
        <v>147.27034883720930232558139535</v>
      </c>
      <c r="R19" s="81">
        <v>-17.894660432117127999857594130</v>
      </c>
      <c r="S19" s="184"/>
      <c r="T19" s="238">
        <v>230.39534883720930232558139535</v>
      </c>
      <c r="U19" s="81">
        <v>-6.9024955355962818087792871600</v>
      </c>
      <c r="V19" s="184"/>
      <c r="W19" s="238">
        <v>263.2906976744186046511627907</v>
      </c>
      <c r="X19" s="81">
        <v>4.893361054411667034694743900</v>
      </c>
      <c r="Y19" s="186"/>
      <c r="Z19" s="238">
        <v>159.15905315614617940199335548</v>
      </c>
      <c r="AA19" s="81">
        <v>-8.851126894548571470103160100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74.539817088264611732085476650</v>
      </c>
      <c r="F20" s="73">
        <v>-10.952795488226637400431650470</v>
      </c>
      <c r="G20" s="68"/>
      <c r="H20" s="68">
        <v>86.49401361863636468802593346</v>
      </c>
      <c r="I20" s="73">
        <v>-8.678311577045359397795105910</v>
      </c>
      <c r="J20" s="68"/>
      <c r="K20" s="68">
        <v>97.91692410754732823166192471</v>
      </c>
      <c r="L20" s="73">
        <v>0.6692389844676247717185084300</v>
      </c>
      <c r="M20" s="68"/>
      <c r="N20" s="68">
        <v>89.96547202800143976096020327</v>
      </c>
      <c r="O20" s="73">
        <v>-9.247883341852773055157378750</v>
      </c>
      <c r="P20" s="68"/>
      <c r="Q20" s="68">
        <v>92.72783499112029399183704296</v>
      </c>
      <c r="R20" s="73">
        <v>9.412554360228533635457998220</v>
      </c>
      <c r="S20" s="68"/>
      <c r="T20" s="68">
        <v>97.54642416901819531582820546</v>
      </c>
      <c r="U20" s="73">
        <v>11.281703530282249515315061380</v>
      </c>
      <c r="V20" s="68"/>
      <c r="W20" s="68">
        <v>105.40832071990348955170306283</v>
      </c>
      <c r="X20" s="73">
        <v>15.298253434714359757578121470</v>
      </c>
      <c r="Y20" s="174"/>
      <c r="Z20" s="68">
        <v>94.22086647748537965201788510</v>
      </c>
      <c r="AA20" s="73">
        <v>4.1343112336569701801294790200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0.8257575757575757575757575758</v>
      </c>
      <c r="F27" s="73">
        <v>-2.022471910108836763034970200</v>
      </c>
      <c r="G27" s="66"/>
      <c r="H27" s="67">
        <v>0.7708333333333333333333333333</v>
      </c>
      <c r="I27" s="73">
        <v>-10.154525386361066035115393700</v>
      </c>
      <c r="J27" s="66"/>
      <c r="K27" s="67">
        <v>0.7689393939393939393939393939</v>
      </c>
      <c r="L27" s="73">
        <v>-13.432835820936867899309403290</v>
      </c>
      <c r="M27" s="67"/>
      <c r="N27" s="67">
        <v>0.8522727272727272727272727273</v>
      </c>
      <c r="O27" s="73">
        <v>-2.5974025974025974025974025900</v>
      </c>
      <c r="P27" s="66"/>
      <c r="Q27" s="67">
        <v>0.865530303030303030303030303</v>
      </c>
      <c r="R27" s="73">
        <v>-2.1413276231598659262961336700</v>
      </c>
      <c r="S27" s="66"/>
      <c r="T27" s="67">
        <v>0.865530303030303030303030303</v>
      </c>
      <c r="U27" s="73">
        <v>-6.3524590163504568664337346400</v>
      </c>
      <c r="V27" s="66"/>
      <c r="W27" s="67">
        <v>0.9223484848484848484848484848</v>
      </c>
      <c r="X27" s="73">
        <v>3.6170212765393064735174594400</v>
      </c>
      <c r="Y27" s="177"/>
      <c r="Z27" s="67">
        <v>0.8387445887445887445887445887</v>
      </c>
      <c r="AA27" s="73">
        <v>-4.732636754735730672740156900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0.7427325581395348837209302326</v>
      </c>
      <c r="F28" s="81">
        <v>-4.2446332736612034154396404500</v>
      </c>
      <c r="G28" s="181"/>
      <c r="H28" s="180">
        <v>0.7223837209302325581395348837</v>
      </c>
      <c r="I28" s="81">
        <v>7.8107850649051053331744281700</v>
      </c>
      <c r="J28" s="181"/>
      <c r="K28" s="180">
        <v>0.744186046511627906976744186</v>
      </c>
      <c r="L28" s="81">
        <v>12.669901892889437669234409480</v>
      </c>
      <c r="M28" s="180"/>
      <c r="N28" s="180">
        <v>0.7885174418604651162790697674</v>
      </c>
      <c r="O28" s="81">
        <v>10.221453924844423011864293450</v>
      </c>
      <c r="P28" s="181"/>
      <c r="Q28" s="180">
        <v>0.8161337209302325581395348837</v>
      </c>
      <c r="R28" s="81">
        <v>-0.1576557461092716614605412900</v>
      </c>
      <c r="S28" s="182"/>
      <c r="T28" s="180">
        <v>0.8626453488372093023255813953</v>
      </c>
      <c r="U28" s="81">
        <v>-1.646693561116216931037554300</v>
      </c>
      <c r="V28" s="181"/>
      <c r="W28" s="180">
        <v>0.8960755813953488372093023256</v>
      </c>
      <c r="X28" s="81">
        <v>0.72586682885999151993991400</v>
      </c>
      <c r="Y28" s="183"/>
      <c r="Z28" s="180">
        <v>0.7960963455149501661129568106</v>
      </c>
      <c r="AA28" s="81">
        <v>3.088325889356156307403936800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111.17831939742785725832670118</v>
      </c>
      <c r="F29" s="73">
        <v>2.3206650859005156406154405500</v>
      </c>
      <c r="G29" s="68"/>
      <c r="H29" s="68">
        <v>106.70690811539317190871588780</v>
      </c>
      <c r="I29" s="73">
        <v>-16.663741424714117830538721100</v>
      </c>
      <c r="J29" s="68"/>
      <c r="K29" s="68">
        <v>103.32623106055439749053032886</v>
      </c>
      <c r="L29" s="73">
        <v>-23.167445143094321889887992490</v>
      </c>
      <c r="M29" s="68"/>
      <c r="N29" s="68">
        <v>108.08546292423635707239100327</v>
      </c>
      <c r="O29" s="73">
        <v>-11.630092024518554940033442380</v>
      </c>
      <c r="P29" s="68"/>
      <c r="Q29" s="68">
        <v>106.05251086108961155224623185</v>
      </c>
      <c r="R29" s="73">
        <v>-1.9868041879897405529855248800</v>
      </c>
      <c r="S29" s="68"/>
      <c r="T29" s="68">
        <v>100.33443108424481321470027986</v>
      </c>
      <c r="U29" s="73">
        <v>-4.7845523710519131205977208300</v>
      </c>
      <c r="V29" s="68"/>
      <c r="W29" s="68">
        <v>102.93199636269336781003182833</v>
      </c>
      <c r="X29" s="73">
        <v>2.8703197488765207940333408900</v>
      </c>
      <c r="Y29" s="174"/>
      <c r="Z29" s="68">
        <v>105.35717108486402025896688225</v>
      </c>
      <c r="AA29" s="73">
        <v>-7.5866618034937466914559373400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235.53899082568807339449541284</v>
      </c>
      <c r="F31" s="73">
        <v>-9.070927711720199318089967530</v>
      </c>
      <c r="G31" s="70"/>
      <c r="H31" s="237">
        <v>212.83783783783783783783783784</v>
      </c>
      <c r="I31" s="73">
        <v>9.867747550661309899771807820</v>
      </c>
      <c r="J31" s="70"/>
      <c r="K31" s="237">
        <v>222.68226600985221674876847291</v>
      </c>
      <c r="L31" s="73">
        <v>16.689179739443118476599007130</v>
      </c>
      <c r="M31" s="70"/>
      <c r="N31" s="237">
        <v>205.25777777777777777777777778</v>
      </c>
      <c r="O31" s="73">
        <v>6.5615162752632620147363650400</v>
      </c>
      <c r="P31" s="70"/>
      <c r="Q31" s="237">
        <v>224.80743982494529540481400438</v>
      </c>
      <c r="R31" s="73">
        <v>-11.914927593623275249492385890</v>
      </c>
      <c r="S31" s="70"/>
      <c r="T31" s="237">
        <v>320.06345733041575492341356674</v>
      </c>
      <c r="U31" s="73">
        <v>-5.4808728836475879881523548600</v>
      </c>
      <c r="V31" s="70"/>
      <c r="W31" s="237">
        <v>323.67761806981519507186858316</v>
      </c>
      <c r="X31" s="73">
        <v>-4.6234362408196011619358258800</v>
      </c>
      <c r="Y31" s="178"/>
      <c r="Z31" s="237">
        <v>251.20387096774193548387096774</v>
      </c>
      <c r="AA31" s="73">
        <v>-0.9737179944193990723259742400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305.98140900195694716242661448</v>
      </c>
      <c r="F32" s="81">
        <v>15.939921896539706298058590460</v>
      </c>
      <c r="G32" s="184"/>
      <c r="H32" s="238">
        <v>286.62374245472837022132796781</v>
      </c>
      <c r="I32" s="81">
        <v>18.600588457718826691981898120</v>
      </c>
      <c r="J32" s="184"/>
      <c r="K32" s="238">
        <v>278.9375</v>
      </c>
      <c r="L32" s="81">
        <v>18.465206061428782951119177540</v>
      </c>
      <c r="M32" s="184"/>
      <c r="N32" s="238">
        <v>276.91981566820276497695852535</v>
      </c>
      <c r="O32" s="81">
        <v>19.765838846105143145093773660</v>
      </c>
      <c r="P32" s="184"/>
      <c r="Q32" s="238">
        <v>308.55565449688334817453250223</v>
      </c>
      <c r="R32" s="81">
        <v>9.797866148117494338078483410</v>
      </c>
      <c r="S32" s="184"/>
      <c r="T32" s="238">
        <v>384.20303285593934288121314238</v>
      </c>
      <c r="U32" s="81">
        <v>10.364462112021791556103258430</v>
      </c>
      <c r="V32" s="184"/>
      <c r="W32" s="238">
        <v>369.02270884022708840227088402</v>
      </c>
      <c r="X32" s="81">
        <v>6.1669862852807293853619887200</v>
      </c>
      <c r="Y32" s="186"/>
      <c r="Z32" s="238">
        <v>318.37102243088158581116327595</v>
      </c>
      <c r="AA32" s="81">
        <v>12.350497509699871656009890410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76.978203216309952128552102260</v>
      </c>
      <c r="F33" s="73">
        <v>-21.572249833477879924993026760</v>
      </c>
      <c r="G33" s="68"/>
      <c r="H33" s="68">
        <v>74.256876284935189133856724560</v>
      </c>
      <c r="I33" s="73">
        <v>-7.3632357314362830961629147600</v>
      </c>
      <c r="J33" s="68"/>
      <c r="K33" s="68">
        <v>79.83231584489436405960778773</v>
      </c>
      <c r="L33" s="73">
        <v>-1.4991965834874497854560081300</v>
      </c>
      <c r="M33" s="68"/>
      <c r="N33" s="68">
        <v>74.121737110974283440947559430</v>
      </c>
      <c r="O33" s="73">
        <v>-11.025115924633372875680156260</v>
      </c>
      <c r="P33" s="68"/>
      <c r="Q33" s="68">
        <v>72.857987383667892890197450280</v>
      </c>
      <c r="R33" s="73">
        <v>-19.775242000103455592039609680</v>
      </c>
      <c r="S33" s="68"/>
      <c r="T33" s="68">
        <v>83.30581228140888477080912833</v>
      </c>
      <c r="U33" s="73">
        <v>-14.357280135671389780797105040</v>
      </c>
      <c r="V33" s="68"/>
      <c r="W33" s="68">
        <v>87.71211373064283499513192113</v>
      </c>
      <c r="X33" s="73">
        <v>-10.163632691855611588635367480</v>
      </c>
      <c r="Y33" s="174"/>
      <c r="Z33" s="68">
        <v>78.902869064430578950504987560</v>
      </c>
      <c r="AA33" s="73">
        <v>-11.859507344847080899324184240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194.49810606060606060606060606</v>
      </c>
      <c r="F35" s="73">
        <v>-10.909942656874410531417234200</v>
      </c>
      <c r="G35" s="70"/>
      <c r="H35" s="237">
        <v>164.062500000</v>
      </c>
      <c r="I35" s="73">
        <v>-1.2888007657326100918270839900</v>
      </c>
      <c r="J35" s="70"/>
      <c r="K35" s="237">
        <v>171.22916666666666666666666667</v>
      </c>
      <c r="L35" s="73">
        <v>1.0145138042969773273944564700</v>
      </c>
      <c r="M35" s="70"/>
      <c r="N35" s="237">
        <v>174.93560606060606060606060606</v>
      </c>
      <c r="O35" s="73">
        <v>3.7936846836517949336955582500</v>
      </c>
      <c r="P35" s="70"/>
      <c r="Q35" s="237">
        <v>194.57765151515151515151515152</v>
      </c>
      <c r="R35" s="73">
        <v>-13.801117580938977201637075400</v>
      </c>
      <c r="S35" s="70"/>
      <c r="T35" s="237">
        <v>277.02462121212121212121212121</v>
      </c>
      <c r="U35" s="73">
        <v>-11.485161696360268346614094110</v>
      </c>
      <c r="V35" s="70"/>
      <c r="W35" s="237">
        <v>298.54356060606060606060606061</v>
      </c>
      <c r="X35" s="73">
        <v>-1.1736456367542264983423135200</v>
      </c>
      <c r="Y35" s="178"/>
      <c r="Z35" s="237">
        <v>210.69588744588744588744588745</v>
      </c>
      <c r="AA35" s="73">
        <v>-5.6602722135099647197299783700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227.2623546511627906976744186</v>
      </c>
      <c r="F36" s="81">
        <v>11.018697394242469003817568340</v>
      </c>
      <c r="G36" s="184"/>
      <c r="H36" s="238">
        <v>207.05232558139534883720930233</v>
      </c>
      <c r="I36" s="81">
        <v>27.864225507850030370867269760</v>
      </c>
      <c r="J36" s="184"/>
      <c r="K36" s="238">
        <v>207.5813953488372093023255814</v>
      </c>
      <c r="L36" s="81">
        <v>33.474631446558337865854376270</v>
      </c>
      <c r="M36" s="184"/>
      <c r="N36" s="238">
        <v>218.3561046511627906976744186</v>
      </c>
      <c r="O36" s="81">
        <v>32.007648881380158979333598610</v>
      </c>
      <c r="P36" s="184"/>
      <c r="Q36" s="238">
        <v>251.82267441860465116279069767</v>
      </c>
      <c r="R36" s="81">
        <v>9.624763503119320375636758550</v>
      </c>
      <c r="S36" s="184"/>
      <c r="T36" s="238">
        <v>331.43095930232558139534883721</v>
      </c>
      <c r="U36" s="81">
        <v>8.547097620650495402961829400</v>
      </c>
      <c r="V36" s="184"/>
      <c r="W36" s="238">
        <v>330.67223837209302325581395349</v>
      </c>
      <c r="X36" s="81">
        <v>6.9376172219432672249047632900</v>
      </c>
      <c r="Y36" s="186"/>
      <c r="Z36" s="238">
        <v>253.45400747508305647840531561</v>
      </c>
      <c r="AA36" s="81">
        <v>15.820247011178259817850511840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85.58307263828178581023129632</v>
      </c>
      <c r="F37" s="73">
        <v>-19.752204417676949515126896840</v>
      </c>
      <c r="G37" s="68"/>
      <c r="H37" s="68">
        <v>79.23721674669184315352828031</v>
      </c>
      <c r="I37" s="73">
        <v>-22.799986593472189143328722590</v>
      </c>
      <c r="J37" s="68"/>
      <c r="K37" s="68">
        <v>82.48772313094316009675959845</v>
      </c>
      <c r="L37" s="73">
        <v>-24.319316180499015625622077470</v>
      </c>
      <c r="M37" s="68"/>
      <c r="N37" s="68">
        <v>80.11482268382034114742335965</v>
      </c>
      <c r="O37" s="73">
        <v>-21.372976821310264989913181590</v>
      </c>
      <c r="P37" s="68"/>
      <c r="Q37" s="68">
        <v>77.267724983219270545812441420</v>
      </c>
      <c r="R37" s="73">
        <v>-21.369150851913045670704943950</v>
      </c>
      <c r="S37" s="68"/>
      <c r="T37" s="68">
        <v>83.58441281263816159932330241</v>
      </c>
      <c r="U37" s="73">
        <v>-18.454900919628828705917572830</v>
      </c>
      <c r="V37" s="68"/>
      <c r="W37" s="68">
        <v>90.28382971482307374462727143</v>
      </c>
      <c r="X37" s="73">
        <v>-7.5850416994554485490946551600</v>
      </c>
      <c r="Y37" s="174"/>
      <c r="Z37" s="68">
        <v>83.12983075108282663254614796</v>
      </c>
      <c r="AA37" s="73">
        <v>-18.546428434576793587390304610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2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121</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177</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178</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0.7034632034632034632034632035</v>
      </c>
      <c r="F10" s="73">
        <v>-11.924119241159472976843577250</v>
      </c>
      <c r="G10" s="66"/>
      <c r="H10" s="17" t="s">
        <v>32</v>
      </c>
      <c r="I10" s="19">
        <v>0.0487012987012987012987012987</v>
      </c>
      <c r="J10" s="73">
        <v>0</v>
      </c>
      <c r="K10" s="1"/>
      <c r="L10" s="17" t="s">
        <v>32</v>
      </c>
      <c r="M10" s="19">
        <v>0</v>
      </c>
      <c r="N10" s="73">
        <v>0</v>
      </c>
      <c r="O10" s="1"/>
      <c r="P10" s="17" t="s">
        <v>32</v>
      </c>
      <c r="Q10" s="19">
        <v>0.7521645021645021645021645022</v>
      </c>
      <c r="R10" s="73">
        <v>-5.8265582655474364906250556800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0.6615448504983388704318936877</v>
      </c>
      <c r="F11" s="81">
        <v>-7.2952199469205438997631262500</v>
      </c>
      <c r="G11" s="181"/>
      <c r="H11" s="187" t="s">
        <v>27</v>
      </c>
      <c r="I11" s="190">
        <v>0.0070598006644518272425249169</v>
      </c>
      <c r="J11" s="81">
        <v>1970.6395347698357558202171602</v>
      </c>
      <c r="K11" s="191"/>
      <c r="L11" s="187" t="s">
        <v>27</v>
      </c>
      <c r="M11" s="190">
        <v>0</v>
      </c>
      <c r="N11" s="81">
        <v>0</v>
      </c>
      <c r="O11" s="191"/>
      <c r="P11" s="187" t="s">
        <v>27</v>
      </c>
      <c r="Q11" s="190">
        <v>0.6686046511627906976744186047</v>
      </c>
      <c r="R11" s="81">
        <v>-6.3506474756575051648135546400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106.33643402010430914598515036</v>
      </c>
      <c r="F12" s="73">
        <v>-4.9931614007050966711445143700</v>
      </c>
      <c r="G12" s="68"/>
      <c r="H12" s="406" t="s">
        <v>91</v>
      </c>
      <c r="I12" s="74">
        <v>689.83957223666310160710365774</v>
      </c>
      <c r="J12" s="73">
        <v>0</v>
      </c>
      <c r="K12" s="1"/>
      <c r="L12" s="406" t="s">
        <v>91</v>
      </c>
      <c r="M12" s="74">
        <v>0</v>
      </c>
      <c r="N12" s="73">
        <v>0</v>
      </c>
      <c r="O12" s="1"/>
      <c r="P12" s="406" t="s">
        <v>91</v>
      </c>
      <c r="Q12" s="74">
        <v>112.49764728022075925334905644</v>
      </c>
      <c r="R12" s="73">
        <v>0.5596292936382490014267015700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201.28461538461538461538461538</v>
      </c>
      <c r="F14" s="73">
        <v>1.7563884767042333076002216400</v>
      </c>
      <c r="G14" s="70"/>
      <c r="H14" s="76" t="s">
        <v>32</v>
      </c>
      <c r="I14" s="239">
        <v>171.75555555555555555555555556</v>
      </c>
      <c r="J14" s="73">
        <v>0</v>
      </c>
      <c r="K14" s="77"/>
      <c r="L14" s="76" t="s">
        <v>32</v>
      </c>
      <c r="M14" s="239">
        <v>0</v>
      </c>
      <c r="N14" s="73">
        <v>0</v>
      </c>
      <c r="O14" s="77"/>
      <c r="P14" s="76" t="s">
        <v>32</v>
      </c>
      <c r="Q14" s="239">
        <v>199.37266187050359712230215827</v>
      </c>
      <c r="R14" s="73">
        <v>0.7898293377476600861407470200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238.65662272441933458882611425</v>
      </c>
      <c r="F15" s="81">
        <v>-2.4293056779987441581709966600</v>
      </c>
      <c r="G15" s="184"/>
      <c r="H15" s="189" t="s">
        <v>27</v>
      </c>
      <c r="I15" s="240">
        <v>180.88235294117647058823529412</v>
      </c>
      <c r="J15" s="81">
        <v>-9.103970157464713630447344830</v>
      </c>
      <c r="K15" s="188"/>
      <c r="L15" s="189" t="s">
        <v>27</v>
      </c>
      <c r="M15" s="240">
        <v>0</v>
      </c>
      <c r="N15" s="81">
        <v>0</v>
      </c>
      <c r="O15" s="188"/>
      <c r="P15" s="189" t="s">
        <v>27</v>
      </c>
      <c r="Q15" s="240">
        <v>238.04658385093167701863354037</v>
      </c>
      <c r="R15" s="81">
        <v>-2.670044534756574322357903400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84.34067870685419659670403582</v>
      </c>
      <c r="F16" s="73">
        <v>4.289909161624344438402336500</v>
      </c>
      <c r="G16" s="68"/>
      <c r="H16" s="406" t="s">
        <v>92</v>
      </c>
      <c r="I16" s="74">
        <v>94.95429087622974397661591953</v>
      </c>
      <c r="J16" s="73">
        <v>0</v>
      </c>
      <c r="K16" s="1"/>
      <c r="L16" s="406" t="s">
        <v>92</v>
      </c>
      <c r="M16" s="74">
        <v>0</v>
      </c>
      <c r="N16" s="73">
        <v>0</v>
      </c>
      <c r="O16" s="1"/>
      <c r="P16" s="406" t="s">
        <v>92</v>
      </c>
      <c r="Q16" s="74">
        <v>83.75363285842415773301438237</v>
      </c>
      <c r="R16" s="73">
        <v>3.5547883033955500903470192100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141.59632034632034632034632035</v>
      </c>
      <c r="F18" s="73">
        <v>-10.377164620756539305590238340</v>
      </c>
      <c r="G18" s="70"/>
      <c r="H18" s="76" t="s">
        <v>32</v>
      </c>
      <c r="I18" s="239">
        <v>8.364718614718614718614718615</v>
      </c>
      <c r="J18" s="73">
        <v>0</v>
      </c>
      <c r="K18" s="77"/>
      <c r="L18" s="76" t="s">
        <v>32</v>
      </c>
      <c r="M18" s="239">
        <v>0</v>
      </c>
      <c r="N18" s="73">
        <v>0</v>
      </c>
      <c r="O18" s="77"/>
      <c r="P18" s="76" t="s">
        <v>32</v>
      </c>
      <c r="Q18" s="239">
        <v>149.96103896103896103896103896</v>
      </c>
      <c r="R18" s="73">
        <v>-5.0827487943631987796828508100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157.88205980066445182724252492</v>
      </c>
      <c r="F19" s="81">
        <v>-9.547302432476236645663076580</v>
      </c>
      <c r="G19" s="184"/>
      <c r="H19" s="189" t="s">
        <v>27</v>
      </c>
      <c r="I19" s="240">
        <v>1.2769933554817275747508305648</v>
      </c>
      <c r="J19" s="81">
        <v>1782.1291287874701209352970644</v>
      </c>
      <c r="K19" s="188"/>
      <c r="L19" s="189" t="s">
        <v>27</v>
      </c>
      <c r="M19" s="240">
        <v>0</v>
      </c>
      <c r="N19" s="81">
        <v>0</v>
      </c>
      <c r="O19" s="188"/>
      <c r="P19" s="189" t="s">
        <v>27</v>
      </c>
      <c r="Q19" s="240">
        <v>159.15905315614617940199335548</v>
      </c>
      <c r="R19" s="81">
        <v>-8.851126894548571470103160100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89.68487016514877786588788786</v>
      </c>
      <c r="F20" s="73">
        <v>-0.9174543277123967380790425300</v>
      </c>
      <c r="G20" s="68"/>
      <c r="H20" s="406" t="s">
        <v>93</v>
      </c>
      <c r="I20" s="74">
        <v>655.03227394973040786622312343</v>
      </c>
      <c r="J20" s="73">
        <v>0</v>
      </c>
      <c r="K20" s="1"/>
      <c r="L20" s="406" t="s">
        <v>93</v>
      </c>
      <c r="M20" s="74">
        <v>0</v>
      </c>
      <c r="N20" s="73">
        <v>0</v>
      </c>
      <c r="O20" s="1"/>
      <c r="P20" s="406" t="s">
        <v>93</v>
      </c>
      <c r="Q20" s="74">
        <v>94.22086647748537965201788510</v>
      </c>
      <c r="R20" s="73">
        <v>4.1343112336569701801294790200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0.7583874458874458874458874459</v>
      </c>
      <c r="F27" s="73">
        <v>-2.2322985698753476439315056100</v>
      </c>
      <c r="G27" s="1"/>
      <c r="H27" s="17" t="s">
        <v>32</v>
      </c>
      <c r="I27" s="19">
        <v>0.0803571428571428571428571429</v>
      </c>
      <c r="J27" s="73">
        <v>-23.255813953640670632774170410</v>
      </c>
      <c r="K27" s="1"/>
      <c r="L27" s="17" t="s">
        <v>32</v>
      </c>
      <c r="M27" s="19">
        <v>0</v>
      </c>
      <c r="N27" s="73">
        <v>0</v>
      </c>
      <c r="O27" s="1"/>
      <c r="P27" s="17" t="s">
        <v>32</v>
      </c>
      <c r="Q27" s="19">
        <v>0.8387445887445887445887445887</v>
      </c>
      <c r="R27" s="73">
        <v>-4.732636754735730672740156900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0.7444179970957852885008405046</v>
      </c>
      <c r="F28" s="81">
        <v>-2.244101836541730358782647700</v>
      </c>
      <c r="G28" s="191"/>
      <c r="H28" s="187" t="s">
        <v>27</v>
      </c>
      <c r="I28" s="190">
        <v>0.0516783484191648776121163061</v>
      </c>
      <c r="J28" s="81">
        <v>381.18284416549409419319654445</v>
      </c>
      <c r="K28" s="191"/>
      <c r="L28" s="187" t="s">
        <v>27</v>
      </c>
      <c r="M28" s="190">
        <v>0</v>
      </c>
      <c r="N28" s="81">
        <v>0</v>
      </c>
      <c r="O28" s="191"/>
      <c r="P28" s="187" t="s">
        <v>27</v>
      </c>
      <c r="Q28" s="190">
        <v>0.7960963455149501661129568106</v>
      </c>
      <c r="R28" s="81">
        <v>3.088325889356156307403936800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101.87655978844428583165768512</v>
      </c>
      <c r="F29" s="73">
        <v>0.0120742244509091991469048900</v>
      </c>
      <c r="G29" s="75"/>
      <c r="H29" s="406" t="s">
        <v>91</v>
      </c>
      <c r="I29" s="74">
        <v>155.49479678727280253653638516</v>
      </c>
      <c r="J29" s="73">
        <v>-84.05093053975171798339720009</v>
      </c>
      <c r="K29" s="75"/>
      <c r="L29" s="406" t="s">
        <v>91</v>
      </c>
      <c r="M29" s="74">
        <v>0</v>
      </c>
      <c r="N29" s="73">
        <v>0</v>
      </c>
      <c r="O29" s="75"/>
      <c r="P29" s="406" t="s">
        <v>91</v>
      </c>
      <c r="Q29" s="74">
        <v>105.35717108486402025896688225</v>
      </c>
      <c r="R29" s="73">
        <v>-7.5866618034937466914559373400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242.89047449161612557973599715</v>
      </c>
      <c r="F31" s="73">
        <v>2.1429908849587508079493238100</v>
      </c>
      <c r="G31" s="77"/>
      <c r="H31" s="76" t="s">
        <v>32</v>
      </c>
      <c r="I31" s="239">
        <v>329.66329966329966329966329966</v>
      </c>
      <c r="J31" s="73">
        <v>-11.216790094712715572605909010</v>
      </c>
      <c r="K31" s="77"/>
      <c r="L31" s="76" t="s">
        <v>32</v>
      </c>
      <c r="M31" s="239">
        <v>0</v>
      </c>
      <c r="N31" s="73">
        <v>0</v>
      </c>
      <c r="O31" s="77"/>
      <c r="P31" s="76" t="s">
        <v>32</v>
      </c>
      <c r="Q31" s="239">
        <v>251.20387096774193548387096774</v>
      </c>
      <c r="R31" s="73">
        <v>-0.9737179944193990723259742400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310.88598448930038742351543234</v>
      </c>
      <c r="F32" s="81">
        <v>9.758038290869599376836509280</v>
      </c>
      <c r="G32" s="188"/>
      <c r="H32" s="189" t="s">
        <v>27</v>
      </c>
      <c r="I32" s="240">
        <v>426.19174664333463416913134456</v>
      </c>
      <c r="J32" s="81">
        <v>45.789480890275355431962157120</v>
      </c>
      <c r="K32" s="188"/>
      <c r="L32" s="189" t="s">
        <v>27</v>
      </c>
      <c r="M32" s="240">
        <v>0</v>
      </c>
      <c r="N32" s="81">
        <v>0</v>
      </c>
      <c r="O32" s="188"/>
      <c r="P32" s="189" t="s">
        <v>27</v>
      </c>
      <c r="Q32" s="240">
        <v>318.37102243088158581116327595</v>
      </c>
      <c r="R32" s="81">
        <v>12.350497509699871656009890410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78.128473655902578091588935240</v>
      </c>
      <c r="F33" s="73">
        <v>-6.9380316235207827292556088400</v>
      </c>
      <c r="G33" s="75"/>
      <c r="H33" s="406" t="s">
        <v>92</v>
      </c>
      <c r="I33" s="74">
        <v>77.350934704798600286288487630</v>
      </c>
      <c r="J33" s="73">
        <v>-39.101772389104313296959550060</v>
      </c>
      <c r="K33" s="75"/>
      <c r="L33" s="406" t="s">
        <v>92</v>
      </c>
      <c r="M33" s="74">
        <v>0</v>
      </c>
      <c r="N33" s="73">
        <v>0</v>
      </c>
      <c r="O33" s="75"/>
      <c r="P33" s="406" t="s">
        <v>92</v>
      </c>
      <c r="Q33" s="74">
        <v>78.902869064430578950504987560</v>
      </c>
      <c r="R33" s="73">
        <v>-11.859507344847080899324184240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184.20508658008658008658008658</v>
      </c>
      <c r="F35" s="73">
        <v>-0.1371456398889063533780383400</v>
      </c>
      <c r="G35" s="77"/>
      <c r="H35" s="76" t="s">
        <v>32</v>
      </c>
      <c r="I35" s="239">
        <v>26.490800865800865800865800866</v>
      </c>
      <c r="J35" s="73">
        <v>-31.864048212172026235357101990</v>
      </c>
      <c r="K35" s="77"/>
      <c r="L35" s="76" t="s">
        <v>32</v>
      </c>
      <c r="M35" s="239">
        <v>0</v>
      </c>
      <c r="N35" s="73">
        <v>0</v>
      </c>
      <c r="O35" s="77"/>
      <c r="P35" s="76" t="s">
        <v>32</v>
      </c>
      <c r="Q35" s="239">
        <v>210.69588744588744588744588745</v>
      </c>
      <c r="R35" s="73">
        <v>-5.6602722135099647197299783700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231.4291218986763660523128127</v>
      </c>
      <c r="F36" s="81">
        <v>7.2949561378633335231938838400</v>
      </c>
      <c r="G36" s="188"/>
      <c r="H36" s="189" t="s">
        <v>27</v>
      </c>
      <c r="I36" s="240">
        <v>22.024885576406690426092502917</v>
      </c>
      <c r="J36" s="81">
        <v>601.51397064943348985574518122</v>
      </c>
      <c r="K36" s="188"/>
      <c r="L36" s="189" t="s">
        <v>27</v>
      </c>
      <c r="M36" s="240">
        <v>0</v>
      </c>
      <c r="N36" s="81">
        <v>0</v>
      </c>
      <c r="O36" s="188"/>
      <c r="P36" s="189" t="s">
        <v>27</v>
      </c>
      <c r="Q36" s="240">
        <v>253.45400747508305647840531561</v>
      </c>
      <c r="R36" s="81">
        <v>15.820247011178259817850511840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79.59460117586926293473802745</v>
      </c>
      <c r="F37" s="73">
        <v>-6.9267951125542361620050339100</v>
      </c>
      <c r="G37" s="75"/>
      <c r="H37" s="406" t="s">
        <v>93</v>
      </c>
      <c r="I37" s="74">
        <v>120.27667873192568129207564034</v>
      </c>
      <c r="J37" s="73">
        <v>-90.28729937841118750545715965</v>
      </c>
      <c r="K37" s="75"/>
      <c r="L37" s="406" t="s">
        <v>93</v>
      </c>
      <c r="M37" s="74">
        <v>0</v>
      </c>
      <c r="N37" s="73">
        <v>0</v>
      </c>
      <c r="O37" s="75"/>
      <c r="P37" s="406" t="s">
        <v>93</v>
      </c>
      <c r="Q37" s="74">
        <v>83.12983075108282663254614796</v>
      </c>
      <c r="R37" s="73">
        <v>-18.546428434576793587390304610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3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123</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177</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178</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51</v>
      </c>
      <c r="D23" s="50" t="s">
        <v>52</v>
      </c>
      <c r="E23" s="50" t="s">
        <v>53</v>
      </c>
      <c r="F23" s="50" t="s">
        <v>49</v>
      </c>
      <c r="G23" s="50" t="s">
        <v>47</v>
      </c>
      <c r="H23" s="50" t="s">
        <v>48</v>
      </c>
      <c r="I23" s="50" t="s">
        <v>50</v>
      </c>
      <c r="J23" s="50" t="s">
        <v>51</v>
      </c>
      <c r="K23" s="50" t="s">
        <v>52</v>
      </c>
      <c r="L23" s="50" t="s">
        <v>53</v>
      </c>
      <c r="M23" s="50" t="s">
        <v>49</v>
      </c>
      <c r="N23" s="50" t="s">
        <v>47</v>
      </c>
      <c r="O23" s="50" t="s">
        <v>48</v>
      </c>
      <c r="P23" s="50" t="s">
        <v>50</v>
      </c>
      <c r="Q23" s="50" t="s">
        <v>51</v>
      </c>
      <c r="R23" s="50" t="s">
        <v>52</v>
      </c>
      <c r="S23" s="50" t="s">
        <v>53</v>
      </c>
      <c r="T23" s="50" t="s">
        <v>49</v>
      </c>
      <c r="U23" s="50" t="s">
        <v>47</v>
      </c>
      <c r="V23" s="50" t="s">
        <v>48</v>
      </c>
      <c r="W23" s="50" t="s">
        <v>50</v>
      </c>
      <c r="X23" s="50" t="s">
        <v>51</v>
      </c>
      <c r="Y23" s="50" t="s">
        <v>52</v>
      </c>
      <c r="Z23" s="50" t="s">
        <v>53</v>
      </c>
      <c r="AA23" s="50" t="s">
        <v>49</v>
      </c>
      <c r="AB23" s="50" t="s">
        <v>47</v>
      </c>
      <c r="AC23" s="50" t="s">
        <v>48</v>
      </c>
      <c r="AD23" s="50" t="s">
        <v>50</v>
      </c>
      <c r="AE23" s="50" t="s">
        <v>51</v>
      </c>
      <c r="AF23" s="50" t="s">
        <v>52</v>
      </c>
      <c r="AG23" s="50" t="s">
        <v>53</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179</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93.93939393939393939393939394</v>
      </c>
      <c r="D26" s="287">
        <v>96.96969696969696969696969697</v>
      </c>
      <c r="E26" s="287">
        <v>99.24242424242424242424242424</v>
      </c>
      <c r="F26" s="287">
        <v>97.72727272727272727272727273</v>
      </c>
      <c r="G26" s="287">
        <v>64.393939393939393939393939390</v>
      </c>
      <c r="H26" s="287">
        <v>51.515151515151515151515151520</v>
      </c>
      <c r="I26" s="287">
        <v>82.57575757575757575757575758</v>
      </c>
      <c r="J26" s="287">
        <v>85.60606060606060606060606061</v>
      </c>
      <c r="K26" s="287">
        <v>79.54545454545454545454545455</v>
      </c>
      <c r="L26" s="287">
        <v>85.60606060606060606060606061</v>
      </c>
      <c r="M26" s="287">
        <v>58.333333333333333333333333330</v>
      </c>
      <c r="N26" s="287">
        <v>63.636363636363636363636363640</v>
      </c>
      <c r="O26" s="287">
        <v>69.696969696969696969696969700</v>
      </c>
      <c r="P26" s="287">
        <v>71.212121212121212121212121210</v>
      </c>
      <c r="Q26" s="287">
        <v>81.06060606060606060606060606</v>
      </c>
      <c r="R26" s="287">
        <v>86.36363636363636363636363636</v>
      </c>
      <c r="S26" s="287">
        <v>96.21212121212121212121212121</v>
      </c>
      <c r="T26" s="287"/>
      <c r="U26" s="287"/>
      <c r="V26" s="287"/>
      <c r="W26" s="287"/>
      <c r="X26" s="287"/>
      <c r="Y26" s="287"/>
      <c r="Z26" s="287"/>
      <c r="AA26" s="287"/>
      <c r="AB26" s="287"/>
      <c r="AC26" s="287"/>
      <c r="AD26" s="287"/>
      <c r="AE26" s="287"/>
      <c r="AF26" s="287"/>
      <c r="AG26" s="288"/>
      <c r="AH26" s="218"/>
      <c r="AI26" s="302">
        <v>80.21390374331550802139037433</v>
      </c>
      <c r="AJ26" s="302">
        <v>74.517906336088154269972451790</v>
      </c>
      <c r="AK26" s="302">
        <v>90.65656565656565656565656566</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88.37209302325581395348837209</v>
      </c>
      <c r="D27" s="202">
        <v>97.09302325581395348837209302</v>
      </c>
      <c r="E27" s="202">
        <v>99.12790697674418604651162791</v>
      </c>
      <c r="F27" s="202">
        <v>68.313953488372093023255813950</v>
      </c>
      <c r="G27" s="202">
        <v>65.697674418604651162790697670</v>
      </c>
      <c r="H27" s="202">
        <v>71.220930232558139534883720930</v>
      </c>
      <c r="I27" s="202">
        <v>82.55813953488372093023255814</v>
      </c>
      <c r="J27" s="202">
        <v>79.94186046511627906976744186</v>
      </c>
      <c r="K27" s="202">
        <v>74.418604651162790697674418600</v>
      </c>
      <c r="L27" s="202">
        <v>72.093023255813953488372093020</v>
      </c>
      <c r="M27" s="202">
        <v>57.267441860465116279069767440</v>
      </c>
      <c r="N27" s="202">
        <v>51.453488372093023255813953490</v>
      </c>
      <c r="O27" s="202">
        <v>55.232558139534883720930232560</v>
      </c>
      <c r="P27" s="202">
        <v>62.500</v>
      </c>
      <c r="Q27" s="202">
        <v>71.802325581395348837209302330</v>
      </c>
      <c r="R27" s="202">
        <v>79.65116279069767441860465116</v>
      </c>
      <c r="S27" s="202">
        <v>90.11627906976744186046511628</v>
      </c>
      <c r="T27" s="202"/>
      <c r="U27" s="202"/>
      <c r="V27" s="202"/>
      <c r="W27" s="202"/>
      <c r="X27" s="202"/>
      <c r="Y27" s="202"/>
      <c r="Z27" s="202"/>
      <c r="AA27" s="202"/>
      <c r="AB27" s="202"/>
      <c r="AC27" s="202"/>
      <c r="AD27" s="202"/>
      <c r="AE27" s="202"/>
      <c r="AF27" s="202"/>
      <c r="AG27" s="290"/>
      <c r="AH27" s="218"/>
      <c r="AI27" s="303">
        <v>74.521203830369357045143638850</v>
      </c>
      <c r="AJ27" s="303">
        <v>68.578224101479915433403805500</v>
      </c>
      <c r="AK27" s="303">
        <v>85.41666666666666666666666667</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106.29984051031367623604468367</v>
      </c>
      <c r="D28" s="292">
        <v>99.87298131012141161335467541</v>
      </c>
      <c r="E28" s="292">
        <v>100.11552474900046027478370090</v>
      </c>
      <c r="F28" s="292">
        <v>143.05609284326844594427756616</v>
      </c>
      <c r="G28" s="292">
        <v>98.01555376777309630093716602</v>
      </c>
      <c r="H28" s="292">
        <v>72.331478045721246854214809240</v>
      </c>
      <c r="I28" s="292">
        <v>100.02134016216551008998936387</v>
      </c>
      <c r="J28" s="292">
        <v>107.08539944905761915351866210</v>
      </c>
      <c r="K28" s="292">
        <v>106.88920454540110085227275400</v>
      </c>
      <c r="L28" s="292">
        <v>118.74389051810704915965062092</v>
      </c>
      <c r="M28" s="292">
        <v>101.86125211499717419498917261</v>
      </c>
      <c r="N28" s="292">
        <v>123.67745249099504322164477520</v>
      </c>
      <c r="O28" s="292">
        <v>126.18819776722483337530433977</v>
      </c>
      <c r="P28" s="292">
        <v>113.93939393939393939393939394</v>
      </c>
      <c r="Q28" s="292">
        <v>112.89412342043189693323935860</v>
      </c>
      <c r="R28" s="292">
        <v>108.42733908427022508100882024</v>
      </c>
      <c r="S28" s="292">
        <v>106.76441837728303017689907741</v>
      </c>
      <c r="T28" s="292"/>
      <c r="U28" s="292"/>
      <c r="V28" s="292"/>
      <c r="W28" s="292"/>
      <c r="X28" s="292"/>
      <c r="Y28" s="292"/>
      <c r="Z28" s="292"/>
      <c r="AA28" s="292"/>
      <c r="AB28" s="292"/>
      <c r="AC28" s="292"/>
      <c r="AD28" s="292"/>
      <c r="AE28" s="292"/>
      <c r="AF28" s="292"/>
      <c r="AG28" s="293"/>
      <c r="AH28" s="218"/>
      <c r="AI28" s="304">
        <v>107.63903375188531476838171882</v>
      </c>
      <c r="AJ28" s="304">
        <v>108.66117825652215539965348776</v>
      </c>
      <c r="AK28" s="304">
        <v>106.13451589057203324139673169</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5.0847457627581729388107069900</v>
      </c>
      <c r="D31" s="287">
        <v>1.5873015873499622071050872800</v>
      </c>
      <c r="E31" s="287">
        <v>3.9682539683034769463341127600</v>
      </c>
      <c r="F31" s="287">
        <v>8.403361344556034178377236310</v>
      </c>
      <c r="G31" s="287">
        <v>-16.666666666637254901960773940</v>
      </c>
      <c r="H31" s="287">
        <v>-39.285714285725127551020406220</v>
      </c>
      <c r="I31" s="287">
        <v>-6.0344827586336504161712229400</v>
      </c>
      <c r="J31" s="287">
        <v>-2.5862068965651605231866806600</v>
      </c>
      <c r="K31" s="287">
        <v>-17.968750000002563476562499920</v>
      </c>
      <c r="L31" s="287">
        <v>0.892857142839126275510207300</v>
      </c>
      <c r="M31" s="287">
        <v>-16.304347826123345935727772460</v>
      </c>
      <c r="N31" s="287">
        <v>-20.000000000045714285714259590</v>
      </c>
      <c r="O31" s="287">
        <v>-15.596330275272721151418208510</v>
      </c>
      <c r="P31" s="287">
        <v>-13.761467889952562915579473920</v>
      </c>
      <c r="Q31" s="287">
        <v>3.8834951456351022716561411700</v>
      </c>
      <c r="R31" s="287">
        <v>2.7027027027138056975894825700</v>
      </c>
      <c r="S31" s="287">
        <v>16.513761467830047975759646950</v>
      </c>
      <c r="T31" s="287"/>
      <c r="U31" s="287"/>
      <c r="V31" s="287"/>
      <c r="W31" s="287"/>
      <c r="X31" s="287"/>
      <c r="Y31" s="287"/>
      <c r="Z31" s="287"/>
      <c r="AA31" s="287"/>
      <c r="AB31" s="287"/>
      <c r="AC31" s="287"/>
      <c r="AD31" s="287"/>
      <c r="AE31" s="287"/>
      <c r="AF31" s="287"/>
      <c r="AG31" s="288"/>
      <c r="AH31" s="218"/>
      <c r="AI31" s="302">
        <v>-6.6390041494184630085569973100</v>
      </c>
      <c r="AJ31" s="302">
        <v>-10.915951972566503459658887340</v>
      </c>
      <c r="AK31" s="302">
        <v>-0.7739082365553107871367163200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4.0109746538088182209199671400</v>
      </c>
      <c r="D32" s="202">
        <v>5.1213869359040741812158214900</v>
      </c>
      <c r="E32" s="202">
        <v>4.0967243690212299943920695800</v>
      </c>
      <c r="F32" s="202">
        <v>-16.792015954585760297147575230</v>
      </c>
      <c r="G32" s="202">
        <v>-2.0379872548040889187862216100</v>
      </c>
      <c r="H32" s="202">
        <v>11.349140923259362983384457530</v>
      </c>
      <c r="I32" s="202">
        <v>11.227847154741189486999655010</v>
      </c>
      <c r="J32" s="202">
        <v>3.3816035027903923028475550800</v>
      </c>
      <c r="K32" s="202">
        <v>-10.140071040766014902308712920</v>
      </c>
      <c r="L32" s="202">
        <v>-13.198342689087132374403536500</v>
      </c>
      <c r="M32" s="202">
        <v>-20.546165100838404648459911270</v>
      </c>
      <c r="N32" s="202">
        <v>-13.763953488345532320930224370</v>
      </c>
      <c r="O32" s="202">
        <v>-7.4302325581110233953488284200</v>
      </c>
      <c r="P32" s="202">
        <v>-3.7224264705443440473615716900</v>
      </c>
      <c r="Q32" s="202">
        <v>-7.4302325580990890161001612100</v>
      </c>
      <c r="R32" s="202">
        <v>-4.9178427085487805284350032800</v>
      </c>
      <c r="S32" s="202">
        <v>9.763723634376231097379794380</v>
      </c>
      <c r="T32" s="202"/>
      <c r="U32" s="202"/>
      <c r="V32" s="202"/>
      <c r="W32" s="202"/>
      <c r="X32" s="202"/>
      <c r="Y32" s="202"/>
      <c r="Z32" s="202"/>
      <c r="AA32" s="202"/>
      <c r="AB32" s="202"/>
      <c r="AC32" s="202"/>
      <c r="AD32" s="202"/>
      <c r="AE32" s="202"/>
      <c r="AF32" s="202"/>
      <c r="AG32" s="290"/>
      <c r="AH32" s="218"/>
      <c r="AI32" s="303">
        <v>-1.5916694690458736697138670700</v>
      </c>
      <c r="AJ32" s="303">
        <v>-3.197273783779474393386722800</v>
      </c>
      <c r="AK32" s="303">
        <v>-2.3210061863279853341135740900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1.0323632794217034156653774100</v>
      </c>
      <c r="D33" s="292">
        <v>-3.3619089812685938288010085300</v>
      </c>
      <c r="E33" s="292">
        <v>-0.1234144508172767360642496700</v>
      </c>
      <c r="F33" s="292">
        <v>30.279999675652157679877357470</v>
      </c>
      <c r="G33" s="292">
        <v>-14.933012299271171291558969650</v>
      </c>
      <c r="H33" s="292">
        <v>-45.473952281221402212874417620</v>
      </c>
      <c r="I33" s="292">
        <v>-15.519791450584906483388717260</v>
      </c>
      <c r="J33" s="292">
        <v>-5.7726038261658987997775389800</v>
      </c>
      <c r="K33" s="292">
        <v>-8.712091195625183201856841500</v>
      </c>
      <c r="L33" s="292">
        <v>16.233791229915769431674151330</v>
      </c>
      <c r="M33" s="292">
        <v>5.3387193709165856403859320100</v>
      </c>
      <c r="N33" s="292">
        <v>-7.231368741850669064058900200</v>
      </c>
      <c r="O33" s="292">
        <v>-8.821560151573039412612840910</v>
      </c>
      <c r="P33" s="292">
        <v>-10.427185741534127670327159650</v>
      </c>
      <c r="Q33" s="292">
        <v>12.221838745393991586009396100</v>
      </c>
      <c r="R33" s="292">
        <v>8.014695531051588322104234150</v>
      </c>
      <c r="S33" s="292">
        <v>6.1496071834865967218211188900</v>
      </c>
      <c r="T33" s="292"/>
      <c r="U33" s="292"/>
      <c r="V33" s="292"/>
      <c r="W33" s="292"/>
      <c r="X33" s="292"/>
      <c r="Y33" s="292"/>
      <c r="Z33" s="292"/>
      <c r="AA33" s="292"/>
      <c r="AB33" s="292"/>
      <c r="AC33" s="292"/>
      <c r="AD33" s="292"/>
      <c r="AE33" s="292"/>
      <c r="AF33" s="292"/>
      <c r="AG33" s="293"/>
      <c r="AH33" s="218"/>
      <c r="AI33" s="304">
        <v>-5.1289709450083399257971694100</v>
      </c>
      <c r="AJ33" s="304">
        <v>-7.973616540085941006669571610</v>
      </c>
      <c r="AK33" s="304">
        <v>1.5838594249355965306249901700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179</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297.04838709677419354838709677</v>
      </c>
      <c r="D38" s="295">
        <v>420.132812500</v>
      </c>
      <c r="E38" s="295">
        <v>408.95419847328244274809160305</v>
      </c>
      <c r="F38" s="295">
        <v>289.93023255813953488372093023</v>
      </c>
      <c r="G38" s="295">
        <v>191.56470588235294117647058824</v>
      </c>
      <c r="H38" s="295">
        <v>173.10294117647058823529411765</v>
      </c>
      <c r="I38" s="295">
        <v>185.79816513761467889908256881</v>
      </c>
      <c r="J38" s="295">
        <v>208.4867256637168141592920354</v>
      </c>
      <c r="K38" s="295">
        <v>277.38095238095238095238095238</v>
      </c>
      <c r="L38" s="295">
        <v>262.84070796460176991150442478</v>
      </c>
      <c r="M38" s="295">
        <v>165.72727272727272727272727273</v>
      </c>
      <c r="N38" s="295">
        <v>148.4047619047619047619047619</v>
      </c>
      <c r="O38" s="295">
        <v>159.23913043478260869565217391</v>
      </c>
      <c r="P38" s="295">
        <v>152.77659574468085106382978723</v>
      </c>
      <c r="Q38" s="295">
        <v>168.46728971962616822429906542</v>
      </c>
      <c r="R38" s="295">
        <v>260.22807017543859649122807018</v>
      </c>
      <c r="S38" s="295">
        <v>288.45669291338582677165354331</v>
      </c>
      <c r="T38" s="295"/>
      <c r="U38" s="295"/>
      <c r="V38" s="295"/>
      <c r="W38" s="295"/>
      <c r="X38" s="295"/>
      <c r="Y38" s="295"/>
      <c r="Z38" s="295"/>
      <c r="AA38" s="295"/>
      <c r="AB38" s="295"/>
      <c r="AC38" s="295"/>
      <c r="AD38" s="295"/>
      <c r="AE38" s="295"/>
      <c r="AF38" s="295"/>
      <c r="AG38" s="296"/>
      <c r="AH38" s="218"/>
      <c r="AI38" s="305">
        <v>250.46666666666666666666666667</v>
      </c>
      <c r="AJ38" s="305">
        <v>201.81515711645101663585951941</v>
      </c>
      <c r="AK38" s="305">
        <v>323.78272980501392757660167131</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388.5888157894736842105263158</v>
      </c>
      <c r="D39" s="207">
        <v>494.47904191616766467065868265</v>
      </c>
      <c r="E39" s="207">
        <v>493.2463343108504398826979472</v>
      </c>
      <c r="F39" s="207">
        <v>366.80425531914893617021276597</v>
      </c>
      <c r="G39" s="207">
        <v>240.5309734513274336283185841</v>
      </c>
      <c r="H39" s="207">
        <v>264.41632653061224489795918368</v>
      </c>
      <c r="I39" s="207">
        <v>276.52816901408450704225352112</v>
      </c>
      <c r="J39" s="207">
        <v>278.13818181818181818181818182</v>
      </c>
      <c r="K39" s="207">
        <v>267.42968750000000000000000002</v>
      </c>
      <c r="L39" s="207">
        <v>271.5120967741935483870967742</v>
      </c>
      <c r="M39" s="207">
        <v>226.47208121827411167512690357</v>
      </c>
      <c r="N39" s="207">
        <v>212.20338983050847457627118643</v>
      </c>
      <c r="O39" s="207">
        <v>205.21578947368421052631578946</v>
      </c>
      <c r="P39" s="207">
        <v>193.48837209302325581395348837</v>
      </c>
      <c r="Q39" s="207">
        <v>205.10526315789473684210526314</v>
      </c>
      <c r="R39" s="207">
        <v>289.25547445255474452554744527</v>
      </c>
      <c r="S39" s="207">
        <v>292.16774193548387096774193548</v>
      </c>
      <c r="T39" s="207"/>
      <c r="U39" s="207"/>
      <c r="V39" s="207"/>
      <c r="W39" s="207"/>
      <c r="X39" s="207"/>
      <c r="Y39" s="207"/>
      <c r="Z39" s="207"/>
      <c r="AA39" s="207"/>
      <c r="AB39" s="207"/>
      <c r="AC39" s="207"/>
      <c r="AD39" s="207"/>
      <c r="AE39" s="207"/>
      <c r="AF39" s="207"/>
      <c r="AG39" s="298"/>
      <c r="AH39" s="218"/>
      <c r="AI39" s="306">
        <v>305.39215236346948141349242772</v>
      </c>
      <c r="AJ39" s="306">
        <v>266.63622350674373795761078998</v>
      </c>
      <c r="AK39" s="306">
        <v>362.4378899602949517867271696</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76.442855539539358348161375310</v>
      </c>
      <c r="D40" s="292">
        <v>84.9647359920262199426680600</v>
      </c>
      <c r="E40" s="292">
        <v>82.91074256935337792089336666</v>
      </c>
      <c r="F40" s="292">
        <v>79.042221662863699756569853400</v>
      </c>
      <c r="G40" s="292">
        <v>79.64242739039128501909594776</v>
      </c>
      <c r="H40" s="292">
        <v>65.466056293781078230582372040</v>
      </c>
      <c r="I40" s="292">
        <v>67.189598007333909472364997140</v>
      </c>
      <c r="J40" s="292">
        <v>74.957966684340518768265731500</v>
      </c>
      <c r="K40" s="292">
        <v>103.72107710777337723672916919</v>
      </c>
      <c r="L40" s="292">
        <v>96.80626060031141314009577837</v>
      </c>
      <c r="M40" s="292">
        <v>73.177793852446475860676449530</v>
      </c>
      <c r="N40" s="292">
        <v>69.935151376847460516847166050</v>
      </c>
      <c r="O40" s="292">
        <v>77.595944660579025349014120370</v>
      </c>
      <c r="P40" s="292">
        <v>78.959057896899833970236176070</v>
      </c>
      <c r="Q40" s="292">
        <v>82.13699011220977827230100162</v>
      </c>
      <c r="R40" s="292">
        <v>89.96478654998866938157905097</v>
      </c>
      <c r="S40" s="292">
        <v>98.72982246515994988306467830</v>
      </c>
      <c r="T40" s="292"/>
      <c r="U40" s="292"/>
      <c r="V40" s="292"/>
      <c r="W40" s="292"/>
      <c r="X40" s="292"/>
      <c r="Y40" s="292"/>
      <c r="Z40" s="292"/>
      <c r="AA40" s="292"/>
      <c r="AB40" s="292"/>
      <c r="AC40" s="292"/>
      <c r="AD40" s="292"/>
      <c r="AE40" s="292"/>
      <c r="AF40" s="292"/>
      <c r="AG40" s="293"/>
      <c r="AH40" s="218"/>
      <c r="AI40" s="304">
        <v>82.01476846351407985814677595</v>
      </c>
      <c r="AJ40" s="304">
        <v>75.6893247519986090252570700</v>
      </c>
      <c r="AK40" s="304">
        <v>89.33468016836754998310016336</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-18.605541339827349489056864450</v>
      </c>
      <c r="D43" s="287">
        <v>-7.643786637713167064868609800</v>
      </c>
      <c r="E43" s="287">
        <v>-11.568365670199479265071261270</v>
      </c>
      <c r="F43" s="287">
        <v>-27.102415697730294398365331180</v>
      </c>
      <c r="G43" s="287">
        <v>7.2720285479295284184869419500</v>
      </c>
      <c r="H43" s="287">
        <v>-10.759358288763481092656750470</v>
      </c>
      <c r="I43" s="287">
        <v>-10.130151130147710847990950290</v>
      </c>
      <c r="J43" s="287">
        <v>5.3743199729271664520023846900</v>
      </c>
      <c r="K43" s="287">
        <v>-1.3866184180593690648129043900</v>
      </c>
      <c r="L43" s="287">
        <v>-1.3763968908889604831385067200</v>
      </c>
      <c r="M43" s="287">
        <v>-11.632612200610776502651407250</v>
      </c>
      <c r="N43" s="287">
        <v>-3.5437944908428317595301016900</v>
      </c>
      <c r="O43" s="287">
        <v>4.4851024403320540846857472300</v>
      </c>
      <c r="P43" s="287">
        <v>-1.8758533016759899506322162300</v>
      </c>
      <c r="Q43" s="287">
        <v>-13.524714237416830599227164150</v>
      </c>
      <c r="R43" s="287">
        <v>0.8741602565764204145926959900</v>
      </c>
      <c r="S43" s="287">
        <v>3.7990806759759846514002311900</v>
      </c>
      <c r="T43" s="287"/>
      <c r="U43" s="287"/>
      <c r="V43" s="287"/>
      <c r="W43" s="287"/>
      <c r="X43" s="287"/>
      <c r="Y43" s="287"/>
      <c r="Z43" s="287"/>
      <c r="AA43" s="287"/>
      <c r="AB43" s="287"/>
      <c r="AC43" s="287"/>
      <c r="AD43" s="287"/>
      <c r="AE43" s="287"/>
      <c r="AF43" s="287"/>
      <c r="AG43" s="288"/>
      <c r="AH43" s="218"/>
      <c r="AI43" s="302">
        <v>-3.1809101814864069854423742700</v>
      </c>
      <c r="AJ43" s="302">
        <v>-7.3729318025145471580022742100</v>
      </c>
      <c r="AK43" s="302">
        <v>-7.0612942651760161865573069200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12.453426150085141885801436530</v>
      </c>
      <c r="D44" s="202">
        <v>18.021078392077350218754626480</v>
      </c>
      <c r="E44" s="202">
        <v>14.096371386480780907905046280</v>
      </c>
      <c r="F44" s="202">
        <v>6.9293224707851701097041461700</v>
      </c>
      <c r="G44" s="202">
        <v>-10.632334208318821090528630060</v>
      </c>
      <c r="H44" s="202">
        <v>13.791369747404807417920895540</v>
      </c>
      <c r="I44" s="202">
        <v>24.025731170403492495097790470</v>
      </c>
      <c r="J44" s="202">
        <v>13.647052106614023228617310140</v>
      </c>
      <c r="K44" s="202">
        <v>-11.407863283410108352217935280</v>
      </c>
      <c r="L44" s="202">
        <v>-6.9201065093784093299276318800</v>
      </c>
      <c r="M44" s="202">
        <v>4.5345276810198486059934950600</v>
      </c>
      <c r="N44" s="202">
        <v>-2.0154980051983251399506694100</v>
      </c>
      <c r="O44" s="202">
        <v>-5.3654450554555433845225429400</v>
      </c>
      <c r="P44" s="202">
        <v>-3.1509534969113085612125012500</v>
      </c>
      <c r="Q44" s="202">
        <v>-11.30436876222708946200350200</v>
      </c>
      <c r="R44" s="202">
        <v>-2.0873031108786410878297339800</v>
      </c>
      <c r="S44" s="202">
        <v>-4.4371331608523442113013897200</v>
      </c>
      <c r="T44" s="202"/>
      <c r="U44" s="202"/>
      <c r="V44" s="202"/>
      <c r="W44" s="202"/>
      <c r="X44" s="202"/>
      <c r="Y44" s="202"/>
      <c r="Z44" s="202"/>
      <c r="AA44" s="202"/>
      <c r="AB44" s="202"/>
      <c r="AC44" s="202"/>
      <c r="AD44" s="202"/>
      <c r="AE44" s="202"/>
      <c r="AF44" s="202"/>
      <c r="AG44" s="290"/>
      <c r="AH44" s="218"/>
      <c r="AI44" s="303">
        <v>6.3096012670539101091117865300</v>
      </c>
      <c r="AJ44" s="303">
        <v>4.9535883319374910584121665200</v>
      </c>
      <c r="AK44" s="303">
        <v>3.0098304612731196516580660500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-27.619405253585317501784961390</v>
      </c>
      <c r="D45" s="292">
        <v>-21.746001120680804512711152620</v>
      </c>
      <c r="E45" s="292">
        <v>-22.493911721112300001234497650</v>
      </c>
      <c r="F45" s="292">
        <v>-31.826385300284431032861525990</v>
      </c>
      <c r="G45" s="292">
        <v>20.034497485817269269378350810</v>
      </c>
      <c r="H45" s="292">
        <v>-21.575210923916089150468849400</v>
      </c>
      <c r="I45" s="292">
        <v>-27.539351695981784322914584320</v>
      </c>
      <c r="J45" s="292">
        <v>-7.2793195954154882917775963900</v>
      </c>
      <c r="K45" s="292">
        <v>11.311664033386548944540392740</v>
      </c>
      <c r="L45" s="292">
        <v>5.9558615835765060247369304700</v>
      </c>
      <c r="M45" s="292">
        <v>-15.465837212128275781386284230</v>
      </c>
      <c r="N45" s="292">
        <v>-1.5597328705140617900904191600</v>
      </c>
      <c r="O45" s="292">
        <v>10.409038750788431626126345760</v>
      </c>
      <c r="P45" s="292">
        <v>1.3165851820770867925400773100</v>
      </c>
      <c r="Q45" s="292">
        <v>-2.5033312737466228094698624700</v>
      </c>
      <c r="R45" s="292">
        <v>3.0245958507472736396135445800</v>
      </c>
      <c r="S45" s="292">
        <v>8.618634108916652824386875920</v>
      </c>
      <c r="T45" s="292"/>
      <c r="U45" s="292"/>
      <c r="V45" s="292"/>
      <c r="W45" s="292"/>
      <c r="X45" s="292"/>
      <c r="Y45" s="292"/>
      <c r="Z45" s="292"/>
      <c r="AA45" s="292"/>
      <c r="AB45" s="292"/>
      <c r="AC45" s="292"/>
      <c r="AD45" s="292"/>
      <c r="AE45" s="292"/>
      <c r="AF45" s="292"/>
      <c r="AG45" s="293"/>
      <c r="AH45" s="218"/>
      <c r="AI45" s="304">
        <v>-8.927238307251267858373354780</v>
      </c>
      <c r="AJ45" s="304">
        <v>-11.744734344341727599538316050</v>
      </c>
      <c r="AK45" s="304">
        <v>-9.776857879865539490511884740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179</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279.04545454545454545454545455</v>
      </c>
      <c r="D50" s="295">
        <v>407.40151515151515151515151515</v>
      </c>
      <c r="E50" s="295">
        <v>405.85606060606060606060606061</v>
      </c>
      <c r="F50" s="295">
        <v>283.34090909090909090909090909</v>
      </c>
      <c r="G50" s="295">
        <v>123.35606060606060606060606061</v>
      </c>
      <c r="H50" s="295">
        <v>89.17424242424242424242424242</v>
      </c>
      <c r="I50" s="295">
        <v>153.42424242424242424242424242</v>
      </c>
      <c r="J50" s="295">
        <v>178.47727272727272727272727273</v>
      </c>
      <c r="K50" s="295">
        <v>220.64393939393939393939393939</v>
      </c>
      <c r="L50" s="295">
        <v>225.00757575757575757575757576</v>
      </c>
      <c r="M50" s="295">
        <v>96.67424242424242424242424242</v>
      </c>
      <c r="N50" s="295">
        <v>94.43939393939393939393939394</v>
      </c>
      <c r="O50" s="295">
        <v>110.98484848484848484848484848</v>
      </c>
      <c r="P50" s="295">
        <v>108.79545454545454545454545455</v>
      </c>
      <c r="Q50" s="295">
        <v>136.56060606060606060606060606</v>
      </c>
      <c r="R50" s="295">
        <v>224.74242424242424242424242424</v>
      </c>
      <c r="S50" s="295">
        <v>277.53030303030303030303030303</v>
      </c>
      <c r="T50" s="295"/>
      <c r="U50" s="295"/>
      <c r="V50" s="295"/>
      <c r="W50" s="295"/>
      <c r="X50" s="295"/>
      <c r="Y50" s="295"/>
      <c r="Z50" s="295"/>
      <c r="AA50" s="295"/>
      <c r="AB50" s="295"/>
      <c r="AC50" s="295"/>
      <c r="AD50" s="295"/>
      <c r="AE50" s="295"/>
      <c r="AF50" s="295"/>
      <c r="AG50" s="296"/>
      <c r="AH50" s="218"/>
      <c r="AI50" s="305">
        <v>200.90909090909090909090909091</v>
      </c>
      <c r="AJ50" s="305">
        <v>150.38842975206611570247933884</v>
      </c>
      <c r="AK50" s="305">
        <v>293.53030303030303030303030303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343.40406976744186046511627907</v>
      </c>
      <c r="D51" s="207">
        <v>480.10465116279069767441860465</v>
      </c>
      <c r="E51" s="207">
        <v>488.94476744186046511627906977</v>
      </c>
      <c r="F51" s="207">
        <v>250.57848837209302325581395349</v>
      </c>
      <c r="G51" s="207">
        <v>158.02325581395348837209302326</v>
      </c>
      <c r="H51" s="207">
        <v>188.31976744186046511627906977</v>
      </c>
      <c r="I51" s="207">
        <v>228.29651162790697674418604651</v>
      </c>
      <c r="J51" s="207">
        <v>222.34883720930232558139534884</v>
      </c>
      <c r="K51" s="207">
        <v>199.01744186046511627906976744</v>
      </c>
      <c r="L51" s="207">
        <v>195.74127906976744186046511628</v>
      </c>
      <c r="M51" s="207">
        <v>129.69476744186046511627906977</v>
      </c>
      <c r="N51" s="207">
        <v>109.18604651162790697674418605</v>
      </c>
      <c r="O51" s="207">
        <v>113.34593023255813953488372093</v>
      </c>
      <c r="P51" s="207">
        <v>120.93023255813953488372093023</v>
      </c>
      <c r="Q51" s="207">
        <v>147.27034883720930232558139535</v>
      </c>
      <c r="R51" s="207">
        <v>230.39534883720930232558139535</v>
      </c>
      <c r="S51" s="207">
        <v>263.2906976744186046511627907</v>
      </c>
      <c r="T51" s="207"/>
      <c r="U51" s="207"/>
      <c r="V51" s="207"/>
      <c r="W51" s="207"/>
      <c r="X51" s="207"/>
      <c r="Y51" s="207"/>
      <c r="Z51" s="207"/>
      <c r="AA51" s="207"/>
      <c r="AB51" s="207"/>
      <c r="AC51" s="207"/>
      <c r="AD51" s="207"/>
      <c r="AE51" s="207"/>
      <c r="AF51" s="207"/>
      <c r="AG51" s="298"/>
      <c r="AH51" s="218"/>
      <c r="AI51" s="306">
        <v>227.5819083447332421340629275</v>
      </c>
      <c r="AJ51" s="306">
        <v>182.85438689217758985200845666</v>
      </c>
      <c r="AK51" s="306">
        <v>309.58236434108527131782945736</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81.25863352011585856345119659</v>
      </c>
      <c r="D52" s="292">
        <v>84.85681489750205666347901447</v>
      </c>
      <c r="E52" s="292">
        <v>83.00652499656566977856260927</v>
      </c>
      <c r="F52" s="292">
        <v>113.07471400743629680111265126</v>
      </c>
      <c r="G52" s="292">
        <v>78.061966240751211497884408860</v>
      </c>
      <c r="H52" s="292">
        <v>47.352566135551471072828107180</v>
      </c>
      <c r="I52" s="292">
        <v>67.203936376526099312230341020</v>
      </c>
      <c r="J52" s="292">
        <v>80.26903804280731661714585854</v>
      </c>
      <c r="K52" s="292">
        <v>110.86663426645708205871803380</v>
      </c>
      <c r="L52" s="292">
        <v>114.95152010186854687132872471</v>
      </c>
      <c r="M52" s="292">
        <v>74.539817088264611732085476650</v>
      </c>
      <c r="N52" s="292">
        <v>86.49401361863636468802593346</v>
      </c>
      <c r="O52" s="292">
        <v>97.91692410754732823166192471</v>
      </c>
      <c r="P52" s="292">
        <v>89.96547202800143976096020327</v>
      </c>
      <c r="Q52" s="292">
        <v>92.72783499112029399183704296</v>
      </c>
      <c r="R52" s="292">
        <v>97.54642416901819531582820546</v>
      </c>
      <c r="S52" s="292">
        <v>105.40832071990348955170306283</v>
      </c>
      <c r="T52" s="292"/>
      <c r="U52" s="292"/>
      <c r="V52" s="292"/>
      <c r="W52" s="292"/>
      <c r="X52" s="292"/>
      <c r="Y52" s="292"/>
      <c r="Z52" s="292"/>
      <c r="AA52" s="292"/>
      <c r="AB52" s="292"/>
      <c r="AC52" s="292"/>
      <c r="AD52" s="292"/>
      <c r="AE52" s="292"/>
      <c r="AF52" s="292"/>
      <c r="AG52" s="293"/>
      <c r="AH52" s="218"/>
      <c r="AI52" s="304">
        <v>88.27990430803053067870748832</v>
      </c>
      <c r="AJ52" s="304">
        <v>82.24491208992767066366385173</v>
      </c>
      <c r="AK52" s="304">
        <v>94.81493031912157082194340533</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-14.466840052009248882782984150</v>
      </c>
      <c r="D55" s="287">
        <v>-6.1778149970399832489970106400</v>
      </c>
      <c r="E55" s="287">
        <v>-8.059173831707757847520913330</v>
      </c>
      <c r="F55" s="287">
        <v>-20.976568277370827743521086090</v>
      </c>
      <c r="G55" s="287">
        <v>-10.606642876734226805226766370</v>
      </c>
      <c r="H55" s="287">
        <v>-45.818181818170844649021861990</v>
      </c>
      <c r="I55" s="287">
        <v>-15.553331665407277457926652390</v>
      </c>
      <c r="J55" s="287">
        <v>2.6491220426196783841779526600</v>
      </c>
      <c r="K55" s="287">
        <v>-19.106210421071515946190772450</v>
      </c>
      <c r="L55" s="287">
        <v>-0.4958290060021845513615329300</v>
      </c>
      <c r="M55" s="287">
        <v>-26.040338472226319285251085760</v>
      </c>
      <c r="N55" s="287">
        <v>-22.835035592718687207004329950</v>
      </c>
      <c r="O55" s="287">
        <v>-11.810739224667492085332931920</v>
      </c>
      <c r="P55" s="287">
        <v>-15.379176241836255375465181360</v>
      </c>
      <c r="Q55" s="287">
        <v>-10.166450712676912923125628810</v>
      </c>
      <c r="R55" s="287">
        <v>3.6004889121791039348136626400</v>
      </c>
      <c r="S55" s="287">
        <v>20.940213264651699027177949020</v>
      </c>
      <c r="T55" s="287"/>
      <c r="U55" s="287"/>
      <c r="V55" s="287"/>
      <c r="W55" s="287"/>
      <c r="X55" s="287"/>
      <c r="Y55" s="287"/>
      <c r="Z55" s="287"/>
      <c r="AA55" s="287"/>
      <c r="AB55" s="287"/>
      <c r="AC55" s="287"/>
      <c r="AD55" s="287"/>
      <c r="AE55" s="287"/>
      <c r="AF55" s="287"/>
      <c r="AG55" s="288"/>
      <c r="AH55" s="218"/>
      <c r="AI55" s="302">
        <v>-9.608733571902858608174294090</v>
      </c>
      <c r="AJ55" s="302">
        <v>-17.484058080551150295514656360</v>
      </c>
      <c r="AK55" s="302">
        <v>-7.7805545638594148916486217700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16.963904570287324698354993850</v>
      </c>
      <c r="D56" s="202">
        <v>24.065394482417242627717000240</v>
      </c>
      <c r="E56" s="202">
        <v>18.770585237301587570480287270</v>
      </c>
      <c r="F56" s="202">
        <v>-11.026266418611184210614581800</v>
      </c>
      <c r="G56" s="202">
        <v>-12.453635847070145344232619940</v>
      </c>
      <c r="H56" s="202">
        <v>26.705712658594601838853869810</v>
      </c>
      <c r="I56" s="202">
        <v>37.951150698725019541350452160</v>
      </c>
      <c r="J56" s="202">
        <v>17.490144801403647001301675720</v>
      </c>
      <c r="K56" s="202">
        <v>-20.391168883048236229913415740</v>
      </c>
      <c r="L56" s="202">
        <v>-19.205109826911923347741837300</v>
      </c>
      <c r="M56" s="202">
        <v>-16.943308963757680099871438060</v>
      </c>
      <c r="N56" s="202">
        <v>-15.502039285595049591578413420</v>
      </c>
      <c r="O56" s="202">
        <v>-12.397012568185190820025722350</v>
      </c>
      <c r="P56" s="202">
        <v>-6.7560880404352019786134688200</v>
      </c>
      <c r="Q56" s="202">
        <v>-17.894660432117127999857594130</v>
      </c>
      <c r="R56" s="202">
        <v>-6.9024955355962818087792871600</v>
      </c>
      <c r="S56" s="202">
        <v>4.893361054411667034694743900</v>
      </c>
      <c r="T56" s="202"/>
      <c r="U56" s="202"/>
      <c r="V56" s="202"/>
      <c r="W56" s="202"/>
      <c r="X56" s="202"/>
      <c r="Y56" s="202"/>
      <c r="Z56" s="202"/>
      <c r="AA56" s="202"/>
      <c r="AB56" s="202"/>
      <c r="AC56" s="202"/>
      <c r="AD56" s="202"/>
      <c r="AE56" s="202"/>
      <c r="AF56" s="202"/>
      <c r="AG56" s="290"/>
      <c r="AH56" s="218"/>
      <c r="AI56" s="303">
        <v>4.6175038009581860252884192200</v>
      </c>
      <c r="AJ56" s="303">
        <v>1.5979347670524341132722872300</v>
      </c>
      <c r="AK56" s="303">
        <v>0.618965923733253825378279400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-26.872174571937355231785076060</v>
      </c>
      <c r="D57" s="292">
        <v>-24.376829337131957946375114960</v>
      </c>
      <c r="E57" s="292">
        <v>-22.589565434451485718250298550</v>
      </c>
      <c r="F57" s="292">
        <v>-11.183414990265685606739497800</v>
      </c>
      <c r="G57" s="292">
        <v>2.1097312128761160077606928700</v>
      </c>
      <c r="H57" s="292">
        <v>-57.238062085002496488448100820</v>
      </c>
      <c r="I57" s="292">
        <v>-38.785093196519790452675660530</v>
      </c>
      <c r="J57" s="292">
        <v>-12.631717140063084440520875870</v>
      </c>
      <c r="K57" s="292">
        <v>1.6140903514388129351212809500</v>
      </c>
      <c r="L57" s="292">
        <v>23.156514948980974863180813780</v>
      </c>
      <c r="M57" s="292">
        <v>-10.952795488226637400431650470</v>
      </c>
      <c r="N57" s="292">
        <v>-8.678311577045359397795105910</v>
      </c>
      <c r="O57" s="292">
        <v>0.6692389844676247717185084300</v>
      </c>
      <c r="P57" s="292">
        <v>-9.247883341852773055157378750</v>
      </c>
      <c r="Q57" s="292">
        <v>9.412554360228533635457998220</v>
      </c>
      <c r="R57" s="292">
        <v>11.281703530282249515315061380</v>
      </c>
      <c r="S57" s="292">
        <v>15.298253434714359757578121470</v>
      </c>
      <c r="T57" s="292"/>
      <c r="U57" s="292"/>
      <c r="V57" s="292"/>
      <c r="W57" s="292"/>
      <c r="X57" s="292"/>
      <c r="Y57" s="292"/>
      <c r="Z57" s="292"/>
      <c r="AA57" s="292"/>
      <c r="AB57" s="292"/>
      <c r="AC57" s="292"/>
      <c r="AD57" s="292"/>
      <c r="AE57" s="292"/>
      <c r="AF57" s="292"/>
      <c r="AG57" s="293"/>
      <c r="AH57" s="218"/>
      <c r="AI57" s="304">
        <v>-13.598333793136218357483929560</v>
      </c>
      <c r="AJ57" s="304">
        <v>-18.781870804096927451916654870</v>
      </c>
      <c r="AK57" s="304">
        <v>-8.347850139895180078737668720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37.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178</v>
      </c>
      <c r="B4" s="442"/>
      <c r="C4" s="211"/>
      <c r="D4" s="212"/>
      <c r="E4" s="212"/>
      <c r="F4" s="212"/>
      <c r="G4" s="212"/>
      <c r="H4" s="212"/>
      <c r="I4" s="212"/>
      <c r="J4" s="212"/>
      <c r="K4" s="212"/>
      <c r="L4" s="212"/>
      <c r="M4" s="212"/>
      <c r="N4" s="212"/>
      <c r="O4" s="212"/>
      <c r="P4" s="212"/>
      <c r="Q4" s="212"/>
      <c r="R4" s="667" t="s">
        <v>180</v>
      </c>
      <c r="S4" s="667"/>
      <c r="T4" s="667"/>
      <c r="U4" s="667"/>
      <c r="V4" s="667"/>
      <c r="W4" s="667"/>
      <c r="X4" s="667"/>
      <c r="Y4" s="667"/>
      <c r="Z4" s="667"/>
      <c r="AA4" s="66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181</v>
      </c>
      <c r="G9" s="339" t="s">
        <v>63</v>
      </c>
      <c r="H9" s="340" t="s">
        <v>26</v>
      </c>
      <c r="I9" s="341" t="s">
        <v>181</v>
      </c>
      <c r="J9" s="340" t="s">
        <v>63</v>
      </c>
      <c r="K9" s="340" t="s">
        <v>26</v>
      </c>
      <c r="L9" s="341" t="s">
        <v>181</v>
      </c>
      <c r="M9" s="339" t="s">
        <v>63</v>
      </c>
      <c r="N9" s="340" t="s">
        <v>26</v>
      </c>
      <c r="O9" s="341" t="s">
        <v>181</v>
      </c>
      <c r="P9" s="96"/>
      <c r="Q9" s="339" t="s">
        <v>63</v>
      </c>
      <c r="R9" s="340" t="s">
        <v>26</v>
      </c>
      <c r="S9" s="341" t="s">
        <v>181</v>
      </c>
      <c r="T9" s="339" t="s">
        <v>63</v>
      </c>
      <c r="U9" s="340" t="s">
        <v>26</v>
      </c>
      <c r="V9" s="341" t="s">
        <v>181</v>
      </c>
      <c r="W9" s="340"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182</v>
      </c>
      <c r="B10" s="342">
        <v>20</v>
      </c>
      <c r="C10" s="350" t="s">
        <v>49</v>
      </c>
      <c r="D10" s="354">
        <v>92.42424242424242424242424242</v>
      </c>
      <c r="E10" s="355">
        <v>80.81395348837209302325581395</v>
      </c>
      <c r="F10" s="356">
        <v>56.613796847002854000890453920</v>
      </c>
      <c r="G10" s="354">
        <v>0</v>
      </c>
      <c r="H10" s="355">
        <v>0.290697674418604651162790700</v>
      </c>
      <c r="I10" s="356">
        <v>2.2815199620400097096349129900</v>
      </c>
      <c r="J10" s="355">
        <v>0</v>
      </c>
      <c r="K10" s="355">
        <v>0</v>
      </c>
      <c r="L10" s="356">
        <v>7.1770426946585230061882187400</v>
      </c>
      <c r="M10" s="354">
        <v>92.42424242424242424242424242</v>
      </c>
      <c r="N10" s="355">
        <v>81.10465116279069767441860465</v>
      </c>
      <c r="O10" s="356">
        <v>66.072359503701386716713585650</v>
      </c>
      <c r="P10" s="4"/>
      <c r="Q10" s="354">
        <v>16.190476190409795918367384870</v>
      </c>
      <c r="R10" s="355">
        <v>17.573078165408152670672741370</v>
      </c>
      <c r="S10" s="356">
        <v>11.039087845751116181224101410</v>
      </c>
      <c r="T10" s="354">
        <v>0</v>
      </c>
      <c r="U10" s="355">
        <v>-90.63059033980401644419896852</v>
      </c>
      <c r="V10" s="356">
        <v>-82.71134500578912594862895660</v>
      </c>
      <c r="W10" s="355">
        <v>0</v>
      </c>
      <c r="X10" s="355">
        <v>0</v>
      </c>
      <c r="Y10" s="356">
        <v>0.2414444681643113631515658600</v>
      </c>
      <c r="Z10" s="354">
        <v>16.190476190409795918367384870</v>
      </c>
      <c r="AA10" s="355">
        <v>12.899830024028062427695418940</v>
      </c>
      <c r="AB10" s="356">
        <v>-7.3862582862909891404114176300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21</v>
      </c>
      <c r="C11" s="351" t="s">
        <v>47</v>
      </c>
      <c r="D11" s="327">
        <v>86.36363636363636363636363636</v>
      </c>
      <c r="E11" s="171">
        <v>72.093023255813953488372093020</v>
      </c>
      <c r="F11" s="328">
        <v>52.086931707243808293657349690</v>
      </c>
      <c r="G11" s="327">
        <v>0</v>
      </c>
      <c r="H11" s="171">
        <v>2.6162790697674418604651162800</v>
      </c>
      <c r="I11" s="328">
        <v>6.7520096657538270010296564400</v>
      </c>
      <c r="J11" s="171">
        <v>0</v>
      </c>
      <c r="K11" s="171">
        <v>0</v>
      </c>
      <c r="L11" s="328">
        <v>6.3888763728057220194616749200</v>
      </c>
      <c r="M11" s="327">
        <v>86.36363636363636363636363636</v>
      </c>
      <c r="N11" s="171">
        <v>74.709302325581395348837209300</v>
      </c>
      <c r="O11" s="328">
        <v>65.227817745803357314148681060</v>
      </c>
      <c r="P11" s="4"/>
      <c r="Q11" s="327">
        <v>-8.064516129038189386056191090</v>
      </c>
      <c r="R11" s="171">
        <v>6.73843372501564921815178800</v>
      </c>
      <c r="S11" s="328">
        <v>7.4063236635557999294174854100</v>
      </c>
      <c r="T11" s="327">
        <v>0</v>
      </c>
      <c r="U11" s="171">
        <v>-42.304161567336047316877774570</v>
      </c>
      <c r="V11" s="328">
        <v>-67.485645746250929820825505710</v>
      </c>
      <c r="W11" s="171">
        <v>0</v>
      </c>
      <c r="X11" s="171">
        <v>0</v>
      </c>
      <c r="Y11" s="328">
        <v>-6.6059571360220588681482391900</v>
      </c>
      <c r="Z11" s="327">
        <v>-8.064516129038189386056191090</v>
      </c>
      <c r="AA11" s="171">
        <v>3.6529724319011675398264101700</v>
      </c>
      <c r="AB11" s="328">
        <v>-14.289223532983954699120774810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22</v>
      </c>
      <c r="C12" s="352" t="s">
        <v>48</v>
      </c>
      <c r="D12" s="359">
        <v>89.39393939393939393939393939</v>
      </c>
      <c r="E12" s="170">
        <v>71.511627906976744186046511630</v>
      </c>
      <c r="F12" s="360">
        <v>51.718008733038192008435628220</v>
      </c>
      <c r="G12" s="359">
        <v>0</v>
      </c>
      <c r="H12" s="170">
        <v>2.6162790697674418604651162800</v>
      </c>
      <c r="I12" s="360">
        <v>12.562820863635664396623697610</v>
      </c>
      <c r="J12" s="170">
        <v>0</v>
      </c>
      <c r="K12" s="170">
        <v>0</v>
      </c>
      <c r="L12" s="360">
        <v>7.0360299591597375893103957800</v>
      </c>
      <c r="M12" s="359">
        <v>89.39393939393939393939393939</v>
      </c>
      <c r="N12" s="170">
        <v>74.127906976744186046511627910</v>
      </c>
      <c r="O12" s="360">
        <v>71.316859555833593994369721610</v>
      </c>
      <c r="P12" s="4"/>
      <c r="Q12" s="359">
        <v>-2.4793388430106686701727895100</v>
      </c>
      <c r="R12" s="170">
        <v>2.9669144089852562201290123600</v>
      </c>
      <c r="S12" s="360">
        <v>6.859217819869167231937841700</v>
      </c>
      <c r="T12" s="359">
        <v>0</v>
      </c>
      <c r="U12" s="170">
        <v>-64.638034508660237337560165540</v>
      </c>
      <c r="V12" s="360">
        <v>-48.983950552572026242597172900</v>
      </c>
      <c r="W12" s="170">
        <v>0</v>
      </c>
      <c r="X12" s="170">
        <v>0</v>
      </c>
      <c r="Y12" s="360">
        <v>3.5401958165277150680347501700</v>
      </c>
      <c r="Z12" s="359">
        <v>-2.4793388430106686701727895100</v>
      </c>
      <c r="AA12" s="170">
        <v>-3.5416365737732589540849854100</v>
      </c>
      <c r="AB12" s="360">
        <v>-10.651726320278289455319152980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23</v>
      </c>
      <c r="C13" s="351" t="s">
        <v>50</v>
      </c>
      <c r="D13" s="327">
        <v>90.90909090909090909090909091</v>
      </c>
      <c r="E13" s="171">
        <v>76.453488372093023255813953490</v>
      </c>
      <c r="F13" s="328">
        <v>52.398442311293134891815748550</v>
      </c>
      <c r="G13" s="327">
        <v>0.7575757575757575757575757600</v>
      </c>
      <c r="H13" s="171">
        <v>0</v>
      </c>
      <c r="I13" s="328">
        <v>18.0057698988995955334423600</v>
      </c>
      <c r="J13" s="171">
        <v>0</v>
      </c>
      <c r="K13" s="171">
        <v>0</v>
      </c>
      <c r="L13" s="328">
        <v>5.9798978930290399845010406600</v>
      </c>
      <c r="M13" s="327">
        <v>91.66666666666666666666666667</v>
      </c>
      <c r="N13" s="171">
        <v>76.453488372093023255813953490</v>
      </c>
      <c r="O13" s="328">
        <v>76.384110103221770409759149200</v>
      </c>
      <c r="P13" s="4"/>
      <c r="Q13" s="327">
        <v>6.1946902654378573106743117800</v>
      </c>
      <c r="R13" s="171">
        <v>-0.2055712526439611783568622500</v>
      </c>
      <c r="S13" s="328">
        <v>3.2107247360151839669140153800</v>
      </c>
      <c r="T13" s="327">
        <v>0</v>
      </c>
      <c r="U13" s="171">
        <v>-100</v>
      </c>
      <c r="V13" s="328">
        <v>-10.794531365823317714444776670</v>
      </c>
      <c r="W13" s="171">
        <v>0</v>
      </c>
      <c r="X13" s="171">
        <v>0</v>
      </c>
      <c r="Y13" s="328">
        <v>-13.548596934756703992682613210</v>
      </c>
      <c r="Z13" s="327">
        <v>7.0796460176498394549299310500</v>
      </c>
      <c r="AA13" s="171">
        <v>-4.9435856738944624357039701400</v>
      </c>
      <c r="AB13" s="328">
        <v>-1.9082612323347831985368956600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24</v>
      </c>
      <c r="C14" s="352" t="s">
        <v>51</v>
      </c>
      <c r="D14" s="359">
        <v>84.09090909090909090909090909</v>
      </c>
      <c r="E14" s="170">
        <v>85.75581395348837209302325581</v>
      </c>
      <c r="F14" s="360">
        <v>57.248301001590478231774842170</v>
      </c>
      <c r="G14" s="359">
        <v>1.5151515151515151515151515200</v>
      </c>
      <c r="H14" s="170">
        <v>0.581395348837209302325581400</v>
      </c>
      <c r="I14" s="360">
        <v>13.416237455290764086358560260</v>
      </c>
      <c r="J14" s="170">
        <v>0</v>
      </c>
      <c r="K14" s="170">
        <v>0</v>
      </c>
      <c r="L14" s="360">
        <v>7.2626849817591497160653255400</v>
      </c>
      <c r="M14" s="359">
        <v>85.60606060606060606060606061</v>
      </c>
      <c r="N14" s="170">
        <v>86.33720930232558139534883721</v>
      </c>
      <c r="O14" s="360">
        <v>77.927223438640392034198727970</v>
      </c>
      <c r="P14" s="4"/>
      <c r="Q14" s="359">
        <v>-13.953488372117036235803130130</v>
      </c>
      <c r="R14" s="170">
        <v>2.6619601328974051257712392100</v>
      </c>
      <c r="S14" s="360">
        <v>15.609923497039819326652582760</v>
      </c>
      <c r="T14" s="359">
        <v>99.99999999360000000020480064</v>
      </c>
      <c r="U14" s="170">
        <v>-83.75968992246654521963823057</v>
      </c>
      <c r="V14" s="360">
        <v>-57.210874167867344813922736040</v>
      </c>
      <c r="W14" s="170">
        <v>0</v>
      </c>
      <c r="X14" s="170">
        <v>0</v>
      </c>
      <c r="Y14" s="360">
        <v>15.775357160211123445483622480</v>
      </c>
      <c r="Z14" s="359">
        <v>-13.076923076880284023668617980</v>
      </c>
      <c r="AA14" s="170">
        <v>-0.8896145269093542769488571400</v>
      </c>
      <c r="AB14" s="360">
        <v>-10.578439681184824789534688870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25</v>
      </c>
      <c r="C15" s="351" t="s">
        <v>52</v>
      </c>
      <c r="D15" s="327">
        <v>81.06060606060606060606060606</v>
      </c>
      <c r="E15" s="171">
        <v>93.02325581395348837209302326</v>
      </c>
      <c r="F15" s="328">
        <v>66.025031101911095753490537870</v>
      </c>
      <c r="G15" s="327">
        <v>2.2727272727272727272727272700</v>
      </c>
      <c r="H15" s="171">
        <v>0.8720930232558139534883720900</v>
      </c>
      <c r="I15" s="328">
        <v>12.299093767813624616550134090</v>
      </c>
      <c r="J15" s="171">
        <v>0</v>
      </c>
      <c r="K15" s="171">
        <v>0</v>
      </c>
      <c r="L15" s="328">
        <v>7.1726950656313426056657194500</v>
      </c>
      <c r="M15" s="327">
        <v>83.33333333333333333333333333</v>
      </c>
      <c r="N15" s="171">
        <v>93.89534883720930232558139535</v>
      </c>
      <c r="O15" s="328">
        <v>85.49681993535606297570639141</v>
      </c>
      <c r="P15" s="4"/>
      <c r="Q15" s="327">
        <v>-12.295081967172856758935751480</v>
      </c>
      <c r="R15" s="171">
        <v>1.2382965871848100193373781800</v>
      </c>
      <c r="S15" s="328">
        <v>3.7176494602418049688290677900</v>
      </c>
      <c r="T15" s="327">
        <v>199.99999999040000000030719964</v>
      </c>
      <c r="U15" s="171">
        <v>0</v>
      </c>
      <c r="V15" s="328">
        <v>-30.750308920525841220854622600</v>
      </c>
      <c r="W15" s="171">
        <v>0</v>
      </c>
      <c r="X15" s="171">
        <v>0</v>
      </c>
      <c r="Y15" s="328">
        <v>1.1647203110940066981783191500</v>
      </c>
      <c r="Z15" s="327">
        <v>-10.569105691039460638508820710</v>
      </c>
      <c r="AA15" s="171">
        <v>2.187405617689667613268666100</v>
      </c>
      <c r="AB15" s="328">
        <v>-3.4033041519968870730140816200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26</v>
      </c>
      <c r="C16" s="352" t="s">
        <v>53</v>
      </c>
      <c r="D16" s="359">
        <v>85.60606060606060606060606061</v>
      </c>
      <c r="E16" s="170">
        <v>94.47674418604651162790697674</v>
      </c>
      <c r="F16" s="360">
        <v>69.11173963683363177922882700</v>
      </c>
      <c r="G16" s="359">
        <v>2.2727272727272727272727272700</v>
      </c>
      <c r="H16" s="170">
        <v>2.6162790697674418604651162800</v>
      </c>
      <c r="I16" s="360">
        <v>13.089586687265916698516293480</v>
      </c>
      <c r="J16" s="170">
        <v>0</v>
      </c>
      <c r="K16" s="170">
        <v>0</v>
      </c>
      <c r="L16" s="360">
        <v>7.4660701934690053748249973400</v>
      </c>
      <c r="M16" s="359">
        <v>87.87878787878787878787878788</v>
      </c>
      <c r="N16" s="170">
        <v>97.09302325581395348837209302</v>
      </c>
      <c r="O16" s="360">
        <v>89.66739651756855385257011782</v>
      </c>
      <c r="P16" s="4"/>
      <c r="Q16" s="359">
        <v>-7.3770491802853533996237375400</v>
      </c>
      <c r="R16" s="170">
        <v>-1.0356104650650649981831130400</v>
      </c>
      <c r="S16" s="360">
        <v>-1.0805214258403951066754367900</v>
      </c>
      <c r="T16" s="359">
        <v>199.99999999040000000030719964</v>
      </c>
      <c r="U16" s="170">
        <v>0</v>
      </c>
      <c r="V16" s="360">
        <v>86.84546181993177572311149098</v>
      </c>
      <c r="W16" s="170">
        <v>0</v>
      </c>
      <c r="X16" s="170">
        <v>0</v>
      </c>
      <c r="Y16" s="360">
        <v>5.1547536867372964070866844700</v>
      </c>
      <c r="Z16" s="359">
        <v>-5.6910569105507039460638472900</v>
      </c>
      <c r="AA16" s="170">
        <v>1.7049418605177485864825853700</v>
      </c>
      <c r="AB16" s="360">
        <v>6.7820993405364567717993172300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27</v>
      </c>
      <c r="C17" s="351" t="s">
        <v>49</v>
      </c>
      <c r="D17" s="327">
        <v>78.030303030303030303030303030</v>
      </c>
      <c r="E17" s="171">
        <v>83.99513442190334817746989939</v>
      </c>
      <c r="F17" s="328">
        <v>57.002132688529009529541966710</v>
      </c>
      <c r="G17" s="327">
        <v>3.7878787878787878787878787900</v>
      </c>
      <c r="H17" s="171">
        <v>6.4118423222826983341580075900</v>
      </c>
      <c r="I17" s="328">
        <v>18.500131629292767106280716770</v>
      </c>
      <c r="J17" s="171">
        <v>0</v>
      </c>
      <c r="K17" s="171">
        <v>0</v>
      </c>
      <c r="L17" s="328">
        <v>7.2211221903629799067693298600</v>
      </c>
      <c r="M17" s="327">
        <v>81.81818181818181818181818182</v>
      </c>
      <c r="N17" s="171">
        <v>90.40697674418604651162790698</v>
      </c>
      <c r="O17" s="328">
        <v>82.72338650818475654259201335</v>
      </c>
      <c r="P17" s="4"/>
      <c r="Q17" s="327">
        <v>-17.600000000026367999999991560</v>
      </c>
      <c r="R17" s="171">
        <v>-0.3003928533613449242146974700</v>
      </c>
      <c r="S17" s="328">
        <v>11.891654121136714243778896710</v>
      </c>
      <c r="T17" s="327">
        <v>25.000000000125000000000125070</v>
      </c>
      <c r="U17" s="171">
        <v>0</v>
      </c>
      <c r="V17" s="328">
        <v>63.867428097075340808009007350</v>
      </c>
      <c r="W17" s="171">
        <v>0</v>
      </c>
      <c r="X17" s="171">
        <v>0</v>
      </c>
      <c r="Y17" s="328">
        <v>12.775229353701075023496448100</v>
      </c>
      <c r="Z17" s="327">
        <v>-16.279069767465224445646288770</v>
      </c>
      <c r="AA17" s="171">
        <v>7.3102641807332088983643332600</v>
      </c>
      <c r="AB17" s="328">
        <v>20.523289264886880503267437580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28</v>
      </c>
      <c r="C18" s="352" t="s">
        <v>47</v>
      </c>
      <c r="D18" s="359">
        <v>76.515151515151515151515151520</v>
      </c>
      <c r="E18" s="170">
        <v>87.83085985312117503059975520</v>
      </c>
      <c r="F18" s="360">
        <v>55.331492607082184886226474620</v>
      </c>
      <c r="G18" s="359">
        <v>17.424242424242424242424242420</v>
      </c>
      <c r="H18" s="170">
        <v>9.262163402692778457772337820</v>
      </c>
      <c r="I18" s="360">
        <v>25.873195996598148904644541990</v>
      </c>
      <c r="J18" s="170">
        <v>0</v>
      </c>
      <c r="K18" s="170">
        <v>0</v>
      </c>
      <c r="L18" s="360">
        <v>7.159402731946816662679186700</v>
      </c>
      <c r="M18" s="359">
        <v>93.93939393939393939393939394</v>
      </c>
      <c r="N18" s="170">
        <v>97.09302325581395348837209302</v>
      </c>
      <c r="O18" s="360">
        <v>88.36409133562715045355020332</v>
      </c>
      <c r="P18" s="4"/>
      <c r="Q18" s="359">
        <v>-4.7169811320395158419366186800</v>
      </c>
      <c r="R18" s="170">
        <v>26.900449236049031466354096740</v>
      </c>
      <c r="S18" s="360">
        <v>22.957329091590720161011101240</v>
      </c>
      <c r="T18" s="359">
        <v>43.750000000143750000000143720</v>
      </c>
      <c r="U18" s="170">
        <v>0</v>
      </c>
      <c r="V18" s="360">
        <v>38.373782381617063722885315540</v>
      </c>
      <c r="W18" s="170">
        <v>0</v>
      </c>
      <c r="X18" s="170">
        <v>0</v>
      </c>
      <c r="Y18" s="360">
        <v>11.728039479801472761196980790</v>
      </c>
      <c r="Z18" s="359">
        <v>1.6393442623417360924482880100</v>
      </c>
      <c r="AA18" s="170">
        <v>40.282678428214202057351437850</v>
      </c>
      <c r="AB18" s="360">
        <v>26.042658004238101892864731910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29</v>
      </c>
      <c r="C19" s="351" t="s">
        <v>48</v>
      </c>
      <c r="D19" s="327">
        <v>78.787878787878787878787878790</v>
      </c>
      <c r="E19" s="171">
        <v>91.04460541364849409073579870</v>
      </c>
      <c r="F19" s="328">
        <v>56.099839876039360845703593070</v>
      </c>
      <c r="G19" s="327">
        <v>18.181818181818181818181818180</v>
      </c>
      <c r="H19" s="171">
        <v>6.0484178421654593976362943200</v>
      </c>
      <c r="I19" s="328">
        <v>28.087672185580945134053481320</v>
      </c>
      <c r="J19" s="171">
        <v>0</v>
      </c>
      <c r="K19" s="171">
        <v>0</v>
      </c>
      <c r="L19" s="328">
        <v>7.0542771157334631788291001500</v>
      </c>
      <c r="M19" s="327">
        <v>96.96969696969696969696969697</v>
      </c>
      <c r="N19" s="171">
        <v>97.09302325581395348837209302</v>
      </c>
      <c r="O19" s="328">
        <v>91.24178917735376915858617454</v>
      </c>
      <c r="P19" s="4"/>
      <c r="Q19" s="327">
        <v>-4.5871559633517717363858009200</v>
      </c>
      <c r="R19" s="171">
        <v>42.875242203430192955708730530</v>
      </c>
      <c r="S19" s="328">
        <v>27.730062409212217000355188240</v>
      </c>
      <c r="T19" s="327">
        <v>33.333333332977777777778725910</v>
      </c>
      <c r="U19" s="171">
        <v>0</v>
      </c>
      <c r="V19" s="328">
        <v>25.108482819442185908859691870</v>
      </c>
      <c r="W19" s="171">
        <v>0</v>
      </c>
      <c r="X19" s="171">
        <v>0</v>
      </c>
      <c r="Y19" s="328">
        <v>4.3576393370229574586886735100</v>
      </c>
      <c r="Z19" s="327">
        <v>0.7874015748253704507409063800</v>
      </c>
      <c r="AA19" s="171">
        <v>52.366954098063667312906163680</v>
      </c>
      <c r="AB19" s="328">
        <v>24.764875546201741580703805260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30</v>
      </c>
      <c r="C20" s="352" t="s">
        <v>50</v>
      </c>
      <c r="D20" s="359">
        <v>76.515151515151515151515151520</v>
      </c>
      <c r="E20" s="170">
        <v>88.80271974773354355538037052</v>
      </c>
      <c r="F20" s="360">
        <v>54.094301968981529039563151340</v>
      </c>
      <c r="G20" s="359">
        <v>18.939393939393939393939393940</v>
      </c>
      <c r="H20" s="170">
        <v>5.0926290894757587702010248300</v>
      </c>
      <c r="I20" s="360">
        <v>29.427644958036148414194848560</v>
      </c>
      <c r="J20" s="170">
        <v>0</v>
      </c>
      <c r="K20" s="170">
        <v>0</v>
      </c>
      <c r="L20" s="360">
        <v>6.9691384655378433469927038900</v>
      </c>
      <c r="M20" s="359">
        <v>95.45454545454545454545454545</v>
      </c>
      <c r="N20" s="170">
        <v>93.89534883720930232558139535</v>
      </c>
      <c r="O20" s="360">
        <v>90.49108539255552080075070378</v>
      </c>
      <c r="P20" s="4"/>
      <c r="Q20" s="359">
        <v>-4.7169811320395158419366186800</v>
      </c>
      <c r="R20" s="170">
        <v>33.363224280721957487959603290</v>
      </c>
      <c r="S20" s="360">
        <v>9.194223034537472993413783400</v>
      </c>
      <c r="T20" s="359">
        <v>38.888888888518518518519506180</v>
      </c>
      <c r="U20" s="170">
        <v>0</v>
      </c>
      <c r="V20" s="360">
        <v>102.55605171858691488397314761</v>
      </c>
      <c r="W20" s="170">
        <v>0</v>
      </c>
      <c r="X20" s="170">
        <v>0</v>
      </c>
      <c r="Y20" s="360">
        <v>6.5723025201884735766304479700</v>
      </c>
      <c r="Z20" s="359">
        <v>1.6129032257998959417273677400</v>
      </c>
      <c r="AA20" s="170">
        <v>41.011294490369094834939365480</v>
      </c>
      <c r="AB20" s="360">
        <v>28.161582479037623434323029550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t="s">
        <v>179</v>
      </c>
      <c r="B21" s="668">
        <v>1</v>
      </c>
      <c r="C21" s="669" t="s">
        <v>51</v>
      </c>
      <c r="D21" s="670">
        <v>79.54545454545454545454545455</v>
      </c>
      <c r="E21" s="671">
        <v>79.086619480957195820694304010</v>
      </c>
      <c r="F21" s="672">
        <v>55.421713648655821470073403580</v>
      </c>
      <c r="G21" s="670">
        <v>14.393939393939393939393939390</v>
      </c>
      <c r="H21" s="671">
        <v>9.285473542298618132794068080</v>
      </c>
      <c r="I21" s="672">
        <v>23.089690834792349616536114170</v>
      </c>
      <c r="J21" s="671">
        <v>0</v>
      </c>
      <c r="K21" s="671">
        <v>0</v>
      </c>
      <c r="L21" s="672">
        <v>7.402473110129140976783246300</v>
      </c>
      <c r="M21" s="670">
        <v>93.93939393939393939393939394</v>
      </c>
      <c r="N21" s="671">
        <v>88.37209302325581395348837209</v>
      </c>
      <c r="O21" s="672">
        <v>85.91387759357731206339276405</v>
      </c>
      <c r="P21" s="4"/>
      <c r="Q21" s="670">
        <v>52.173913043557655954631421390</v>
      </c>
      <c r="R21" s="671">
        <v>-6.9177147119899344182346670900</v>
      </c>
      <c r="S21" s="672">
        <v>-6.343027383753841513965360500</v>
      </c>
      <c r="T21" s="670">
        <v>-61.224489795905705955851724320</v>
      </c>
      <c r="U21" s="671">
        <v>0</v>
      </c>
      <c r="V21" s="672">
        <v>48.337916226513847333659003220</v>
      </c>
      <c r="W21" s="671">
        <v>0</v>
      </c>
      <c r="X21" s="671">
        <v>0</v>
      </c>
      <c r="Y21" s="672">
        <v>28.998526925245137038348084360</v>
      </c>
      <c r="Z21" s="670">
        <v>5.0847457627581729388107069900</v>
      </c>
      <c r="AA21" s="671">
        <v>4.0109746538088182209199671400</v>
      </c>
      <c r="AB21" s="672">
        <v>6.752853063922516898758833500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2</v>
      </c>
      <c r="C22" s="352" t="s">
        <v>52</v>
      </c>
      <c r="D22" s="359">
        <v>72.727272727272727272727272730</v>
      </c>
      <c r="E22" s="170">
        <v>85.51902048359772062220853226</v>
      </c>
      <c r="F22" s="360">
        <v>65.084777030796203292524099460</v>
      </c>
      <c r="G22" s="359">
        <v>24.242424242424242424242424240</v>
      </c>
      <c r="H22" s="170">
        <v>11.574002772216232866163560760</v>
      </c>
      <c r="I22" s="360">
        <v>21.374824817308898992455278680</v>
      </c>
      <c r="J22" s="170">
        <v>0</v>
      </c>
      <c r="K22" s="170">
        <v>0</v>
      </c>
      <c r="L22" s="360">
        <v>7.0134458007323494927288900300</v>
      </c>
      <c r="M22" s="359">
        <v>96.96969696969696969696969697</v>
      </c>
      <c r="N22" s="170">
        <v>97.09302325581395348837209302</v>
      </c>
      <c r="O22" s="360">
        <v>93.47304764883745177770826817</v>
      </c>
      <c r="P22" s="4"/>
      <c r="Q22" s="359">
        <v>88.23529411746989619377179305</v>
      </c>
      <c r="R22" s="170">
        <v>-7.1697679206208592151181121300</v>
      </c>
      <c r="S22" s="360">
        <v>-4.3469495924426234777671395400</v>
      </c>
      <c r="T22" s="359">
        <v>-57.333333333346986666666662300</v>
      </c>
      <c r="U22" s="170">
        <v>4749.5071612918786770514786312</v>
      </c>
      <c r="V22" s="360">
        <v>23.713978480494478430257603450</v>
      </c>
      <c r="W22" s="170">
        <v>0</v>
      </c>
      <c r="X22" s="170">
        <v>0</v>
      </c>
      <c r="Y22" s="360">
        <v>3.6394335904529051607346582700</v>
      </c>
      <c r="Z22" s="359">
        <v>1.5873015873499622071050872800</v>
      </c>
      <c r="AA22" s="170">
        <v>5.1213869359040741812158214900</v>
      </c>
      <c r="AB22" s="360">
        <v>1.5047898024949222668993360300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3</v>
      </c>
      <c r="C23" s="351" t="s">
        <v>53</v>
      </c>
      <c r="D23" s="327">
        <v>75.757575757575757575757575760</v>
      </c>
      <c r="E23" s="171">
        <v>88.14957200212105143549731081</v>
      </c>
      <c r="F23" s="328">
        <v>67.933844282203036923196286260</v>
      </c>
      <c r="G23" s="327">
        <v>23.484848484848484848484848480</v>
      </c>
      <c r="H23" s="171">
        <v>10.978334974623134611014317100</v>
      </c>
      <c r="I23" s="328">
        <v>20.250549766157503057391579770</v>
      </c>
      <c r="J23" s="171">
        <v>0</v>
      </c>
      <c r="K23" s="171">
        <v>0</v>
      </c>
      <c r="L23" s="328">
        <v>6.9985899991840330566345299700</v>
      </c>
      <c r="M23" s="327">
        <v>99.24242424242424242424242424</v>
      </c>
      <c r="N23" s="171">
        <v>99.12790697674418604651162791</v>
      </c>
      <c r="O23" s="328">
        <v>95.18298404754457303722239600</v>
      </c>
      <c r="P23" s="4"/>
      <c r="Q23" s="327">
        <v>96.07843137236447520184561776</v>
      </c>
      <c r="R23" s="171">
        <v>-7.1993199274390580851608743400</v>
      </c>
      <c r="S23" s="328">
        <v>1.1665911086107765816596473100</v>
      </c>
      <c r="T23" s="327">
        <v>-58.666666666679893333333329110</v>
      </c>
      <c r="U23" s="171">
        <v>4499.9223541140976725387234929</v>
      </c>
      <c r="V23" s="328">
        <v>11.224958666332641373032404970</v>
      </c>
      <c r="W23" s="171">
        <v>0</v>
      </c>
      <c r="X23" s="171">
        <v>0</v>
      </c>
      <c r="Y23" s="328">
        <v>21.484348854461645308436164870</v>
      </c>
      <c r="Z23" s="327">
        <v>3.9682539683034769463341127600</v>
      </c>
      <c r="AA23" s="171">
        <v>4.0967243690212299943920695800</v>
      </c>
      <c r="AB23" s="328">
        <v>4.4609888039548665566495622400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4</v>
      </c>
      <c r="C24" s="352" t="s">
        <v>49</v>
      </c>
      <c r="D24" s="359">
        <v>76.515151515151515151515151520</v>
      </c>
      <c r="E24" s="170">
        <v>65.697674418604651162790697670</v>
      </c>
      <c r="F24" s="360">
        <v>54.630372745427696619627655140</v>
      </c>
      <c r="G24" s="359">
        <v>21.212121212121212121212121210</v>
      </c>
      <c r="H24" s="170">
        <v>2.6162790697674418604651162800</v>
      </c>
      <c r="I24" s="360">
        <v>18.191350924508397946535806810</v>
      </c>
      <c r="J24" s="170">
        <v>0</v>
      </c>
      <c r="K24" s="170">
        <v>0</v>
      </c>
      <c r="L24" s="360">
        <v>7.8059481056868853108045288700</v>
      </c>
      <c r="M24" s="359">
        <v>97.72727272727272727272727273</v>
      </c>
      <c r="N24" s="170">
        <v>68.313953488372093023255813950</v>
      </c>
      <c r="O24" s="360">
        <v>80.62767177562297987696799082</v>
      </c>
      <c r="P24" s="4"/>
      <c r="Q24" s="359">
        <v>42.253521126704463400119046140</v>
      </c>
      <c r="R24" s="170">
        <v>-19.745406468237474369463601460</v>
      </c>
      <c r="S24" s="360">
        <v>-2.7610339571731079166450604900</v>
      </c>
      <c r="T24" s="359">
        <v>-41.666666666608333333333275010</v>
      </c>
      <c r="U24" s="170">
        <v>996.2209301722659883754090920</v>
      </c>
      <c r="V24" s="360">
        <v>3.1766299910856962556518867700</v>
      </c>
      <c r="W24" s="170">
        <v>0</v>
      </c>
      <c r="X24" s="170">
        <v>0</v>
      </c>
      <c r="Y24" s="360">
        <v>12.424374272302030043702754700</v>
      </c>
      <c r="Z24" s="359">
        <v>8.403361344556034178377236310</v>
      </c>
      <c r="AA24" s="170">
        <v>-16.792015954585760297147575230</v>
      </c>
      <c r="AB24" s="360">
        <v>-0.1590613249535624750779269100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5</v>
      </c>
      <c r="C25" s="351" t="s">
        <v>47</v>
      </c>
      <c r="D25" s="327">
        <v>64.393939393939393939393939390</v>
      </c>
      <c r="E25" s="171">
        <v>60.755813953488372093023255810</v>
      </c>
      <c r="F25" s="328">
        <v>45.532573829738610979336179670</v>
      </c>
      <c r="G25" s="327">
        <v>0</v>
      </c>
      <c r="H25" s="171">
        <v>4.9418604651162790697674418600</v>
      </c>
      <c r="I25" s="328">
        <v>16.837444311202878017834814770</v>
      </c>
      <c r="J25" s="171">
        <v>0</v>
      </c>
      <c r="K25" s="171">
        <v>0</v>
      </c>
      <c r="L25" s="328">
        <v>6.3506574924648294263510574800</v>
      </c>
      <c r="M25" s="327">
        <v>64.393939393939393939393939390</v>
      </c>
      <c r="N25" s="171">
        <v>65.697674418604651162790697670</v>
      </c>
      <c r="O25" s="328">
        <v>68.720675633406318423522051920</v>
      </c>
      <c r="P25" s="4"/>
      <c r="Q25" s="327">
        <v>-16.666666666637254901960773940</v>
      </c>
      <c r="R25" s="171">
        <v>-9.406811222363073380647435030</v>
      </c>
      <c r="S25" s="328">
        <v>-7.1269800707140811215025947500</v>
      </c>
      <c r="T25" s="327">
        <v>0</v>
      </c>
      <c r="U25" s="171">
        <v>0</v>
      </c>
      <c r="V25" s="328">
        <v>-2.9342764217110140689054386700</v>
      </c>
      <c r="W25" s="171">
        <v>0</v>
      </c>
      <c r="X25" s="171">
        <v>0</v>
      </c>
      <c r="Y25" s="328">
        <v>9.304881543958475809066861830</v>
      </c>
      <c r="Z25" s="327">
        <v>-16.666666666637254901960773940</v>
      </c>
      <c r="AA25" s="171">
        <v>-2.0379872548040889187862216100</v>
      </c>
      <c r="AB25" s="328">
        <v>-4.796821452065012499889814300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6</v>
      </c>
      <c r="C26" s="352" t="s">
        <v>48</v>
      </c>
      <c r="D26" s="359">
        <v>51.515151515151515151515151520</v>
      </c>
      <c r="E26" s="170">
        <v>54.069767441860465116279069770</v>
      </c>
      <c r="F26" s="360">
        <v>44.128863729599232217048569410</v>
      </c>
      <c r="G26" s="359">
        <v>0</v>
      </c>
      <c r="H26" s="170">
        <v>17.151162790697674418604651160</v>
      </c>
      <c r="I26" s="360">
        <v>15.235234958573719503212398130</v>
      </c>
      <c r="J26" s="170">
        <v>0</v>
      </c>
      <c r="K26" s="170">
        <v>0</v>
      </c>
      <c r="L26" s="360">
        <v>7.3964059515934959911351329700</v>
      </c>
      <c r="M26" s="359">
        <v>51.515151515151515151515151520</v>
      </c>
      <c r="N26" s="170">
        <v>71.220930232558139534883720930</v>
      </c>
      <c r="O26" s="360">
        <v>66.760504639766447711396100510</v>
      </c>
      <c r="P26" s="4"/>
      <c r="Q26" s="359">
        <v>-35.849056603749377002491980890</v>
      </c>
      <c r="R26" s="170">
        <v>-15.465550156219422388124452650</v>
      </c>
      <c r="S26" s="360">
        <v>-15.153466849451690153924618550</v>
      </c>
      <c r="T26" s="359">
        <v>-100</v>
      </c>
      <c r="U26" s="170">
        <v>0</v>
      </c>
      <c r="V26" s="360">
        <v>-21.746444429033624673654089570</v>
      </c>
      <c r="W26" s="170">
        <v>0</v>
      </c>
      <c r="X26" s="170">
        <v>0</v>
      </c>
      <c r="Y26" s="360">
        <v>18.297998196259905064356037850</v>
      </c>
      <c r="Z26" s="359">
        <v>-39.285714285725127551020406220</v>
      </c>
      <c r="AA26" s="170">
        <v>11.349140923259362983384457530</v>
      </c>
      <c r="AB26" s="360">
        <v>-14.114106238227832292526017410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7</v>
      </c>
      <c r="C27" s="351" t="s">
        <v>50</v>
      </c>
      <c r="D27" s="327">
        <v>71.969696969696969696969696970</v>
      </c>
      <c r="E27" s="171">
        <v>58.139534883720930232558139530</v>
      </c>
      <c r="F27" s="328">
        <v>48.818980811561675825111934450</v>
      </c>
      <c r="G27" s="327">
        <v>10.606060606060606060606060610</v>
      </c>
      <c r="H27" s="171">
        <v>24.418604651162790697674418600</v>
      </c>
      <c r="I27" s="328">
        <v>14.899226813686404838869668390</v>
      </c>
      <c r="J27" s="171">
        <v>0</v>
      </c>
      <c r="K27" s="171">
        <v>0</v>
      </c>
      <c r="L27" s="328">
        <v>7.0251976505312958348193563900</v>
      </c>
      <c r="M27" s="327">
        <v>82.57575757575757575757575758</v>
      </c>
      <c r="N27" s="171">
        <v>82.55813953488372093023255814</v>
      </c>
      <c r="O27" s="328">
        <v>70.743405275779376498800959230</v>
      </c>
      <c r="P27" s="4"/>
      <c r="Q27" s="327">
        <v>-4.0404040404040404040404040400</v>
      </c>
      <c r="R27" s="171">
        <v>-19.336208224201426039045595200</v>
      </c>
      <c r="S27" s="328">
        <v>-9.905746601475595587775346070</v>
      </c>
      <c r="T27" s="327">
        <v>-17.647058823606920415224840510</v>
      </c>
      <c r="U27" s="171">
        <v>1036.8217054167567614126564311</v>
      </c>
      <c r="V27" s="328">
        <v>-24.088827054326355027925042130</v>
      </c>
      <c r="W27" s="171">
        <v>0</v>
      </c>
      <c r="X27" s="171">
        <v>0</v>
      </c>
      <c r="Y27" s="328">
        <v>28.118146626324980601430496620</v>
      </c>
      <c r="Z27" s="327">
        <v>-6.0344827586336504161712229400</v>
      </c>
      <c r="AA27" s="171">
        <v>11.227847154741189486999655010</v>
      </c>
      <c r="AB27" s="328">
        <v>-10.786922436221479292556481790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8</v>
      </c>
      <c r="C28" s="352" t="s">
        <v>51</v>
      </c>
      <c r="D28" s="359">
        <v>75.00</v>
      </c>
      <c r="E28" s="170">
        <v>60.755813953488372093023255810</v>
      </c>
      <c r="F28" s="360">
        <v>58.694602607898433429052249110</v>
      </c>
      <c r="G28" s="359">
        <v>10.606060606060606060606060610</v>
      </c>
      <c r="H28" s="170">
        <v>19.186046511627906976744186050</v>
      </c>
      <c r="I28" s="360">
        <v>11.316786424782253423199056450</v>
      </c>
      <c r="J28" s="170">
        <v>0</v>
      </c>
      <c r="K28" s="170">
        <v>0</v>
      </c>
      <c r="L28" s="360">
        <v>7.7802906670377992284493513100</v>
      </c>
      <c r="M28" s="359">
        <v>85.60606060606060606060606061</v>
      </c>
      <c r="N28" s="170">
        <v>79.94186046511627906976744186</v>
      </c>
      <c r="O28" s="360">
        <v>77.791679699718486080700656870</v>
      </c>
      <c r="P28" s="4"/>
      <c r="Q28" s="359">
        <v>-1.0000000000316799999999898600</v>
      </c>
      <c r="R28" s="170">
        <v>-19.185123661905304968154341720</v>
      </c>
      <c r="S28" s="360">
        <v>-1.6750224231396102845063871300</v>
      </c>
      <c r="T28" s="359">
        <v>-12.499999999912499999999912470</v>
      </c>
      <c r="U28" s="170">
        <v>793.2170542560231696813729105</v>
      </c>
      <c r="V28" s="360">
        <v>-12.894544596529780303369486530</v>
      </c>
      <c r="W28" s="170">
        <v>0</v>
      </c>
      <c r="X28" s="170">
        <v>0</v>
      </c>
      <c r="Y28" s="360">
        <v>44.172479393039617629806445560</v>
      </c>
      <c r="Z28" s="359">
        <v>-2.5862068965651605231866806600</v>
      </c>
      <c r="AA28" s="170">
        <v>3.3816035027903923028475550800</v>
      </c>
      <c r="AB28" s="360">
        <v>-0.3731761620423793254510065500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9</v>
      </c>
      <c r="C29" s="351" t="s">
        <v>52</v>
      </c>
      <c r="D29" s="327">
        <v>68.939393939393939393939393940</v>
      </c>
      <c r="E29" s="171">
        <v>72.093023255813953488372093020</v>
      </c>
      <c r="F29" s="328">
        <v>64.551952042989916037634500740</v>
      </c>
      <c r="G29" s="327">
        <v>10.606060606060606060606060610</v>
      </c>
      <c r="H29" s="171">
        <v>2.3255813953488372093023255800</v>
      </c>
      <c r="I29" s="328">
        <v>5.7802425469734607109326626700</v>
      </c>
      <c r="J29" s="171">
        <v>0</v>
      </c>
      <c r="K29" s="171">
        <v>0</v>
      </c>
      <c r="L29" s="328">
        <v>7.553323082854890376862927300</v>
      </c>
      <c r="M29" s="327">
        <v>79.54545454545454545454545455</v>
      </c>
      <c r="N29" s="171">
        <v>74.418604651162790697674418600</v>
      </c>
      <c r="O29" s="328">
        <v>77.885517672818267125430090710</v>
      </c>
      <c r="P29" s="4"/>
      <c r="Q29" s="327">
        <v>-9.000000000029119999999990680</v>
      </c>
      <c r="R29" s="171">
        <v>-11.155950752353478413937375920</v>
      </c>
      <c r="S29" s="328">
        <v>-4.6014087689421342320544162900</v>
      </c>
      <c r="T29" s="327">
        <v>-49.999999999949999999999949980</v>
      </c>
      <c r="U29" s="171">
        <v>39.202657807985097294735130190</v>
      </c>
      <c r="V29" s="328">
        <v>-16.163280289690347996717801900</v>
      </c>
      <c r="W29" s="171">
        <v>0</v>
      </c>
      <c r="X29" s="171">
        <v>0</v>
      </c>
      <c r="Y29" s="328">
        <v>16.119211528213652699822374790</v>
      </c>
      <c r="Z29" s="327">
        <v>-17.968750000002563476562499920</v>
      </c>
      <c r="AA29" s="171">
        <v>-10.140071040766014902308712920</v>
      </c>
      <c r="AB29" s="328">
        <v>-3.9220952512079818961073919700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10</v>
      </c>
      <c r="C30" s="352" t="s">
        <v>53</v>
      </c>
      <c r="D30" s="359">
        <v>75.00</v>
      </c>
      <c r="E30" s="170">
        <v>71.220930232558139534883720930</v>
      </c>
      <c r="F30" s="360">
        <v>64.058230076381679399078763130</v>
      </c>
      <c r="G30" s="359">
        <v>10.606060606060606060606060610</v>
      </c>
      <c r="H30" s="170">
        <v>0.8720930232558139534883720900</v>
      </c>
      <c r="I30" s="360">
        <v>4.3465147860372678117841816200</v>
      </c>
      <c r="J30" s="170">
        <v>0</v>
      </c>
      <c r="K30" s="170">
        <v>0</v>
      </c>
      <c r="L30" s="360">
        <v>8.187894069913447742739390780</v>
      </c>
      <c r="M30" s="359">
        <v>85.60606060606060606060606061</v>
      </c>
      <c r="N30" s="170">
        <v>72.093023255813953488372093020</v>
      </c>
      <c r="O30" s="360">
        <v>76.592638932332394953602335520</v>
      </c>
      <c r="P30" s="4"/>
      <c r="Q30" s="359">
        <v>1.0204081632982923781757708700</v>
      </c>
      <c r="R30" s="170">
        <v>-13.502696326285562931375555540</v>
      </c>
      <c r="S30" s="360">
        <v>-1.7123993363613729025004380800</v>
      </c>
      <c r="T30" s="359">
        <v>-0.000000000371428571427191800</v>
      </c>
      <c r="U30" s="170">
        <v>21.802325574696220930601009750</v>
      </c>
      <c r="V30" s="360">
        <v>-37.734119028300964872150185170</v>
      </c>
      <c r="W30" s="170">
        <v>0</v>
      </c>
      <c r="X30" s="170">
        <v>0</v>
      </c>
      <c r="Y30" s="360">
        <v>30.166816724891238832587291200</v>
      </c>
      <c r="Z30" s="359">
        <v>0.892857142839126275510207300</v>
      </c>
      <c r="AA30" s="170">
        <v>-13.198342689087132374403536500</v>
      </c>
      <c r="AB30" s="360">
        <v>-2.3615422787729802208894120800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11</v>
      </c>
      <c r="C31" s="351" t="s">
        <v>49</v>
      </c>
      <c r="D31" s="327">
        <v>57.575757575757575757575757580</v>
      </c>
      <c r="E31" s="171">
        <v>57.267441860465116279069767440</v>
      </c>
      <c r="F31" s="328">
        <v>41.469043044180449783917320450</v>
      </c>
      <c r="G31" s="327">
        <v>0.7575757575757575757575757600</v>
      </c>
      <c r="H31" s="171">
        <v>0</v>
      </c>
      <c r="I31" s="328">
        <v>5.1793988455180480138280408400</v>
      </c>
      <c r="J31" s="171">
        <v>0</v>
      </c>
      <c r="K31" s="171">
        <v>0</v>
      </c>
      <c r="L31" s="328">
        <v>7.537774354697289919906604100</v>
      </c>
      <c r="M31" s="327">
        <v>58.333333333333333333333333330</v>
      </c>
      <c r="N31" s="171">
        <v>57.267441860465116279069767440</v>
      </c>
      <c r="O31" s="328">
        <v>54.186216244395787717651965380</v>
      </c>
      <c r="P31" s="4"/>
      <c r="Q31" s="327">
        <v>-17.391304347862003780718320860</v>
      </c>
      <c r="R31" s="171">
        <v>-20.282198871922837640659507060</v>
      </c>
      <c r="S31" s="328">
        <v>-11.562718309595615238385441230</v>
      </c>
      <c r="T31" s="327">
        <v>0</v>
      </c>
      <c r="U31" s="171">
        <v>-100</v>
      </c>
      <c r="V31" s="328">
        <v>-29.647020560631500979855597320</v>
      </c>
      <c r="W31" s="171">
        <v>0</v>
      </c>
      <c r="X31" s="171">
        <v>0</v>
      </c>
      <c r="Y31" s="328">
        <v>14.967357420013159856086420640</v>
      </c>
      <c r="Z31" s="327">
        <v>-16.304347826123345935727772460</v>
      </c>
      <c r="AA31" s="171">
        <v>-20.546165100838404648459911270</v>
      </c>
      <c r="AB31" s="328">
        <v>-10.891668908090164622788366540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12</v>
      </c>
      <c r="C32" s="352" t="s">
        <v>47</v>
      </c>
      <c r="D32" s="359">
        <v>55.303030303030303030303030300</v>
      </c>
      <c r="E32" s="170">
        <v>51.453488372093023255813953490</v>
      </c>
      <c r="F32" s="360">
        <v>42.471317495245241878968482690</v>
      </c>
      <c r="G32" s="359">
        <v>8.333333333333333333333333330</v>
      </c>
      <c r="H32" s="170">
        <v>0</v>
      </c>
      <c r="I32" s="360">
        <v>11.984258892381964348759566580</v>
      </c>
      <c r="J32" s="170">
        <v>0</v>
      </c>
      <c r="K32" s="170">
        <v>0</v>
      </c>
      <c r="L32" s="360">
        <v>7.268957029117658749855101600</v>
      </c>
      <c r="M32" s="359">
        <v>63.636363636363636363636363640</v>
      </c>
      <c r="N32" s="170">
        <v>51.453488372093023255813953490</v>
      </c>
      <c r="O32" s="360">
        <v>61.724533416744864977583150870</v>
      </c>
      <c r="P32" s="4"/>
      <c r="Q32" s="359">
        <v>-30.476190476230204081632630360</v>
      </c>
      <c r="R32" s="170">
        <v>-13.763953488345532320930224370</v>
      </c>
      <c r="S32" s="360">
        <v>-7.8522384825147394732672197800</v>
      </c>
      <c r="T32" s="359">
        <v>0</v>
      </c>
      <c r="U32" s="170">
        <v>0</v>
      </c>
      <c r="V32" s="360">
        <v>-9.300266566442021193520011680</v>
      </c>
      <c r="W32" s="170">
        <v>0</v>
      </c>
      <c r="X32" s="170">
        <v>0</v>
      </c>
      <c r="Y32" s="360">
        <v>19.245375837784633762839877730</v>
      </c>
      <c r="Z32" s="359">
        <v>-20.000000000045714285714259590</v>
      </c>
      <c r="AA32" s="170">
        <v>-13.763953488345532320930224370</v>
      </c>
      <c r="AB32" s="360">
        <v>-5.6190573550045331098813545200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13</v>
      </c>
      <c r="C33" s="351" t="s">
        <v>48</v>
      </c>
      <c r="D33" s="327">
        <v>61.363636363636363636363636360</v>
      </c>
      <c r="E33" s="171">
        <v>53.779069767441860465116279080</v>
      </c>
      <c r="F33" s="328">
        <v>46.330214860579350469080715310</v>
      </c>
      <c r="G33" s="327">
        <v>8.333333333333333333333333330</v>
      </c>
      <c r="H33" s="171">
        <v>1.4534883720930232558139534900</v>
      </c>
      <c r="I33" s="328">
        <v>14.446572699792396348645648910</v>
      </c>
      <c r="J33" s="171">
        <v>0</v>
      </c>
      <c r="K33" s="171">
        <v>0</v>
      </c>
      <c r="L33" s="328">
        <v>6.8803910445703864321954374600</v>
      </c>
      <c r="M33" s="327">
        <v>69.696969696969696969696969700</v>
      </c>
      <c r="N33" s="171">
        <v>55.232558139534883720930232560</v>
      </c>
      <c r="O33" s="328">
        <v>67.657178604942133249921801690</v>
      </c>
      <c r="P33" s="4"/>
      <c r="Q33" s="327">
        <v>-25.688073394533591448531248800</v>
      </c>
      <c r="R33" s="171">
        <v>-9.866279069739680674418596080</v>
      </c>
      <c r="S33" s="328">
        <v>-6.3217224522492248700735419200</v>
      </c>
      <c r="T33" s="327">
        <v>0</v>
      </c>
      <c r="U33" s="171">
        <v>0</v>
      </c>
      <c r="V33" s="328">
        <v>-13.566994365605652329824352200</v>
      </c>
      <c r="W33" s="171">
        <v>0</v>
      </c>
      <c r="X33" s="171">
        <v>0</v>
      </c>
      <c r="Y33" s="328">
        <v>11.670170475368806550204936240</v>
      </c>
      <c r="Z33" s="327">
        <v>-15.596330275272721151418208510</v>
      </c>
      <c r="AA33" s="171">
        <v>-7.4302325581110233953488284200</v>
      </c>
      <c r="AB33" s="328">
        <v>-6.4633529004021841278192796800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14</v>
      </c>
      <c r="C34" s="352" t="s">
        <v>50</v>
      </c>
      <c r="D34" s="359">
        <v>62.878787878787878787878787880</v>
      </c>
      <c r="E34" s="170">
        <v>60.755813953488372093023255810</v>
      </c>
      <c r="F34" s="360">
        <v>48.177356357835345998325219700</v>
      </c>
      <c r="G34" s="359">
        <v>8.333333333333333333333333330</v>
      </c>
      <c r="H34" s="170">
        <v>1.7441860465116279069767441900</v>
      </c>
      <c r="I34" s="360">
        <v>19.641106165906796471028512150</v>
      </c>
      <c r="J34" s="170">
        <v>0</v>
      </c>
      <c r="K34" s="170">
        <v>0</v>
      </c>
      <c r="L34" s="360">
        <v>7.1789308658939747238482283100</v>
      </c>
      <c r="M34" s="359">
        <v>71.212121212121212121212121210</v>
      </c>
      <c r="N34" s="170">
        <v>62.500</v>
      </c>
      <c r="O34" s="360">
        <v>74.997393389636117193201960170</v>
      </c>
      <c r="P34" s="4"/>
      <c r="Q34" s="359">
        <v>-23.853211009213433212692514200</v>
      </c>
      <c r="R34" s="170">
        <v>-6.4092424760175251437142720200</v>
      </c>
      <c r="S34" s="360">
        <v>-7.5353669267110327629870534700</v>
      </c>
      <c r="T34" s="359">
        <v>0</v>
      </c>
      <c r="U34" s="170">
        <v>0</v>
      </c>
      <c r="V34" s="360">
        <v>9.577375766273111295523648210</v>
      </c>
      <c r="W34" s="170">
        <v>0</v>
      </c>
      <c r="X34" s="170">
        <v>0</v>
      </c>
      <c r="Y34" s="360">
        <v>11.169305128507060129572938220</v>
      </c>
      <c r="Z34" s="359">
        <v>-13.761467889952562915579473920</v>
      </c>
      <c r="AA34" s="170">
        <v>-3.7224264705443440473615716900</v>
      </c>
      <c r="AB34" s="360">
        <v>-1.945763864016141129097586500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15</v>
      </c>
      <c r="C35" s="351" t="s">
        <v>51</v>
      </c>
      <c r="D35" s="327">
        <v>72.727272727272727272727272730</v>
      </c>
      <c r="E35" s="171">
        <v>70.348837209302325581395348840</v>
      </c>
      <c r="F35" s="328">
        <v>52.125601303695363755734072020</v>
      </c>
      <c r="G35" s="327">
        <v>8.333333333333333333333333330</v>
      </c>
      <c r="H35" s="171">
        <v>1.4534883720930232558139534900</v>
      </c>
      <c r="I35" s="328">
        <v>17.513306216751782795696689290</v>
      </c>
      <c r="J35" s="171">
        <v>0</v>
      </c>
      <c r="K35" s="171">
        <v>0</v>
      </c>
      <c r="L35" s="328">
        <v>7.8608318185164651678894347100</v>
      </c>
      <c r="M35" s="327">
        <v>81.06060606060606060606060606</v>
      </c>
      <c r="N35" s="171">
        <v>71.802325581395348837209302330</v>
      </c>
      <c r="O35" s="328">
        <v>77.499739338963611719320196020</v>
      </c>
      <c r="P35" s="4"/>
      <c r="Q35" s="327">
        <v>-6.7961165048507493637477611900</v>
      </c>
      <c r="R35" s="171">
        <v>-9.304114490121374663547526370</v>
      </c>
      <c r="S35" s="328">
        <v>-6.5311930171450046555337125400</v>
      </c>
      <c r="T35" s="327">
        <v>0</v>
      </c>
      <c r="U35" s="171">
        <v>0</v>
      </c>
      <c r="V35" s="328">
        <v>6.6672092473718251060830492900</v>
      </c>
      <c r="W35" s="171">
        <v>0</v>
      </c>
      <c r="X35" s="171">
        <v>0</v>
      </c>
      <c r="Y35" s="328">
        <v>30.254912600647531804066524570</v>
      </c>
      <c r="Z35" s="327">
        <v>3.8834951456351022716561411700</v>
      </c>
      <c r="AA35" s="171">
        <v>-7.4302325580990890161001612100</v>
      </c>
      <c r="AB35" s="328">
        <v>-0.9227294223823286335516883500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16</v>
      </c>
      <c r="C36" s="352" t="s">
        <v>52</v>
      </c>
      <c r="D36" s="359">
        <v>86.36363636363636363636363636</v>
      </c>
      <c r="E36" s="170">
        <v>79.65116279069767441860465116</v>
      </c>
      <c r="F36" s="360">
        <v>63.147706006453600571261060450</v>
      </c>
      <c r="G36" s="359">
        <v>0</v>
      </c>
      <c r="H36" s="170">
        <v>0</v>
      </c>
      <c r="I36" s="360">
        <v>15.605798042388915675687717910</v>
      </c>
      <c r="J36" s="170">
        <v>0</v>
      </c>
      <c r="K36" s="170">
        <v>0</v>
      </c>
      <c r="L36" s="360">
        <v>7.9006508880775129470872971300</v>
      </c>
      <c r="M36" s="359">
        <v>86.36363636363636363636363636</v>
      </c>
      <c r="N36" s="170">
        <v>79.65116279069767441860465116</v>
      </c>
      <c r="O36" s="360">
        <v>86.65415493692002919403607549</v>
      </c>
      <c r="P36" s="4"/>
      <c r="Q36" s="359">
        <v>2.7027027027138056975894825700</v>
      </c>
      <c r="R36" s="170">
        <v>-4.9178427085487805284350032800</v>
      </c>
      <c r="S36" s="360">
        <v>-5.0103212846524275495575256200</v>
      </c>
      <c r="T36" s="359">
        <v>0</v>
      </c>
      <c r="U36" s="170">
        <v>0</v>
      </c>
      <c r="V36" s="360">
        <v>31.653372332006689447088947450</v>
      </c>
      <c r="W36" s="170">
        <v>0</v>
      </c>
      <c r="X36" s="170">
        <v>0</v>
      </c>
      <c r="Y36" s="360">
        <v>24.766629001841445389688639980</v>
      </c>
      <c r="Z36" s="359">
        <v>2.7027027027138056975894825700</v>
      </c>
      <c r="AA36" s="170">
        <v>-4.9178427085487805284350032800</v>
      </c>
      <c r="AB36" s="360">
        <v>2.3500018689074435389265039800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17</v>
      </c>
      <c r="C37" s="353" t="s">
        <v>53</v>
      </c>
      <c r="D37" s="329">
        <v>96.21212121212121212121212121</v>
      </c>
      <c r="E37" s="330">
        <v>89.82558139534883720930232558</v>
      </c>
      <c r="F37" s="332">
        <v>68.305863545096678090189979690</v>
      </c>
      <c r="G37" s="329">
        <v>0</v>
      </c>
      <c r="H37" s="330">
        <v>0.290697674418604651162790700</v>
      </c>
      <c r="I37" s="332">
        <v>10.808391743576419123907984840</v>
      </c>
      <c r="J37" s="330">
        <v>0</v>
      </c>
      <c r="K37" s="330">
        <v>0</v>
      </c>
      <c r="L37" s="332">
        <v>7.998663072290305976393120860</v>
      </c>
      <c r="M37" s="329">
        <v>96.21212121212121212121212121</v>
      </c>
      <c r="N37" s="330">
        <v>90.11627906976744186046511628</v>
      </c>
      <c r="O37" s="332">
        <v>87.11291836096340319049108539</v>
      </c>
      <c r="P37" s="4"/>
      <c r="Q37" s="329">
        <v>16.513761467830047975759646950</v>
      </c>
      <c r="R37" s="330">
        <v>9.409647106523404545452762780</v>
      </c>
      <c r="S37" s="332">
        <v>3.1328146728456585143150346100</v>
      </c>
      <c r="T37" s="329">
        <v>0</v>
      </c>
      <c r="U37" s="330">
        <v>0</v>
      </c>
      <c r="V37" s="332">
        <v>20.608123400295086539647640490</v>
      </c>
      <c r="W37" s="330">
        <v>0</v>
      </c>
      <c r="X37" s="330">
        <v>0</v>
      </c>
      <c r="Y37" s="332">
        <v>22.042644355157486244203142800</v>
      </c>
      <c r="Z37" s="329">
        <v>16.513761467830047975759646950</v>
      </c>
      <c r="AA37" s="330">
        <v>9.763723634376231097379794380</v>
      </c>
      <c r="AB37" s="332">
        <v>6.5646565150914162108366702700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76.136363636363636363636363640</v>
      </c>
      <c r="E39" s="355">
        <v>71.943551047336302160646544610</v>
      </c>
      <c r="F39" s="356">
        <v>52.428836331285002483494349060</v>
      </c>
      <c r="G39" s="354">
        <v>6.4393939393939393939393939400</v>
      </c>
      <c r="H39" s="355">
        <v>2.3297047666171862114464786400</v>
      </c>
      <c r="I39" s="356">
        <v>11.038100340339805694069869350</v>
      </c>
      <c r="J39" s="355">
        <v>0</v>
      </c>
      <c r="K39" s="355">
        <v>0</v>
      </c>
      <c r="L39" s="356">
        <v>7.4354718363514195359171703900</v>
      </c>
      <c r="M39" s="354">
        <v>82.57575757575757575757575758</v>
      </c>
      <c r="N39" s="355">
        <v>74.273255813953488372093023260</v>
      </c>
      <c r="O39" s="356">
        <v>70.902408507976227713481388800</v>
      </c>
      <c r="P39" s="4"/>
      <c r="Q39" s="354">
        <v>2.2900763359028494842957930700</v>
      </c>
      <c r="R39" s="355">
        <v>-6.1654540425304249653744555400</v>
      </c>
      <c r="S39" s="356">
        <v>2.2991798976843617926349610300</v>
      </c>
      <c r="T39" s="354">
        <v>-34.615384615485207100591561210</v>
      </c>
      <c r="U39" s="355">
        <v>160.30567926419040958842856384</v>
      </c>
      <c r="V39" s="356">
        <v>-10.766478839980563368701203690</v>
      </c>
      <c r="W39" s="355">
        <v>0</v>
      </c>
      <c r="X39" s="355">
        <v>0</v>
      </c>
      <c r="Y39" s="356">
        <v>9.900326316204729971538139960</v>
      </c>
      <c r="Z39" s="354">
        <v>-2.022471910108836763034970200</v>
      </c>
      <c r="AA39" s="355">
        <v>-4.2446332736612034154396404500</v>
      </c>
      <c r="AB39" s="356">
        <v>0.7336106047976356141864308500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70.643939393939393939393939390</v>
      </c>
      <c r="E40" s="171">
        <v>68.033296358629130966952264380</v>
      </c>
      <c r="F40" s="328">
        <v>48.855578909827461509547121670</v>
      </c>
      <c r="G40" s="327">
        <v>6.4393939393939393939393939400</v>
      </c>
      <c r="H40" s="171">
        <v>4.2050757343941248470012239900</v>
      </c>
      <c r="I40" s="328">
        <v>15.361727216484204568067144950</v>
      </c>
      <c r="J40" s="171">
        <v>0</v>
      </c>
      <c r="K40" s="171">
        <v>0</v>
      </c>
      <c r="L40" s="328">
        <v>6.7919734065837567145867551800</v>
      </c>
      <c r="M40" s="327">
        <v>77.083333333333333333333333330</v>
      </c>
      <c r="N40" s="171">
        <v>72.238372093023255813953488370</v>
      </c>
      <c r="O40" s="328">
        <v>71.009279532895422792201021790</v>
      </c>
      <c r="P40" s="4"/>
      <c r="Q40" s="327">
        <v>-14.645308924535127690881736860</v>
      </c>
      <c r="R40" s="171">
        <v>3.2824317907814882670329121500</v>
      </c>
      <c r="S40" s="328">
        <v>3.6102433257414049216260293300</v>
      </c>
      <c r="T40" s="327">
        <v>112.50000000021250000000021252</v>
      </c>
      <c r="U40" s="171">
        <v>270.93194373279951661291604762</v>
      </c>
      <c r="V40" s="328">
        <v>-12.248588198502015896214870730</v>
      </c>
      <c r="W40" s="171">
        <v>0</v>
      </c>
      <c r="X40" s="171">
        <v>0</v>
      </c>
      <c r="Y40" s="328">
        <v>8.004123628656721423554773470</v>
      </c>
      <c r="Z40" s="327">
        <v>-10.154525386361066035115393700</v>
      </c>
      <c r="AA40" s="171">
        <v>7.8107850649051053331744281700</v>
      </c>
      <c r="AB40" s="328">
        <v>0.0866308637034089034623005300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70.265151515151515151515151520</v>
      </c>
      <c r="E41" s="170">
        <v>67.601267632481890964544414800</v>
      </c>
      <c r="F41" s="360">
        <v>49.569231799814033885067126500</v>
      </c>
      <c r="G41" s="359">
        <v>6.6287878787878787878787878800</v>
      </c>
      <c r="H41" s="170">
        <v>6.8173370186808997331300038100</v>
      </c>
      <c r="I41" s="360">
        <v>17.583075176895681345633806490</v>
      </c>
      <c r="J41" s="170">
        <v>0</v>
      </c>
      <c r="K41" s="170">
        <v>0</v>
      </c>
      <c r="L41" s="360">
        <v>7.0917760177642707978675165900</v>
      </c>
      <c r="M41" s="359">
        <v>76.893939393939393939393939390</v>
      </c>
      <c r="N41" s="170">
        <v>74.418604651162790697674418600</v>
      </c>
      <c r="O41" s="360">
        <v>74.244082994473986028568449590</v>
      </c>
      <c r="P41" s="4"/>
      <c r="Q41" s="359">
        <v>-16.629213483143069814417371430</v>
      </c>
      <c r="R41" s="170">
        <v>5.297141776937634519379583300</v>
      </c>
      <c r="S41" s="360">
        <v>2.3175537393868365010382236500</v>
      </c>
      <c r="T41" s="359">
        <v>45.833333331875000000014583360</v>
      </c>
      <c r="U41" s="170">
        <v>268.57602719819567395293853947</v>
      </c>
      <c r="V41" s="360">
        <v>-15.526025994059364857902862060</v>
      </c>
      <c r="W41" s="170">
        <v>0</v>
      </c>
      <c r="X41" s="170">
        <v>0</v>
      </c>
      <c r="Y41" s="360">
        <v>9.235024102079892651005175900</v>
      </c>
      <c r="Z41" s="359">
        <v>-13.432835820936867899309403290</v>
      </c>
      <c r="AA41" s="170">
        <v>12.669901892889437669234409480</v>
      </c>
      <c r="AB41" s="360">
        <v>-1.9924873556043832374305649400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75.568181818181818181818181820</v>
      </c>
      <c r="E42" s="171">
        <v>71.037889239258967284193929840</v>
      </c>
      <c r="F42" s="328">
        <v>50.872270362417921438704013510</v>
      </c>
      <c r="G42" s="327">
        <v>9.659090909090909090909090910</v>
      </c>
      <c r="H42" s="171">
        <v>7.8138549467875443437130469100</v>
      </c>
      <c r="I42" s="328">
        <v>20.493436959132236314383847280</v>
      </c>
      <c r="J42" s="171">
        <v>0</v>
      </c>
      <c r="K42" s="171">
        <v>0</v>
      </c>
      <c r="L42" s="328">
        <v>6.7882912187480384725403323100</v>
      </c>
      <c r="M42" s="327">
        <v>85.22727272727272727272727273</v>
      </c>
      <c r="N42" s="171">
        <v>78.851744186046511627906976740</v>
      </c>
      <c r="O42" s="328">
        <v>78.153998540298196225628193100</v>
      </c>
      <c r="P42" s="4"/>
      <c r="Q42" s="327">
        <v>-6.5573770491663224171689616900</v>
      </c>
      <c r="R42" s="171">
        <v>1.4135454557015050871456350500</v>
      </c>
      <c r="S42" s="328">
        <v>-1.5048394547430321262066962200</v>
      </c>
      <c r="T42" s="327">
        <v>45.714285714019265306122936210</v>
      </c>
      <c r="U42" s="171">
        <v>423.84083564772358886917710421</v>
      </c>
      <c r="V42" s="328">
        <v>13.435936205175701819280271610</v>
      </c>
      <c r="W42" s="171">
        <v>0</v>
      </c>
      <c r="X42" s="171">
        <v>0</v>
      </c>
      <c r="Y42" s="328">
        <v>6.9129770713119043474172004600</v>
      </c>
      <c r="Z42" s="327">
        <v>-2.5974025974025974025974025900</v>
      </c>
      <c r="AA42" s="171">
        <v>10.221453924844423011864293450</v>
      </c>
      <c r="AB42" s="328">
        <v>2.7463838002722077009006440700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77.840909090909090909090909090</v>
      </c>
      <c r="E43" s="170">
        <v>73.986771149309066397034041120</v>
      </c>
      <c r="F43" s="360">
        <v>55.872554640460024221658641720</v>
      </c>
      <c r="G43" s="359">
        <v>8.712121212121212121212121210</v>
      </c>
      <c r="H43" s="170">
        <v>7.6266009437141894169194472500</v>
      </c>
      <c r="I43" s="360">
        <v>16.334005232904287480447605040</v>
      </c>
      <c r="J43" s="170">
        <v>0</v>
      </c>
      <c r="K43" s="170">
        <v>0</v>
      </c>
      <c r="L43" s="360">
        <v>7.5765701443606387722968394600</v>
      </c>
      <c r="M43" s="359">
        <v>86.55303030303030303030303030</v>
      </c>
      <c r="N43" s="170">
        <v>81.61337209302325581395348837</v>
      </c>
      <c r="O43" s="360">
        <v>79.78313001772495047440308623</v>
      </c>
      <c r="P43" s="4"/>
      <c r="Q43" s="359">
        <v>2.4937655859940174501402517600</v>
      </c>
      <c r="R43" s="170">
        <v>-7.8738273058745550306417457900</v>
      </c>
      <c r="S43" s="360">
        <v>-0.2970724382697896178336808700</v>
      </c>
      <c r="T43" s="359">
        <v>-30.303030303030303030303030320</v>
      </c>
      <c r="U43" s="170">
        <v>432.59096591060766027588207992</v>
      </c>
      <c r="V43" s="360">
        <v>-14.403907517333324630855680560</v>
      </c>
      <c r="W43" s="170">
        <v>0</v>
      </c>
      <c r="X43" s="170">
        <v>0</v>
      </c>
      <c r="Y43" s="360">
        <v>29.276591534978638708109044270</v>
      </c>
      <c r="Z43" s="359">
        <v>-2.1413276231598659262961336700</v>
      </c>
      <c r="AA43" s="170">
        <v>-0.1576557461092716614605412900</v>
      </c>
      <c r="AB43" s="360">
        <v>-1.4809362045454760758341504400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77.272727272727272727272727270</v>
      </c>
      <c r="E44" s="171">
        <v>82.57161558601570922531957493</v>
      </c>
      <c r="F44" s="328">
        <v>64.702366545537703913727549630</v>
      </c>
      <c r="G44" s="327">
        <v>9.280303030303030303030303030</v>
      </c>
      <c r="H44" s="171">
        <v>3.6929192977052210072385646100</v>
      </c>
      <c r="I44" s="328">
        <v>13.764989793621224998906448340</v>
      </c>
      <c r="J44" s="171">
        <v>0</v>
      </c>
      <c r="K44" s="171">
        <v>0</v>
      </c>
      <c r="L44" s="328">
        <v>7.4100287093240238555862084800</v>
      </c>
      <c r="M44" s="327">
        <v>86.55303030303030303030303030</v>
      </c>
      <c r="N44" s="171">
        <v>86.26453488372093023255813953</v>
      </c>
      <c r="O44" s="328">
        <v>85.87738504848295276822020644</v>
      </c>
      <c r="P44" s="4"/>
      <c r="Q44" s="327">
        <v>6.2499999999601562500000149400</v>
      </c>
      <c r="R44" s="171">
        <v>-5.3419783022663459341467710900</v>
      </c>
      <c r="S44" s="328">
        <v>-2.6464786926317986006300664700</v>
      </c>
      <c r="T44" s="327">
        <v>-52.884615384687869822485095590</v>
      </c>
      <c r="U44" s="171">
        <v>673.66659282669213841101121818</v>
      </c>
      <c r="V44" s="328">
        <v>2.3676888165167430553047920200</v>
      </c>
      <c r="W44" s="171">
        <v>0</v>
      </c>
      <c r="X44" s="171">
        <v>0</v>
      </c>
      <c r="Y44" s="328">
        <v>11.034879009094388172959356190</v>
      </c>
      <c r="Z44" s="327">
        <v>-6.3524590163504568664337346400</v>
      </c>
      <c r="AA44" s="171">
        <v>-1.646693561116216931037554300</v>
      </c>
      <c r="AB44" s="328">
        <v>-0.8132047226440583962723372200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83.14393939393939393939393939</v>
      </c>
      <c r="E45" s="365">
        <v>85.91820695401863495189758352</v>
      </c>
      <c r="F45" s="366">
        <v>67.352419385128756547923464020</v>
      </c>
      <c r="G45" s="364">
        <v>9.090909090909090909090909090</v>
      </c>
      <c r="H45" s="365">
        <v>3.6893511855162487690326490400</v>
      </c>
      <c r="I45" s="366">
        <v>12.123760745759276672900009930</v>
      </c>
      <c r="J45" s="365">
        <v>0</v>
      </c>
      <c r="K45" s="365">
        <v>0</v>
      </c>
      <c r="L45" s="366">
        <v>7.6628043337141980376480097400</v>
      </c>
      <c r="M45" s="364">
        <v>92.23484848484848484848484848</v>
      </c>
      <c r="N45" s="365">
        <v>89.60755813953488372093023256</v>
      </c>
      <c r="O45" s="366">
        <v>87.13898446460223125847148368</v>
      </c>
      <c r="P45" s="4"/>
      <c r="Q45" s="364">
        <v>15.526315789468819944598338150</v>
      </c>
      <c r="R45" s="365">
        <v>-3.1614560491408977162983986200</v>
      </c>
      <c r="S45" s="366">
        <v>0.367814666609454091993311900</v>
      </c>
      <c r="T45" s="364">
        <v>-46.666666666808888888888509630</v>
      </c>
      <c r="U45" s="365">
        <v>1445.8381466462871361591341553</v>
      </c>
      <c r="V45" s="366">
        <v>17.836381759143938985393271110</v>
      </c>
      <c r="W45" s="365">
        <v>0</v>
      </c>
      <c r="X45" s="365">
        <v>0</v>
      </c>
      <c r="Y45" s="366">
        <v>19.240959310915070291573106640</v>
      </c>
      <c r="Z45" s="364">
        <v>3.6170212765393064735174594400</v>
      </c>
      <c r="AA45" s="365">
        <v>0.72586682885999151993991400</v>
      </c>
      <c r="AB45" s="366">
        <v>3.9589701264539622535917346300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70.346320346320346320346320350</v>
      </c>
      <c r="E47" s="355">
        <v>66.154485049833887043189368770</v>
      </c>
      <c r="F47" s="356">
        <v>51.718157516155147221068121480</v>
      </c>
      <c r="G47" s="354">
        <v>4.8701298701298701298701298700</v>
      </c>
      <c r="H47" s="355">
        <v>0.7059800664451827242524916900</v>
      </c>
      <c r="I47" s="356">
        <v>13.596976086616617539650594360</v>
      </c>
      <c r="J47" s="355">
        <v>0</v>
      </c>
      <c r="K47" s="355">
        <v>0</v>
      </c>
      <c r="L47" s="356">
        <v>7.518028439023370559596460600</v>
      </c>
      <c r="M47" s="354">
        <v>75.216450216450216450216450220</v>
      </c>
      <c r="N47" s="355">
        <v>66.860465116279069767441860470</v>
      </c>
      <c r="O47" s="356">
        <v>72.833162041795135320315176430</v>
      </c>
      <c r="P47" s="4"/>
      <c r="Q47" s="354">
        <v>-11.924119241159472976843577250</v>
      </c>
      <c r="R47" s="355">
        <v>-7.2952199469205438997631262500</v>
      </c>
      <c r="S47" s="356">
        <v>-5.480644105644608492573194300</v>
      </c>
      <c r="T47" s="354">
        <v>0</v>
      </c>
      <c r="U47" s="355">
        <v>1970.6395347698357558202171602</v>
      </c>
      <c r="V47" s="356">
        <v>2.9542957732433801933362642800</v>
      </c>
      <c r="W47" s="355">
        <v>0</v>
      </c>
      <c r="X47" s="355">
        <v>0</v>
      </c>
      <c r="Y47" s="356">
        <v>19.083884087330711027735817800</v>
      </c>
      <c r="Z47" s="354">
        <v>-5.8265582655474364906250556800</v>
      </c>
      <c r="AA47" s="355">
        <v>-6.3506474756575051648135546400</v>
      </c>
      <c r="AB47" s="356">
        <v>-1.8910619516929490103826109400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75.838744588744588744588744590</v>
      </c>
      <c r="E48" s="171">
        <v>74.441799709578528850084050460</v>
      </c>
      <c r="F48" s="328">
        <v>55.664751139210129142874609440</v>
      </c>
      <c r="G48" s="327">
        <v>8.035714285714285714285714290</v>
      </c>
      <c r="H48" s="171">
        <v>5.1678348419164877612116306100</v>
      </c>
      <c r="I48" s="328">
        <v>15.242727923590959582058390200</v>
      </c>
      <c r="J48" s="171">
        <v>0</v>
      </c>
      <c r="K48" s="171">
        <v>0</v>
      </c>
      <c r="L48" s="328">
        <v>7.2509879524066208837775474500</v>
      </c>
      <c r="M48" s="327">
        <v>83.87445887445887445887445887</v>
      </c>
      <c r="N48" s="171">
        <v>79.60963455149501661129568106</v>
      </c>
      <c r="O48" s="328">
        <v>78.158467015207709608710547090</v>
      </c>
      <c r="P48" s="4"/>
      <c r="Q48" s="327">
        <v>-2.2322985698753476439315056100</v>
      </c>
      <c r="R48" s="171">
        <v>-2.244101836541730358782647700</v>
      </c>
      <c r="S48" s="328">
        <v>0.3987788360302415255545334100</v>
      </c>
      <c r="T48" s="327">
        <v>-23.255813953640670632774170410</v>
      </c>
      <c r="U48" s="171">
        <v>381.18284416549409419319654445</v>
      </c>
      <c r="V48" s="328">
        <v>-4.3697644952555795352205414100</v>
      </c>
      <c r="W48" s="171">
        <v>0</v>
      </c>
      <c r="X48" s="171">
        <v>0</v>
      </c>
      <c r="Y48" s="328">
        <v>13.153927263848770961590390750</v>
      </c>
      <c r="Z48" s="327">
        <v>-4.732636754735730672740156900</v>
      </c>
      <c r="AA48" s="171">
        <v>3.088325889356156307403936800</v>
      </c>
      <c r="AB48" s="328">
        <v>0.4724250353645159886875358500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70.811051693404634581105169340</v>
      </c>
      <c r="E49" s="365">
        <v>68.151127379708709464803291820</v>
      </c>
      <c r="F49" s="366">
        <v>54.757824318725784514127087720</v>
      </c>
      <c r="G49" s="364">
        <v>9.402852049910873440285204990</v>
      </c>
      <c r="H49" s="365">
        <v>6.3700764506606475803403470200</v>
      </c>
      <c r="I49" s="366">
        <v>14.500041105314085688017983650</v>
      </c>
      <c r="J49" s="365">
        <v>0</v>
      </c>
      <c r="K49" s="365">
        <v>0</v>
      </c>
      <c r="L49" s="366">
        <v>7.4200250001936330208519785600</v>
      </c>
      <c r="M49" s="364">
        <v>80.21390374331550802139037433</v>
      </c>
      <c r="N49" s="365">
        <v>74.521203830369357045143638850</v>
      </c>
      <c r="O49" s="366">
        <v>76.677890424233503222997049930</v>
      </c>
      <c r="P49" s="4"/>
      <c r="Q49" s="364">
        <v>0.4424778761102581027712206400</v>
      </c>
      <c r="R49" s="365">
        <v>-9.466527354456251762081485690</v>
      </c>
      <c r="S49" s="366">
        <v>-3.4989526492403528639338433800</v>
      </c>
      <c r="T49" s="364">
        <v>-39.017341040622463162818250880</v>
      </c>
      <c r="U49" s="365">
        <v>1317.9392048612568660690149918</v>
      </c>
      <c r="V49" s="366">
        <v>-1.4018927843474424261600404200</v>
      </c>
      <c r="W49" s="365">
        <v>0</v>
      </c>
      <c r="X49" s="365">
        <v>0</v>
      </c>
      <c r="Y49" s="366">
        <v>19.990823289188850594453553640</v>
      </c>
      <c r="Z49" s="364">
        <v>-6.6390041494184630085569973100</v>
      </c>
      <c r="AA49" s="365">
        <v>-1.5916694690458736697138670700</v>
      </c>
      <c r="AB49" s="366">
        <v>-1.2306404756621284975052005900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4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178</v>
      </c>
      <c r="B4" s="442"/>
      <c r="C4" s="211"/>
      <c r="D4" s="212"/>
      <c r="E4" s="212"/>
      <c r="F4" s="212"/>
      <c r="G4" s="212"/>
      <c r="H4" s="212"/>
      <c r="I4" s="212"/>
      <c r="J4" s="212"/>
      <c r="K4" s="212"/>
      <c r="L4" s="212"/>
      <c r="M4" s="212"/>
      <c r="N4" s="212"/>
      <c r="O4" s="212"/>
      <c r="P4" s="212"/>
      <c r="Q4" s="212"/>
      <c r="R4" s="677" t="s">
        <v>180</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8" t="s">
        <v>21</v>
      </c>
      <c r="E8" s="678"/>
      <c r="F8" s="678"/>
      <c r="G8" s="678" t="s">
        <v>24</v>
      </c>
      <c r="H8" s="678"/>
      <c r="I8" s="678"/>
      <c r="J8" s="678" t="s">
        <v>25</v>
      </c>
      <c r="K8" s="678"/>
      <c r="L8" s="678"/>
      <c r="M8" s="678" t="s">
        <v>23</v>
      </c>
      <c r="N8" s="678"/>
      <c r="O8" s="678"/>
      <c r="Q8" s="678" t="s">
        <v>21</v>
      </c>
      <c r="R8" s="678"/>
      <c r="S8" s="678"/>
      <c r="T8" s="678" t="s">
        <v>24</v>
      </c>
      <c r="U8" s="678"/>
      <c r="V8" s="678"/>
      <c r="W8" s="678" t="s">
        <v>25</v>
      </c>
      <c r="X8" s="678"/>
      <c r="Y8" s="678"/>
      <c r="Z8" s="678" t="s">
        <v>23</v>
      </c>
      <c r="AA8" s="678"/>
      <c r="AB8" s="678"/>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182</v>
      </c>
      <c r="B10" s="342">
        <v>20</v>
      </c>
      <c r="C10" s="343" t="s">
        <v>49</v>
      </c>
      <c r="D10" s="374">
        <v>210.82786885245901639344262295</v>
      </c>
      <c r="E10" s="382">
        <v>298.55395683453237410071942446</v>
      </c>
      <c r="F10" s="375">
        <v>230.29440145277504041737557831</v>
      </c>
      <c r="G10" s="374">
        <v>0</v>
      </c>
      <c r="H10" s="382">
        <v>359</v>
      </c>
      <c r="I10" s="375">
        <v>235.71507041552473712168982871</v>
      </c>
      <c r="J10" s="374">
        <v>0</v>
      </c>
      <c r="K10" s="382">
        <v>0</v>
      </c>
      <c r="L10" s="375">
        <v>184.82804213647536062516092198</v>
      </c>
      <c r="M10" s="374">
        <v>210.82786885245901639344262295</v>
      </c>
      <c r="N10" s="382">
        <v>298.770609318996415770609319</v>
      </c>
      <c r="O10" s="375">
        <v>225.54284361685340066277418337</v>
      </c>
      <c r="P10" s="4"/>
      <c r="Q10" s="354">
        <v>-6.0322343598409603525779938700</v>
      </c>
      <c r="R10" s="355">
        <v>11.938276117127352767041012680</v>
      </c>
      <c r="S10" s="356">
        <v>8.487405719641491278822378670</v>
      </c>
      <c r="T10" s="354">
        <v>0</v>
      </c>
      <c r="U10" s="355">
        <v>107.88324046130911243592576280</v>
      </c>
      <c r="V10" s="356">
        <v>-29.489684434253091924939133810</v>
      </c>
      <c r="W10" s="354">
        <v>0</v>
      </c>
      <c r="X10" s="355">
        <v>0</v>
      </c>
      <c r="Y10" s="356">
        <v>17.449248123382309029284789090</v>
      </c>
      <c r="Z10" s="354">
        <v>-6.0322343598409603525779938700</v>
      </c>
      <c r="AA10" s="355">
        <v>13.751352045518489243732837720</v>
      </c>
      <c r="AB10" s="356">
        <v>-1.6548782695141535982139488800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21</v>
      </c>
      <c r="C11" s="345" t="s">
        <v>47</v>
      </c>
      <c r="D11" s="370">
        <v>197.21929824561403508771929825</v>
      </c>
      <c r="E11" s="172">
        <v>282.51612903225806451612903226</v>
      </c>
      <c r="F11" s="371">
        <v>207.16036755207814988021031319</v>
      </c>
      <c r="G11" s="370">
        <v>0</v>
      </c>
      <c r="H11" s="172">
        <v>374.55555555555555555555555556</v>
      </c>
      <c r="I11" s="371">
        <v>242.90249001178916438350432359</v>
      </c>
      <c r="J11" s="370">
        <v>0</v>
      </c>
      <c r="K11" s="172">
        <v>0</v>
      </c>
      <c r="L11" s="371">
        <v>165.96895703582913531131175104</v>
      </c>
      <c r="M11" s="370">
        <v>197.21929824561403508771929825</v>
      </c>
      <c r="N11" s="172">
        <v>285.73929961089494163424124515</v>
      </c>
      <c r="O11" s="371">
        <v>206.82560741687979539641943734</v>
      </c>
      <c r="P11" s="4"/>
      <c r="Q11" s="327">
        <v>-14.053584794916632380076293960</v>
      </c>
      <c r="R11" s="171">
        <v>10.314063095356164949591453980</v>
      </c>
      <c r="S11" s="328">
        <v>-6.1717247586895627977063867700</v>
      </c>
      <c r="T11" s="327">
        <v>0</v>
      </c>
      <c r="U11" s="171">
        <v>51.448789287895005807809598380</v>
      </c>
      <c r="V11" s="328">
        <v>-19.362576118977623870840600350</v>
      </c>
      <c r="W11" s="327">
        <v>0</v>
      </c>
      <c r="X11" s="171">
        <v>0</v>
      </c>
      <c r="Y11" s="328">
        <v>10.663871875771679785356962170</v>
      </c>
      <c r="Z11" s="327">
        <v>-14.053584794916632380076293960</v>
      </c>
      <c r="AA11" s="171">
        <v>11.813968095536702766459179640</v>
      </c>
      <c r="AB11" s="328">
        <v>-12.499886591310302047858731200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22</v>
      </c>
      <c r="C12" s="347" t="s">
        <v>48</v>
      </c>
      <c r="D12" s="378">
        <v>204.38983050847457627118644068</v>
      </c>
      <c r="E12" s="173">
        <v>293.40650406504065040650406504</v>
      </c>
      <c r="F12" s="379">
        <v>216.41248519941900183114020984</v>
      </c>
      <c r="G12" s="378">
        <v>0</v>
      </c>
      <c r="H12" s="173">
        <v>401.22222222222222222222222222</v>
      </c>
      <c r="I12" s="379">
        <v>242.80967851047337665374965598</v>
      </c>
      <c r="J12" s="378">
        <v>0</v>
      </c>
      <c r="K12" s="173">
        <v>0</v>
      </c>
      <c r="L12" s="379">
        <v>134.1076968645637056441112294</v>
      </c>
      <c r="M12" s="378">
        <v>204.38983050847457627118644068</v>
      </c>
      <c r="N12" s="173">
        <v>297.21176470588235294117647058</v>
      </c>
      <c r="O12" s="379">
        <v>212.94239766081871345029239766</v>
      </c>
      <c r="P12" s="4"/>
      <c r="Q12" s="359">
        <v>-2.8550181022758797849849739900</v>
      </c>
      <c r="R12" s="170">
        <v>22.239756761140669013087051440</v>
      </c>
      <c r="S12" s="360">
        <v>-6.5511130432656449532038116900</v>
      </c>
      <c r="T12" s="359">
        <v>0</v>
      </c>
      <c r="U12" s="170">
        <v>2.9109510231763458205989683200</v>
      </c>
      <c r="V12" s="360">
        <v>-15.337211138261572335075907210</v>
      </c>
      <c r="W12" s="359">
        <v>0</v>
      </c>
      <c r="X12" s="170">
        <v>0</v>
      </c>
      <c r="Y12" s="360">
        <v>-14.733139034408796030575707750</v>
      </c>
      <c r="Z12" s="359">
        <v>-2.8550181022758797849849739900</v>
      </c>
      <c r="AA12" s="170">
        <v>16.804754193014690320130255930</v>
      </c>
      <c r="AB12" s="360">
        <v>-12.113195853476655229613401600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23</v>
      </c>
      <c r="C13" s="345" t="s">
        <v>50</v>
      </c>
      <c r="D13" s="370">
        <v>198.14166666666666666666666667</v>
      </c>
      <c r="E13" s="172">
        <v>311.35741444866920152091254753</v>
      </c>
      <c r="F13" s="371">
        <v>216.40137490781246915300080794</v>
      </c>
      <c r="G13" s="370">
        <v>299</v>
      </c>
      <c r="H13" s="172">
        <v>0</v>
      </c>
      <c r="I13" s="371">
        <v>243.50544133157614452598643935</v>
      </c>
      <c r="J13" s="370">
        <v>0</v>
      </c>
      <c r="K13" s="172">
        <v>0</v>
      </c>
      <c r="L13" s="371">
        <v>156.07276291003669266792444957</v>
      </c>
      <c r="M13" s="370">
        <v>198.97520661157024793388429752</v>
      </c>
      <c r="N13" s="172">
        <v>311.35741444866920152091254752</v>
      </c>
      <c r="O13" s="371">
        <v>218.06756756756756756756756757</v>
      </c>
      <c r="P13" s="4"/>
      <c r="Q13" s="327">
        <v>-5.4116499795836010171382246800</v>
      </c>
      <c r="R13" s="171">
        <v>35.202157715922099643611670430</v>
      </c>
      <c r="S13" s="328">
        <v>-12.493312185461344149011817660</v>
      </c>
      <c r="T13" s="327">
        <v>0</v>
      </c>
      <c r="U13" s="171">
        <v>-100</v>
      </c>
      <c r="V13" s="328">
        <v>-7.939951118890952673507026690</v>
      </c>
      <c r="W13" s="327">
        <v>0</v>
      </c>
      <c r="X13" s="171">
        <v>0</v>
      </c>
      <c r="Y13" s="328">
        <v>3.187344878002706944838319900</v>
      </c>
      <c r="Z13" s="327">
        <v>-5.0137368632213759496848255300</v>
      </c>
      <c r="AA13" s="171">
        <v>32.053660760703935614205781480</v>
      </c>
      <c r="AB13" s="328">
        <v>-10.343820197683318730464838590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24</v>
      </c>
      <c r="C14" s="347" t="s">
        <v>51</v>
      </c>
      <c r="D14" s="378">
        <v>213.69369369369369369369369369</v>
      </c>
      <c r="E14" s="173">
        <v>340.10169491525423728813559322</v>
      </c>
      <c r="F14" s="379">
        <v>215.93643006830706096011979085</v>
      </c>
      <c r="G14" s="378">
        <v>299</v>
      </c>
      <c r="H14" s="173">
        <v>449</v>
      </c>
      <c r="I14" s="379">
        <v>261.52366276858865100035002517</v>
      </c>
      <c r="J14" s="378">
        <v>0</v>
      </c>
      <c r="K14" s="173">
        <v>0</v>
      </c>
      <c r="L14" s="379">
        <v>162.23382043790618658402995891</v>
      </c>
      <c r="M14" s="378">
        <v>215.20353982300884955752212389</v>
      </c>
      <c r="N14" s="173">
        <v>340.83501683501683501683501684</v>
      </c>
      <c r="O14" s="379">
        <v>218.77990366604227990366604228</v>
      </c>
      <c r="P14" s="4"/>
      <c r="Q14" s="359">
        <v>-16.099079356930271816379520010</v>
      </c>
      <c r="R14" s="170">
        <v>16.705537135479395659565694760</v>
      </c>
      <c r="S14" s="360">
        <v>-20.016835573090968643437527550</v>
      </c>
      <c r="T14" s="359">
        <v>20.080321285140562248995983940</v>
      </c>
      <c r="U14" s="170">
        <v>21.680782590865822762732384050</v>
      </c>
      <c r="V14" s="360">
        <v>-3.7726114489207176330604301500</v>
      </c>
      <c r="W14" s="359">
        <v>0</v>
      </c>
      <c r="X14" s="170">
        <v>0</v>
      </c>
      <c r="Y14" s="360">
        <v>3.7294971531265428007302364700</v>
      </c>
      <c r="Z14" s="359">
        <v>-15.491737873444431541442472620</v>
      </c>
      <c r="AA14" s="170">
        <v>15.691477515674793210575950810</v>
      </c>
      <c r="AB14" s="360">
        <v>-16.639111291085671417151347210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25</v>
      </c>
      <c r="C15" s="345" t="s">
        <v>52</v>
      </c>
      <c r="D15" s="370">
        <v>304.89719626168224299065420561</v>
      </c>
      <c r="E15" s="172">
        <v>443.2125</v>
      </c>
      <c r="F15" s="371">
        <v>259.32815972517238594118356351</v>
      </c>
      <c r="G15" s="370">
        <v>359</v>
      </c>
      <c r="H15" s="172">
        <v>449</v>
      </c>
      <c r="I15" s="371">
        <v>268.63188549864971918185893259</v>
      </c>
      <c r="J15" s="370">
        <v>0</v>
      </c>
      <c r="K15" s="172">
        <v>0</v>
      </c>
      <c r="L15" s="371">
        <v>161.07349944267484577605215968</v>
      </c>
      <c r="M15" s="370">
        <v>306.37272727272727272727272727</v>
      </c>
      <c r="N15" s="172">
        <v>443.26625386996904024767801858</v>
      </c>
      <c r="O15" s="371">
        <v>252.42353658536585365853658537</v>
      </c>
      <c r="P15" s="4"/>
      <c r="Q15" s="327">
        <v>-13.578695358190078797455816690</v>
      </c>
      <c r="R15" s="171">
        <v>20.885784390821186336366804400</v>
      </c>
      <c r="S15" s="328">
        <v>-9.810832571334596377390879500</v>
      </c>
      <c r="T15" s="327">
        <v>44.176706827309236947791164660</v>
      </c>
      <c r="U15" s="171">
        <v>0</v>
      </c>
      <c r="V15" s="328">
        <v>12.079677614933354598698147840</v>
      </c>
      <c r="W15" s="327">
        <v>0</v>
      </c>
      <c r="X15" s="171">
        <v>0</v>
      </c>
      <c r="Y15" s="328">
        <v>-5.3087207403391629928057412900</v>
      </c>
      <c r="Z15" s="327">
        <v>-12.952240755480309286784036280</v>
      </c>
      <c r="AA15" s="171">
        <v>20.900445707312146400217852290</v>
      </c>
      <c r="AB15" s="328">
        <v>-5.9970931729215659365603103200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26</v>
      </c>
      <c r="C16" s="347" t="s">
        <v>53</v>
      </c>
      <c r="D16" s="378">
        <v>324.30088495575221238938053097</v>
      </c>
      <c r="E16" s="173">
        <v>385.68615384615384615384615385</v>
      </c>
      <c r="F16" s="379">
        <v>267.14703879928149920791968639</v>
      </c>
      <c r="G16" s="378">
        <v>359</v>
      </c>
      <c r="H16" s="173">
        <v>394.77777777777777777777777778</v>
      </c>
      <c r="I16" s="379">
        <v>274.31581577468390767390967625</v>
      </c>
      <c r="J16" s="378">
        <v>0</v>
      </c>
      <c r="K16" s="173">
        <v>0</v>
      </c>
      <c r="L16" s="379">
        <v>161.39160696374483799451577476</v>
      </c>
      <c r="M16" s="378">
        <v>325.19827586206896551724137931</v>
      </c>
      <c r="N16" s="173">
        <v>385.93113772455089820359281438</v>
      </c>
      <c r="O16" s="379">
        <v>259.38790697674418604651162791</v>
      </c>
      <c r="P16" s="4"/>
      <c r="Q16" s="359">
        <v>-3.1345134909944429935400443900</v>
      </c>
      <c r="R16" s="170">
        <v>10.926016376671293635573572040</v>
      </c>
      <c r="S16" s="360">
        <v>-3.6137671439647226133661291800</v>
      </c>
      <c r="T16" s="359">
        <v>44.176706827309236947791164660</v>
      </c>
      <c r="U16" s="170">
        <v>0</v>
      </c>
      <c r="V16" s="360">
        <v>7.2511823768934804482944002600</v>
      </c>
      <c r="W16" s="359">
        <v>0</v>
      </c>
      <c r="X16" s="170">
        <v>0</v>
      </c>
      <c r="Y16" s="360">
        <v>-9.434463601809031328626426100</v>
      </c>
      <c r="Z16" s="359">
        <v>-2.6636785636938463170342986100</v>
      </c>
      <c r="AA16" s="170">
        <v>10.996475441473323579697772380</v>
      </c>
      <c r="AB16" s="360">
        <v>-2.8549856267529762926326431100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27</v>
      </c>
      <c r="C17" s="345" t="s">
        <v>49</v>
      </c>
      <c r="D17" s="370">
        <v>245.4077669902912621359223301</v>
      </c>
      <c r="E17" s="172">
        <v>311.08842641659349609054759887</v>
      </c>
      <c r="F17" s="371">
        <v>234.995784855727160445018738</v>
      </c>
      <c r="G17" s="370">
        <v>307</v>
      </c>
      <c r="H17" s="172">
        <v>392.40142101658018513665603678</v>
      </c>
      <c r="I17" s="371">
        <v>278.16967677006185376564652872</v>
      </c>
      <c r="J17" s="370">
        <v>0</v>
      </c>
      <c r="K17" s="172">
        <v>0</v>
      </c>
      <c r="L17" s="371">
        <v>170.00229574313269313956097592</v>
      </c>
      <c r="M17" s="370">
        <v>248.25925925925925925925925926</v>
      </c>
      <c r="N17" s="172">
        <v>316.85530546623794212218649517</v>
      </c>
      <c r="O17" s="371">
        <v>238.97769095034030753718174943</v>
      </c>
      <c r="P17" s="4"/>
      <c r="Q17" s="327">
        <v>17.155403581524624835740495200</v>
      </c>
      <c r="R17" s="171">
        <v>36.249304604426274880482253490</v>
      </c>
      <c r="S17" s="328">
        <v>16.012737872745144185434144960</v>
      </c>
      <c r="T17" s="327">
        <v>29.809725158562367864693446090</v>
      </c>
      <c r="U17" s="171">
        <v>0</v>
      </c>
      <c r="V17" s="328">
        <v>-22.452238607501781967428516030</v>
      </c>
      <c r="W17" s="327">
        <v>0</v>
      </c>
      <c r="X17" s="171">
        <v>0</v>
      </c>
      <c r="Y17" s="328">
        <v>-1.9569704835240355431075674800</v>
      </c>
      <c r="Z17" s="327">
        <v>18.044395298346388832166190340</v>
      </c>
      <c r="AA17" s="171">
        <v>38.775059963771200125371660080</v>
      </c>
      <c r="AB17" s="328">
        <v>5.9658298927888029846474207600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28</v>
      </c>
      <c r="C18" s="347" t="s">
        <v>47</v>
      </c>
      <c r="D18" s="378">
        <v>290.85148514851485148514851485</v>
      </c>
      <c r="E18" s="173">
        <v>356.46086101384598044939528444</v>
      </c>
      <c r="F18" s="379">
        <v>270.05454251857947940088590076</v>
      </c>
      <c r="G18" s="378">
        <v>261.60869565217391304347826087</v>
      </c>
      <c r="H18" s="173">
        <v>371.87341687778718725201766715</v>
      </c>
      <c r="I18" s="379">
        <v>292.37700115467010649311947808</v>
      </c>
      <c r="J18" s="378">
        <v>0</v>
      </c>
      <c r="K18" s="173">
        <v>0</v>
      </c>
      <c r="L18" s="379">
        <v>182.09465331812984441421366685</v>
      </c>
      <c r="M18" s="378">
        <v>285.42741935483870967741935484</v>
      </c>
      <c r="N18" s="173">
        <v>357.93113772455089820359281438</v>
      </c>
      <c r="O18" s="379">
        <v>269.46395280235988200589970501</v>
      </c>
      <c r="P18" s="4"/>
      <c r="Q18" s="359">
        <v>43.349874114203348482731470470</v>
      </c>
      <c r="R18" s="170">
        <v>60.396795736805493525899217320</v>
      </c>
      <c r="S18" s="360">
        <v>30.017215450192671999135701380</v>
      </c>
      <c r="T18" s="359">
        <v>22.211361472548397334179625520</v>
      </c>
      <c r="U18" s="170">
        <v>0</v>
      </c>
      <c r="V18" s="360">
        <v>-9.11059789081282333835712100</v>
      </c>
      <c r="W18" s="359">
        <v>0</v>
      </c>
      <c r="X18" s="170">
        <v>0</v>
      </c>
      <c r="Y18" s="360">
        <v>13.731464248641815624985270420</v>
      </c>
      <c r="Z18" s="359">
        <v>39.668478907793841615267961070</v>
      </c>
      <c r="AA18" s="170">
        <v>61.058376569474690048677132970</v>
      </c>
      <c r="AB18" s="360">
        <v>15.276168032289406711044783640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29</v>
      </c>
      <c r="C19" s="345" t="s">
        <v>48</v>
      </c>
      <c r="D19" s="370">
        <v>321.28846153846153846153846154</v>
      </c>
      <c r="E19" s="172">
        <v>314.23882045623955097263062552</v>
      </c>
      <c r="F19" s="371">
        <v>285.85712424495575532108601979</v>
      </c>
      <c r="G19" s="370">
        <v>269</v>
      </c>
      <c r="H19" s="172">
        <v>367.79087846488703638361678694</v>
      </c>
      <c r="I19" s="371">
        <v>298.66674273758086269555269833</v>
      </c>
      <c r="J19" s="370">
        <v>0</v>
      </c>
      <c r="K19" s="172">
        <v>0</v>
      </c>
      <c r="L19" s="371">
        <v>164.03871163353338702112055306</v>
      </c>
      <c r="M19" s="370">
        <v>311.484375000</v>
      </c>
      <c r="N19" s="172">
        <v>317.57485029940119760479041917</v>
      </c>
      <c r="O19" s="371">
        <v>280.38212775682779110958747572</v>
      </c>
      <c r="P19" s="4"/>
      <c r="Q19" s="327">
        <v>58.506573312646473477266207220</v>
      </c>
      <c r="R19" s="171">
        <v>34.820026381452568564377733300</v>
      </c>
      <c r="S19" s="328">
        <v>31.654865992023894901909847790</v>
      </c>
      <c r="T19" s="327">
        <v>34.053156146157134027218246320</v>
      </c>
      <c r="U19" s="171">
        <v>0</v>
      </c>
      <c r="V19" s="328">
        <v>-3.5337938587197017471659687200</v>
      </c>
      <c r="W19" s="327">
        <v>0</v>
      </c>
      <c r="X19" s="171">
        <v>0</v>
      </c>
      <c r="Y19" s="328">
        <v>14.095623756682989473296922140</v>
      </c>
      <c r="Z19" s="327">
        <v>53.888258091494352817341186950</v>
      </c>
      <c r="AA19" s="171">
        <v>36.251306039425316441811454860</v>
      </c>
      <c r="AB19" s="328">
        <v>17.443933770330888165260761730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30</v>
      </c>
      <c r="C20" s="347" t="s">
        <v>50</v>
      </c>
      <c r="D20" s="378">
        <v>265.16831683168316831683168317</v>
      </c>
      <c r="E20" s="173">
        <v>301.94529751185567049514324042</v>
      </c>
      <c r="F20" s="379">
        <v>270.97507543314959946159568613</v>
      </c>
      <c r="G20" s="378">
        <v>275.8</v>
      </c>
      <c r="H20" s="173">
        <v>353.81397525621179218056822802</v>
      </c>
      <c r="I20" s="379">
        <v>280.58571078028909038352400715</v>
      </c>
      <c r="J20" s="378">
        <v>0</v>
      </c>
      <c r="K20" s="173">
        <v>0</v>
      </c>
      <c r="L20" s="379">
        <v>158.50999987250611728389647577</v>
      </c>
      <c r="M20" s="378">
        <v>267.27777777777777777777777778</v>
      </c>
      <c r="N20" s="173">
        <v>304.75851393188854489164086687</v>
      </c>
      <c r="O20" s="379">
        <v>265.43899066712754925682682337</v>
      </c>
      <c r="P20" s="4"/>
      <c r="Q20" s="359">
        <v>44.483610487083684448957858260</v>
      </c>
      <c r="R20" s="170">
        <v>13.703142682699348753863427650</v>
      </c>
      <c r="S20" s="360">
        <v>22.858003508841465035081860190</v>
      </c>
      <c r="T20" s="359">
        <v>1.0667752442955591703890759100</v>
      </c>
      <c r="U20" s="170">
        <v>0</v>
      </c>
      <c r="V20" s="360">
        <v>-10.220384439507148467838685340</v>
      </c>
      <c r="W20" s="359">
        <v>0</v>
      </c>
      <c r="X20" s="170">
        <v>0</v>
      </c>
      <c r="Y20" s="360">
        <v>-6.7359004485049173526320836700</v>
      </c>
      <c r="Z20" s="359">
        <v>36.019225332202431439072660450</v>
      </c>
      <c r="AA20" s="170">
        <v>14.762511881823077607020141140</v>
      </c>
      <c r="AB20" s="360">
        <v>13.050716780563929720899643760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t="s">
        <v>179</v>
      </c>
      <c r="B21" s="668">
        <v>1</v>
      </c>
      <c r="C21" s="679" t="s">
        <v>51</v>
      </c>
      <c r="D21" s="680">
        <v>271.36190476190476190476190476</v>
      </c>
      <c r="E21" s="681">
        <v>376.27278323306866081699672307</v>
      </c>
      <c r="F21" s="682">
        <v>287.61067772488196313057946149</v>
      </c>
      <c r="G21" s="680">
        <v>439</v>
      </c>
      <c r="H21" s="681">
        <v>493.48743790781991794162319164</v>
      </c>
      <c r="I21" s="682">
        <v>315.83281662883884683339433985</v>
      </c>
      <c r="J21" s="680">
        <v>0</v>
      </c>
      <c r="K21" s="681">
        <v>0</v>
      </c>
      <c r="L21" s="682">
        <v>174.56831542144697997321428183</v>
      </c>
      <c r="M21" s="680">
        <v>297.04838709677419354838709677</v>
      </c>
      <c r="N21" s="681">
        <v>388.5888157894736842105263158</v>
      </c>
      <c r="O21" s="682">
        <v>285.45558252427184466019417476</v>
      </c>
      <c r="P21" s="4"/>
      <c r="Q21" s="670">
        <v>-11.583456445346171201054938020</v>
      </c>
      <c r="R21" s="671">
        <v>8.889298719577519569518098680</v>
      </c>
      <c r="S21" s="672">
        <v>7.1607550824925000133705870300</v>
      </c>
      <c r="T21" s="670">
        <v>-1.7179147439217901305598470400</v>
      </c>
      <c r="U21" s="671">
        <v>0</v>
      </c>
      <c r="V21" s="672">
        <v>-9.987041005605724899774343350</v>
      </c>
      <c r="W21" s="670">
        <v>0</v>
      </c>
      <c r="X21" s="671">
        <v>0</v>
      </c>
      <c r="Y21" s="672">
        <v>5.4662288473905528969546669600</v>
      </c>
      <c r="Z21" s="670">
        <v>-18.605541339827349489056864450</v>
      </c>
      <c r="AA21" s="671">
        <v>12.453426150085141885801436530</v>
      </c>
      <c r="AB21" s="672">
        <v>3.0488647524396100333251346100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2</v>
      </c>
      <c r="C22" s="347" t="s">
        <v>52</v>
      </c>
      <c r="D22" s="378">
        <v>413.84375</v>
      </c>
      <c r="E22" s="173">
        <v>495.30482956381921262386442942</v>
      </c>
      <c r="F22" s="379">
        <v>342.7646888750623369586230871</v>
      </c>
      <c r="G22" s="378">
        <v>439</v>
      </c>
      <c r="H22" s="173">
        <v>488.37738874185344923863844297</v>
      </c>
      <c r="I22" s="379">
        <v>325.02014386094768885367235244</v>
      </c>
      <c r="J22" s="378">
        <v>0</v>
      </c>
      <c r="K22" s="173">
        <v>0</v>
      </c>
      <c r="L22" s="379">
        <v>192.55637311659555968999431193</v>
      </c>
      <c r="M22" s="378">
        <v>420.132812500</v>
      </c>
      <c r="N22" s="173">
        <v>494.47904191616766467065868265</v>
      </c>
      <c r="O22" s="379">
        <v>327.43658672615727830451756832</v>
      </c>
      <c r="P22" s="4"/>
      <c r="Q22" s="359">
        <v>-11.449417872881595379617817390</v>
      </c>
      <c r="R22" s="170">
        <v>18.088221616055489232218130110</v>
      </c>
      <c r="S22" s="360">
        <v>0.6842894925388782462408029600</v>
      </c>
      <c r="T22" s="359">
        <v>-1.6665173371561688020786667900</v>
      </c>
      <c r="U22" s="170">
        <v>102.64571947646261044879859818</v>
      </c>
      <c r="V22" s="360">
        <v>-17.413684488504970358120675140</v>
      </c>
      <c r="W22" s="359">
        <v>0</v>
      </c>
      <c r="X22" s="170">
        <v>0</v>
      </c>
      <c r="Y22" s="360">
        <v>10.522474322216078889851686720</v>
      </c>
      <c r="Z22" s="359">
        <v>-7.643786637713167064868609800</v>
      </c>
      <c r="AA22" s="170">
        <v>18.021078392077350218754626480</v>
      </c>
      <c r="AB22" s="360">
        <v>-3.1787710833697164835347548700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3</v>
      </c>
      <c r="C23" s="345" t="s">
        <v>53</v>
      </c>
      <c r="D23" s="370">
        <v>399.64</v>
      </c>
      <c r="E23" s="172">
        <v>493.98166890473002277778557591</v>
      </c>
      <c r="F23" s="371">
        <v>367.31867601446806583499080709</v>
      </c>
      <c r="G23" s="370">
        <v>439</v>
      </c>
      <c r="H23" s="172">
        <v>487.3420300717584948721413992</v>
      </c>
      <c r="I23" s="371">
        <v>328.32634971813161790419995309</v>
      </c>
      <c r="J23" s="370">
        <v>0</v>
      </c>
      <c r="K23" s="172">
        <v>0</v>
      </c>
      <c r="L23" s="371">
        <v>193.63858031191453409363728067</v>
      </c>
      <c r="M23" s="370">
        <v>408.95419847328244274809160305</v>
      </c>
      <c r="N23" s="172">
        <v>493.2463343108504398826979472</v>
      </c>
      <c r="O23" s="371">
        <v>346.25260159929893745207580239</v>
      </c>
      <c r="P23" s="4"/>
      <c r="Q23" s="327">
        <v>-17.168007802975894074520812290</v>
      </c>
      <c r="R23" s="171">
        <v>14.139558606293894172871771370</v>
      </c>
      <c r="S23" s="328">
        <v>8.609527924082240432172053140</v>
      </c>
      <c r="T23" s="327">
        <v>-2.1923179752250245076196417400</v>
      </c>
      <c r="U23" s="171">
        <v>102.21614105408485546742203434</v>
      </c>
      <c r="V23" s="328">
        <v>-17.420989498981166940986183620</v>
      </c>
      <c r="W23" s="327">
        <v>0</v>
      </c>
      <c r="X23" s="171">
        <v>0</v>
      </c>
      <c r="Y23" s="328">
        <v>23.525826024655691034969333520</v>
      </c>
      <c r="Z23" s="327">
        <v>-11.568365670199479265071261270</v>
      </c>
      <c r="AA23" s="171">
        <v>14.096371386480780907905046280</v>
      </c>
      <c r="AB23" s="328">
        <v>2.261116179705005799017409300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4</v>
      </c>
      <c r="C24" s="347" t="s">
        <v>49</v>
      </c>
      <c r="D24" s="378">
        <v>248.6039603960396039603960396</v>
      </c>
      <c r="E24" s="173">
        <v>354.0132743362831858407079646</v>
      </c>
      <c r="F24" s="379">
        <v>267.98587657662484908561926877</v>
      </c>
      <c r="G24" s="378">
        <v>439</v>
      </c>
      <c r="H24" s="173">
        <v>688.00000000000000000000000</v>
      </c>
      <c r="I24" s="379">
        <v>307.75891081915563345733828738</v>
      </c>
      <c r="J24" s="378">
        <v>0</v>
      </c>
      <c r="K24" s="173">
        <v>0</v>
      </c>
      <c r="L24" s="379">
        <v>177.40628189044187873778630321</v>
      </c>
      <c r="M24" s="378">
        <v>289.93023255813953488372093023</v>
      </c>
      <c r="N24" s="173">
        <v>366.80425531914893617021276597</v>
      </c>
      <c r="O24" s="379">
        <v>268.1900944006207164101900944</v>
      </c>
      <c r="P24" s="4"/>
      <c r="Q24" s="359">
        <v>-30.266746254267312421008593540</v>
      </c>
      <c r="R24" s="170">
        <v>3.111129045995790349527742700</v>
      </c>
      <c r="S24" s="360">
        <v>-4.5083773865382344906369575500</v>
      </c>
      <c r="T24" s="359">
        <v>-4.2921378934459735658809102100</v>
      </c>
      <c r="U24" s="170">
        <v>185.47766226724383419918501113</v>
      </c>
      <c r="V24" s="360">
        <v>-13.265110190931012626599577070</v>
      </c>
      <c r="W24" s="359">
        <v>0</v>
      </c>
      <c r="X24" s="170">
        <v>0</v>
      </c>
      <c r="Y24" s="360">
        <v>6.1466181173553332287032839300</v>
      </c>
      <c r="Z24" s="359">
        <v>-27.102415697730294398365331180</v>
      </c>
      <c r="AA24" s="170">
        <v>6.9293224707851701097041461700</v>
      </c>
      <c r="AB24" s="360">
        <v>-6.5789141707016189159927414400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5</v>
      </c>
      <c r="C25" s="345" t="s">
        <v>47</v>
      </c>
      <c r="D25" s="370">
        <v>191.56470588235294117647058824</v>
      </c>
      <c r="E25" s="172">
        <v>221.37799043062200956937799045</v>
      </c>
      <c r="F25" s="371">
        <v>204.36043355944247882859579133</v>
      </c>
      <c r="G25" s="370">
        <v>0</v>
      </c>
      <c r="H25" s="172">
        <v>476.00000000000000000000000006</v>
      </c>
      <c r="I25" s="371">
        <v>235.97592317584102266589957522</v>
      </c>
      <c r="J25" s="370">
        <v>0</v>
      </c>
      <c r="K25" s="172">
        <v>0</v>
      </c>
      <c r="L25" s="371">
        <v>159.7648118154726102597893525</v>
      </c>
      <c r="M25" s="370">
        <v>191.56470588235294117647058824</v>
      </c>
      <c r="N25" s="172">
        <v>240.5309734513274336283185841</v>
      </c>
      <c r="O25" s="371">
        <v>207.9854346836595357305416477</v>
      </c>
      <c r="P25" s="4"/>
      <c r="Q25" s="327">
        <v>7.2720285479295284184869419500</v>
      </c>
      <c r="R25" s="171">
        <v>-17.748496259916339978113900970</v>
      </c>
      <c r="S25" s="328">
        <v>-4.9324414817187374309945664700</v>
      </c>
      <c r="T25" s="327">
        <v>0</v>
      </c>
      <c r="U25" s="171">
        <v>0</v>
      </c>
      <c r="V25" s="328">
        <v>-10.518032909167318195451736780</v>
      </c>
      <c r="W25" s="327">
        <v>0</v>
      </c>
      <c r="X25" s="171">
        <v>0</v>
      </c>
      <c r="Y25" s="328">
        <v>2.6389039971968656733020377100</v>
      </c>
      <c r="Z25" s="327">
        <v>7.2720285479295284184869419500</v>
      </c>
      <c r="AA25" s="171">
        <v>-10.632334208318821090528630060</v>
      </c>
      <c r="AB25" s="328">
        <v>-6.2727531470473605343944598500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6</v>
      </c>
      <c r="C26" s="347" t="s">
        <v>48</v>
      </c>
      <c r="D26" s="378">
        <v>173.10294117647058823529411765</v>
      </c>
      <c r="E26" s="173">
        <v>212.51612903225806451612903226</v>
      </c>
      <c r="F26" s="379">
        <v>206.78136662622113498115123726</v>
      </c>
      <c r="G26" s="378">
        <v>0</v>
      </c>
      <c r="H26" s="173">
        <v>428.03389830508474576271186441</v>
      </c>
      <c r="I26" s="379">
        <v>231.76634845599134805947623898</v>
      </c>
      <c r="J26" s="378">
        <v>0</v>
      </c>
      <c r="K26" s="173">
        <v>0</v>
      </c>
      <c r="L26" s="379">
        <v>153.77178404155945853647182349</v>
      </c>
      <c r="M26" s="378">
        <v>173.10294117647058823529411765</v>
      </c>
      <c r="N26" s="173">
        <v>264.41632653061224489795918368</v>
      </c>
      <c r="O26" s="379">
        <v>206.61018272684679056692175543</v>
      </c>
      <c r="P26" s="4"/>
      <c r="Q26" s="359">
        <v>-10.146849984288731006602926470</v>
      </c>
      <c r="R26" s="170">
        <v>-8.543841701101658335514643820</v>
      </c>
      <c r="S26" s="360">
        <v>-1.5271835232108863842796894900</v>
      </c>
      <c r="T26" s="359">
        <v>-100</v>
      </c>
      <c r="U26" s="170">
        <v>0</v>
      </c>
      <c r="V26" s="360">
        <v>-8.679683249619497593735305770</v>
      </c>
      <c r="W26" s="359">
        <v>0</v>
      </c>
      <c r="X26" s="170">
        <v>0</v>
      </c>
      <c r="Y26" s="360">
        <v>8.431412422175032495582554190</v>
      </c>
      <c r="Z26" s="359">
        <v>-10.759358288763481092656750470</v>
      </c>
      <c r="AA26" s="170">
        <v>13.791369747404807417920895540</v>
      </c>
      <c r="AB26" s="360">
        <v>-4.1148726145950780202884622800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7</v>
      </c>
      <c r="C27" s="345" t="s">
        <v>50</v>
      </c>
      <c r="D27" s="370">
        <v>173.47368421052631578947368421</v>
      </c>
      <c r="E27" s="172">
        <v>213.015</v>
      </c>
      <c r="F27" s="371">
        <v>216.09848507816169058799964395</v>
      </c>
      <c r="G27" s="370">
        <v>269.42857142857142857142857143</v>
      </c>
      <c r="H27" s="172">
        <v>427.75</v>
      </c>
      <c r="I27" s="371">
        <v>237.7385478014236947143204737</v>
      </c>
      <c r="J27" s="370">
        <v>0</v>
      </c>
      <c r="K27" s="172">
        <v>0</v>
      </c>
      <c r="L27" s="371">
        <v>157.02557296809858154633538918</v>
      </c>
      <c r="M27" s="370">
        <v>185.79816513761467889908256881</v>
      </c>
      <c r="N27" s="172">
        <v>276.52816901408450704225352112</v>
      </c>
      <c r="O27" s="371">
        <v>214.78983050847457627118644068</v>
      </c>
      <c r="P27" s="4"/>
      <c r="Q27" s="327">
        <v>-15.652989849028427818756875030</v>
      </c>
      <c r="R27" s="171">
        <v>-4.5961064308125872155332499200</v>
      </c>
      <c r="S27" s="328">
        <v>2.9790390150988596482063973400</v>
      </c>
      <c r="T27" s="327">
        <v>26.492287055667337357478202550</v>
      </c>
      <c r="U27" s="171">
        <v>101.45310709504119251740721230</v>
      </c>
      <c r="V27" s="328">
        <v>-6.0804400364298701392249092700</v>
      </c>
      <c r="W27" s="327">
        <v>0</v>
      </c>
      <c r="X27" s="171">
        <v>0</v>
      </c>
      <c r="Y27" s="328">
        <v>11.311527889844739427616864840</v>
      </c>
      <c r="Z27" s="327">
        <v>-10.130151130147710847990950290</v>
      </c>
      <c r="AA27" s="171">
        <v>24.025731170403492495097790470</v>
      </c>
      <c r="AB27" s="328">
        <v>-0.4700370553185834951649993700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8</v>
      </c>
      <c r="C28" s="347" t="s">
        <v>51</v>
      </c>
      <c r="D28" s="378">
        <v>198.64646464646464646464646465</v>
      </c>
      <c r="E28" s="173">
        <v>231.75119617224880382775119617</v>
      </c>
      <c r="F28" s="379">
        <v>237.63680463590365211911536562</v>
      </c>
      <c r="G28" s="378">
        <v>278.07142857142857142857142857</v>
      </c>
      <c r="H28" s="173">
        <v>425.03030303030303030303030303</v>
      </c>
      <c r="I28" s="379">
        <v>235.23765522955526634054500534</v>
      </c>
      <c r="J28" s="378">
        <v>0</v>
      </c>
      <c r="K28" s="173">
        <v>0</v>
      </c>
      <c r="L28" s="379">
        <v>145.61124461224107174396161608</v>
      </c>
      <c r="M28" s="378">
        <v>208.4867256637168141592920354</v>
      </c>
      <c r="N28" s="173">
        <v>278.13818181818181818181818182</v>
      </c>
      <c r="O28" s="379">
        <v>228.08390296206942769065808873</v>
      </c>
      <c r="P28" s="4"/>
      <c r="Q28" s="359">
        <v>1.2778957104438903154106580200</v>
      </c>
      <c r="R28" s="170">
        <v>-5.6635084703923843660606791700</v>
      </c>
      <c r="S28" s="360">
        <v>9.751805979496211118976343120</v>
      </c>
      <c r="T28" s="359">
        <v>33.327625326426644976240421250</v>
      </c>
      <c r="U28" s="170">
        <v>100.17050000089157910865627761</v>
      </c>
      <c r="V28" s="360">
        <v>4.724917545408130602321763700</v>
      </c>
      <c r="W28" s="359">
        <v>0</v>
      </c>
      <c r="X28" s="170">
        <v>0</v>
      </c>
      <c r="Y28" s="360">
        <v>3.2867264136515885467880194700</v>
      </c>
      <c r="Z28" s="359">
        <v>5.3743199729271664520023846900</v>
      </c>
      <c r="AA28" s="170">
        <v>13.647052106614023228617310140</v>
      </c>
      <c r="AB28" s="360">
        <v>7.2583577335922920890111126900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9</v>
      </c>
      <c r="C29" s="345" t="s">
        <v>52</v>
      </c>
      <c r="D29" s="370">
        <v>263.2967032967032967032967033</v>
      </c>
      <c r="E29" s="172">
        <v>264.18145161290322580645161292</v>
      </c>
      <c r="F29" s="371">
        <v>238.35865329929219841680014177</v>
      </c>
      <c r="G29" s="370">
        <v>368.92857142857142857142857143</v>
      </c>
      <c r="H29" s="172">
        <v>368.12500000000000000000000005</v>
      </c>
      <c r="I29" s="371">
        <v>235.28046526472130880710422786</v>
      </c>
      <c r="J29" s="370">
        <v>0</v>
      </c>
      <c r="K29" s="172">
        <v>0</v>
      </c>
      <c r="L29" s="371">
        <v>149.77614238515478413616448574</v>
      </c>
      <c r="M29" s="370">
        <v>277.38095238095238095238095238</v>
      </c>
      <c r="N29" s="172">
        <v>267.42968750000000000000000002</v>
      </c>
      <c r="O29" s="371">
        <v>229.53949129852744310575635877</v>
      </c>
      <c r="P29" s="4"/>
      <c r="Q29" s="327">
        <v>-9.910113153800281700096933110</v>
      </c>
      <c r="R29" s="171">
        <v>-13.093637607109201684187946220</v>
      </c>
      <c r="S29" s="328">
        <v>0.9333981454778491459141629900</v>
      </c>
      <c r="T29" s="327">
        <v>52.404839185618460293795882970</v>
      </c>
      <c r="U29" s="171">
        <v>84.98821423952087613422682490</v>
      </c>
      <c r="V29" s="328">
        <v>-3.8365588157447589314710925700</v>
      </c>
      <c r="W29" s="327">
        <v>0</v>
      </c>
      <c r="X29" s="171">
        <v>0</v>
      </c>
      <c r="Y29" s="328">
        <v>0.4608092567066733663980114500</v>
      </c>
      <c r="Z29" s="327">
        <v>-1.3866184180593690648129043900</v>
      </c>
      <c r="AA29" s="171">
        <v>-11.407863283410108352217935280</v>
      </c>
      <c r="AB29" s="328">
        <v>-0.1533991890990098200190237400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10</v>
      </c>
      <c r="C30" s="347" t="s">
        <v>53</v>
      </c>
      <c r="D30" s="378">
        <v>248.42424242424242424242424242</v>
      </c>
      <c r="E30" s="173">
        <v>268.72653061224489795918367347</v>
      </c>
      <c r="F30" s="379">
        <v>231.80279202669823250145026396</v>
      </c>
      <c r="G30" s="378">
        <v>364.78571428571428571428571429</v>
      </c>
      <c r="H30" s="173">
        <v>499.000000000000000000000000</v>
      </c>
      <c r="I30" s="379">
        <v>250.11430412452578543842979315</v>
      </c>
      <c r="J30" s="378">
        <v>0</v>
      </c>
      <c r="K30" s="173">
        <v>0</v>
      </c>
      <c r="L30" s="379">
        <v>154.24919923031529511301786162</v>
      </c>
      <c r="M30" s="378">
        <v>262.84070796460176991150442478</v>
      </c>
      <c r="N30" s="173">
        <v>271.5120967741935483870967742</v>
      </c>
      <c r="O30" s="379">
        <v>224.55132044650149741355839913</v>
      </c>
      <c r="P30" s="4"/>
      <c r="Q30" s="359">
        <v>-5.9398997118881305422630634700</v>
      </c>
      <c r="R30" s="170">
        <v>-8.128929790505713898084437400</v>
      </c>
      <c r="S30" s="360">
        <v>0.1014242676445579675700400300</v>
      </c>
      <c r="T30" s="359">
        <v>28.769541099350921308174450380</v>
      </c>
      <c r="U30" s="170">
        <v>150.75408997225741787851829350</v>
      </c>
      <c r="V30" s="360">
        <v>12.204477078246008580817710750</v>
      </c>
      <c r="W30" s="359">
        <v>0</v>
      </c>
      <c r="X30" s="170">
        <v>0</v>
      </c>
      <c r="Y30" s="360">
        <v>4.0292300497948138822972516400</v>
      </c>
      <c r="Z30" s="359">
        <v>-1.3763968908889604831385067200</v>
      </c>
      <c r="AA30" s="170">
        <v>-6.9201065093784093299276318800</v>
      </c>
      <c r="AB30" s="360">
        <v>0.1931741114286224534999589500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11</v>
      </c>
      <c r="C31" s="345" t="s">
        <v>49</v>
      </c>
      <c r="D31" s="370">
        <v>164.05263157894736842105263158</v>
      </c>
      <c r="E31" s="172">
        <v>226.47208121827411167512690358</v>
      </c>
      <c r="F31" s="371">
        <v>187.84199950082201487085507164</v>
      </c>
      <c r="G31" s="370">
        <v>293</v>
      </c>
      <c r="H31" s="172">
        <v>0</v>
      </c>
      <c r="I31" s="371">
        <v>224.93190994914845541733450971</v>
      </c>
      <c r="J31" s="370">
        <v>0</v>
      </c>
      <c r="K31" s="172">
        <v>0</v>
      </c>
      <c r="L31" s="371">
        <v>153.61752639338226641721168602</v>
      </c>
      <c r="M31" s="370">
        <v>165.72727272727272727272727273</v>
      </c>
      <c r="N31" s="172">
        <v>226.47208121827411167512690357</v>
      </c>
      <c r="O31" s="371">
        <v>186.62632287858379834519915336</v>
      </c>
      <c r="P31" s="4"/>
      <c r="Q31" s="327">
        <v>-12.525547089018728352525010840</v>
      </c>
      <c r="R31" s="171">
        <v>4.5062437801421856951730057200</v>
      </c>
      <c r="S31" s="328">
        <v>-0.1053485405718306240675690300</v>
      </c>
      <c r="T31" s="327">
        <v>0</v>
      </c>
      <c r="U31" s="171">
        <v>-100</v>
      </c>
      <c r="V31" s="328">
        <v>7.7163165638728646033716266800</v>
      </c>
      <c r="W31" s="327">
        <v>0</v>
      </c>
      <c r="X31" s="171">
        <v>0</v>
      </c>
      <c r="Y31" s="328">
        <v>4.6413666160859727306090781300</v>
      </c>
      <c r="Z31" s="327">
        <v>-11.632612200610776502651407250</v>
      </c>
      <c r="AA31" s="171">
        <v>4.5345276810198486059934950600</v>
      </c>
      <c r="AB31" s="328">
        <v>0.2776270353172040724995801600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12</v>
      </c>
      <c r="C32" s="347" t="s">
        <v>47</v>
      </c>
      <c r="D32" s="378">
        <v>145.3013698630136986301369863</v>
      </c>
      <c r="E32" s="173">
        <v>212.20338983050847457627118642</v>
      </c>
      <c r="F32" s="379">
        <v>188.29412935937616598524445278</v>
      </c>
      <c r="G32" s="378">
        <v>169</v>
      </c>
      <c r="H32" s="173">
        <v>0</v>
      </c>
      <c r="I32" s="379">
        <v>243.78174995805283614572669117</v>
      </c>
      <c r="J32" s="378">
        <v>0</v>
      </c>
      <c r="K32" s="173">
        <v>0</v>
      </c>
      <c r="L32" s="379">
        <v>150.93674362939968452908601989</v>
      </c>
      <c r="M32" s="378">
        <v>148.4047619047619047619047619</v>
      </c>
      <c r="N32" s="173">
        <v>212.20338983050847457627118643</v>
      </c>
      <c r="O32" s="379">
        <v>194.66807432432432432432432432</v>
      </c>
      <c r="P32" s="4"/>
      <c r="Q32" s="359">
        <v>-5.560855242211772716320123600</v>
      </c>
      <c r="R32" s="170">
        <v>-2.0154980051983251399506694100</v>
      </c>
      <c r="S32" s="360">
        <v>-0.7676609573388607532176676700</v>
      </c>
      <c r="T32" s="359">
        <v>0</v>
      </c>
      <c r="U32" s="170">
        <v>0</v>
      </c>
      <c r="V32" s="360">
        <v>16.534738798026677893531158910</v>
      </c>
      <c r="W32" s="359">
        <v>0</v>
      </c>
      <c r="X32" s="170">
        <v>0</v>
      </c>
      <c r="Y32" s="360">
        <v>-2.2814660714009168289460777200</v>
      </c>
      <c r="Z32" s="359">
        <v>-3.5437944908428317595301016900</v>
      </c>
      <c r="AA32" s="170">
        <v>-2.0154980051983251399506694100</v>
      </c>
      <c r="AB32" s="360">
        <v>2.2473547231426979414761881100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13</v>
      </c>
      <c r="C33" s="345" t="s">
        <v>48</v>
      </c>
      <c r="D33" s="370">
        <v>157.91358024691358024691358025</v>
      </c>
      <c r="E33" s="172">
        <v>205.6216216216216216216216216</v>
      </c>
      <c r="F33" s="371">
        <v>195.53782121262259731330335693</v>
      </c>
      <c r="G33" s="370">
        <v>169</v>
      </c>
      <c r="H33" s="172">
        <v>190.19999999999999999999999998</v>
      </c>
      <c r="I33" s="371">
        <v>253.56526060452115768018314084</v>
      </c>
      <c r="J33" s="370">
        <v>0</v>
      </c>
      <c r="K33" s="172">
        <v>0</v>
      </c>
      <c r="L33" s="371">
        <v>127.56970187377334621236559438</v>
      </c>
      <c r="M33" s="370">
        <v>159.23913043478260869565217391</v>
      </c>
      <c r="N33" s="172">
        <v>205.21578947368421052631578946</v>
      </c>
      <c r="O33" s="371">
        <v>201.01618122977346278317152104</v>
      </c>
      <c r="P33" s="4"/>
      <c r="Q33" s="327">
        <v>3.6153397959924425477974264900</v>
      </c>
      <c r="R33" s="171">
        <v>-5.1782969573450401743403198900</v>
      </c>
      <c r="S33" s="328">
        <v>-1.3249762375691910914188197200</v>
      </c>
      <c r="T33" s="327">
        <v>0</v>
      </c>
      <c r="U33" s="171">
        <v>0</v>
      </c>
      <c r="V33" s="328">
        <v>17.156488033770611470219989380</v>
      </c>
      <c r="W33" s="327">
        <v>0</v>
      </c>
      <c r="X33" s="171">
        <v>0</v>
      </c>
      <c r="Y33" s="328">
        <v>-14.728116711976848148601564630</v>
      </c>
      <c r="Z33" s="327">
        <v>4.4851024403320540846857472300</v>
      </c>
      <c r="AA33" s="171">
        <v>-5.3654450554555433845225429400</v>
      </c>
      <c r="AB33" s="328">
        <v>1.395977208577111881501912100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14</v>
      </c>
      <c r="C34" s="347" t="s">
        <v>50</v>
      </c>
      <c r="D34" s="378">
        <v>150.6265060240963855421686747</v>
      </c>
      <c r="E34" s="173">
        <v>193.8277511961722488038277512</v>
      </c>
      <c r="F34" s="379">
        <v>194.08592859769922991815368303</v>
      </c>
      <c r="G34" s="378">
        <v>169</v>
      </c>
      <c r="H34" s="173">
        <v>181.66666666666666666666666667</v>
      </c>
      <c r="I34" s="379">
        <v>245.48863914186411944646507124</v>
      </c>
      <c r="J34" s="378">
        <v>0</v>
      </c>
      <c r="K34" s="173">
        <v>0</v>
      </c>
      <c r="L34" s="379">
        <v>154.66229371191856300941142268</v>
      </c>
      <c r="M34" s="378">
        <v>152.77659574468085106382978723</v>
      </c>
      <c r="N34" s="173">
        <v>193.48837209302325581395348837</v>
      </c>
      <c r="O34" s="379">
        <v>203.77408591686361740581120534</v>
      </c>
      <c r="P34" s="4"/>
      <c r="Q34" s="359">
        <v>-3.256795965889883560230957600</v>
      </c>
      <c r="R34" s="170">
        <v>-2.9810800198258164577388274600</v>
      </c>
      <c r="S34" s="360">
        <v>-0.6899809412968256808778088100</v>
      </c>
      <c r="T34" s="359">
        <v>0</v>
      </c>
      <c r="U34" s="170">
        <v>0</v>
      </c>
      <c r="V34" s="360">
        <v>14.855738293127205590110725590</v>
      </c>
      <c r="W34" s="359">
        <v>0</v>
      </c>
      <c r="X34" s="170">
        <v>0</v>
      </c>
      <c r="Y34" s="360">
        <v>1.8749076267440263919760388100</v>
      </c>
      <c r="Z34" s="359">
        <v>-1.8758533016759899506322162300</v>
      </c>
      <c r="AA34" s="170">
        <v>-3.1509534969113085612125012500</v>
      </c>
      <c r="AB34" s="360">
        <v>3.9447347807056942555150137500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15</v>
      </c>
      <c r="C35" s="345" t="s">
        <v>51</v>
      </c>
      <c r="D35" s="370">
        <v>168.40625</v>
      </c>
      <c r="E35" s="172">
        <v>206.47107438016528925619834709</v>
      </c>
      <c r="F35" s="371">
        <v>206.90633595383518263474554081</v>
      </c>
      <c r="G35" s="370">
        <v>169</v>
      </c>
      <c r="H35" s="172">
        <v>138.99999999999999999999999999</v>
      </c>
      <c r="I35" s="371">
        <v>230.8407882175455888474312724</v>
      </c>
      <c r="J35" s="370">
        <v>0</v>
      </c>
      <c r="K35" s="172">
        <v>0</v>
      </c>
      <c r="L35" s="371">
        <v>152.46176715690011820396294684</v>
      </c>
      <c r="M35" s="370">
        <v>168.46728971962616822429906542</v>
      </c>
      <c r="N35" s="172">
        <v>205.10526315789473684210526314</v>
      </c>
      <c r="O35" s="371">
        <v>206.79268128615632988026368895</v>
      </c>
      <c r="P35" s="4"/>
      <c r="Q35" s="327">
        <v>-13.556046297226931083258496540</v>
      </c>
      <c r="R35" s="171">
        <v>-10.713737948342692396472464130</v>
      </c>
      <c r="S35" s="328">
        <v>0.3095889149940553027652515500</v>
      </c>
      <c r="T35" s="327">
        <v>0</v>
      </c>
      <c r="U35" s="171">
        <v>0</v>
      </c>
      <c r="V35" s="328">
        <v>8.266871869092370643362700460</v>
      </c>
      <c r="W35" s="327">
        <v>0</v>
      </c>
      <c r="X35" s="171">
        <v>0</v>
      </c>
      <c r="Y35" s="328">
        <v>4.3653141186387974402190978600</v>
      </c>
      <c r="Z35" s="327">
        <v>-13.524714237416830599227164150</v>
      </c>
      <c r="AA35" s="171">
        <v>-11.30436876222708946200350200</v>
      </c>
      <c r="AB35" s="328">
        <v>1.8268622126800468047064104900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16</v>
      </c>
      <c r="C36" s="347" t="s">
        <v>52</v>
      </c>
      <c r="D36" s="378">
        <v>260.22807017543859649122807018</v>
      </c>
      <c r="E36" s="173">
        <v>289.25547445255474452554744526</v>
      </c>
      <c r="F36" s="379">
        <v>238.63996693920914965042968482</v>
      </c>
      <c r="G36" s="378">
        <v>0</v>
      </c>
      <c r="H36" s="173">
        <v>0</v>
      </c>
      <c r="I36" s="379">
        <v>231.02468580661487536167465698</v>
      </c>
      <c r="J36" s="378">
        <v>0</v>
      </c>
      <c r="K36" s="173">
        <v>0</v>
      </c>
      <c r="L36" s="379">
        <v>157.93331944788394944882588137</v>
      </c>
      <c r="M36" s="378">
        <v>260.22807017543859649122807018</v>
      </c>
      <c r="N36" s="173">
        <v>289.25547445255474452554744527</v>
      </c>
      <c r="O36" s="379">
        <v>229.9101191192395620262302972</v>
      </c>
      <c r="P36" s="4"/>
      <c r="Q36" s="359">
        <v>0.8741602565764204145926959900</v>
      </c>
      <c r="R36" s="170">
        <v>-2.0873031108786410878297339900</v>
      </c>
      <c r="S36" s="360">
        <v>0.967614451781131414953475500</v>
      </c>
      <c r="T36" s="359">
        <v>0</v>
      </c>
      <c r="U36" s="170">
        <v>0</v>
      </c>
      <c r="V36" s="360">
        <v>2.5277246371256674983829694600</v>
      </c>
      <c r="W36" s="359">
        <v>0</v>
      </c>
      <c r="X36" s="170">
        <v>0</v>
      </c>
      <c r="Y36" s="360">
        <v>6.6953429234027516028711637600</v>
      </c>
      <c r="Z36" s="359">
        <v>0.8741602565764204145926959900</v>
      </c>
      <c r="AA36" s="170">
        <v>-2.0873031108786410878297339800</v>
      </c>
      <c r="AB36" s="360">
        <v>0.7480620807771837737768740800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17</v>
      </c>
      <c r="C37" s="349" t="s">
        <v>53</v>
      </c>
      <c r="D37" s="380">
        <v>288.45669291338582677165354331</v>
      </c>
      <c r="E37" s="383">
        <v>292.01618122977346278317152104</v>
      </c>
      <c r="F37" s="381">
        <v>238.63774704610429851243739988</v>
      </c>
      <c r="G37" s="380">
        <v>0</v>
      </c>
      <c r="H37" s="383">
        <v>339</v>
      </c>
      <c r="I37" s="381">
        <v>224.23800745849587065960218957</v>
      </c>
      <c r="J37" s="380">
        <v>0</v>
      </c>
      <c r="K37" s="383">
        <v>0</v>
      </c>
      <c r="L37" s="381">
        <v>154.71154687597736985928439999</v>
      </c>
      <c r="M37" s="380">
        <v>288.45669291338582677165354331</v>
      </c>
      <c r="N37" s="383">
        <v>292.16774193548387096774193548</v>
      </c>
      <c r="O37" s="381">
        <v>229.14506283662477558348294434</v>
      </c>
      <c r="P37" s="4"/>
      <c r="Q37" s="329">
        <v>3.7990806759759846514002311900</v>
      </c>
      <c r="R37" s="330">
        <v>-4.4867059694105498901727014700</v>
      </c>
      <c r="S37" s="332">
        <v>-0.0665930014353564477341817100</v>
      </c>
      <c r="T37" s="329">
        <v>0</v>
      </c>
      <c r="U37" s="330">
        <v>0</v>
      </c>
      <c r="V37" s="332">
        <v>3.9367820873343560411492620500</v>
      </c>
      <c r="W37" s="329">
        <v>0</v>
      </c>
      <c r="X37" s="330">
        <v>0</v>
      </c>
      <c r="Y37" s="332">
        <v>4.6102511237796176681128170900</v>
      </c>
      <c r="Z37" s="329">
        <v>3.7990806759759846514002311900</v>
      </c>
      <c r="AA37" s="330">
        <v>-4.4371331608523442113013897200</v>
      </c>
      <c r="AB37" s="332">
        <v>0.0714302484551832053282807700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220.33582089552238805970149254</v>
      </c>
      <c r="E39" s="382">
        <v>300.52924861829201203754781939</v>
      </c>
      <c r="F39" s="375">
        <v>232.99629115542304068181960975</v>
      </c>
      <c r="G39" s="374">
        <v>415.29411764705882352941176471</v>
      </c>
      <c r="H39" s="382">
        <v>474.34942906229300349004430849</v>
      </c>
      <c r="I39" s="375">
        <v>281.92185049510955709222019707</v>
      </c>
      <c r="J39" s="374">
        <v>0</v>
      </c>
      <c r="K39" s="382">
        <v>0</v>
      </c>
      <c r="L39" s="375">
        <v>171.37058322944876952143665255</v>
      </c>
      <c r="M39" s="374">
        <v>235.53899082568807339449541284</v>
      </c>
      <c r="N39" s="382">
        <v>305.98140900195694716242661448</v>
      </c>
      <c r="O39" s="375">
        <v>234.15039888239402963126355649</v>
      </c>
      <c r="P39" s="4"/>
      <c r="Q39" s="354">
        <v>-6.1923369459487388272025729900</v>
      </c>
      <c r="R39" s="355">
        <v>13.447948305366676303913900760</v>
      </c>
      <c r="S39" s="356">
        <v>4.4576709194705898663547063900</v>
      </c>
      <c r="T39" s="354">
        <v>-5.9561289132743902337528617800</v>
      </c>
      <c r="U39" s="355">
        <v>164.99879344691444487033381103</v>
      </c>
      <c r="V39" s="356">
        <v>-14.182434513205301880981615860</v>
      </c>
      <c r="W39" s="354">
        <v>0</v>
      </c>
      <c r="X39" s="355">
        <v>0</v>
      </c>
      <c r="Y39" s="356">
        <v>6.3711039882725524970191891100</v>
      </c>
      <c r="Z39" s="354">
        <v>-9.070927711720199318089967530</v>
      </c>
      <c r="AA39" s="355">
        <v>15.939921896539706298058590460</v>
      </c>
      <c r="AB39" s="356">
        <v>-0.6290777017011705567998582300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211.12332439678284182305630027</v>
      </c>
      <c r="E40" s="172">
        <v>279.4378433377669783625229522</v>
      </c>
      <c r="F40" s="371">
        <v>220.21551110300770306876889459</v>
      </c>
      <c r="G40" s="370">
        <v>231.64705882352941176470588235</v>
      </c>
      <c r="H40" s="172">
        <v>402.88333802605154608999676659</v>
      </c>
      <c r="I40" s="371">
        <v>262.00801282431353425869980783</v>
      </c>
      <c r="J40" s="370">
        <v>0</v>
      </c>
      <c r="K40" s="172">
        <v>0</v>
      </c>
      <c r="L40" s="371">
        <v>164.74624315632503702606281748</v>
      </c>
      <c r="M40" s="370">
        <v>212.83783783783783783783783784</v>
      </c>
      <c r="N40" s="172">
        <v>286.62374245472837022132796781</v>
      </c>
      <c r="O40" s="371">
        <v>223.95106820350928713016665443</v>
      </c>
      <c r="P40" s="4"/>
      <c r="Q40" s="327">
        <v>9.403295065156025134004300870</v>
      </c>
      <c r="R40" s="171">
        <v>15.673660208440561606607882490</v>
      </c>
      <c r="S40" s="328">
        <v>5.5844006343618737340829787600</v>
      </c>
      <c r="T40" s="327">
        <v>8.214684413911550021468441390</v>
      </c>
      <c r="U40" s="171">
        <v>62.902920176446550706047969480</v>
      </c>
      <c r="V40" s="328">
        <v>-6.4359101003761281188253141100</v>
      </c>
      <c r="W40" s="327">
        <v>0</v>
      </c>
      <c r="X40" s="171">
        <v>0</v>
      </c>
      <c r="Y40" s="328">
        <v>6.3178737356830629004832759400</v>
      </c>
      <c r="Z40" s="327">
        <v>9.867747550661309899771807820</v>
      </c>
      <c r="AA40" s="171">
        <v>18.600588457718826691981898120</v>
      </c>
      <c r="AB40" s="328">
        <v>1.1298098122509896489360724100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221.27762803234501347708894879</v>
      </c>
      <c r="E41" s="173">
        <v>266.78702150887644335255338345</v>
      </c>
      <c r="F41" s="379">
        <v>229.03974939671497188271680007</v>
      </c>
      <c r="G41" s="378">
        <v>237.57142857142857142857142857</v>
      </c>
      <c r="H41" s="173">
        <v>399.42263167097176375835979623</v>
      </c>
      <c r="I41" s="379">
        <v>264.93363100670260464932559514</v>
      </c>
      <c r="J41" s="378">
        <v>0</v>
      </c>
      <c r="K41" s="173">
        <v>0</v>
      </c>
      <c r="L41" s="379">
        <v>145.09229652617858954187439278</v>
      </c>
      <c r="M41" s="378">
        <v>222.68226600985221674876847291</v>
      </c>
      <c r="N41" s="173">
        <v>278.9375</v>
      </c>
      <c r="O41" s="379">
        <v>229.52178492434083488396587438</v>
      </c>
      <c r="P41" s="4"/>
      <c r="Q41" s="359">
        <v>16.413719305302404191908048870</v>
      </c>
      <c r="R41" s="170">
        <v>15.486864241107389026636045450</v>
      </c>
      <c r="S41" s="360">
        <v>7.0370776598569387635270639100</v>
      </c>
      <c r="T41" s="359">
        <v>15.982796698844865269717352410</v>
      </c>
      <c r="U41" s="170">
        <v>2.4493674796334043434790294900</v>
      </c>
      <c r="V41" s="360">
        <v>-2.2763771258863469178547477100</v>
      </c>
      <c r="W41" s="359">
        <v>0</v>
      </c>
      <c r="X41" s="170">
        <v>0</v>
      </c>
      <c r="Y41" s="360">
        <v>-2.1097383267062531244258203500</v>
      </c>
      <c r="Z41" s="359">
        <v>16.689179739443118476599007130</v>
      </c>
      <c r="AA41" s="170">
        <v>18.465206061428782951119177540</v>
      </c>
      <c r="AB41" s="360">
        <v>2.4460993634088108866603721300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199.35087719298245614035087719</v>
      </c>
      <c r="E42" s="172">
        <v>263.16477275001438306686095151</v>
      </c>
      <c r="F42" s="371">
        <v>225.5529236816700421176257524</v>
      </c>
      <c r="G42" s="370">
        <v>251.47058823529411764705882353</v>
      </c>
      <c r="H42" s="172">
        <v>401.97066725909901450246473936</v>
      </c>
      <c r="I42" s="371">
        <v>256.24384814922144879446037413</v>
      </c>
      <c r="J42" s="370">
        <v>0</v>
      </c>
      <c r="K42" s="172">
        <v>0</v>
      </c>
      <c r="L42" s="371">
        <v>156.57191135356840459037680099</v>
      </c>
      <c r="M42" s="370">
        <v>205.25777777777777777777777778</v>
      </c>
      <c r="N42" s="172">
        <v>276.91981566820276497695852535</v>
      </c>
      <c r="O42" s="371">
        <v>227.60911183003702097855451422</v>
      </c>
      <c r="P42" s="4"/>
      <c r="Q42" s="327">
        <v>5.7991530400256707213984948100</v>
      </c>
      <c r="R42" s="171">
        <v>14.519550726109439371727963100</v>
      </c>
      <c r="S42" s="328">
        <v>3.4723838478789574319174379300</v>
      </c>
      <c r="T42" s="327">
        <v>3.1462626067654297157747430400</v>
      </c>
      <c r="U42" s="171">
        <v>34.961878392330190656538886060</v>
      </c>
      <c r="V42" s="328">
        <v>-0.8643446536479317701666223900</v>
      </c>
      <c r="W42" s="327">
        <v>0</v>
      </c>
      <c r="X42" s="171">
        <v>0</v>
      </c>
      <c r="Y42" s="328">
        <v>1.6613629803278008957684618600</v>
      </c>
      <c r="Z42" s="327">
        <v>6.5615162752632620147363650400</v>
      </c>
      <c r="AA42" s="171">
        <v>19.765838846105143145093773660</v>
      </c>
      <c r="AB42" s="328">
        <v>2.4059364424222226924336415800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214.22384428223844282238442822</v>
      </c>
      <c r="E43" s="173">
        <v>295.75919891312195571074029105</v>
      </c>
      <c r="F43" s="379">
        <v>237.30338490184050606205313905</v>
      </c>
      <c r="G43" s="378">
        <v>319.36956521739130434782608696</v>
      </c>
      <c r="H43" s="173">
        <v>432.69594160320882462965578158</v>
      </c>
      <c r="I43" s="379">
        <v>267.9389579649243471494945179</v>
      </c>
      <c r="J43" s="378">
        <v>0</v>
      </c>
      <c r="K43" s="173">
        <v>0</v>
      </c>
      <c r="L43" s="379">
        <v>158.44453421434649757462788041</v>
      </c>
      <c r="M43" s="378">
        <v>224.80743982494529540481400438</v>
      </c>
      <c r="N43" s="173">
        <v>308.55565449688334817453250223</v>
      </c>
      <c r="O43" s="379">
        <v>236.08661134343962362780972295</v>
      </c>
      <c r="P43" s="4"/>
      <c r="Q43" s="359">
        <v>-8.333143152845541994552066010</v>
      </c>
      <c r="R43" s="170">
        <v>5.4398520156361268704224751200</v>
      </c>
      <c r="S43" s="360">
        <v>-0.9059406894127802508658209400</v>
      </c>
      <c r="T43" s="359">
        <v>-17.252026442310255854578367560</v>
      </c>
      <c r="U43" s="170">
        <v>39.467209361548594539272209430</v>
      </c>
      <c r="V43" s="360">
        <v>0.244913739015516945188536200</v>
      </c>
      <c r="W43" s="359">
        <v>0</v>
      </c>
      <c r="X43" s="170">
        <v>0</v>
      </c>
      <c r="Y43" s="360">
        <v>3.9477286879814604354580146800</v>
      </c>
      <c r="Z43" s="359">
        <v>-11.914927593623275249492385890</v>
      </c>
      <c r="AA43" s="170">
        <v>9.797866148117494338078483410</v>
      </c>
      <c r="AB43" s="360">
        <v>-1.5184727818508474501361927100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308.77205882352941176470588235</v>
      </c>
      <c r="E44" s="172">
        <v>380.49463837917032164776588143</v>
      </c>
      <c r="F44" s="371">
        <v>270.03261133504071784390629307</v>
      </c>
      <c r="G44" s="370">
        <v>414.08163265306122448979591837</v>
      </c>
      <c r="H44" s="172">
        <v>467.12066481376553327547169545</v>
      </c>
      <c r="I44" s="371">
        <v>276.36199443909870215827345982</v>
      </c>
      <c r="J44" s="370">
        <v>0</v>
      </c>
      <c r="K44" s="172">
        <v>0</v>
      </c>
      <c r="L44" s="371">
        <v>164.80699963551868278787622858</v>
      </c>
      <c r="M44" s="370">
        <v>320.06345733041575492341356674</v>
      </c>
      <c r="N44" s="172">
        <v>384.20303285593934288121314238</v>
      </c>
      <c r="O44" s="371">
        <v>261.96761367085533903964062405</v>
      </c>
      <c r="P44" s="4"/>
      <c r="Q44" s="327">
        <v>-4.9459903251429979601976325400</v>
      </c>
      <c r="R44" s="171">
        <v>9.052586733475932980982387660</v>
      </c>
      <c r="S44" s="328">
        <v>-1.8772181191654232535126916400</v>
      </c>
      <c r="T44" s="327">
        <v>6.3058252182714616967310792300</v>
      </c>
      <c r="U44" s="171">
        <v>128.70118365761488697467552039</v>
      </c>
      <c r="V44" s="328">
        <v>-3.5668686492089940424716581400</v>
      </c>
      <c r="W44" s="327">
        <v>0</v>
      </c>
      <c r="X44" s="171">
        <v>0</v>
      </c>
      <c r="Y44" s="328">
        <v>2.4986351664793890871773971600</v>
      </c>
      <c r="Z44" s="327">
        <v>-5.4808728836475879881523548600</v>
      </c>
      <c r="AA44" s="171">
        <v>10.364462112021791556103258430</v>
      </c>
      <c r="AB44" s="328">
        <v>-2.3049763671723722170220695700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313.98177676537585421412300683</v>
      </c>
      <c r="E45" s="385">
        <v>364.74260221451133780356414623</v>
      </c>
      <c r="F45" s="386">
        <v>276.77402304072679744496759242</v>
      </c>
      <c r="G45" s="384">
        <v>412.35416666666666666666666667</v>
      </c>
      <c r="H45" s="385">
        <v>468.69852400718434324976627413</v>
      </c>
      <c r="I45" s="386">
        <v>283.53923697057867212923421256</v>
      </c>
      <c r="J45" s="384">
        <v>0</v>
      </c>
      <c r="K45" s="385">
        <v>0</v>
      </c>
      <c r="L45" s="386">
        <v>165.10338506591228829859579285</v>
      </c>
      <c r="M45" s="384">
        <v>323.67761806981519507186858316</v>
      </c>
      <c r="N45" s="385">
        <v>369.02270884022708840227088402</v>
      </c>
      <c r="O45" s="386">
        <v>267.89521387974872868680825606</v>
      </c>
      <c r="P45" s="4"/>
      <c r="Q45" s="364">
        <v>-1.900863168890492371505137900</v>
      </c>
      <c r="R45" s="365">
        <v>4.8235889102725468677050158700</v>
      </c>
      <c r="S45" s="366">
        <v>1.7942613942242250728213041200</v>
      </c>
      <c r="T45" s="364">
        <v>-2.0226120703388228566394472600</v>
      </c>
      <c r="U45" s="365">
        <v>123.72250073622235289056288299</v>
      </c>
      <c r="V45" s="366">
        <v>-6.7986011347554580339519668700</v>
      </c>
      <c r="W45" s="364">
        <v>0</v>
      </c>
      <c r="X45" s="365">
        <v>0</v>
      </c>
      <c r="Y45" s="366">
        <v>4.2675243397454948089079334800</v>
      </c>
      <c r="Z45" s="364">
        <v>-4.6234362408196011619358258800</v>
      </c>
      <c r="AA45" s="365">
        <v>6.1669862852807293853619887200</v>
      </c>
      <c r="AB45" s="366">
        <v>0.2759862828216716497166950100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201.28461538461538461538461538</v>
      </c>
      <c r="E47" s="382">
        <v>238.65662272441933458882611425</v>
      </c>
      <c r="F47" s="375">
        <v>210.90030114791231846184446278</v>
      </c>
      <c r="G47" s="374">
        <v>171.75555555555555555555555556</v>
      </c>
      <c r="H47" s="382">
        <v>180.88235294117647058823529412</v>
      </c>
      <c r="I47" s="375">
        <v>237.90095637927333235109226396</v>
      </c>
      <c r="J47" s="374">
        <v>0</v>
      </c>
      <c r="K47" s="382">
        <v>0</v>
      </c>
      <c r="L47" s="375">
        <v>150.62581585356429459574614648</v>
      </c>
      <c r="M47" s="374">
        <v>199.37266187050359712230215827</v>
      </c>
      <c r="N47" s="382">
        <v>238.04658385093167701863354037</v>
      </c>
      <c r="O47" s="375">
        <v>209.71927277189251094114278703</v>
      </c>
      <c r="P47" s="4"/>
      <c r="Q47" s="354">
        <v>1.7563884767042333076002216400</v>
      </c>
      <c r="R47" s="355">
        <v>-2.4293056779987441581709966600</v>
      </c>
      <c r="S47" s="356">
        <v>0.249648661853123671857153600</v>
      </c>
      <c r="T47" s="354">
        <v>0</v>
      </c>
      <c r="U47" s="355">
        <v>-9.103970157464713630447344830</v>
      </c>
      <c r="V47" s="356">
        <v>10.769442362150788405213647190</v>
      </c>
      <c r="W47" s="354">
        <v>0</v>
      </c>
      <c r="X47" s="355">
        <v>0</v>
      </c>
      <c r="Y47" s="356">
        <v>0.9416115286391144210186334100</v>
      </c>
      <c r="Z47" s="354">
        <v>0.7898293377476600861407470200</v>
      </c>
      <c r="AA47" s="355">
        <v>-2.670044534756574322357903400</v>
      </c>
      <c r="AB47" s="356">
        <v>1.826958042453743485899482500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242.89047449161612557973599715</v>
      </c>
      <c r="E48" s="172">
        <v>310.88598448930038742351543234</v>
      </c>
      <c r="F48" s="371">
        <v>244.25328905258763618565798015</v>
      </c>
      <c r="G48" s="370">
        <v>329.66329966329966329966329966</v>
      </c>
      <c r="H48" s="172">
        <v>426.19174664333463416913134456</v>
      </c>
      <c r="I48" s="371">
        <v>268.64933123317099360580418782</v>
      </c>
      <c r="J48" s="370">
        <v>0</v>
      </c>
      <c r="K48" s="172">
        <v>0</v>
      </c>
      <c r="L48" s="371">
        <v>160.99947368430652368579721333</v>
      </c>
      <c r="M48" s="370">
        <v>251.20387096774193548387096774</v>
      </c>
      <c r="N48" s="172">
        <v>318.37102243088158581116327595</v>
      </c>
      <c r="O48" s="371">
        <v>241.28738928882811718351731597</v>
      </c>
      <c r="P48" s="4"/>
      <c r="Q48" s="327">
        <v>2.1429908849587508079493238100</v>
      </c>
      <c r="R48" s="171">
        <v>9.758038290869599376836509280</v>
      </c>
      <c r="S48" s="328">
        <v>2.0989439540654444592522987500</v>
      </c>
      <c r="T48" s="327">
        <v>-11.216790094712715572605909010</v>
      </c>
      <c r="U48" s="171">
        <v>45.789480890275355431962157120</v>
      </c>
      <c r="V48" s="328">
        <v>-4.426324739641562392222954600</v>
      </c>
      <c r="W48" s="327">
        <v>0</v>
      </c>
      <c r="X48" s="171">
        <v>0</v>
      </c>
      <c r="Y48" s="328">
        <v>3.3383722748552068018433271100</v>
      </c>
      <c r="Z48" s="327">
        <v>-0.9737179944193990723259742400</v>
      </c>
      <c r="AA48" s="171">
        <v>12.350497509699871656009890410</v>
      </c>
      <c r="AB48" s="328">
        <v>0.1458539983512841807353667900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237.18313404657016991818753933</v>
      </c>
      <c r="E49" s="385">
        <v>292.62457181666740462388296775</v>
      </c>
      <c r="F49" s="386">
        <v>244.23797787188679994189598218</v>
      </c>
      <c r="G49" s="384">
        <v>350.50236966824644549763033175</v>
      </c>
      <c r="H49" s="385">
        <v>441.98784551022248426077471048</v>
      </c>
      <c r="I49" s="386">
        <v>264.85040630761034835400599818</v>
      </c>
      <c r="J49" s="384">
        <v>0</v>
      </c>
      <c r="K49" s="385">
        <v>0</v>
      </c>
      <c r="L49" s="386">
        <v>159.28195665967934259525149251</v>
      </c>
      <c r="M49" s="384">
        <v>250.46666666666666666666666667</v>
      </c>
      <c r="N49" s="385">
        <v>305.39215236346948141349242772</v>
      </c>
      <c r="O49" s="386">
        <v>239.91476631925836459474808232</v>
      </c>
      <c r="P49" s="4"/>
      <c r="Q49" s="364">
        <v>3.1409599478811387389048146100</v>
      </c>
      <c r="R49" s="365">
        <v>1.7027680685030101548210490900</v>
      </c>
      <c r="S49" s="366">
        <v>2.4172331220922498242400514600</v>
      </c>
      <c r="T49" s="364">
        <v>-10.146242142425927235015435090</v>
      </c>
      <c r="U49" s="365">
        <v>110.03310970238656734542216593</v>
      </c>
      <c r="V49" s="366">
        <v>-3.8472347820961571025430073400</v>
      </c>
      <c r="W49" s="364">
        <v>0</v>
      </c>
      <c r="X49" s="365">
        <v>0</v>
      </c>
      <c r="Y49" s="366">
        <v>3.6377258465940218250294954400</v>
      </c>
      <c r="Z49" s="364">
        <v>-3.1809101814864069854423742700</v>
      </c>
      <c r="AA49" s="365">
        <v>6.3096012670539101091117865300</v>
      </c>
      <c r="AB49" s="366">
        <v>0.4986871544944252874733249100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45.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135</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178</v>
      </c>
      <c r="B4" s="442"/>
      <c r="C4" s="211"/>
      <c r="D4" s="212"/>
      <c r="E4" s="212"/>
      <c r="F4" s="212"/>
      <c r="G4" s="212"/>
      <c r="H4" s="212"/>
      <c r="I4" s="212"/>
      <c r="J4" s="212"/>
      <c r="K4" s="212"/>
      <c r="L4" s="212"/>
      <c r="M4" s="212"/>
      <c r="N4" s="212"/>
      <c r="O4" s="212"/>
      <c r="P4" s="212"/>
      <c r="Q4" s="212"/>
      <c r="R4" s="677" t="s">
        <v>180</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182</v>
      </c>
      <c r="B10" s="342">
        <v>20</v>
      </c>
      <c r="C10" s="343" t="s">
        <v>49</v>
      </c>
      <c r="D10" s="374">
        <v>194.85606060606060606060606061</v>
      </c>
      <c r="E10" s="382">
        <v>241.27325581395348837209302326</v>
      </c>
      <c r="F10" s="375">
        <v>130.37840458849525063008327852</v>
      </c>
      <c r="G10" s="374">
        <v>0</v>
      </c>
      <c r="H10" s="382">
        <v>1.0436046511627906976744186047</v>
      </c>
      <c r="I10" s="375">
        <v>5.3778863850668621397183598065</v>
      </c>
      <c r="J10" s="374">
        <v>0</v>
      </c>
      <c r="K10" s="382">
        <v>0</v>
      </c>
      <c r="L10" s="375">
        <v>13.265187495836281558214209862</v>
      </c>
      <c r="M10" s="374">
        <v>194.85606060606060606060606061</v>
      </c>
      <c r="N10" s="382">
        <v>242.31686046511627906976744186</v>
      </c>
      <c r="O10" s="375">
        <v>149.02147846939839432801584819</v>
      </c>
      <c r="P10" s="4"/>
      <c r="Q10" s="354">
        <v>9.181594362847284462274168480</v>
      </c>
      <c r="R10" s="355">
        <v>31.609276876165132436648253830</v>
      </c>
      <c r="S10" s="356">
        <v>20.463425738576849167806437540</v>
      </c>
      <c r="T10" s="354">
        <v>0</v>
      </c>
      <c r="U10" s="355">
        <v>-80.52256758647481255400555565</v>
      </c>
      <c r="V10" s="356">
        <v>-87.80971480648330947480161693</v>
      </c>
      <c r="W10" s="354">
        <v>0</v>
      </c>
      <c r="X10" s="355">
        <v>0</v>
      </c>
      <c r="Y10" s="356">
        <v>17.732822836409692200678139760</v>
      </c>
      <c r="Z10" s="354">
        <v>9.181594362847284462274168480</v>
      </c>
      <c r="AA10" s="355">
        <v>28.425083109327255551579673630</v>
      </c>
      <c r="AB10" s="356">
        <v>-8.918902972556678654692991470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21</v>
      </c>
      <c r="C11" s="345" t="s">
        <v>47</v>
      </c>
      <c r="D11" s="370">
        <v>170.32575757575757575757575758</v>
      </c>
      <c r="E11" s="172">
        <v>203.67441860465116279069767442</v>
      </c>
      <c r="F11" s="371">
        <v>107.9034791713262077446372638</v>
      </c>
      <c r="G11" s="370">
        <v>0</v>
      </c>
      <c r="H11" s="172">
        <v>9.799418604651162790697674419</v>
      </c>
      <c r="I11" s="371">
        <v>16.400799603952728574479180634</v>
      </c>
      <c r="J11" s="370">
        <v>0</v>
      </c>
      <c r="K11" s="172">
        <v>0</v>
      </c>
      <c r="L11" s="371">
        <v>10.603551482254167632504867215</v>
      </c>
      <c r="M11" s="370">
        <v>170.32575757575757575757575758</v>
      </c>
      <c r="N11" s="172">
        <v>213.47383720930232558139534884</v>
      </c>
      <c r="O11" s="371">
        <v>134.90783025753310395162131165</v>
      </c>
      <c r="P11" s="4"/>
      <c r="Q11" s="327">
        <v>-20.984747311447838187876894570</v>
      </c>
      <c r="R11" s="171">
        <v>17.747503126405564928698795620</v>
      </c>
      <c r="S11" s="328">
        <v>0.7775009937105724913241823100</v>
      </c>
      <c r="T11" s="327">
        <v>0</v>
      </c>
      <c r="U11" s="171">
        <v>-12.620351223317497942326426910</v>
      </c>
      <c r="V11" s="328">
        <v>-73.781262338233619759971572980</v>
      </c>
      <c r="W11" s="327">
        <v>0</v>
      </c>
      <c r="X11" s="171">
        <v>0</v>
      </c>
      <c r="Y11" s="328">
        <v>3.3534639357581415453543582500</v>
      </c>
      <c r="Z11" s="327">
        <v>-20.984747311447838187876894570</v>
      </c>
      <c r="AA11" s="171">
        <v>15.898501525008992662806484350</v>
      </c>
      <c r="AB11" s="328">
        <v>-25.002973387932683611308997990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22</v>
      </c>
      <c r="C12" s="347" t="s">
        <v>48</v>
      </c>
      <c r="D12" s="378">
        <v>182.71212121212121212121212121</v>
      </c>
      <c r="E12" s="173">
        <v>209.81976744186046511627906977</v>
      </c>
      <c r="F12" s="379">
        <v>111.92422799482050410689363842</v>
      </c>
      <c r="G12" s="378">
        <v>0</v>
      </c>
      <c r="H12" s="173">
        <v>10.497093023255813953488372093</v>
      </c>
      <c r="I12" s="379">
        <v>30.503744950840431680165373597</v>
      </c>
      <c r="J12" s="378">
        <v>0</v>
      </c>
      <c r="K12" s="173">
        <v>0</v>
      </c>
      <c r="L12" s="379">
        <v>9.435857728929826385811387315</v>
      </c>
      <c r="M12" s="378">
        <v>182.71212121212121212121212121</v>
      </c>
      <c r="N12" s="173">
        <v>220.31686046511627906976744186</v>
      </c>
      <c r="O12" s="379">
        <v>151.86383067459076217287039933</v>
      </c>
      <c r="P12" s="4"/>
      <c r="Q12" s="359">
        <v>-5.263571372438733016835089400</v>
      </c>
      <c r="R12" s="170">
        <v>25.866505718040210447292431950</v>
      </c>
      <c r="S12" s="360">
        <v>-0.1412503367282644271029791800</v>
      </c>
      <c r="T12" s="359">
        <v>0</v>
      </c>
      <c r="U12" s="170">
        <v>-63.608665012304038302848688170</v>
      </c>
      <c r="V12" s="360">
        <v>-56.808389770761853106948161210</v>
      </c>
      <c r="W12" s="359">
        <v>0</v>
      </c>
      <c r="X12" s="170">
        <v>0</v>
      </c>
      <c r="Y12" s="360">
        <v>-11.714525189136821719215662180</v>
      </c>
      <c r="Z12" s="359">
        <v>-5.263571372438733016835089400</v>
      </c>
      <c r="AA12" s="170">
        <v>12.667954298636565702467523020</v>
      </c>
      <c r="AB12" s="360">
        <v>-21.474657702845476934163586290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23</v>
      </c>
      <c r="C13" s="345" t="s">
        <v>50</v>
      </c>
      <c r="D13" s="370">
        <v>180.12878787878787878787878788</v>
      </c>
      <c r="E13" s="172">
        <v>238.0436046511627906976744186</v>
      </c>
      <c r="F13" s="371">
        <v>113.39094959191529401742360717</v>
      </c>
      <c r="G13" s="370">
        <v>2.2651515151515151515151515152</v>
      </c>
      <c r="H13" s="172">
        <v>0</v>
      </c>
      <c r="I13" s="371">
        <v>43.845029457463551873917006464</v>
      </c>
      <c r="J13" s="370">
        <v>0</v>
      </c>
      <c r="K13" s="172">
        <v>0</v>
      </c>
      <c r="L13" s="371">
        <v>9.332991860849493176535520238</v>
      </c>
      <c r="M13" s="370">
        <v>182.39393939393939393939393939</v>
      </c>
      <c r="N13" s="172">
        <v>238.0436046511627906976744186</v>
      </c>
      <c r="O13" s="371">
        <v>166.56897091022833906787613388</v>
      </c>
      <c r="P13" s="4"/>
      <c r="Q13" s="327">
        <v>0.4478053313944274551199438600</v>
      </c>
      <c r="R13" s="171">
        <v>34.924220946736899054125039240</v>
      </c>
      <c r="S13" s="328">
        <v>-9.683713314099791265901956680</v>
      </c>
      <c r="T13" s="327">
        <v>0</v>
      </c>
      <c r="U13" s="171">
        <v>-100</v>
      </c>
      <c r="V13" s="328">
        <v>-17.877401970737159563505572950</v>
      </c>
      <c r="W13" s="327">
        <v>0</v>
      </c>
      <c r="X13" s="171">
        <v>0</v>
      </c>
      <c r="Y13" s="328">
        <v>-10.793092567063752852107332250</v>
      </c>
      <c r="Z13" s="327">
        <v>1.7109543322812901295145631700</v>
      </c>
      <c r="AA13" s="171">
        <v>25.525474905528882992773170960</v>
      </c>
      <c r="AB13" s="328">
        <v>-12.054694319205497748941542700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24</v>
      </c>
      <c r="C14" s="347" t="s">
        <v>51</v>
      </c>
      <c r="D14" s="378">
        <v>179.6969696969696969696969697</v>
      </c>
      <c r="E14" s="173">
        <v>291.65697674418604651162790698</v>
      </c>
      <c r="F14" s="379">
        <v>123.61993745759335377741099659</v>
      </c>
      <c r="G14" s="378">
        <v>4.5303030303030303030303030303</v>
      </c>
      <c r="H14" s="173">
        <v>2.6104651162790697674418604651</v>
      </c>
      <c r="I14" s="379">
        <v>35.08663559880769745904872126</v>
      </c>
      <c r="J14" s="378">
        <v>0</v>
      </c>
      <c r="K14" s="173">
        <v>0</v>
      </c>
      <c r="L14" s="379">
        <v>11.782531312277918631124475668</v>
      </c>
      <c r="M14" s="378">
        <v>184.22727272727272727272727273</v>
      </c>
      <c r="N14" s="173">
        <v>294.26744186046511627906976744</v>
      </c>
      <c r="O14" s="379">
        <v>170.48910436867896986758419351</v>
      </c>
      <c r="P14" s="4"/>
      <c r="Q14" s="359">
        <v>-27.806184562943956433483213640</v>
      </c>
      <c r="R14" s="170">
        <v>19.812192006921739557900573780</v>
      </c>
      <c r="S14" s="360">
        <v>-7.5315247955479975779289509200</v>
      </c>
      <c r="T14" s="359">
        <v>140.16064256565152174973844456</v>
      </c>
      <c r="U14" s="170">
        <v>-80.23866360254758086419929936</v>
      </c>
      <c r="V14" s="360">
        <v>-58.825141627936107056678500550</v>
      </c>
      <c r="W14" s="359">
        <v>0</v>
      </c>
      <c r="X14" s="170">
        <v>0</v>
      </c>
      <c r="Y14" s="360">
        <v>20.093195809644867382395678280</v>
      </c>
      <c r="Z14" s="359">
        <v>-26.542818305405248243170746670</v>
      </c>
      <c r="AA14" s="170">
        <v>14.662269325300986542197854180</v>
      </c>
      <c r="AB14" s="360">
        <v>-25.457392620864090132834050100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25</v>
      </c>
      <c r="C15" s="345" t="s">
        <v>52</v>
      </c>
      <c r="D15" s="370">
        <v>247.15151515151515151515151515</v>
      </c>
      <c r="E15" s="172">
        <v>412.2906976744186046511627907</v>
      </c>
      <c r="F15" s="371">
        <v>171.22149811455875179439140429</v>
      </c>
      <c r="G15" s="370">
        <v>8.159090909090909090909090909</v>
      </c>
      <c r="H15" s="172">
        <v>3.9156976744186046511627906977</v>
      </c>
      <c r="I15" s="371">
        <v>33.039287487724659629378799421</v>
      </c>
      <c r="J15" s="370">
        <v>0</v>
      </c>
      <c r="K15" s="172">
        <v>0</v>
      </c>
      <c r="L15" s="371">
        <v>11.553310946564466795393595675</v>
      </c>
      <c r="M15" s="370">
        <v>255.31060606060606060606060606</v>
      </c>
      <c r="N15" s="172">
        <v>416.2063953488372093023255814</v>
      </c>
      <c r="O15" s="371">
        <v>215.8140965488478782191637994</v>
      </c>
      <c r="P15" s="4"/>
      <c r="Q15" s="327">
        <v>-24.204265601050705267242091820</v>
      </c>
      <c r="R15" s="171">
        <v>22.382708933256055446725817360</v>
      </c>
      <c r="S15" s="328">
        <v>-6.4579154752144120465528216900</v>
      </c>
      <c r="T15" s="327">
        <v>332.53012047358978081014766687</v>
      </c>
      <c r="U15" s="171">
        <v>0</v>
      </c>
      <c r="V15" s="328">
        <v>-22.385169488659835451670637980</v>
      </c>
      <c r="W15" s="327">
        <v>0</v>
      </c>
      <c r="X15" s="171">
        <v>0</v>
      </c>
      <c r="Y15" s="328">
        <v>-4.2058321785540975999866068300</v>
      </c>
      <c r="Z15" s="327">
        <v>-22.152410431724423708142773980</v>
      </c>
      <c r="AA15" s="171">
        <v>23.545028848456833196441950120</v>
      </c>
      <c r="AB15" s="328">
        <v>-9.196298003923361016525213980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26</v>
      </c>
      <c r="C16" s="347" t="s">
        <v>53</v>
      </c>
      <c r="D16" s="378">
        <v>277.62121212121212121212121212</v>
      </c>
      <c r="E16" s="173">
        <v>364.38372093023255813953488372</v>
      </c>
      <c r="F16" s="379">
        <v>184.62996590247035298399443111</v>
      </c>
      <c r="G16" s="378">
        <v>8.159090909090909090909090909</v>
      </c>
      <c r="H16" s="173">
        <v>10.328488372093023255813953488</v>
      </c>
      <c r="I16" s="379">
        <v>35.906806502707922256031529591</v>
      </c>
      <c r="J16" s="378">
        <v>0</v>
      </c>
      <c r="K16" s="173">
        <v>0</v>
      </c>
      <c r="L16" s="379">
        <v>12.049610662280800977261079218</v>
      </c>
      <c r="M16" s="378">
        <v>285.78030303030303030303030303</v>
      </c>
      <c r="N16" s="173">
        <v>374.71220930232558139534883721</v>
      </c>
      <c r="O16" s="379">
        <v>232.58638306745907621728703993</v>
      </c>
      <c r="P16" s="4"/>
      <c r="Q16" s="359">
        <v>-10.280328069525882550798552140</v>
      </c>
      <c r="R16" s="170">
        <v>9.777254942552885192990875900</v>
      </c>
      <c r="S16" s="360">
        <v>-4.6552410415023481573057001400</v>
      </c>
      <c r="T16" s="359">
        <v>332.53012047358978081014766687</v>
      </c>
      <c r="U16" s="170">
        <v>0</v>
      </c>
      <c r="V16" s="360">
        <v>100.39396702008393205121034590</v>
      </c>
      <c r="W16" s="359">
        <v>0</v>
      </c>
      <c r="X16" s="170">
        <v>0</v>
      </c>
      <c r="Y16" s="360">
        <v>-4.766033275939279119396677700</v>
      </c>
      <c r="Z16" s="359">
        <v>-8.203144011296547244229641510</v>
      </c>
      <c r="AA16" s="170">
        <v>12.888900814931306875751642590</v>
      </c>
      <c r="AB16" s="360">
        <v>3.733485752373644169583648900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27</v>
      </c>
      <c r="C17" s="345" t="s">
        <v>49</v>
      </c>
      <c r="D17" s="370">
        <v>191.49242424242424242424242424</v>
      </c>
      <c r="E17" s="172">
        <v>261.29914193960159212075292195</v>
      </c>
      <c r="F17" s="371">
        <v>133.95260909591175546003296682</v>
      </c>
      <c r="G17" s="370">
        <v>11.628787878787878787878787879</v>
      </c>
      <c r="H17" s="172">
        <v>25.160160385979803228084287366</v>
      </c>
      <c r="I17" s="371">
        <v>51.461756355239667924592234302</v>
      </c>
      <c r="J17" s="370">
        <v>0</v>
      </c>
      <c r="K17" s="172">
        <v>0</v>
      </c>
      <c r="L17" s="371">
        <v>12.276073502033854480039588781</v>
      </c>
      <c r="M17" s="370">
        <v>203.12121212121212121212121212</v>
      </c>
      <c r="N17" s="172">
        <v>286.4593023255813953488372093</v>
      </c>
      <c r="O17" s="371">
        <v>197.69043895318527786466478991</v>
      </c>
      <c r="P17" s="4"/>
      <c r="Q17" s="327">
        <v>-3.4639474488060123337822436900</v>
      </c>
      <c r="R17" s="171">
        <v>35.840021430693464827064160860</v>
      </c>
      <c r="S17" s="328">
        <v>29.808571396972960551124652690</v>
      </c>
      <c r="T17" s="327">
        <v>62.262156447448252126460071560</v>
      </c>
      <c r="U17" s="171">
        <v>0</v>
      </c>
      <c r="V17" s="328">
        <v>27.075522140449157322048773940</v>
      </c>
      <c r="W17" s="327">
        <v>0</v>
      </c>
      <c r="X17" s="171">
        <v>0</v>
      </c>
      <c r="Y17" s="328">
        <v>10.568251402073019145787195620</v>
      </c>
      <c r="Z17" s="327">
        <v>-1.172134168815350860806027500</v>
      </c>
      <c r="AA17" s="171">
        <v>48.919883464152357969630435060</v>
      </c>
      <c r="AB17" s="328">
        <v>27.713503683576703737326731090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28</v>
      </c>
      <c r="C18" s="347" t="s">
        <v>47</v>
      </c>
      <c r="D18" s="378">
        <v>222.54545454545454545454545455</v>
      </c>
      <c r="E18" s="173">
        <v>313.08263926830011957119183058</v>
      </c>
      <c r="F18" s="379">
        <v>149.42520922875742026463859114</v>
      </c>
      <c r="G18" s="378">
        <v>45.583333333333333333333333333</v>
      </c>
      <c r="H18" s="173">
        <v>34.44352352239755484741282057</v>
      </c>
      <c r="I18" s="379">
        <v>75.64727455772382959002594396</v>
      </c>
      <c r="J18" s="378">
        <v>0</v>
      </c>
      <c r="K18" s="173">
        <v>0</v>
      </c>
      <c r="L18" s="379">
        <v>13.036889584387272718581216124</v>
      </c>
      <c r="M18" s="378">
        <v>268.12878787878787878787878788</v>
      </c>
      <c r="N18" s="173">
        <v>347.52616279069767441860465116</v>
      </c>
      <c r="O18" s="379">
        <v>238.10937337086852257324575123</v>
      </c>
      <c r="P18" s="4"/>
      <c r="Q18" s="359">
        <v>36.588087599401488418200519070</v>
      </c>
      <c r="R18" s="170">
        <v>103.54425435022060344340090536</v>
      </c>
      <c r="S18" s="360">
        <v>59.865695476560695738922028450</v>
      </c>
      <c r="T18" s="359">
        <v>75.678832116583148809206910190</v>
      </c>
      <c r="U18" s="170">
        <v>0</v>
      </c>
      <c r="V18" s="360">
        <v>25.767103482630151124688042900</v>
      </c>
      <c r="W18" s="359">
        <v>0</v>
      </c>
      <c r="X18" s="170">
        <v>0</v>
      </c>
      <c r="Y18" s="360">
        <v>27.069935276876150214731883740</v>
      </c>
      <c r="Z18" s="359">
        <v>41.958126102991050336845628680</v>
      </c>
      <c r="AA18" s="170">
        <v>125.93700448464347269415579572</v>
      </c>
      <c r="AB18" s="360">
        <v>45.297146233265573960991248430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29</v>
      </c>
      <c r="C19" s="345" t="s">
        <v>48</v>
      </c>
      <c r="D19" s="370">
        <v>253.13636363636363636363636364</v>
      </c>
      <c r="E19" s="172">
        <v>286.09749414088664570253114631</v>
      </c>
      <c r="F19" s="371">
        <v>160.36538897567106852378239214</v>
      </c>
      <c r="G19" s="370">
        <v>48.909090909090909090909090909</v>
      </c>
      <c r="H19" s="172">
        <v>22.245529114927307785840946719</v>
      </c>
      <c r="I19" s="371">
        <v>83.88853562748409742219180181</v>
      </c>
      <c r="J19" s="370">
        <v>0</v>
      </c>
      <c r="K19" s="172">
        <v>0</v>
      </c>
      <c r="L19" s="371">
        <v>11.571745295708351935372902285</v>
      </c>
      <c r="M19" s="370">
        <v>302.04545454545454545454545455</v>
      </c>
      <c r="N19" s="172">
        <v>308.34302325581395348837209302</v>
      </c>
      <c r="O19" s="371">
        <v>255.82566989886351788134709624</v>
      </c>
      <c r="P19" s="4"/>
      <c r="Q19" s="327">
        <v>51.235629582681181451646044630</v>
      </c>
      <c r="R19" s="171">
        <v>92.62443923125007859302487603</v>
      </c>
      <c r="S19" s="328">
        <v>68.162842496326167826142216360</v>
      </c>
      <c r="T19" s="327">
        <v>78.737541528476727629938175050</v>
      </c>
      <c r="U19" s="171">
        <v>0</v>
      </c>
      <c r="V19" s="328">
        <v>20.687406936934949287245064270</v>
      </c>
      <c r="W19" s="327">
        <v>0</v>
      </c>
      <c r="X19" s="171">
        <v>0</v>
      </c>
      <c r="Y19" s="328">
        <v>19.067499539445447988320046800</v>
      </c>
      <c r="Z19" s="327">
        <v>55.099976659165032285276173970</v>
      </c>
      <c r="AA19" s="171">
        <v>107.60196493112631094974481971</v>
      </c>
      <c r="AB19" s="328">
        <v>46.528777805027615288280111940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30</v>
      </c>
      <c r="C20" s="347" t="s">
        <v>50</v>
      </c>
      <c r="D20" s="378">
        <v>202.89393939393939393939393939</v>
      </c>
      <c r="E20" s="173">
        <v>268.13563634091345543960212256</v>
      </c>
      <c r="F20" s="379">
        <v>146.58207556548342736129259076</v>
      </c>
      <c r="G20" s="378">
        <v>52.234848484848484848484848485</v>
      </c>
      <c r="H20" s="173">
        <v>18.018433426528405025514156508</v>
      </c>
      <c r="I20" s="379">
        <v>82.56976677140563224897558409</v>
      </c>
      <c r="J20" s="378">
        <v>0</v>
      </c>
      <c r="K20" s="173">
        <v>0</v>
      </c>
      <c r="L20" s="379">
        <v>11.046781372838810267742460107</v>
      </c>
      <c r="M20" s="378">
        <v>255.12878787878787878787878788</v>
      </c>
      <c r="N20" s="173">
        <v>286.15406976744186046511627907</v>
      </c>
      <c r="O20" s="379">
        <v>240.19862370972786987801063497</v>
      </c>
      <c r="P20" s="4"/>
      <c r="Q20" s="359">
        <v>37.668345841460868235152342070</v>
      </c>
      <c r="R20" s="170">
        <v>51.638177190033278179195139500</v>
      </c>
      <c r="S20" s="360">
        <v>34.153842367169828520614152920</v>
      </c>
      <c r="T20" s="359">
        <v>40.370521172718452251482819970</v>
      </c>
      <c r="U20" s="170">
        <v>0</v>
      </c>
      <c r="V20" s="360">
        <v>81.85404452764313349064229845</v>
      </c>
      <c r="W20" s="359">
        <v>0</v>
      </c>
      <c r="X20" s="170">
        <v>0</v>
      </c>
      <c r="Y20" s="360">
        <v>-0.6063016828824075673864626300</v>
      </c>
      <c r="Z20" s="359">
        <v>38.213083805309277505563751590</v>
      </c>
      <c r="AA20" s="170">
        <v>61.828103594089655554566785130</v>
      </c>
      <c r="AB20" s="360">
        <v>44.887587629909773282147040240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t="s">
        <v>179</v>
      </c>
      <c r="B21" s="668">
        <v>1</v>
      </c>
      <c r="C21" s="679" t="s">
        <v>51</v>
      </c>
      <c r="D21" s="680">
        <v>215.85606060606060606060606061</v>
      </c>
      <c r="E21" s="681">
        <v>297.58142428594392066298712863</v>
      </c>
      <c r="F21" s="682">
        <v>159.39876623164241542697408547</v>
      </c>
      <c r="G21" s="680">
        <v>63.189393939393939393939393939</v>
      </c>
      <c r="H21" s="681">
        <v>45.822645481497939802129150419</v>
      </c>
      <c r="I21" s="682">
        <v>72.924820914415531129375365373</v>
      </c>
      <c r="J21" s="680">
        <v>0</v>
      </c>
      <c r="K21" s="681">
        <v>0</v>
      </c>
      <c r="L21" s="682">
        <v>12.922372607878035093113587422</v>
      </c>
      <c r="M21" s="680">
        <v>279.04545454545454545454545455</v>
      </c>
      <c r="N21" s="681">
        <v>343.40406976744186046511627907</v>
      </c>
      <c r="O21" s="682">
        <v>245.24595975393598164946303827</v>
      </c>
      <c r="P21" s="4"/>
      <c r="Q21" s="670">
        <v>34.546914104940402917970055110</v>
      </c>
      <c r="R21" s="671">
        <v>1.356647682255603540879213400</v>
      </c>
      <c r="S21" s="672">
        <v>0.3635190429523231722759920300</v>
      </c>
      <c r="T21" s="670">
        <v>-61.890620002739960364417334120</v>
      </c>
      <c r="U21" s="671">
        <v>0</v>
      </c>
      <c r="V21" s="672">
        <v>33.523347706032949891391556120</v>
      </c>
      <c r="W21" s="670">
        <v>0</v>
      </c>
      <c r="X21" s="671">
        <v>0</v>
      </c>
      <c r="Y21" s="672">
        <v>36.049881616238781005782984520</v>
      </c>
      <c r="Z21" s="670">
        <v>-14.466840052009248882782984150</v>
      </c>
      <c r="AA21" s="671">
        <v>16.963904570287324698354993850</v>
      </c>
      <c r="AB21" s="672">
        <v>10.007603173137288004010262340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v>
      </c>
      <c r="C22" s="347" t="s">
        <v>52</v>
      </c>
      <c r="D22" s="378">
        <v>300.97727272727272727272727273</v>
      </c>
      <c r="E22" s="173">
        <v>423.57983865093133110998971358</v>
      </c>
      <c r="F22" s="379">
        <v>223.08763349463664102146035157</v>
      </c>
      <c r="G22" s="378">
        <v>106.42424242424242424242424242</v>
      </c>
      <c r="H22" s="173">
        <v>56.524812511859366564428891093</v>
      </c>
      <c r="I22" s="379">
        <v>69.472486371242932518145865532</v>
      </c>
      <c r="J22" s="378">
        <v>0</v>
      </c>
      <c r="K22" s="173">
        <v>0</v>
      </c>
      <c r="L22" s="379">
        <v>13.504836864388386005800935441</v>
      </c>
      <c r="M22" s="378">
        <v>407.40151515151515151515151515</v>
      </c>
      <c r="N22" s="173">
        <v>480.10465116279069767441860465</v>
      </c>
      <c r="O22" s="379">
        <v>306.06495673026795954540715254</v>
      </c>
      <c r="P22" s="4"/>
      <c r="Q22" s="359">
        <v>66.683448709863644209066344760</v>
      </c>
      <c r="R22" s="170">
        <v>9.621570184565676519651704250</v>
      </c>
      <c r="S22" s="360">
        <v>-3.6924058192744684689746622400</v>
      </c>
      <c r="T22" s="359">
        <v>-58.044380730521469006454719540</v>
      </c>
      <c r="U22" s="170">
        <v>9727.318677848630802015537727</v>
      </c>
      <c r="V22" s="360">
        <v>2.1708165998125189855459625600</v>
      </c>
      <c r="W22" s="359">
        <v>0</v>
      </c>
      <c r="X22" s="170">
        <v>0</v>
      </c>
      <c r="Y22" s="360">
        <v>14.544866377260768381448896050</v>
      </c>
      <c r="Z22" s="359">
        <v>-6.1778149970399832489970106400</v>
      </c>
      <c r="AA22" s="170">
        <v>24.065394482417242627717000240</v>
      </c>
      <c r="AB22" s="360">
        <v>-1.7218151039373928131228459600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3</v>
      </c>
      <c r="C23" s="345" t="s">
        <v>53</v>
      </c>
      <c r="D23" s="370">
        <v>302.75757575757575757575757576</v>
      </c>
      <c r="E23" s="172">
        <v>435.44272690845420811351784541</v>
      </c>
      <c r="F23" s="371">
        <v>249.53369738311861217306500905</v>
      </c>
      <c r="G23" s="370">
        <v>103.09848484848484848484848485</v>
      </c>
      <c r="H23" s="172">
        <v>53.50204053340625700276122436</v>
      </c>
      <c r="I23" s="371">
        <v>66.487890845078568048099205446</v>
      </c>
      <c r="J23" s="370">
        <v>0</v>
      </c>
      <c r="K23" s="172">
        <v>0</v>
      </c>
      <c r="L23" s="371">
        <v>13.551970316271592586676469491</v>
      </c>
      <c r="M23" s="370">
        <v>405.85606060606060606060606061</v>
      </c>
      <c r="N23" s="172">
        <v>488.94476744186046511627906977</v>
      </c>
      <c r="O23" s="371">
        <v>329.57355854446877280784068397</v>
      </c>
      <c r="P23" s="4"/>
      <c r="Q23" s="327">
        <v>62.415670974551129854296941340</v>
      </c>
      <c r="R23" s="171">
        <v>5.9222866184825293087742420300</v>
      </c>
      <c r="S23" s="328">
        <v>9.876557019952131025462208140</v>
      </c>
      <c r="T23" s="327">
        <v>-59.572824763088686753086389190</v>
      </c>
      <c r="U23" s="171">
        <v>9201.785477118325712408257144</v>
      </c>
      <c r="V23" s="328">
        <v>-8.151529702983414510697947220</v>
      </c>
      <c r="W23" s="327">
        <v>0</v>
      </c>
      <c r="X23" s="171">
        <v>0</v>
      </c>
      <c r="Y23" s="328">
        <v>50.064545411794389158880112280</v>
      </c>
      <c r="Z23" s="327">
        <v>-8.059173831707757847520913330</v>
      </c>
      <c r="AA23" s="171">
        <v>18.770585237301587570480287270</v>
      </c>
      <c r="AB23" s="328">
        <v>6.8229731232574810400620509200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4</v>
      </c>
      <c r="C24" s="347" t="s">
        <v>49</v>
      </c>
      <c r="D24" s="378">
        <v>190.21969696969696969696969697</v>
      </c>
      <c r="E24" s="173">
        <v>232.57848837209302325581395349</v>
      </c>
      <c r="F24" s="379">
        <v>146.40168327891196713096529528</v>
      </c>
      <c r="G24" s="378">
        <v>93.12121212121212121212121212</v>
      </c>
      <c r="H24" s="173">
        <v>18.00000000000000000000000</v>
      </c>
      <c r="I24" s="379">
        <v>55.985503468557444278825113919</v>
      </c>
      <c r="J24" s="378">
        <v>0</v>
      </c>
      <c r="K24" s="173">
        <v>0</v>
      </c>
      <c r="L24" s="379">
        <v>13.848242300596483700208548166</v>
      </c>
      <c r="M24" s="378">
        <v>283.34090909090909090909090909</v>
      </c>
      <c r="N24" s="173">
        <v>250.57848837209302325581395349</v>
      </c>
      <c r="O24" s="379">
        <v>216.23542904806589510999895736</v>
      </c>
      <c r="P24" s="4"/>
      <c r="Q24" s="359">
        <v>-0.8019911504550187116118261700</v>
      </c>
      <c r="R24" s="170">
        <v>-17.248582498136803782340207320</v>
      </c>
      <c r="S24" s="360">
        <v>-7.1449335130798358902718252700</v>
      </c>
      <c r="T24" s="359">
        <v>-44.170413771192032407565646900</v>
      </c>
      <c r="U24" s="170">
        <v>3029.4658847316445137305409577</v>
      </c>
      <c r="V24" s="360">
        <v>-10.509863668396168681956858280</v>
      </c>
      <c r="W24" s="359">
        <v>0</v>
      </c>
      <c r="X24" s="170">
        <v>0</v>
      </c>
      <c r="Y24" s="360">
        <v>19.334671228825166308687491540</v>
      </c>
      <c r="Z24" s="359">
        <v>-20.976568277370827743521086090</v>
      </c>
      <c r="AA24" s="170">
        <v>-11.026266418611184210614581800</v>
      </c>
      <c r="AB24" s="360">
        <v>-6.7275109875757559529966191900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5</v>
      </c>
      <c r="C25" s="345" t="s">
        <v>47</v>
      </c>
      <c r="D25" s="370">
        <v>123.35606060606060606060606061</v>
      </c>
      <c r="E25" s="172">
        <v>134.5</v>
      </c>
      <c r="F25" s="371">
        <v>93.05056528922706787310713393</v>
      </c>
      <c r="G25" s="370">
        <v>0</v>
      </c>
      <c r="H25" s="172">
        <v>23.523255813953488372093023256</v>
      </c>
      <c r="I25" s="371">
        <v>39.732314652579118072770280111</v>
      </c>
      <c r="J25" s="370">
        <v>0</v>
      </c>
      <c r="K25" s="172">
        <v>0</v>
      </c>
      <c r="L25" s="371">
        <v>10.14611599188164639694398102</v>
      </c>
      <c r="M25" s="370">
        <v>123.35606060606060606060606061</v>
      </c>
      <c r="N25" s="172">
        <v>158.02325581395348837209302326</v>
      </c>
      <c r="O25" s="371">
        <v>142.92899593368783234282139506</v>
      </c>
      <c r="P25" s="4"/>
      <c r="Q25" s="327">
        <v>-10.606642876734226805226766370</v>
      </c>
      <c r="R25" s="171">
        <v>-25.485739944301719734859360920</v>
      </c>
      <c r="S25" s="328">
        <v>-11.707887430946107994092906140</v>
      </c>
      <c r="T25" s="327">
        <v>0</v>
      </c>
      <c r="U25" s="171">
        <v>0</v>
      </c>
      <c r="V25" s="328">
        <v>-13.143681171415708818025840140</v>
      </c>
      <c r="W25" s="327">
        <v>0</v>
      </c>
      <c r="X25" s="171">
        <v>0</v>
      </c>
      <c r="Y25" s="328">
        <v>12.189332432341364010204499850</v>
      </c>
      <c r="Z25" s="327">
        <v>-10.606642876734226805226766370</v>
      </c>
      <c r="AA25" s="171">
        <v>-12.453635847070145344232619940</v>
      </c>
      <c r="AB25" s="328">
        <v>-10.768681830547460904920805670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6</v>
      </c>
      <c r="C26" s="347" t="s">
        <v>48</v>
      </c>
      <c r="D26" s="378">
        <v>89.17424242424242424242424242</v>
      </c>
      <c r="E26" s="173">
        <v>114.90697674418604651162790698</v>
      </c>
      <c r="F26" s="379">
        <v>91.25026749668811000570701483</v>
      </c>
      <c r="G26" s="378">
        <v>0</v>
      </c>
      <c r="H26" s="173">
        <v>73.412790697674418604651162791</v>
      </c>
      <c r="I26" s="379">
        <v>35.310147742176975847988007712</v>
      </c>
      <c r="J26" s="378">
        <v>0</v>
      </c>
      <c r="K26" s="173">
        <v>0</v>
      </c>
      <c r="L26" s="379">
        <v>11.373585386721401478178608998</v>
      </c>
      <c r="M26" s="378">
        <v>89.17424242424242424242424242</v>
      </c>
      <c r="N26" s="173">
        <v>188.31976744186046511627906977</v>
      </c>
      <c r="O26" s="379">
        <v>137.93400062558648733187363153</v>
      </c>
      <c r="P26" s="4"/>
      <c r="Q26" s="359">
        <v>-42.358356593685625098651491790</v>
      </c>
      <c r="R26" s="170">
        <v>-22.688039733738887013580689610</v>
      </c>
      <c r="S26" s="360">
        <v>-16.449229123794272086769483510</v>
      </c>
      <c r="T26" s="359">
        <v>-100</v>
      </c>
      <c r="U26" s="170">
        <v>0</v>
      </c>
      <c r="V26" s="360">
        <v>-28.538605184255225037969385810</v>
      </c>
      <c r="W26" s="359">
        <v>0</v>
      </c>
      <c r="X26" s="170">
        <v>0</v>
      </c>
      <c r="Y26" s="360">
        <v>28.272190311635899284073876290</v>
      </c>
      <c r="Z26" s="359">
        <v>-45.818181818170844649021861990</v>
      </c>
      <c r="AA26" s="170">
        <v>26.705712658594601838853869810</v>
      </c>
      <c r="AB26" s="360">
        <v>-17.648201360369589279459656310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7</v>
      </c>
      <c r="C27" s="345" t="s">
        <v>50</v>
      </c>
      <c r="D27" s="370">
        <v>124.84848484848484848484848485</v>
      </c>
      <c r="E27" s="172">
        <v>123.84593023255813953488372093</v>
      </c>
      <c r="F27" s="371">
        <v>105.49707796438322702882589446</v>
      </c>
      <c r="G27" s="370">
        <v>28.575757575757575757575757576</v>
      </c>
      <c r="H27" s="172">
        <v>104.45058139534883720930232558</v>
      </c>
      <c r="I27" s="371">
        <v>35.421205460498390014578751654</v>
      </c>
      <c r="J27" s="370">
        <v>0</v>
      </c>
      <c r="K27" s="172">
        <v>0</v>
      </c>
      <c r="L27" s="371">
        <v>11.031356862888167129257224396</v>
      </c>
      <c r="M27" s="370">
        <v>153.42424242424242424242424242</v>
      </c>
      <c r="N27" s="172">
        <v>228.29651162790697674418604651</v>
      </c>
      <c r="O27" s="371">
        <v>151.9496402877697841726618705</v>
      </c>
      <c r="P27" s="4"/>
      <c r="Q27" s="327">
        <v>-19.060949855115171160552035750</v>
      </c>
      <c r="R27" s="171">
        <v>-23.043601945386342699445967930</v>
      </c>
      <c r="S27" s="328">
        <v>-7.2218036423256350296026614200</v>
      </c>
      <c r="T27" s="327">
        <v>4.1701187517950865189186159100</v>
      </c>
      <c r="U27" s="171">
        <v>2190.1626476952143374744980614</v>
      </c>
      <c r="V27" s="328">
        <v>-28.704560406265792248341108880</v>
      </c>
      <c r="W27" s="327">
        <v>0</v>
      </c>
      <c r="X27" s="171">
        <v>0</v>
      </c>
      <c r="Y27" s="328">
        <v>42.610266515030846767903189460</v>
      </c>
      <c r="Z27" s="327">
        <v>-15.553331665407277457926652390</v>
      </c>
      <c r="AA27" s="171">
        <v>37.951150698725019541350452160</v>
      </c>
      <c r="AB27" s="328">
        <v>-11.206256959020344157826096150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8</v>
      </c>
      <c r="C28" s="347" t="s">
        <v>51</v>
      </c>
      <c r="D28" s="378">
        <v>148.98484848484848484848484848</v>
      </c>
      <c r="E28" s="173">
        <v>140.80232558139534883720930233</v>
      </c>
      <c r="F28" s="379">
        <v>139.4799781311516103472950414</v>
      </c>
      <c r="G28" s="378">
        <v>29.492424242424242424242424242</v>
      </c>
      <c r="H28" s="173">
        <v>81.54651162790697674418604651</v>
      </c>
      <c r="I28" s="379">
        <v>26.621343032994391027490229068</v>
      </c>
      <c r="J28" s="378">
        <v>0</v>
      </c>
      <c r="K28" s="173">
        <v>0</v>
      </c>
      <c r="L28" s="379">
        <v>11.328978074723772371435144502</v>
      </c>
      <c r="M28" s="378">
        <v>178.47727272727272727272727273</v>
      </c>
      <c r="N28" s="173">
        <v>222.34883720930232558139534884</v>
      </c>
      <c r="O28" s="379">
        <v>177.43029923886977374622041497</v>
      </c>
      <c r="P28" s="4"/>
      <c r="Q28" s="359">
        <v>0.2651167533455857112319779100</v>
      </c>
      <c r="R28" s="170">
        <v>-23.762081028611644976855683320</v>
      </c>
      <c r="S28" s="360">
        <v>7.9134386195221202026307383400</v>
      </c>
      <c r="T28" s="359">
        <v>16.661672160637298372449581930</v>
      </c>
      <c r="U28" s="170">
        <v>1687.9570436239357777137344891</v>
      </c>
      <c r="V28" s="360">
        <v>-8.778883650892762458142384120</v>
      </c>
      <c r="W28" s="359">
        <v>0</v>
      </c>
      <c r="X28" s="170">
        <v>0</v>
      </c>
      <c r="Y28" s="360">
        <v>48.911034356387818116103335830</v>
      </c>
      <c r="Z28" s="359">
        <v>2.6491220426196783841779526600</v>
      </c>
      <c r="AA28" s="170">
        <v>17.490144801403647001301675720</v>
      </c>
      <c r="AB28" s="360">
        <v>6.8580951107555178857711238500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9</v>
      </c>
      <c r="C29" s="345" t="s">
        <v>52</v>
      </c>
      <c r="D29" s="370">
        <v>181.51515151515151515151515152</v>
      </c>
      <c r="E29" s="172">
        <v>190.4563953488372093023255814</v>
      </c>
      <c r="F29" s="371">
        <v>153.86516356807570118355962128</v>
      </c>
      <c r="G29" s="370">
        <v>39.128787878787878787878787879</v>
      </c>
      <c r="H29" s="172">
        <v>8.561046511627906976744186047</v>
      </c>
      <c r="I29" s="371">
        <v>13.59978155794853550984791616</v>
      </c>
      <c r="J29" s="370">
        <v>0</v>
      </c>
      <c r="K29" s="172">
        <v>0</v>
      </c>
      <c r="L29" s="371">
        <v>11.313075935387503479671390731</v>
      </c>
      <c r="M29" s="370">
        <v>220.64393939393939393939393939</v>
      </c>
      <c r="N29" s="172">
        <v>199.01744186046511627906976744</v>
      </c>
      <c r="O29" s="371">
        <v>178.77802106141174017307892816</v>
      </c>
      <c r="P29" s="4"/>
      <c r="Q29" s="327">
        <v>-18.018202969961622464806543690</v>
      </c>
      <c r="R29" s="171">
        <v>-22.788868596372680977819699340</v>
      </c>
      <c r="S29" s="328">
        <v>-3.7109600876185630853517764100</v>
      </c>
      <c r="T29" s="327">
        <v>-23.797580407222249164825251620</v>
      </c>
      <c r="U29" s="171">
        <v>157.50851085196914041413919580</v>
      </c>
      <c r="V29" s="328">
        <v>-19.379725350219364184303316830</v>
      </c>
      <c r="W29" s="327">
        <v>0</v>
      </c>
      <c r="X29" s="171">
        <v>0</v>
      </c>
      <c r="Y29" s="328">
        <v>16.654299602506428244145111310</v>
      </c>
      <c r="Z29" s="327">
        <v>-19.106210421071515946190772450</v>
      </c>
      <c r="AA29" s="171">
        <v>-20.391168883048236229913415740</v>
      </c>
      <c r="AB29" s="328">
        <v>-4.0694779780098420630609922800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10</v>
      </c>
      <c r="C30" s="347" t="s">
        <v>53</v>
      </c>
      <c r="D30" s="378">
        <v>186.31818181818181818181818182</v>
      </c>
      <c r="E30" s="173">
        <v>191.38953488372093023255813953</v>
      </c>
      <c r="F30" s="379">
        <v>148.48876583993888062565971698</v>
      </c>
      <c r="G30" s="378">
        <v>38.689393939393939393939393939</v>
      </c>
      <c r="H30" s="173">
        <v>4.3517441860465116279069767442</v>
      </c>
      <c r="I30" s="379">
        <v>10.871255210766733244570429754</v>
      </c>
      <c r="J30" s="378">
        <v>0</v>
      </c>
      <c r="K30" s="173">
        <v>0</v>
      </c>
      <c r="L30" s="379">
        <v>12.629761036667965527121537132</v>
      </c>
      <c r="M30" s="378">
        <v>225.00757575757575757575757576</v>
      </c>
      <c r="N30" s="173">
        <v>195.74127906976744186046511628</v>
      </c>
      <c r="O30" s="379">
        <v>171.98978208737357939735168387</v>
      </c>
      <c r="P30" s="4"/>
      <c r="Q30" s="359">
        <v>-4.9801027701418657980986989200</v>
      </c>
      <c r="R30" s="170">
        <v>-20.534001412550907344280711110</v>
      </c>
      <c r="S30" s="360">
        <v>-1.6127118572907976736037587800</v>
      </c>
      <c r="T30" s="359">
        <v>28.769541099149617436562053020</v>
      </c>
      <c r="U30" s="170">
        <v>205.42431307467876931756269862</v>
      </c>
      <c r="V30" s="360">
        <v>-30.134893857468505839296058750</v>
      </c>
      <c r="W30" s="359">
        <v>0</v>
      </c>
      <c r="X30" s="170">
        <v>0</v>
      </c>
      <c r="Y30" s="360">
        <v>35.411537219174844162752277510</v>
      </c>
      <c r="Z30" s="359">
        <v>-0.4958290060021845513615329300</v>
      </c>
      <c r="AA30" s="170">
        <v>-19.205109826911923347741837300</v>
      </c>
      <c r="AB30" s="360">
        <v>-2.1729300556385082744836692600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11</v>
      </c>
      <c r="C31" s="345" t="s">
        <v>49</v>
      </c>
      <c r="D31" s="370">
        <v>94.45454545454545454545454545</v>
      </c>
      <c r="E31" s="172">
        <v>129.69476744186046511627906977</v>
      </c>
      <c r="F31" s="371">
        <v>77.896279628045106962828178144</v>
      </c>
      <c r="G31" s="370">
        <v>2.2196969696969696969696969697</v>
      </c>
      <c r="H31" s="172">
        <v>0</v>
      </c>
      <c r="I31" s="371">
        <v>11.650120747107890479177804484</v>
      </c>
      <c r="J31" s="370">
        <v>0</v>
      </c>
      <c r="K31" s="172">
        <v>0</v>
      </c>
      <c r="L31" s="371">
        <v>11.579342508800709157931458726</v>
      </c>
      <c r="M31" s="370">
        <v>96.67424242424242424242424242</v>
      </c>
      <c r="N31" s="172">
        <v>129.69476744186046511627906977</v>
      </c>
      <c r="O31" s="371">
        <v>101.12574288395370659993744135</v>
      </c>
      <c r="P31" s="4"/>
      <c r="Q31" s="327">
        <v>-27.738495421339843965873406260</v>
      </c>
      <c r="R31" s="171">
        <v>-16.689920417006559413489833680</v>
      </c>
      <c r="S31" s="328">
        <v>-11.655885695107062040090068400</v>
      </c>
      <c r="T31" s="327">
        <v>0</v>
      </c>
      <c r="U31" s="171">
        <v>-100</v>
      </c>
      <c r="V31" s="328">
        <v>-24.218361954635522175959891980</v>
      </c>
      <c r="W31" s="327">
        <v>0</v>
      </c>
      <c r="X31" s="171">
        <v>0</v>
      </c>
      <c r="Y31" s="328">
        <v>20.303413967047251890936654640</v>
      </c>
      <c r="Z31" s="327">
        <v>-26.040338472226319285251085760</v>
      </c>
      <c r="AA31" s="171">
        <v>-16.943308963757680099871438060</v>
      </c>
      <c r="AB31" s="328">
        <v>-10.644280090254273576497679370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12</v>
      </c>
      <c r="C32" s="347" t="s">
        <v>47</v>
      </c>
      <c r="D32" s="378">
        <v>80.35606060606060606060606061</v>
      </c>
      <c r="E32" s="173">
        <v>109.18604651162790697674418605</v>
      </c>
      <c r="F32" s="379">
        <v>79.97099750512843706777964592</v>
      </c>
      <c r="G32" s="378">
        <v>14.083333333333333333333333333</v>
      </c>
      <c r="H32" s="173">
        <v>0</v>
      </c>
      <c r="I32" s="379">
        <v>29.215436047352312659474392558</v>
      </c>
      <c r="J32" s="378">
        <v>0</v>
      </c>
      <c r="K32" s="173">
        <v>0</v>
      </c>
      <c r="L32" s="379">
        <v>10.971527035570548364707175166</v>
      </c>
      <c r="M32" s="378">
        <v>94.43939393939393939393939394</v>
      </c>
      <c r="N32" s="173">
        <v>109.18604651162790697674418605</v>
      </c>
      <c r="O32" s="379">
        <v>120.15796058805129809196121364</v>
      </c>
      <c r="P32" s="4"/>
      <c r="Q32" s="359">
        <v>-34.342308882718363164182169720</v>
      </c>
      <c r="R32" s="170">
        <v>-15.502039285595049591578413420</v>
      </c>
      <c r="S32" s="360">
        <v>-8.559620870746251657506034250</v>
      </c>
      <c r="T32" s="359">
        <v>0</v>
      </c>
      <c r="U32" s="170">
        <v>0</v>
      </c>
      <c r="V32" s="360">
        <v>5.6966974472342123996177680700</v>
      </c>
      <c r="W32" s="359">
        <v>0</v>
      </c>
      <c r="X32" s="170">
        <v>0</v>
      </c>
      <c r="Y32" s="360">
        <v>16.524833046069105033574608690</v>
      </c>
      <c r="Z32" s="359">
        <v>-22.835035592718687207004329950</v>
      </c>
      <c r="AA32" s="170">
        <v>-15.502039285595049591578413420</v>
      </c>
      <c r="AB32" s="360">
        <v>-3.497982782703307709840912300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13</v>
      </c>
      <c r="C33" s="345" t="s">
        <v>48</v>
      </c>
      <c r="D33" s="370">
        <v>96.90151515151515151515151515</v>
      </c>
      <c r="E33" s="172">
        <v>110.5813953488372093023255814</v>
      </c>
      <c r="F33" s="371">
        <v>90.5930927015035560605915721</v>
      </c>
      <c r="G33" s="370">
        <v>14.083333333333333333333333333</v>
      </c>
      <c r="H33" s="172">
        <v>2.7645348837209302325581395349</v>
      </c>
      <c r="I33" s="371">
        <v>36.631489714650197791568129088</v>
      </c>
      <c r="J33" s="370">
        <v>0</v>
      </c>
      <c r="K33" s="172">
        <v>0</v>
      </c>
      <c r="L33" s="371">
        <v>8.777294343308241768734887495</v>
      </c>
      <c r="M33" s="370">
        <v>110.98484848484848484848484848</v>
      </c>
      <c r="N33" s="172">
        <v>113.34593023255813953488372093</v>
      </c>
      <c r="O33" s="371">
        <v>136.00187675946199562089458868</v>
      </c>
      <c r="P33" s="4"/>
      <c r="Q33" s="327">
        <v>-23.001444738752347526518329840</v>
      </c>
      <c r="R33" s="171">
        <v>-14.533670798229454458561680340</v>
      </c>
      <c r="S33" s="328">
        <v>-7.5629373694703395928551780700</v>
      </c>
      <c r="T33" s="327">
        <v>0</v>
      </c>
      <c r="U33" s="171">
        <v>0</v>
      </c>
      <c r="V33" s="328">
        <v>1.2618739033498355511312264400</v>
      </c>
      <c r="W33" s="327">
        <v>0</v>
      </c>
      <c r="X33" s="171">
        <v>0</v>
      </c>
      <c r="Y33" s="328">
        <v>-4.7767425658214551987546465200</v>
      </c>
      <c r="Z33" s="327">
        <v>-11.810739224667492085332931920</v>
      </c>
      <c r="AA33" s="171">
        <v>-12.397012568185190820025722350</v>
      </c>
      <c r="AB33" s="328">
        <v>-5.1576026252317397708569974200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14</v>
      </c>
      <c r="C34" s="347" t="s">
        <v>50</v>
      </c>
      <c r="D34" s="378">
        <v>94.71212121212121212121212121</v>
      </c>
      <c r="E34" s="173">
        <v>117.76162790697674418604651163</v>
      </c>
      <c r="F34" s="379">
        <v>93.50546946092741993856688303</v>
      </c>
      <c r="G34" s="378">
        <v>14.083333333333333333333333333</v>
      </c>
      <c r="H34" s="173">
        <v>3.1686046511627906976744186047</v>
      </c>
      <c r="I34" s="379">
        <v>48.216684239093358977036957597</v>
      </c>
      <c r="J34" s="378">
        <v>0</v>
      </c>
      <c r="K34" s="173">
        <v>0</v>
      </c>
      <c r="L34" s="379">
        <v>11.103099141184517716655569236</v>
      </c>
      <c r="M34" s="378">
        <v>108.79545454545454545454545455</v>
      </c>
      <c r="N34" s="173">
        <v>120.93023255813953488372093023</v>
      </c>
      <c r="O34" s="379">
        <v>152.82525284120529663225940986</v>
      </c>
      <c r="P34" s="4"/>
      <c r="Q34" s="359">
        <v>-26.333156561203040505818933050</v>
      </c>
      <c r="R34" s="170">
        <v>-9.199257848991106542154606290</v>
      </c>
      <c r="S34" s="360">
        <v>-8.173355272465339316531642660</v>
      </c>
      <c r="T34" s="359">
        <v>0</v>
      </c>
      <c r="U34" s="170">
        <v>0</v>
      </c>
      <c r="V34" s="360">
        <v>25.855903938639646435457630660</v>
      </c>
      <c r="W34" s="359">
        <v>0</v>
      </c>
      <c r="X34" s="170">
        <v>0</v>
      </c>
      <c r="Y34" s="360">
        <v>13.253626908858037265346416900</v>
      </c>
      <c r="Z34" s="359">
        <v>-15.379176241836255375465181360</v>
      </c>
      <c r="AA34" s="170">
        <v>-6.7560880404352019786134688200</v>
      </c>
      <c r="AB34" s="360">
        <v>1.9222156928138443400115799800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15</v>
      </c>
      <c r="C35" s="345" t="s">
        <v>51</v>
      </c>
      <c r="D35" s="370">
        <v>122.47727272727272727272727273</v>
      </c>
      <c r="E35" s="172">
        <v>145.250000000000000000000000</v>
      </c>
      <c r="F35" s="371">
        <v>107.85117175138062110646969627</v>
      </c>
      <c r="G35" s="370">
        <v>14.083333333333333333333333333</v>
      </c>
      <c r="H35" s="172">
        <v>2.0203488372093023255813953488</v>
      </c>
      <c r="I35" s="371">
        <v>40.427854113702228545521121739</v>
      </c>
      <c r="J35" s="370">
        <v>0</v>
      </c>
      <c r="K35" s="172">
        <v>0</v>
      </c>
      <c r="L35" s="371">
        <v>11.984763103742090395970812681</v>
      </c>
      <c r="M35" s="370">
        <v>136.56060606060606060606060606</v>
      </c>
      <c r="N35" s="172">
        <v>147.27034883720930232558139535</v>
      </c>
      <c r="O35" s="371">
        <v>160.2637889688249400479616307</v>
      </c>
      <c r="P35" s="4"/>
      <c r="Q35" s="327">
        <v>-19.430878102288230956849663870</v>
      </c>
      <c r="R35" s="171">
        <v>-19.021033993627532374822537020</v>
      </c>
      <c r="S35" s="328">
        <v>-6.2418239517992551152095593800</v>
      </c>
      <c r="T35" s="327">
        <v>0</v>
      </c>
      <c r="U35" s="171">
        <v>0</v>
      </c>
      <c r="V35" s="328">
        <v>15.485250761970600751892085580</v>
      </c>
      <c r="W35" s="327">
        <v>0</v>
      </c>
      <c r="X35" s="171">
        <v>0</v>
      </c>
      <c r="Y35" s="328">
        <v>35.940948691273065121947163630</v>
      </c>
      <c r="Z35" s="327">
        <v>-10.166450712676912923125628810</v>
      </c>
      <c r="AA35" s="171">
        <v>-17.894660432117127999857594130</v>
      </c>
      <c r="AB35" s="328">
        <v>0.8872757952417300817462336800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16</v>
      </c>
      <c r="C36" s="347" t="s">
        <v>52</v>
      </c>
      <c r="D36" s="378">
        <v>224.74242424242424242424242424</v>
      </c>
      <c r="E36" s="173">
        <v>230.39534883720930232558139535</v>
      </c>
      <c r="F36" s="379">
        <v>150.69566473666986281599937259</v>
      </c>
      <c r="G36" s="378">
        <v>0</v>
      </c>
      <c r="H36" s="173">
        <v>0</v>
      </c>
      <c r="I36" s="379">
        <v>36.053245895043847343483187611</v>
      </c>
      <c r="J36" s="378">
        <v>0</v>
      </c>
      <c r="K36" s="173">
        <v>0</v>
      </c>
      <c r="L36" s="379">
        <v>12.477760205529538719674983332</v>
      </c>
      <c r="M36" s="378">
        <v>224.74242424242424242424242424</v>
      </c>
      <c r="N36" s="173">
        <v>230.39534883720930232558139535</v>
      </c>
      <c r="O36" s="379">
        <v>199.22667083724324887915754353</v>
      </c>
      <c r="P36" s="4"/>
      <c r="Q36" s="359">
        <v>3.6004889121791039348136626400</v>
      </c>
      <c r="R36" s="170">
        <v>-6.9024955355962818087792871600</v>
      </c>
      <c r="S36" s="360">
        <v>-4.0911874256928978045647186600</v>
      </c>
      <c r="T36" s="359">
        <v>0</v>
      </c>
      <c r="U36" s="170">
        <v>0</v>
      </c>
      <c r="V36" s="360">
        <v>34.981207059991698526920842180</v>
      </c>
      <c r="W36" s="359">
        <v>0</v>
      </c>
      <c r="X36" s="170">
        <v>0</v>
      </c>
      <c r="Y36" s="360">
        <v>33.120182667802545536341402280</v>
      </c>
      <c r="Z36" s="359">
        <v>3.6004889121791039348136626400</v>
      </c>
      <c r="AA36" s="170">
        <v>-6.9024955355962818087792871600</v>
      </c>
      <c r="AB36" s="360">
        <v>3.1156434225318643549898641900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17</v>
      </c>
      <c r="C37" s="349" t="s">
        <v>53</v>
      </c>
      <c r="D37" s="380">
        <v>277.53030303030303030303030303</v>
      </c>
      <c r="E37" s="383">
        <v>262.30523255813953488372093023</v>
      </c>
      <c r="F37" s="381">
        <v>163.00357386440498079660152351</v>
      </c>
      <c r="G37" s="380">
        <v>0</v>
      </c>
      <c r="H37" s="383">
        <v>0.9854651162790697674418604651</v>
      </c>
      <c r="I37" s="381">
        <v>24.236522284104342594429386301</v>
      </c>
      <c r="J37" s="380">
        <v>0</v>
      </c>
      <c r="K37" s="383">
        <v>0</v>
      </c>
      <c r="L37" s="381">
        <v>12.374855368537908388762646641</v>
      </c>
      <c r="M37" s="380">
        <v>277.53030303030303030303030303</v>
      </c>
      <c r="N37" s="383">
        <v>263.2906976744186046511627907</v>
      </c>
      <c r="O37" s="381">
        <v>199.61495151704723177979355646</v>
      </c>
      <c r="P37" s="4"/>
      <c r="Q37" s="329">
        <v>20.940213264651699027177949020</v>
      </c>
      <c r="R37" s="330">
        <v>4.5007579386866575933137263900</v>
      </c>
      <c r="S37" s="332">
        <v>3.0641354361446775516019319300</v>
      </c>
      <c r="T37" s="329">
        <v>0</v>
      </c>
      <c r="U37" s="330">
        <v>0</v>
      </c>
      <c r="V37" s="332">
        <v>25.356202397668270964363647070</v>
      </c>
      <c r="W37" s="329">
        <v>0</v>
      </c>
      <c r="X37" s="330">
        <v>0</v>
      </c>
      <c r="Y37" s="332">
        <v>27.669116739023240804171556910</v>
      </c>
      <c r="Z37" s="329">
        <v>20.940213264651699027177949020</v>
      </c>
      <c r="AA37" s="330">
        <v>4.893361054411667034694743900</v>
      </c>
      <c r="AB37" s="332">
        <v>6.6407759139716841416275817500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167.75568181818181818181818182</v>
      </c>
      <c r="E39" s="382">
        <v>216.21141339187714221623474211</v>
      </c>
      <c r="F39" s="375">
        <v>122.15724414784102004597742969</v>
      </c>
      <c r="G39" s="374">
        <v>26.742424242424242424242424242</v>
      </c>
      <c r="H39" s="382">
        <v>11.050941259285648481439676493</v>
      </c>
      <c r="I39" s="375">
        <v>31.118816738992966205578378128</v>
      </c>
      <c r="J39" s="374">
        <v>0</v>
      </c>
      <c r="K39" s="382">
        <v>0</v>
      </c>
      <c r="L39" s="375">
        <v>12.742211451816832224098451384</v>
      </c>
      <c r="M39" s="374">
        <v>194.49810606060606060606060606</v>
      </c>
      <c r="N39" s="382">
        <v>227.2623546511627906976744186</v>
      </c>
      <c r="O39" s="375">
        <v>166.0182723386508184756542592</v>
      </c>
      <c r="P39" s="4"/>
      <c r="Q39" s="354">
        <v>-4.0440698531237748931326648500</v>
      </c>
      <c r="R39" s="355">
        <v>6.4533671903932273371558421400</v>
      </c>
      <c r="S39" s="356">
        <v>6.8593406908276649261251422400</v>
      </c>
      <c r="T39" s="354">
        <v>-38.509776597091676019054717020</v>
      </c>
      <c r="U39" s="355">
        <v>589.80690930069327304548757863</v>
      </c>
      <c r="V39" s="356">
        <v>-23.421964542073877014026488980</v>
      </c>
      <c r="W39" s="354">
        <v>0</v>
      </c>
      <c r="X39" s="355">
        <v>0</v>
      </c>
      <c r="Y39" s="356">
        <v>16.902190389514283354837712240</v>
      </c>
      <c r="Z39" s="354">
        <v>-10.909942656874410531417234200</v>
      </c>
      <c r="AA39" s="355">
        <v>11.018697394242469003817568340</v>
      </c>
      <c r="AB39" s="356">
        <v>0.0999179224227602595540521100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149.14583333333333333333333333</v>
      </c>
      <c r="E40" s="172">
        <v>190.11077609614479733465842276</v>
      </c>
      <c r="F40" s="371">
        <v>107.5875627986097832375406587</v>
      </c>
      <c r="G40" s="370">
        <v>14.916666666666666666666666667</v>
      </c>
      <c r="H40" s="172">
        <v>16.941549485250551502550879561</v>
      </c>
      <c r="I40" s="371">
        <v>40.248956215401997224187449314</v>
      </c>
      <c r="J40" s="370">
        <v>0</v>
      </c>
      <c r="K40" s="172">
        <v>0</v>
      </c>
      <c r="L40" s="371">
        <v>11.189521023523408778184309881</v>
      </c>
      <c r="M40" s="370">
        <v>164.062500000</v>
      </c>
      <c r="N40" s="172">
        <v>207.05232558139534883720930233</v>
      </c>
      <c r="O40" s="371">
        <v>159.02604003753518923991241789</v>
      </c>
      <c r="P40" s="4"/>
      <c r="Q40" s="327">
        <v>-6.6191554707029513541728797800</v>
      </c>
      <c r="R40" s="171">
        <v>19.470569204734381089883223030</v>
      </c>
      <c r="S40" s="328">
        <v>9.396254411210473541747569570</v>
      </c>
      <c r="T40" s="327">
        <v>129.95620438106599094252142430</v>
      </c>
      <c r="U40" s="171">
        <v>504.25896821174786268252526733</v>
      </c>
      <c r="V40" s="328">
        <v>-17.896190173940004757497432840</v>
      </c>
      <c r="W40" s="327">
        <v>0</v>
      </c>
      <c r="X40" s="171">
        <v>0</v>
      </c>
      <c r="Y40" s="328">
        <v>14.827687789194780647270592250</v>
      </c>
      <c r="Z40" s="327">
        <v>-1.2888007657326100918270839900</v>
      </c>
      <c r="AA40" s="171">
        <v>27.864225507850030370867269760</v>
      </c>
      <c r="AB40" s="328">
        <v>1.2174194399390226150239969300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155.48106060606060606060606061</v>
      </c>
      <c r="E41" s="173">
        <v>180.35140841894259165819092611</v>
      </c>
      <c r="F41" s="379">
        <v>113.53324429217080967424365437</v>
      </c>
      <c r="G41" s="378">
        <v>15.748106060606060606060606061</v>
      </c>
      <c r="H41" s="173">
        <v>27.229986929894617644134655285</v>
      </c>
      <c r="I41" s="379">
        <v>46.583479508787925685478328055</v>
      </c>
      <c r="J41" s="378">
        <v>0</v>
      </c>
      <c r="K41" s="173">
        <v>0</v>
      </c>
      <c r="L41" s="379">
        <v>10.289620688666955392024446523</v>
      </c>
      <c r="M41" s="378">
        <v>171.22916666666666666666666667</v>
      </c>
      <c r="N41" s="173">
        <v>207.5813953488372093023255814</v>
      </c>
      <c r="O41" s="379">
        <v>170.40634448962569075174642894</v>
      </c>
      <c r="P41" s="4"/>
      <c r="Q41" s="359">
        <v>-2.9449666016653479534343917400</v>
      </c>
      <c r="R41" s="170">
        <v>21.604367173725992075904917130</v>
      </c>
      <c r="S41" s="360">
        <v>9.517719455576162976484819720</v>
      </c>
      <c r="T41" s="359">
        <v>69.141578519231337073080052950</v>
      </c>
      <c r="U41" s="170">
        <v>277.60380854933304294069430085</v>
      </c>
      <c r="V41" s="360">
        <v>-17.448972215541739991923681450</v>
      </c>
      <c r="W41" s="359">
        <v>0</v>
      </c>
      <c r="X41" s="170">
        <v>0</v>
      </c>
      <c r="Y41" s="360">
        <v>6.9304509322165102529181975400</v>
      </c>
      <c r="Z41" s="359">
        <v>1.0145138042969773273944564700</v>
      </c>
      <c r="AA41" s="170">
        <v>33.474631446558337865854376270</v>
      </c>
      <c r="AB41" s="360">
        <v>0.4048737873561318061019183500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150.64583333333333333333333333</v>
      </c>
      <c r="E42" s="172">
        <v>186.94669978290278246455169343</v>
      </c>
      <c r="F42" s="371">
        <v>114.74389314567734208652724386</v>
      </c>
      <c r="G42" s="370">
        <v>24.289772727272727272727272727</v>
      </c>
      <c r="H42" s="172">
        <v>31.409404868260008233122725174</v>
      </c>
      <c r="I42" s="371">
        <v>52.51317148211523327862707495</v>
      </c>
      <c r="J42" s="370">
        <v>0</v>
      </c>
      <c r="K42" s="172">
        <v>0</v>
      </c>
      <c r="L42" s="371">
        <v>10.628557309440247072547693494</v>
      </c>
      <c r="M42" s="370">
        <v>174.93560606060606060606060606</v>
      </c>
      <c r="N42" s="172">
        <v>218.3561046511627906976744186</v>
      </c>
      <c r="O42" s="371">
        <v>177.8856219372328224377020123</v>
      </c>
      <c r="P42" s="4"/>
      <c r="Q42" s="327">
        <v>-1.1384963396714899938493748700</v>
      </c>
      <c r="R42" s="171">
        <v>16.138336631243588789443633230</v>
      </c>
      <c r="S42" s="328">
        <v>1.9152905910310828107163229300</v>
      </c>
      <c r="T42" s="327">
        <v>50.298839798288715490637957370</v>
      </c>
      <c r="U42" s="171">
        <v>606.98543154901153144960117232</v>
      </c>
      <c r="V42" s="328">
        <v>12.455458755610075215490330380</v>
      </c>
      <c r="W42" s="327">
        <v>0</v>
      </c>
      <c r="X42" s="171">
        <v>0</v>
      </c>
      <c r="Y42" s="328">
        <v>8.689189693442887324265328030</v>
      </c>
      <c r="Z42" s="327">
        <v>3.7936846836517949336955582500</v>
      </c>
      <c r="AA42" s="171">
        <v>32.007648881380158979333598610</v>
      </c>
      <c r="AB42" s="328">
        <v>5.2183964913697133852110708100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166.75378787878787878787878788</v>
      </c>
      <c r="E43" s="173">
        <v>218.82268165288132900295608448</v>
      </c>
      <c r="F43" s="379">
        <v>132.58746339294200016453745493</v>
      </c>
      <c r="G43" s="378">
        <v>27.823863636363636363636363636</v>
      </c>
      <c r="H43" s="173">
        <v>32.999992765723322159834613186</v>
      </c>
      <c r="I43" s="379">
        <v>43.76516341497996204035885936</v>
      </c>
      <c r="J43" s="378">
        <v>0</v>
      </c>
      <c r="K43" s="173">
        <v>0</v>
      </c>
      <c r="L43" s="379">
        <v>12.004661274655454122911005068</v>
      </c>
      <c r="M43" s="378">
        <v>194.57765151515151515151515152</v>
      </c>
      <c r="N43" s="173">
        <v>251.82267441860465116279069767</v>
      </c>
      <c r="O43" s="379">
        <v>188.35728808257741632780731936</v>
      </c>
      <c r="P43" s="4"/>
      <c r="Q43" s="359">
        <v>-6.0471866229647482951175867800</v>
      </c>
      <c r="R43" s="170">
        <v>-2.862299843690506931558376600</v>
      </c>
      <c r="S43" s="360">
        <v>-1.2003218276534237142687533500</v>
      </c>
      <c r="T43" s="359">
        <v>-42.327169944625538445863008090</v>
      </c>
      <c r="U43" s="170">
        <v>642.78975745997391070769824265</v>
      </c>
      <c r="V43" s="360">
        <v>-14.194270927010539164326244870</v>
      </c>
      <c r="W43" s="359">
        <v>0</v>
      </c>
      <c r="X43" s="170">
        <v>0</v>
      </c>
      <c r="Y43" s="360">
        <v>34.380080627257513325362140180</v>
      </c>
      <c r="Z43" s="359">
        <v>-13.801117580938977201637075400</v>
      </c>
      <c r="AA43" s="170">
        <v>9.624763503119320375636758550</v>
      </c>
      <c r="AB43" s="360">
        <v>-2.9769213732279342570240800600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238.59659090909090909090909091</v>
      </c>
      <c r="E44" s="172">
        <v>314.18057012784911184726487025</v>
      </c>
      <c r="F44" s="371">
        <v>174.71748997848523920385268743</v>
      </c>
      <c r="G44" s="370">
        <v>38.428030303030303030303030303</v>
      </c>
      <c r="H44" s="172">
        <v>17.250389174476469548083966959</v>
      </c>
      <c r="I44" s="371">
        <v>38.041200327989993750213942183</v>
      </c>
      <c r="J44" s="370">
        <v>0</v>
      </c>
      <c r="K44" s="172">
        <v>0</v>
      </c>
      <c r="L44" s="371">
        <v>12.212245987967473750135226295</v>
      </c>
      <c r="M44" s="370">
        <v>277.02462121212121212121212121</v>
      </c>
      <c r="N44" s="172">
        <v>331.43095930232558139534883721</v>
      </c>
      <c r="O44" s="371">
        <v>224.97093629444270670420185591</v>
      </c>
      <c r="P44" s="4"/>
      <c r="Q44" s="327">
        <v>0.9948852795511100648221803100</v>
      </c>
      <c r="R44" s="171">
        <v>3.2270212121769481116076219900</v>
      </c>
      <c r="S44" s="328">
        <v>-4.4740166342133334053996723400</v>
      </c>
      <c r="T44" s="327">
        <v>-49.913601579866716642492250460</v>
      </c>
      <c r="U44" s="171">
        <v>1669.3846554364426014884435013</v>
      </c>
      <c r="V44" s="328">
        <v>-1.2836321826952341614843200500</v>
      </c>
      <c r="W44" s="327">
        <v>0</v>
      </c>
      <c r="X44" s="171">
        <v>0</v>
      </c>
      <c r="Y44" s="328">
        <v>13.809235542857563409432673160</v>
      </c>
      <c r="Z44" s="327">
        <v>-11.485161696360268346614094110</v>
      </c>
      <c r="AA44" s="171">
        <v>8.547097620650495402961829400</v>
      </c>
      <c r="AB44" s="328">
        <v>-3.0994369130982956739281903700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261.05681818181818181818181818</v>
      </c>
      <c r="E45" s="385">
        <v>313.38030382013680784233294972</v>
      </c>
      <c r="F45" s="386">
        <v>186.41400074748320664483017016</v>
      </c>
      <c r="G45" s="384">
        <v>37.486742424242424242424242424</v>
      </c>
      <c r="H45" s="385">
        <v>17.291934551956215413481003765</v>
      </c>
      <c r="I45" s="386">
        <v>34.375618710664391535782637772</v>
      </c>
      <c r="J45" s="384">
        <v>0</v>
      </c>
      <c r="K45" s="385">
        <v>0</v>
      </c>
      <c r="L45" s="386">
        <v>12.65154934593956686995543312</v>
      </c>
      <c r="M45" s="384">
        <v>298.54356060606060606060606061</v>
      </c>
      <c r="N45" s="385">
        <v>330.67223837209302325581395349</v>
      </c>
      <c r="O45" s="386">
        <v>233.44116880408716505056824106</v>
      </c>
      <c r="P45" s="4"/>
      <c r="Q45" s="364">
        <v>13.330318602250612130989967470</v>
      </c>
      <c r="R45" s="365">
        <v>1.5096372177738787424144020300</v>
      </c>
      <c r="S45" s="366">
        <v>2.1686756174770692853144117700</v>
      </c>
      <c r="T45" s="364">
        <v>-47.745393104150079506510367010</v>
      </c>
      <c r="U45" s="365">
        <v>3358.3877590795991608298348206</v>
      </c>
      <c r="V45" s="366">
        <v>9.825156172072500878238099940</v>
      </c>
      <c r="W45" s="364">
        <v>0</v>
      </c>
      <c r="X45" s="365">
        <v>0</v>
      </c>
      <c r="Y45" s="366">
        <v>24.329596273052472425056990940</v>
      </c>
      <c r="Z45" s="364">
        <v>-1.1736456367542264983423135200</v>
      </c>
      <c r="AA45" s="365">
        <v>6.9376172219432672249047632900</v>
      </c>
      <c r="AB45" s="366">
        <v>4.2458826237089450975446857800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141.59632034632034632034632035</v>
      </c>
      <c r="E47" s="382">
        <v>157.88205980066445182724252492</v>
      </c>
      <c r="F47" s="375">
        <v>109.07374994972285496411955308</v>
      </c>
      <c r="G47" s="374">
        <v>8.364718614718614718614718615</v>
      </c>
      <c r="H47" s="382">
        <v>1.2769933554817275747508305648</v>
      </c>
      <c r="I47" s="375">
        <v>32.347336148722025484384425625</v>
      </c>
      <c r="J47" s="374">
        <v>0</v>
      </c>
      <c r="K47" s="382">
        <v>0</v>
      </c>
      <c r="L47" s="375">
        <v>11.324091672381936358919647611</v>
      </c>
      <c r="M47" s="374">
        <v>149.96103896103896103896103896</v>
      </c>
      <c r="N47" s="382">
        <v>159.15905315614617940199335548</v>
      </c>
      <c r="O47" s="375">
        <v>152.74517777082681680742362632</v>
      </c>
      <c r="P47" s="4"/>
      <c r="Q47" s="354">
        <v>-10.377164620756539305590238340</v>
      </c>
      <c r="R47" s="355">
        <v>-9.547302432476236645663076580</v>
      </c>
      <c r="S47" s="356">
        <v>-5.2446777984239105145656746900</v>
      </c>
      <c r="T47" s="354">
        <v>0</v>
      </c>
      <c r="U47" s="355">
        <v>1782.1291287874701209352970644</v>
      </c>
      <c r="V47" s="356">
        <v>14.041899315799868579989418750</v>
      </c>
      <c r="W47" s="354">
        <v>0</v>
      </c>
      <c r="X47" s="355">
        <v>0</v>
      </c>
      <c r="Y47" s="356">
        <v>20.205191668635445789852444580</v>
      </c>
      <c r="Z47" s="354">
        <v>-5.0827487943631987796828508100</v>
      </c>
      <c r="AA47" s="355">
        <v>-8.851126894548571470103160100</v>
      </c>
      <c r="AB47" s="356">
        <v>-0.0986528176440484155189469300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184.20508658008658008658008658</v>
      </c>
      <c r="E48" s="172">
        <v>231.4291218986763660523128127</v>
      </c>
      <c r="F48" s="371">
        <v>135.96298550045848586535847131</v>
      </c>
      <c r="G48" s="370">
        <v>26.490800865800865800865800866</v>
      </c>
      <c r="H48" s="172">
        <v>22.024885576406690426092502917</v>
      </c>
      <c r="I48" s="371">
        <v>40.94948662841892424574666711</v>
      </c>
      <c r="J48" s="370">
        <v>0</v>
      </c>
      <c r="K48" s="172">
        <v>0</v>
      </c>
      <c r="L48" s="371">
        <v>11.674052440287134029979509395</v>
      </c>
      <c r="M48" s="370">
        <v>210.69588744588744588744588745</v>
      </c>
      <c r="N48" s="172">
        <v>253.45400747508305647840531561</v>
      </c>
      <c r="O48" s="371">
        <v>188.58652456916454414108464781</v>
      </c>
      <c r="P48" s="4"/>
      <c r="Q48" s="327">
        <v>-0.1371456398889063533780383400</v>
      </c>
      <c r="R48" s="171">
        <v>7.2949561378633335231938838400</v>
      </c>
      <c r="S48" s="328">
        <v>2.5060929343500409714321900</v>
      </c>
      <c r="T48" s="327">
        <v>-31.864048212172026235357101990</v>
      </c>
      <c r="U48" s="171">
        <v>601.51397064943348985574518122</v>
      </c>
      <c r="V48" s="328">
        <v>-8.602669268010882922052558710</v>
      </c>
      <c r="W48" s="327">
        <v>0</v>
      </c>
      <c r="X48" s="171">
        <v>0</v>
      </c>
      <c r="Y48" s="328">
        <v>16.931426600828653987947782830</v>
      </c>
      <c r="Z48" s="327">
        <v>-5.6602722135099647197299783700</v>
      </c>
      <c r="AA48" s="171">
        <v>15.820247011178259817850511840</v>
      </c>
      <c r="AB48" s="328">
        <v>0.6189680845215315862874395300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167.95187165775401069518716578</v>
      </c>
      <c r="E49" s="385">
        <v>199.42694468310419531480064509</v>
      </c>
      <c r="F49" s="386">
        <v>133.73940284269613044502682564</v>
      </c>
      <c r="G49" s="384">
        <v>32.957219251336898395721925134</v>
      </c>
      <c r="H49" s="385">
        <v>28.154963661629046819262282397</v>
      </c>
      <c r="I49" s="386">
        <v>38.403417782194870475434243771</v>
      </c>
      <c r="J49" s="384">
        <v>0</v>
      </c>
      <c r="K49" s="385">
        <v>0</v>
      </c>
      <c r="L49" s="386">
        <v>11.818761004945794604755585915</v>
      </c>
      <c r="M49" s="384">
        <v>200.90909090909090909090909091</v>
      </c>
      <c r="N49" s="385">
        <v>227.5819083447332421340629275</v>
      </c>
      <c r="O49" s="386">
        <v>183.96158162983679552521665532</v>
      </c>
      <c r="P49" s="4"/>
      <c r="Q49" s="364">
        <v>3.5973358768868692758881173800</v>
      </c>
      <c r="R49" s="365">
        <v>-7.924952290899940433421952550</v>
      </c>
      <c r="S49" s="366">
        <v>-1.1662973694233297895969955700</v>
      </c>
      <c r="T49" s="364">
        <v>-45.204789283356297987257090540</v>
      </c>
      <c r="U49" s="365">
        <v>2878.1418056668078432093366069</v>
      </c>
      <c r="V49" s="366">
        <v>-5.1951934598908267498038845900</v>
      </c>
      <c r="W49" s="364">
        <v>0</v>
      </c>
      <c r="X49" s="365">
        <v>0</v>
      </c>
      <c r="Y49" s="366">
        <v>24.355760481883945931306493210</v>
      </c>
      <c r="Z49" s="364">
        <v>-9.608733571902858608174294090</v>
      </c>
      <c r="AA49" s="365">
        <v>4.6175038009581860252884192200</v>
      </c>
      <c r="AB49" s="366">
        <v>-0.73809036710605204855776200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4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137</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178</v>
      </c>
      <c r="B4" s="443"/>
      <c r="C4" s="211"/>
      <c r="D4" s="212"/>
      <c r="E4" s="212"/>
      <c r="F4" s="212"/>
      <c r="G4" s="212"/>
      <c r="H4" s="212"/>
      <c r="I4" s="212"/>
      <c r="J4" s="212"/>
      <c r="K4" s="212"/>
      <c r="L4" s="212"/>
      <c r="M4" s="212"/>
      <c r="N4" s="212"/>
      <c r="O4" s="212"/>
      <c r="P4" s="212"/>
      <c r="Q4" s="667" t="s">
        <v>180</v>
      </c>
      <c r="R4" s="667"/>
      <c r="S4" s="667"/>
      <c r="T4" s="667"/>
      <c r="U4" s="667"/>
      <c r="V4" s="667"/>
      <c r="W4" s="667"/>
      <c r="X4" s="66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3" t="s">
        <v>33</v>
      </c>
      <c r="E8" s="683"/>
      <c r="F8" s="683"/>
      <c r="G8" s="683" t="s">
        <v>30</v>
      </c>
      <c r="H8" s="683"/>
      <c r="I8" s="683"/>
      <c r="J8" s="683" t="s">
        <v>29</v>
      </c>
      <c r="K8" s="683"/>
      <c r="L8" s="683"/>
      <c r="M8" s="683" t="s">
        <v>94</v>
      </c>
      <c r="N8" s="683"/>
      <c r="O8" s="683"/>
      <c r="Q8" s="683" t="s">
        <v>33</v>
      </c>
      <c r="R8" s="683"/>
      <c r="S8" s="683"/>
      <c r="T8" s="683" t="s">
        <v>30</v>
      </c>
      <c r="U8" s="683"/>
      <c r="V8" s="683"/>
      <c r="W8" s="683" t="s">
        <v>29</v>
      </c>
      <c r="X8" s="683"/>
      <c r="Y8" s="683"/>
      <c r="Z8" s="684" t="s">
        <v>23</v>
      </c>
      <c r="AA8" s="684"/>
      <c r="AB8" s="684"/>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94" t="s">
        <v>63</v>
      </c>
      <c r="AA9" s="94" t="s">
        <v>26</v>
      </c>
      <c r="AB9" s="95" t="s">
        <v>181</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182</v>
      </c>
      <c r="B10" s="342">
        <v>20</v>
      </c>
      <c r="C10" s="343" t="s">
        <v>49</v>
      </c>
      <c r="D10" s="374">
        <v>210.82786885245901639344262295</v>
      </c>
      <c r="E10" s="382">
        <v>298.770609318996415770609319</v>
      </c>
      <c r="F10" s="375">
        <v>225.54284361685340066277418337</v>
      </c>
      <c r="G10" s="374">
        <v>1.0819672131147540983606557377</v>
      </c>
      <c r="H10" s="382">
        <v>115.58589515702661167008246224</v>
      </c>
      <c r="I10" s="375">
        <v>52.658776504101860878521820899</v>
      </c>
      <c r="J10" s="374">
        <v>30.901639344262295081967213115</v>
      </c>
      <c r="K10" s="382">
        <v>34.985387308833475817128128903</v>
      </c>
      <c r="L10" s="375">
        <v>17.876301100275937605516339945</v>
      </c>
      <c r="M10" s="374">
        <v>242.8114754098360655737704918</v>
      </c>
      <c r="N10" s="382">
        <v>449.34189178485650325781991011</v>
      </c>
      <c r="O10" s="375">
        <v>296.0779212212311991468123442</v>
      </c>
      <c r="P10" s="4"/>
      <c r="Q10" s="354">
        <v>86.82780272085879215474462411</v>
      </c>
      <c r="R10" s="355">
        <v>66.490708919266946948312767030</v>
      </c>
      <c r="S10" s="356">
        <v>76.176853271111166272606732330</v>
      </c>
      <c r="T10" s="354">
        <v>0.4455997029335313776457482400</v>
      </c>
      <c r="U10" s="355">
        <v>25.723373954273726580421786930</v>
      </c>
      <c r="V10" s="356">
        <v>17.785445225669126179852677440</v>
      </c>
      <c r="W10" s="354">
        <v>12.726597576207676467609627650</v>
      </c>
      <c r="X10" s="355">
        <v>7.7859171264593264712654460500</v>
      </c>
      <c r="Y10" s="356">
        <v>6.0377015032197075475405902400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21</v>
      </c>
      <c r="C11" s="345" t="s">
        <v>47</v>
      </c>
      <c r="D11" s="370">
        <v>197.21929824561403508771929825</v>
      </c>
      <c r="E11" s="172">
        <v>285.73929961089494163424124515</v>
      </c>
      <c r="F11" s="371">
        <v>206.82560741687979539641943734</v>
      </c>
      <c r="G11" s="370">
        <v>1.6052631578947368421052631579</v>
      </c>
      <c r="H11" s="172">
        <v>90.59947636004009879371427114</v>
      </c>
      <c r="I11" s="371">
        <v>68.608749520024611524841084994</v>
      </c>
      <c r="J11" s="370">
        <v>33.99122807017543859649122807</v>
      </c>
      <c r="K11" s="172">
        <v>38.3596443333735305542307979</v>
      </c>
      <c r="L11" s="371">
        <v>23.257550923138723060140086739</v>
      </c>
      <c r="M11" s="370">
        <v>232.81578947368421052631578947</v>
      </c>
      <c r="N11" s="172">
        <v>414.69842030430857098218631418</v>
      </c>
      <c r="O11" s="371">
        <v>298.69190786004312998140060906</v>
      </c>
      <c r="P11" s="4"/>
      <c r="Q11" s="327">
        <v>84.71044798613465958328623639</v>
      </c>
      <c r="R11" s="171">
        <v>68.902914894447262652671011050</v>
      </c>
      <c r="S11" s="328">
        <v>69.243793345011288770583119400</v>
      </c>
      <c r="T11" s="327">
        <v>0.6894992652876681360913303900</v>
      </c>
      <c r="U11" s="171">
        <v>21.847075350216568462949233230</v>
      </c>
      <c r="V11" s="328">
        <v>22.969738287042024011862065180</v>
      </c>
      <c r="W11" s="327">
        <v>14.600052748577672280622433220</v>
      </c>
      <c r="X11" s="171">
        <v>9.250009755336168884379755730</v>
      </c>
      <c r="Y11" s="328">
        <v>7.7864683679466872175548154200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22</v>
      </c>
      <c r="C12" s="347" t="s">
        <v>48</v>
      </c>
      <c r="D12" s="378">
        <v>204.38983050847457627118644068</v>
      </c>
      <c r="E12" s="173">
        <v>297.21176470588235294117647058</v>
      </c>
      <c r="F12" s="379">
        <v>212.94239766081871345029239766</v>
      </c>
      <c r="G12" s="378">
        <v>0.8135593220338983050847457627</v>
      </c>
      <c r="H12" s="173">
        <v>73.953024759757751752860936515</v>
      </c>
      <c r="I12" s="379">
        <v>63.013410410175994895830487221</v>
      </c>
      <c r="J12" s="378">
        <v>32.389830508474576271186440678</v>
      </c>
      <c r="K12" s="173">
        <v>34.163103948952104388361385477</v>
      </c>
      <c r="L12" s="379">
        <v>20.611774215513317830796879111</v>
      </c>
      <c r="M12" s="378">
        <v>237.59322033898305084745762712</v>
      </c>
      <c r="N12" s="173">
        <v>405.32789341459220908239879257</v>
      </c>
      <c r="O12" s="379">
        <v>296.56758228650802617691976399</v>
      </c>
      <c r="P12" s="4"/>
      <c r="Q12" s="359">
        <v>86.02511057212155799686117848</v>
      </c>
      <c r="R12" s="170">
        <v>73.326254998660408624983875290</v>
      </c>
      <c r="S12" s="360">
        <v>71.802317710874855575948948660</v>
      </c>
      <c r="T12" s="359">
        <v>0.3424168925666999571978884300</v>
      </c>
      <c r="U12" s="170">
        <v>18.24523452771961856375958800</v>
      </c>
      <c r="V12" s="360">
        <v>21.247571944427828901180892890</v>
      </c>
      <c r="W12" s="359">
        <v>13.632472535311742045940933090</v>
      </c>
      <c r="X12" s="170">
        <v>8.428510473619972811256536710</v>
      </c>
      <c r="Y12" s="360">
        <v>6.9501103446973155228701584500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23</v>
      </c>
      <c r="C13" s="345" t="s">
        <v>50</v>
      </c>
      <c r="D13" s="370">
        <v>198.97520661157024793388429752</v>
      </c>
      <c r="E13" s="172">
        <v>311.35741444866920152091254752</v>
      </c>
      <c r="F13" s="371">
        <v>218.06756756756756756756756757</v>
      </c>
      <c r="G13" s="370">
        <v>2.5289256198347107438016528926</v>
      </c>
      <c r="H13" s="172">
        <v>90.43999523235001104780236811</v>
      </c>
      <c r="I13" s="371">
        <v>93.27423391522402548799121768</v>
      </c>
      <c r="J13" s="370">
        <v>32.074380165289256198347107438</v>
      </c>
      <c r="K13" s="172">
        <v>34.883942765091141765040093622</v>
      </c>
      <c r="L13" s="371">
        <v>23.446150664311737003546496082</v>
      </c>
      <c r="M13" s="370">
        <v>233.57851239669421487603305785</v>
      </c>
      <c r="N13" s="172">
        <v>436.68135244611035433375500926</v>
      </c>
      <c r="O13" s="371">
        <v>334.78795214710333005910528133</v>
      </c>
      <c r="P13" s="4"/>
      <c r="Q13" s="327">
        <v>85.18557831794218589675547536</v>
      </c>
      <c r="R13" s="171">
        <v>71.300826725156065463134806820</v>
      </c>
      <c r="S13" s="328">
        <v>65.136026003632981466447364700</v>
      </c>
      <c r="T13" s="327">
        <v>1.0826876127799596645791317300</v>
      </c>
      <c r="U13" s="171">
        <v>20.710752755010522763801692520</v>
      </c>
      <c r="V13" s="328">
        <v>27.860690122516721432174148660</v>
      </c>
      <c r="W13" s="327">
        <v>13.731734069277854438665392920</v>
      </c>
      <c r="X13" s="171">
        <v>7.988420519833411773063500660</v>
      </c>
      <c r="Y13" s="328">
        <v>7.0032838738502971013784866400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24</v>
      </c>
      <c r="C14" s="347" t="s">
        <v>51</v>
      </c>
      <c r="D14" s="378">
        <v>215.20353982300884955752212389</v>
      </c>
      <c r="E14" s="173">
        <v>340.83501683501683501683501684</v>
      </c>
      <c r="F14" s="379">
        <v>218.77990366604227990366604228</v>
      </c>
      <c r="G14" s="378">
        <v>0.672566371681415929203539823</v>
      </c>
      <c r="H14" s="173">
        <v>87.83855267176260715617896871</v>
      </c>
      <c r="I14" s="379">
        <v>82.08076284290214482729975179</v>
      </c>
      <c r="J14" s="378">
        <v>29.592920353982300884955752212</v>
      </c>
      <c r="K14" s="173">
        <v>32.183271364585197663283203411</v>
      </c>
      <c r="L14" s="379">
        <v>25.820622974253091273083787962</v>
      </c>
      <c r="M14" s="378">
        <v>245.46902654867256637168141593</v>
      </c>
      <c r="N14" s="173">
        <v>460.85684087136463983629718896</v>
      </c>
      <c r="O14" s="379">
        <v>326.68128948319751600404958203</v>
      </c>
      <c r="P14" s="4"/>
      <c r="Q14" s="359">
        <v>87.67034393251135626216742375</v>
      </c>
      <c r="R14" s="170">
        <v>73.956809709189375698523069080</v>
      </c>
      <c r="S14" s="360">
        <v>66.970442051378941220741764480</v>
      </c>
      <c r="T14" s="359">
        <v>0.2739923570553031941740572500</v>
      </c>
      <c r="U14" s="170">
        <v>19.059834829766646414185737750</v>
      </c>
      <c r="V14" s="360">
        <v>25.125639418392180789238407740</v>
      </c>
      <c r="W14" s="359">
        <v>12.05566371043334054365851900</v>
      </c>
      <c r="X14" s="170">
        <v>6.9833554610439778872911931700</v>
      </c>
      <c r="Y14" s="360">
        <v>7.9039185302288779900198277800</v>
      </c>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25</v>
      </c>
      <c r="C15" s="345" t="s">
        <v>52</v>
      </c>
      <c r="D15" s="370">
        <v>306.37272727272727272727272727</v>
      </c>
      <c r="E15" s="172">
        <v>443.26625386996904024767801858</v>
      </c>
      <c r="F15" s="371">
        <v>252.42353658536585365853658537</v>
      </c>
      <c r="G15" s="370">
        <v>0.9636363636363636363636363636</v>
      </c>
      <c r="H15" s="172">
        <v>85.73408989508374179378485323</v>
      </c>
      <c r="I15" s="371">
        <v>98.92762093364949630244640706</v>
      </c>
      <c r="J15" s="370">
        <v>30.763636363636363636363636364</v>
      </c>
      <c r="K15" s="172">
        <v>38.94491034419345299979415892</v>
      </c>
      <c r="L15" s="371">
        <v>30.490770637502351800032842099</v>
      </c>
      <c r="M15" s="370">
        <v>338.100000000</v>
      </c>
      <c r="N15" s="172">
        <v>567.94525410924623504125703071</v>
      </c>
      <c r="O15" s="371">
        <v>381.84192815651770176101583452</v>
      </c>
      <c r="P15" s="4"/>
      <c r="Q15" s="327">
        <v>90.61600924954962222042967385</v>
      </c>
      <c r="R15" s="171">
        <v>78.047355913762991382025367200</v>
      </c>
      <c r="S15" s="328">
        <v>66.106814881234568430897674890</v>
      </c>
      <c r="T15" s="327">
        <v>0.2850151918474899841359468700</v>
      </c>
      <c r="U15" s="171">
        <v>15.095484868439888911157557190</v>
      </c>
      <c r="V15" s="328">
        <v>25.908003715374830266146971820</v>
      </c>
      <c r="W15" s="327">
        <v>9.098975558602887795434379290</v>
      </c>
      <c r="X15" s="171">
        <v>6.8571592177971197068170756100</v>
      </c>
      <c r="Y15" s="328">
        <v>7.985181403390601302955353290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26</v>
      </c>
      <c r="C16" s="347" t="s">
        <v>53</v>
      </c>
      <c r="D16" s="378">
        <v>325.19827586206896551724137931</v>
      </c>
      <c r="E16" s="173">
        <v>385.93113772455089820359281438</v>
      </c>
      <c r="F16" s="379">
        <v>259.38790697674418604651162791</v>
      </c>
      <c r="G16" s="378">
        <v>0.7068965517241379310344827586</v>
      </c>
      <c r="H16" s="173">
        <v>100.28028205684465373804354263</v>
      </c>
      <c r="I16" s="379">
        <v>79.41626178678097385534024289</v>
      </c>
      <c r="J16" s="378">
        <v>31.327586206896551724137931034</v>
      </c>
      <c r="K16" s="173">
        <v>39.324340895645358080083713896</v>
      </c>
      <c r="L16" s="379">
        <v>23.446116154196718809338611812</v>
      </c>
      <c r="M16" s="378">
        <v>357.2327586206896551724137931</v>
      </c>
      <c r="N16" s="173">
        <v>525.53576067704091002172007091</v>
      </c>
      <c r="O16" s="379">
        <v>362.2502849177218787111904826</v>
      </c>
      <c r="P16" s="4"/>
      <c r="Q16" s="359">
        <v>91.03260213808248268539298728</v>
      </c>
      <c r="R16" s="170">
        <v>73.435751970020235118629147130</v>
      </c>
      <c r="S16" s="360">
        <v>71.604610893724794349307586260</v>
      </c>
      <c r="T16" s="359">
        <v>0.1978812230024855812157629300</v>
      </c>
      <c r="U16" s="170">
        <v>19.081533467419013675516729120</v>
      </c>
      <c r="V16" s="360">
        <v>21.923036390383747062285963490</v>
      </c>
      <c r="W16" s="359">
        <v>8.769516638915031733391249790</v>
      </c>
      <c r="X16" s="170">
        <v>7.4827145625607512058541237500</v>
      </c>
      <c r="Y16" s="360">
        <v>6.4723527158914585884064502500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27</v>
      </c>
      <c r="C17" s="345" t="s">
        <v>49</v>
      </c>
      <c r="D17" s="370">
        <v>248.25925925925925925925925926</v>
      </c>
      <c r="E17" s="172">
        <v>316.85530546623794212218649517</v>
      </c>
      <c r="F17" s="371">
        <v>238.97769095034030753718174943</v>
      </c>
      <c r="G17" s="370">
        <v>3.4074074074074074074074074074</v>
      </c>
      <c r="H17" s="172">
        <v>80.94102487625841449661885263</v>
      </c>
      <c r="I17" s="371">
        <v>65.059573762031912344141953576</v>
      </c>
      <c r="J17" s="370">
        <v>33.259259259259259259259259259</v>
      </c>
      <c r="K17" s="172">
        <v>35.482759519834061597920674902</v>
      </c>
      <c r="L17" s="371">
        <v>21.355368669435481260798999173</v>
      </c>
      <c r="M17" s="370">
        <v>284.92592592592592592592592593</v>
      </c>
      <c r="N17" s="172">
        <v>433.27908986233041821672602269</v>
      </c>
      <c r="O17" s="371">
        <v>325.39263338180770114212270218</v>
      </c>
      <c r="P17" s="4"/>
      <c r="Q17" s="327">
        <v>87.13115819576238138567528922</v>
      </c>
      <c r="R17" s="171">
        <v>73.129609270300851436045998410</v>
      </c>
      <c r="S17" s="328">
        <v>73.442870684146611065180326280</v>
      </c>
      <c r="T17" s="327">
        <v>1.1958923696867281944624983800</v>
      </c>
      <c r="U17" s="171">
        <v>18.681036488969850657636041180</v>
      </c>
      <c r="V17" s="328">
        <v>19.994175370802759077386810900</v>
      </c>
      <c r="W17" s="327">
        <v>11.672949434550890419862212400</v>
      </c>
      <c r="X17" s="171">
        <v>8.189354240729297906317960410</v>
      </c>
      <c r="Y17" s="328">
        <v>6.5629539450506298574328628200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28</v>
      </c>
      <c r="C18" s="347" t="s">
        <v>47</v>
      </c>
      <c r="D18" s="378">
        <v>285.42741935483870967741935484</v>
      </c>
      <c r="E18" s="173">
        <v>357.93113772455089820359281438</v>
      </c>
      <c r="F18" s="379">
        <v>269.46395280235988200589970501</v>
      </c>
      <c r="G18" s="378">
        <v>1.3225806451612903225806451613</v>
      </c>
      <c r="H18" s="173">
        <v>105.74258098557853995421509484</v>
      </c>
      <c r="I18" s="379">
        <v>88.04103998104315316963765044</v>
      </c>
      <c r="J18" s="378">
        <v>26.806451612903225806451612903</v>
      </c>
      <c r="K18" s="173">
        <v>20.67987385492648168105163119</v>
      </c>
      <c r="L18" s="379">
        <v>25.589176499412044049593774998</v>
      </c>
      <c r="M18" s="378">
        <v>313.5564516129032258064516129</v>
      </c>
      <c r="N18" s="173">
        <v>484.35359256505591983885954043</v>
      </c>
      <c r="O18" s="379">
        <v>383.09416928281507922513113044</v>
      </c>
      <c r="P18" s="4"/>
      <c r="Q18" s="359">
        <v>91.02903731899899693937913120</v>
      </c>
      <c r="R18" s="170">
        <v>73.898726719256325488527380440</v>
      </c>
      <c r="S18" s="360">
        <v>70.338829042169803144212730620</v>
      </c>
      <c r="T18" s="359">
        <v>0.4217998508268820246392839700</v>
      </c>
      <c r="U18" s="170">
        <v>21.831691270334849923079440930</v>
      </c>
      <c r="V18" s="360">
        <v>22.981566163187364675875130960</v>
      </c>
      <c r="W18" s="359">
        <v>8.549162830174121035981584840</v>
      </c>
      <c r="X18" s="170">
        <v>4.2695820104088245883931786200</v>
      </c>
      <c r="Y18" s="360">
        <v>6.6796047946428321799121384200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29</v>
      </c>
      <c r="C19" s="345" t="s">
        <v>48</v>
      </c>
      <c r="D19" s="370">
        <v>311.484375000</v>
      </c>
      <c r="E19" s="172">
        <v>317.57485029940119760479041917</v>
      </c>
      <c r="F19" s="371">
        <v>280.38212775682779110958747572</v>
      </c>
      <c r="G19" s="370">
        <v>1.6484375</v>
      </c>
      <c r="H19" s="172">
        <v>63.288053481780593120004095939</v>
      </c>
      <c r="I19" s="371">
        <v>72.674467240220920740112650431</v>
      </c>
      <c r="J19" s="370">
        <v>26.6484375</v>
      </c>
      <c r="K19" s="172">
        <v>28.304018681221343916746720519</v>
      </c>
      <c r="L19" s="371">
        <v>22.814482815043850138841107523</v>
      </c>
      <c r="M19" s="370">
        <v>339.781250000</v>
      </c>
      <c r="N19" s="172">
        <v>409.16692246240313464154123561</v>
      </c>
      <c r="O19" s="371">
        <v>375.87107781209256198854123366</v>
      </c>
      <c r="P19" s="4"/>
      <c r="Q19" s="327">
        <v>91.67203163800239124436678010</v>
      </c>
      <c r="R19" s="171">
        <v>77.614986174397320559255364730</v>
      </c>
      <c r="S19" s="328">
        <v>74.595291925333476454299094670</v>
      </c>
      <c r="T19" s="327">
        <v>0.4851466936448082405959716700</v>
      </c>
      <c r="U19" s="171">
        <v>15.467539042723059547454920750</v>
      </c>
      <c r="V19" s="328">
        <v>19.334945285828222481015095970</v>
      </c>
      <c r="W19" s="327">
        <v>7.8428216683528005150372482300</v>
      </c>
      <c r="X19" s="171">
        <v>6.9174747828796198932897145300</v>
      </c>
      <c r="Y19" s="328">
        <v>6.0697627888383010646858093600</v>
      </c>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30</v>
      </c>
      <c r="C20" s="347" t="s">
        <v>50</v>
      </c>
      <c r="D20" s="378">
        <v>267.27777777777777777777777778</v>
      </c>
      <c r="E20" s="173">
        <v>304.75851393188854489164086687</v>
      </c>
      <c r="F20" s="379">
        <v>265.43899066712754925682682337</v>
      </c>
      <c r="G20" s="378">
        <v>0.9603174603174603174603174603</v>
      </c>
      <c r="H20" s="173">
        <v>91.45843676112970087636638334</v>
      </c>
      <c r="I20" s="379">
        <v>190.3116635700098664933349971</v>
      </c>
      <c r="J20" s="378">
        <v>243.07142857142857142857142857</v>
      </c>
      <c r="K20" s="173">
        <v>45.45653175612438182791167756</v>
      </c>
      <c r="L20" s="379">
        <v>88.39804944379737909093327513</v>
      </c>
      <c r="M20" s="378">
        <v>511.30952380952380952380952381</v>
      </c>
      <c r="N20" s="173">
        <v>441.67348244914262759591892777</v>
      </c>
      <c r="O20" s="379">
        <v>544.14870368093479484109509559</v>
      </c>
      <c r="P20" s="4"/>
      <c r="Q20" s="359">
        <v>52.273185875048506014745828480</v>
      </c>
      <c r="R20" s="170">
        <v>69.000862864113779047279002650</v>
      </c>
      <c r="S20" s="360">
        <v>48.780597816652975756838506950</v>
      </c>
      <c r="T20" s="359">
        <v>0.1878152890958478851377570800</v>
      </c>
      <c r="U20" s="170">
        <v>20.707251033949239786961825700</v>
      </c>
      <c r="V20" s="360">
        <v>34.974201405357086720181950140</v>
      </c>
      <c r="W20" s="359">
        <v>47.538998835855646100116414440</v>
      </c>
      <c r="X20" s="170">
        <v>10.291886101936981165759171650</v>
      </c>
      <c r="Y20" s="360">
        <v>16.245200777989937522979542910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t="s">
        <v>179</v>
      </c>
      <c r="B21" s="668">
        <v>1</v>
      </c>
      <c r="C21" s="679" t="s">
        <v>51</v>
      </c>
      <c r="D21" s="680">
        <v>297.04838709677419354838709677</v>
      </c>
      <c r="E21" s="681">
        <v>388.5888157894736842105263158</v>
      </c>
      <c r="F21" s="682">
        <v>285.45558252427184466019417476</v>
      </c>
      <c r="G21" s="680">
        <v>0.9193548387096774193548387097</v>
      </c>
      <c r="H21" s="681">
        <v>108.23919831336233353793600384</v>
      </c>
      <c r="I21" s="682">
        <v>70.498365914944211568331005688</v>
      </c>
      <c r="J21" s="680">
        <v>31.879032258064516129032258065</v>
      </c>
      <c r="K21" s="681">
        <v>36.275617881337005881039231741</v>
      </c>
      <c r="L21" s="682">
        <v>20.691920439051783790153069314</v>
      </c>
      <c r="M21" s="680">
        <v>329.84677419354838709677419355</v>
      </c>
      <c r="N21" s="681">
        <v>533.1036319841730236295015514</v>
      </c>
      <c r="O21" s="682">
        <v>376.64586887826784001867824976</v>
      </c>
      <c r="P21" s="4"/>
      <c r="Q21" s="670">
        <v>90.05647783672770836898853329</v>
      </c>
      <c r="R21" s="671">
        <v>72.891796730623334349204702400</v>
      </c>
      <c r="S21" s="672">
        <v>75.788852636143276537365207320</v>
      </c>
      <c r="T21" s="670">
        <v>0.2787217916432361066966577800</v>
      </c>
      <c r="U21" s="671">
        <v>20.303594239360908837432482380</v>
      </c>
      <c r="V21" s="672">
        <v>18.717413820282553982930685340</v>
      </c>
      <c r="W21" s="670">
        <v>9.664800371629055524314808930</v>
      </c>
      <c r="X21" s="671">
        <v>6.8046090300157568133628152200</v>
      </c>
      <c r="Y21" s="672">
        <v>5.4937335435741694797041073500</v>
      </c>
      <c r="Z21" s="685"/>
      <c r="AA21" s="685"/>
      <c r="AB21" s="686"/>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v>
      </c>
      <c r="C22" s="347" t="s">
        <v>52</v>
      </c>
      <c r="D22" s="378">
        <v>420.132812500</v>
      </c>
      <c r="E22" s="173">
        <v>494.47904191616766467065868265</v>
      </c>
      <c r="F22" s="379">
        <v>327.43658672615727830451756832</v>
      </c>
      <c r="G22" s="378">
        <v>1.3203125</v>
      </c>
      <c r="H22" s="173">
        <v>158.85047100837101153239533514</v>
      </c>
      <c r="I22" s="379">
        <v>79.138310073622224092110450463</v>
      </c>
      <c r="J22" s="378">
        <v>26.5234375</v>
      </c>
      <c r="K22" s="173">
        <v>34.521849397423608336916991291</v>
      </c>
      <c r="L22" s="379">
        <v>22.668223911075787416829430142</v>
      </c>
      <c r="M22" s="378">
        <v>447.976562500</v>
      </c>
      <c r="N22" s="173">
        <v>687.85136232196228453997100906</v>
      </c>
      <c r="O22" s="379">
        <v>429.24312071085528981345744892</v>
      </c>
      <c r="P22" s="4"/>
      <c r="Q22" s="359">
        <v>93.78455206571214314364939572</v>
      </c>
      <c r="R22" s="170">
        <v>71.887484564538388900995133290</v>
      </c>
      <c r="S22" s="360">
        <v>76.282314363920477387373845070</v>
      </c>
      <c r="T22" s="359">
        <v>0.2947280305540538183847508800</v>
      </c>
      <c r="U22" s="170">
        <v>23.093720491029272898961284230</v>
      </c>
      <c r="V22" s="360">
        <v>18.436710166155696242357292430</v>
      </c>
      <c r="W22" s="359">
        <v>5.920719903733803037965853400</v>
      </c>
      <c r="X22" s="170">
        <v>5.0187949444323382000435824800</v>
      </c>
      <c r="Y22" s="360">
        <v>5.280975469923826370268862500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3</v>
      </c>
      <c r="C23" s="345" t="s">
        <v>53</v>
      </c>
      <c r="D23" s="370">
        <v>408.95419847328244274809160305</v>
      </c>
      <c r="E23" s="172">
        <v>493.2463343108504398826979472</v>
      </c>
      <c r="F23" s="371">
        <v>346.25260159929893745207580239</v>
      </c>
      <c r="G23" s="370">
        <v>1.6030534351145038167938931298</v>
      </c>
      <c r="H23" s="172">
        <v>157.60843591036728493067100012</v>
      </c>
      <c r="I23" s="371">
        <v>69.472410894865533583878020811</v>
      </c>
      <c r="J23" s="370">
        <v>25.549618320610687022900763359</v>
      </c>
      <c r="K23" s="172">
        <v>30.679563828352372867237497163</v>
      </c>
      <c r="L23" s="371">
        <v>22.110877059534220586833620318</v>
      </c>
      <c r="M23" s="370">
        <v>436.10687022900763358778625954</v>
      </c>
      <c r="N23" s="172">
        <v>681.53433404957009768060644447</v>
      </c>
      <c r="O23" s="371">
        <v>437.83588955369869162278744352</v>
      </c>
      <c r="P23" s="4"/>
      <c r="Q23" s="327">
        <v>93.77384911605111150008751969</v>
      </c>
      <c r="R23" s="171">
        <v>72.372925275834322109024453450</v>
      </c>
      <c r="S23" s="328">
        <v>79.082736217043838934547413530</v>
      </c>
      <c r="T23" s="327">
        <v>0.367582706108874496761771400</v>
      </c>
      <c r="U23" s="171">
        <v>23.125531324868504198318854020</v>
      </c>
      <c r="V23" s="328">
        <v>15.867226180494516251419374790</v>
      </c>
      <c r="W23" s="327">
        <v>5.8585681778400140031507089100</v>
      </c>
      <c r="X23" s="171">
        <v>4.5015433992971736926566925300</v>
      </c>
      <c r="Y23" s="328">
        <v>5.0500376024616448140332116800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4</v>
      </c>
      <c r="C24" s="347" t="s">
        <v>49</v>
      </c>
      <c r="D24" s="378">
        <v>289.93023255813953488372093023</v>
      </c>
      <c r="E24" s="173">
        <v>366.80425531914893617021276597</v>
      </c>
      <c r="F24" s="379">
        <v>268.1900944006207164101900944</v>
      </c>
      <c r="G24" s="378">
        <v>3.0232558139534883720930232558</v>
      </c>
      <c r="H24" s="173">
        <v>103.51572268238193325160399022</v>
      </c>
      <c r="I24" s="379">
        <v>63.352845549722615667483743617</v>
      </c>
      <c r="J24" s="378">
        <v>25.031007751937984496124031008</v>
      </c>
      <c r="K24" s="173">
        <v>27.093699321065634470698785884</v>
      </c>
      <c r="L24" s="379">
        <v>20.660362131530622662716822423</v>
      </c>
      <c r="M24" s="378">
        <v>317.9844961240310077519379845</v>
      </c>
      <c r="N24" s="173">
        <v>497.41367732259650389251554206</v>
      </c>
      <c r="O24" s="379">
        <v>352.20330208187395474039066044</v>
      </c>
      <c r="P24" s="4"/>
      <c r="Q24" s="359">
        <v>91.17747440273037542662116041</v>
      </c>
      <c r="R24" s="170">
        <v>73.742293797293168215396229130</v>
      </c>
      <c r="S24" s="360">
        <v>76.146388411280896175668419650</v>
      </c>
      <c r="T24" s="359">
        <v>0.9507557289127254997562164800</v>
      </c>
      <c r="U24" s="170">
        <v>20.810791379837158725308697450</v>
      </c>
      <c r="V24" s="360">
        <v>17.987578530707663201397221450</v>
      </c>
      <c r="W24" s="359">
        <v>7.8717698683568990736226231100</v>
      </c>
      <c r="X24" s="170">
        <v>5.4469148228696730592950734200</v>
      </c>
      <c r="Y24" s="360">
        <v>5.8660330580114406229343588900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5</v>
      </c>
      <c r="C25" s="345" t="s">
        <v>47</v>
      </c>
      <c r="D25" s="370">
        <v>191.56470588235294117647058824</v>
      </c>
      <c r="E25" s="172">
        <v>240.5309734513274336283185841</v>
      </c>
      <c r="F25" s="371">
        <v>207.9854346836595357305416477</v>
      </c>
      <c r="G25" s="370">
        <v>4.9647058823529411764705882353</v>
      </c>
      <c r="H25" s="172">
        <v>61.410496469485889388924242359</v>
      </c>
      <c r="I25" s="371">
        <v>63.160634302784884298861038302</v>
      </c>
      <c r="J25" s="370">
        <v>32.564705882352941176470588235</v>
      </c>
      <c r="K25" s="172">
        <v>35.606566283170580219049057897</v>
      </c>
      <c r="L25" s="371">
        <v>25.198126265551177105028100502</v>
      </c>
      <c r="M25" s="370">
        <v>229.09411764705882352941176471</v>
      </c>
      <c r="N25" s="172">
        <v>337.54803620398390323629188435</v>
      </c>
      <c r="O25" s="371">
        <v>296.3441952519955971344307865</v>
      </c>
      <c r="P25" s="4"/>
      <c r="Q25" s="327">
        <v>83.61834334719868535921532378</v>
      </c>
      <c r="R25" s="171">
        <v>71.258294421233718358318997300</v>
      </c>
      <c r="S25" s="328">
        <v>70.183738374493755520491792070</v>
      </c>
      <c r="T25" s="327">
        <v>2.1671031684897036922918913400</v>
      </c>
      <c r="U25" s="171">
        <v>18.193113241036563720269790560</v>
      </c>
      <c r="V25" s="328">
        <v>21.313268596024425527027507430</v>
      </c>
      <c r="W25" s="327">
        <v>14.214553484311610948492784880</v>
      </c>
      <c r="X25" s="171">
        <v>10.548592337729717921411212150</v>
      </c>
      <c r="Y25" s="328">
        <v>8.502993029481818952480700500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6</v>
      </c>
      <c r="C26" s="347" t="s">
        <v>48</v>
      </c>
      <c r="D26" s="378">
        <v>173.10294117647058823529411765</v>
      </c>
      <c r="E26" s="173">
        <v>264.41632653061224489795918368</v>
      </c>
      <c r="F26" s="379">
        <v>206.61018272684679056692175543</v>
      </c>
      <c r="G26" s="378">
        <v>1.9411764705882352941176470588</v>
      </c>
      <c r="H26" s="173">
        <v>123.28770616586166921145565268</v>
      </c>
      <c r="I26" s="379">
        <v>98.5301891474959729840346149</v>
      </c>
      <c r="J26" s="378">
        <v>23.397058823529411764705882353</v>
      </c>
      <c r="K26" s="173">
        <v>32.685324863552043061253560796</v>
      </c>
      <c r="L26" s="379">
        <v>20.365767836399473897266243747</v>
      </c>
      <c r="M26" s="378">
        <v>198.44117647058823529411764706</v>
      </c>
      <c r="N26" s="173">
        <v>420.38935756002595717066839714</v>
      </c>
      <c r="O26" s="379">
        <v>325.50613971074223744822261407</v>
      </c>
      <c r="P26" s="4"/>
      <c r="Q26" s="359">
        <v>87.23136208685341633318511931</v>
      </c>
      <c r="R26" s="170">
        <v>62.897959183673469387755102040</v>
      </c>
      <c r="S26" s="360">
        <v>63.473513252453196371034283260</v>
      </c>
      <c r="T26" s="359">
        <v>0.978212538906180524677634500</v>
      </c>
      <c r="U26" s="170">
        <v>29.327028372324539571926331510</v>
      </c>
      <c r="V26" s="360">
        <v>30.269840450645212468054767080</v>
      </c>
      <c r="W26" s="359">
        <v>11.790425374240403142137246180</v>
      </c>
      <c r="X26" s="170">
        <v>7.7750124440019910403185664500</v>
      </c>
      <c r="Y26" s="360">
        <v>6.2566462969015911609109496600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7</v>
      </c>
      <c r="C27" s="345" t="s">
        <v>50</v>
      </c>
      <c r="D27" s="370">
        <v>185.79816513761467889908256881</v>
      </c>
      <c r="E27" s="172">
        <v>276.52816901408450704225352112</v>
      </c>
      <c r="F27" s="371">
        <v>214.78983050847457627118644068</v>
      </c>
      <c r="G27" s="370">
        <v>0.8990825688073394495412844037</v>
      </c>
      <c r="H27" s="172">
        <v>151.74890191330105959092994328</v>
      </c>
      <c r="I27" s="371">
        <v>130.69474924288533766913920018</v>
      </c>
      <c r="J27" s="370">
        <v>24.954128440366972477064220183</v>
      </c>
      <c r="K27" s="172">
        <v>26.750666194283369009920792772</v>
      </c>
      <c r="L27" s="371">
        <v>30.619892625417020786882299981</v>
      </c>
      <c r="M27" s="370">
        <v>211.65137614678899082568807339</v>
      </c>
      <c r="N27" s="172">
        <v>455.02773712166893564310425718</v>
      </c>
      <c r="O27" s="371">
        <v>376.10447237677693472720794084</v>
      </c>
      <c r="P27" s="4"/>
      <c r="Q27" s="327">
        <v>87.78500216731686172518422193</v>
      </c>
      <c r="R27" s="171">
        <v>60.771717074500934369561207220</v>
      </c>
      <c r="S27" s="328">
        <v>57.109087044649846294213093760</v>
      </c>
      <c r="T27" s="327">
        <v>0.4247941048981361074989163400</v>
      </c>
      <c r="U27" s="171">
        <v>33.349374012495689067475116900</v>
      </c>
      <c r="V27" s="328">
        <v>34.749586575497275804687378500</v>
      </c>
      <c r="W27" s="327">
        <v>11.790203727785002167316861730</v>
      </c>
      <c r="X27" s="171">
        <v>5.8789089130033765629636758800</v>
      </c>
      <c r="Y27" s="328">
        <v>8.141326379852877901099527740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8</v>
      </c>
      <c r="C28" s="347" t="s">
        <v>51</v>
      </c>
      <c r="D28" s="378">
        <v>208.4867256637168141592920354</v>
      </c>
      <c r="E28" s="173">
        <v>278.13818181818181818181818182</v>
      </c>
      <c r="F28" s="379">
        <v>228.08390296206942769065808873</v>
      </c>
      <c r="G28" s="378">
        <v>0.8938053097345132743362831858</v>
      </c>
      <c r="H28" s="173">
        <v>134.83909287897838230895131459</v>
      </c>
      <c r="I28" s="379">
        <v>76.505890462987573642540061583</v>
      </c>
      <c r="J28" s="378">
        <v>28.486725663716814159292035398</v>
      </c>
      <c r="K28" s="173">
        <v>26.976003268554029635862652635</v>
      </c>
      <c r="L28" s="379">
        <v>33.538582811374167374298757502</v>
      </c>
      <c r="M28" s="378">
        <v>237.86725663716814159292035398</v>
      </c>
      <c r="N28" s="173">
        <v>439.95327796571423012663214902</v>
      </c>
      <c r="O28" s="379">
        <v>338.12837623643116870749690781</v>
      </c>
      <c r="P28" s="4"/>
      <c r="Q28" s="359">
        <v>87.64835001302131775735704453</v>
      </c>
      <c r="R28" s="170">
        <v>63.219936240560812467760893650</v>
      </c>
      <c r="S28" s="360">
        <v>67.454824555329599916482818790</v>
      </c>
      <c r="T28" s="359">
        <v>0.3757580267123032850924513600</v>
      </c>
      <c r="U28" s="170">
        <v>30.648502837041359073881461560</v>
      </c>
      <c r="V28" s="360">
        <v>22.626285115299516686924554370</v>
      </c>
      <c r="W28" s="359">
        <v>11.975891960266378957550504110</v>
      </c>
      <c r="X28" s="170">
        <v>6.1315609223978284583576447900</v>
      </c>
      <c r="Y28" s="360">
        <v>9.918890329370883396592626840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9</v>
      </c>
      <c r="C29" s="345" t="s">
        <v>52</v>
      </c>
      <c r="D29" s="370">
        <v>277.38095238095238095238095238</v>
      </c>
      <c r="E29" s="172">
        <v>267.42968750000000000000000002</v>
      </c>
      <c r="F29" s="371">
        <v>229.53949129852744310575635877</v>
      </c>
      <c r="G29" s="370">
        <v>1.2</v>
      </c>
      <c r="H29" s="172">
        <v>68.913833911992780777290038396</v>
      </c>
      <c r="I29" s="371">
        <v>104.80694903344646575481070794</v>
      </c>
      <c r="J29" s="370">
        <v>31.266666666666666666666666667</v>
      </c>
      <c r="K29" s="172">
        <v>77.990270132951469081231550455</v>
      </c>
      <c r="L29" s="371">
        <v>23.818449534698574834754675198</v>
      </c>
      <c r="M29" s="370">
        <v>309.84761904761904761904761905</v>
      </c>
      <c r="N29" s="172">
        <v>414.33379154494424985852158886</v>
      </c>
      <c r="O29" s="371">
        <v>358.1648898666724836953217419</v>
      </c>
      <c r="P29" s="4"/>
      <c r="Q29" s="327">
        <v>89.52173111206737566853138255</v>
      </c>
      <c r="R29" s="171">
        <v>64.544503238035065550465961140</v>
      </c>
      <c r="S29" s="328">
        <v>64.087658448033230273448739480</v>
      </c>
      <c r="T29" s="327">
        <v>0.3872871457552099342226593700</v>
      </c>
      <c r="U29" s="171">
        <v>16.632443531827515400410677620</v>
      </c>
      <c r="V29" s="328">
        <v>29.262206318564904185696125050</v>
      </c>
      <c r="W29" s="327">
        <v>10.090981742177414397245958070</v>
      </c>
      <c r="X29" s="171">
        <v>18.823053230137419049123361240</v>
      </c>
      <c r="Y29" s="328">
        <v>6.6501352334018655408551354700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10</v>
      </c>
      <c r="C30" s="347" t="s">
        <v>53</v>
      </c>
      <c r="D30" s="378">
        <v>262.84070796460176991150442478</v>
      </c>
      <c r="E30" s="173">
        <v>271.5120967741935483870967742</v>
      </c>
      <c r="F30" s="379">
        <v>224.55132044650149741355839913</v>
      </c>
      <c r="G30" s="378">
        <v>1.0619469026548672566371681416</v>
      </c>
      <c r="H30" s="173">
        <v>97.68181684116461377425128207</v>
      </c>
      <c r="I30" s="379">
        <v>102.09913604198846426475876753</v>
      </c>
      <c r="J30" s="378">
        <v>31.424778761061946902654867257</v>
      </c>
      <c r="K30" s="173">
        <v>33.462054226983716592909802429</v>
      </c>
      <c r="L30" s="379">
        <v>28.362079425172760209692469611</v>
      </c>
      <c r="M30" s="378">
        <v>295.32743362831858407079646018</v>
      </c>
      <c r="N30" s="173">
        <v>402.65596784234187875425785869</v>
      </c>
      <c r="O30" s="379">
        <v>355.01253591366272188800963626</v>
      </c>
      <c r="P30" s="4"/>
      <c r="Q30" s="359">
        <v>88.99976027807743018099005154</v>
      </c>
      <c r="R30" s="170">
        <v>67.43029247253150874689110200</v>
      </c>
      <c r="S30" s="360">
        <v>63.251659513542152381406187420</v>
      </c>
      <c r="T30" s="359">
        <v>0.3595828838547285149226896800</v>
      </c>
      <c r="U30" s="170">
        <v>24.259373917788668394706740410</v>
      </c>
      <c r="V30" s="360">
        <v>28.759304450820425375496492640</v>
      </c>
      <c r="W30" s="359">
        <v>10.640656838067841304087258780</v>
      </c>
      <c r="X30" s="170">
        <v>8.310333609679822858402157600</v>
      </c>
      <c r="Y30" s="360">
        <v>7.989036035637422243097319930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11</v>
      </c>
      <c r="C31" s="345" t="s">
        <v>49</v>
      </c>
      <c r="D31" s="370">
        <v>165.72727272727272727272727273</v>
      </c>
      <c r="E31" s="172">
        <v>226.47208121827411167512690357</v>
      </c>
      <c r="F31" s="371">
        <v>186.62632287858379834519915336</v>
      </c>
      <c r="G31" s="370">
        <v>3.012987012987012987012987013</v>
      </c>
      <c r="H31" s="172">
        <v>111.38246640302377037848879996</v>
      </c>
      <c r="I31" s="371">
        <v>87.96517276273841763298851443</v>
      </c>
      <c r="J31" s="370">
        <v>32.623376623376623376623376623</v>
      </c>
      <c r="K31" s="172">
        <v>33.92257589492120961505335015</v>
      </c>
      <c r="L31" s="371">
        <v>29.045476251583166798942008455</v>
      </c>
      <c r="M31" s="370">
        <v>201.36363636363636363636363636</v>
      </c>
      <c r="N31" s="172">
        <v>371.77712351621909166866905368</v>
      </c>
      <c r="O31" s="371">
        <v>303.63697189290538277712967624</v>
      </c>
      <c r="P31" s="4"/>
      <c r="Q31" s="327">
        <v>82.30248306997742663656884876</v>
      </c>
      <c r="R31" s="171">
        <v>60.916088401656073240422182050</v>
      </c>
      <c r="S31" s="328">
        <v>61.463635905448314097071720180</v>
      </c>
      <c r="T31" s="327">
        <v>1.4962915188648822960335375700</v>
      </c>
      <c r="U31" s="171">
        <v>29.959472855560090967403347130</v>
      </c>
      <c r="V31" s="328">
        <v>28.970507845060538977176243440</v>
      </c>
      <c r="W31" s="327">
        <v>16.201225411157691067397613670</v>
      </c>
      <c r="X31" s="171">
        <v>9.124438742783835792174470810</v>
      </c>
      <c r="Y31" s="328">
        <v>9.565856249491146925752036380</v>
      </c>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12</v>
      </c>
      <c r="C32" s="347" t="s">
        <v>47</v>
      </c>
      <c r="D32" s="378">
        <v>148.4047619047619047619047619</v>
      </c>
      <c r="E32" s="173">
        <v>212.20338983050847457627118643</v>
      </c>
      <c r="F32" s="379">
        <v>194.66807432432432432432432432</v>
      </c>
      <c r="G32" s="378">
        <v>1.7261904761904761904761904762</v>
      </c>
      <c r="H32" s="173">
        <v>69.063601509385444914663378024</v>
      </c>
      <c r="I32" s="379">
        <v>66.648498865497041522161581269</v>
      </c>
      <c r="J32" s="378">
        <v>28.261904761904761904761904762</v>
      </c>
      <c r="K32" s="173">
        <v>36.336804907251639398117664187</v>
      </c>
      <c r="L32" s="379">
        <v>28.800394403134405905000659341</v>
      </c>
      <c r="M32" s="378">
        <v>178.39285714285714285714285714</v>
      </c>
      <c r="N32" s="173">
        <v>317.60379624714555888905222865</v>
      </c>
      <c r="O32" s="379">
        <v>290.11696759295577175148656493</v>
      </c>
      <c r="P32" s="4"/>
      <c r="Q32" s="359">
        <v>83.18985652318985652318985652</v>
      </c>
      <c r="R32" s="170">
        <v>66.813870721299867702685076490</v>
      </c>
      <c r="S32" s="360">
        <v>67.099858356940509915014164310</v>
      </c>
      <c r="T32" s="359">
        <v>0.967634300967634300967634300</v>
      </c>
      <c r="U32" s="170">
        <v>21.745206551512102409301805580</v>
      </c>
      <c r="V32" s="360">
        <v>22.972975148081380375997939740</v>
      </c>
      <c r="W32" s="359">
        <v>15.842509175842509175842509180</v>
      </c>
      <c r="X32" s="170">
        <v>11.440922727188029888013117930</v>
      </c>
      <c r="Y32" s="360">
        <v>9.927166494978109708987895960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13</v>
      </c>
      <c r="C33" s="345" t="s">
        <v>48</v>
      </c>
      <c r="D33" s="370">
        <v>159.23913043478260869565217391</v>
      </c>
      <c r="E33" s="172">
        <v>205.21578947368421052631578946</v>
      </c>
      <c r="F33" s="371">
        <v>201.01618122977346278317152104</v>
      </c>
      <c r="G33" s="370">
        <v>1.3695652173913043478260869565</v>
      </c>
      <c r="H33" s="172">
        <v>102.24668539881505462924137585</v>
      </c>
      <c r="I33" s="371">
        <v>55.519900975446455701838671139</v>
      </c>
      <c r="J33" s="370">
        <v>29.521739130434782608695652174</v>
      </c>
      <c r="K33" s="172">
        <v>32.139483505354264674948003659</v>
      </c>
      <c r="L33" s="371">
        <v>23.400383893842625268115830939</v>
      </c>
      <c r="M33" s="370">
        <v>190.13043478260869565217391304</v>
      </c>
      <c r="N33" s="172">
        <v>339.60195837785352983050516897</v>
      </c>
      <c r="O33" s="371">
        <v>279.93646609906254375312602312</v>
      </c>
      <c r="P33" s="4"/>
      <c r="Q33" s="327">
        <v>83.75257260461925451635033158</v>
      </c>
      <c r="R33" s="171">
        <v>60.428329228111704679952656660</v>
      </c>
      <c r="S33" s="328">
        <v>71.807786970718863900050670350</v>
      </c>
      <c r="T33" s="327">
        <v>0.7203292933912645780928424400</v>
      </c>
      <c r="U33" s="171">
        <v>30.107802053677105658808099550</v>
      </c>
      <c r="V33" s="328">
        <v>19.833036313246644124761988660</v>
      </c>
      <c r="W33" s="327">
        <v>15.527098101989480905556825980</v>
      </c>
      <c r="X33" s="171">
        <v>9.463868718211189661239243790</v>
      </c>
      <c r="Y33" s="328">
        <v>8.35917671603449197518734100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14</v>
      </c>
      <c r="C34" s="347" t="s">
        <v>50</v>
      </c>
      <c r="D34" s="378">
        <v>152.77659574468085106382978723</v>
      </c>
      <c r="E34" s="173">
        <v>193.48837209302325581395348837</v>
      </c>
      <c r="F34" s="379">
        <v>203.77408591686361740581120534</v>
      </c>
      <c r="G34" s="378">
        <v>0.9680851063829787234042553191</v>
      </c>
      <c r="H34" s="173">
        <v>49.81338543757046182297841</v>
      </c>
      <c r="I34" s="379">
        <v>120.44518679985735676558399961</v>
      </c>
      <c r="J34" s="378">
        <v>30.829787234042553191489361702</v>
      </c>
      <c r="K34" s="173">
        <v>33.068781194149657572239159841</v>
      </c>
      <c r="L34" s="379">
        <v>33.835445642251060202889534333</v>
      </c>
      <c r="M34" s="378">
        <v>184.57446808510638297872340426</v>
      </c>
      <c r="N34" s="173">
        <v>276.37053872474337520917105821</v>
      </c>
      <c r="O34" s="379">
        <v>358.05471835897203437428473929</v>
      </c>
      <c r="P34" s="4"/>
      <c r="Q34" s="359">
        <v>82.77233429394812680115273775</v>
      </c>
      <c r="R34" s="170">
        <v>70.010491344640671446057002970</v>
      </c>
      <c r="S34" s="360">
        <v>56.911437126368901459816201990</v>
      </c>
      <c r="T34" s="359">
        <v>0.5244956772334293948126801200</v>
      </c>
      <c r="U34" s="170">
        <v>18.024130092673544325931106840</v>
      </c>
      <c r="V34" s="360">
        <v>33.638765424424206632890933390</v>
      </c>
      <c r="W34" s="359">
        <v>16.703170028818443804034582130</v>
      </c>
      <c r="X34" s="170">
        <v>11.965378562685784228011890190</v>
      </c>
      <c r="Y34" s="360">
        <v>9.449797449206891907292864620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15</v>
      </c>
      <c r="C35" s="345" t="s">
        <v>51</v>
      </c>
      <c r="D35" s="370">
        <v>168.46728971962616822429906542</v>
      </c>
      <c r="E35" s="172">
        <v>205.10526315789473684210526314</v>
      </c>
      <c r="F35" s="371">
        <v>206.79268128615632988026368895</v>
      </c>
      <c r="G35" s="370">
        <v>2.1401869158878504672897196262</v>
      </c>
      <c r="H35" s="172">
        <v>108.7551363110573636889426363</v>
      </c>
      <c r="I35" s="371">
        <v>83.98300832515198125470133066</v>
      </c>
      <c r="J35" s="370">
        <v>30.280373831775700934579439252</v>
      </c>
      <c r="K35" s="172">
        <v>38.192573873494926126505073871</v>
      </c>
      <c r="L35" s="371">
        <v>20.893061680001932646323761931</v>
      </c>
      <c r="M35" s="370">
        <v>200.8878504672897196261682243</v>
      </c>
      <c r="N35" s="172">
        <v>352.05297334244702665755297333</v>
      </c>
      <c r="O35" s="371">
        <v>311.66875129131024378128878154</v>
      </c>
      <c r="P35" s="4"/>
      <c r="Q35" s="327">
        <v>83.86136310769946499185857176</v>
      </c>
      <c r="R35" s="171">
        <v>58.259773013871374527112232030</v>
      </c>
      <c r="S35" s="328">
        <v>66.350149134095111347394128880</v>
      </c>
      <c r="T35" s="327">
        <v>1.0653640381484066061874854600</v>
      </c>
      <c r="U35" s="171">
        <v>30.891696575807546803763701620</v>
      </c>
      <c r="V35" s="328">
        <v>26.946239549904322981672613840</v>
      </c>
      <c r="W35" s="327">
        <v>15.073272854152128401953942780</v>
      </c>
      <c r="X35" s="171">
        <v>10.848530410321078669124066350</v>
      </c>
      <c r="Y35" s="328">
        <v>6.7036113160005656709332572800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16</v>
      </c>
      <c r="C36" s="347" t="s">
        <v>52</v>
      </c>
      <c r="D36" s="378">
        <v>260.22807017543859649122807018</v>
      </c>
      <c r="E36" s="173">
        <v>289.25547445255474452554744527</v>
      </c>
      <c r="F36" s="379">
        <v>229.9101191192395620262302972</v>
      </c>
      <c r="G36" s="378">
        <v>0.4912280701754385964912280702</v>
      </c>
      <c r="H36" s="173">
        <v>75.656375467818697611280491784</v>
      </c>
      <c r="I36" s="379">
        <v>101.68471506411628274754145549</v>
      </c>
      <c r="J36" s="378">
        <v>31.745614035087719298245614035</v>
      </c>
      <c r="K36" s="173">
        <v>35.844680089672912808701936998</v>
      </c>
      <c r="L36" s="379">
        <v>30.091228060638624290543166784</v>
      </c>
      <c r="M36" s="378">
        <v>292.46491228070175438596491228</v>
      </c>
      <c r="N36" s="173">
        <v>400.75653001004635494552987407</v>
      </c>
      <c r="O36" s="379">
        <v>361.68606224399446906431491947</v>
      </c>
      <c r="P36" s="4"/>
      <c r="Q36" s="359">
        <v>88.97753516691161032962418644</v>
      </c>
      <c r="R36" s="170">
        <v>72.177357770141275295914471170</v>
      </c>
      <c r="S36" s="360">
        <v>63.566209240360920318212367190</v>
      </c>
      <c r="T36" s="359">
        <v>0.167961368885156414024774300</v>
      </c>
      <c r="U36" s="170">
        <v>18.878388697976326842306223750</v>
      </c>
      <c r="V36" s="360">
        <v>28.114081707555398790259155280</v>
      </c>
      <c r="W36" s="359">
        <v>10.854503464203233256351039260</v>
      </c>
      <c r="X36" s="170">
        <v>8.944253531882397861779305080</v>
      </c>
      <c r="Y36" s="360">
        <v>8.319709052083680891528477530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17</v>
      </c>
      <c r="C37" s="349" t="s">
        <v>53</v>
      </c>
      <c r="D37" s="380">
        <v>288.45669291338582677165354331</v>
      </c>
      <c r="E37" s="383">
        <v>292.16774193548387096774193548</v>
      </c>
      <c r="F37" s="381">
        <v>229.14506283662477558348294434</v>
      </c>
      <c r="G37" s="380">
        <v>1.1259842519685039370078740157</v>
      </c>
      <c r="H37" s="383">
        <v>67.152117735306077300727240358</v>
      </c>
      <c r="I37" s="381">
        <v>101.58594099551163096208235767</v>
      </c>
      <c r="J37" s="380">
        <v>33.787401574803149606299212598</v>
      </c>
      <c r="K37" s="383">
        <v>38.180536579366553739003771929</v>
      </c>
      <c r="L37" s="381">
        <v>26.838635825704492536480098822</v>
      </c>
      <c r="M37" s="380">
        <v>323.37007874015748031496062992</v>
      </c>
      <c r="N37" s="383">
        <v>397.50039625015650200747294777</v>
      </c>
      <c r="O37" s="381">
        <v>357.56963965784089908204540084</v>
      </c>
      <c r="P37" s="4"/>
      <c r="Q37" s="329">
        <v>89.20327262101879809097107237</v>
      </c>
      <c r="R37" s="330">
        <v>73.501245455769489699744176650</v>
      </c>
      <c r="S37" s="332">
        <v>64.084037743219514653874282640</v>
      </c>
      <c r="T37" s="329">
        <v>0.3482029804227135482614200800</v>
      </c>
      <c r="U37" s="330">
        <v>16.893597684125488084017772990</v>
      </c>
      <c r="V37" s="332">
        <v>28.410113647433663660010536460</v>
      </c>
      <c r="W37" s="329">
        <v>10.448524398558488360767507550</v>
      </c>
      <c r="X37" s="330">
        <v>9.605156860105022216238050360</v>
      </c>
      <c r="Y37" s="332">
        <v>7.5058486093468216861151808900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235.53899082568807339449541284</v>
      </c>
      <c r="E39" s="382">
        <v>305.98140900195694716242661448</v>
      </c>
      <c r="F39" s="375">
        <v>234.15039888239402963126355649</v>
      </c>
      <c r="G39" s="374">
        <v>2.5733944954128440366972477064</v>
      </c>
      <c r="H39" s="382">
        <v>101.45759706172429417132162566</v>
      </c>
      <c r="I39" s="375">
        <v>66.061684585802405364542043954</v>
      </c>
      <c r="J39" s="374">
        <v>30.052752293577981651376146789</v>
      </c>
      <c r="K39" s="382">
        <v>33.117248592546805581909787202</v>
      </c>
      <c r="L39" s="375">
        <v>21.816533786932603501129631683</v>
      </c>
      <c r="M39" s="374">
        <v>268.16513761467889908256880734</v>
      </c>
      <c r="N39" s="382">
        <v>440.55625465622804691565802734</v>
      </c>
      <c r="O39" s="375">
        <v>322.02861725512903849693523212</v>
      </c>
      <c r="P39" s="4"/>
      <c r="Q39" s="354">
        <v>87.83356140951077659938419432</v>
      </c>
      <c r="R39" s="355">
        <v>69.453425247751469019681792290</v>
      </c>
      <c r="S39" s="356">
        <v>72.711053097770816741396877720</v>
      </c>
      <c r="T39" s="354">
        <v>0.959630516592541908997605200</v>
      </c>
      <c r="U39" s="355">
        <v>23.029430632165923427808814770</v>
      </c>
      <c r="V39" s="356">
        <v>20.514227943122412893567225590</v>
      </c>
      <c r="W39" s="354">
        <v>11.206808073896681491618200480</v>
      </c>
      <c r="X39" s="355">
        <v>7.5171441200826075525093929300</v>
      </c>
      <c r="Y39" s="356">
        <v>6.7747189591067703650358966900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212.83783783783783783783783784</v>
      </c>
      <c r="E40" s="172">
        <v>286.62374245472837022132796781</v>
      </c>
      <c r="F40" s="371">
        <v>223.95106820350928713016665443</v>
      </c>
      <c r="G40" s="370">
        <v>2.2457002457002457002457002457</v>
      </c>
      <c r="H40" s="172">
        <v>85.21641563679936869867676664</v>
      </c>
      <c r="I40" s="371">
        <v>72.910028808825062441710394967</v>
      </c>
      <c r="J40" s="370">
        <v>30.321867321867321867321867322</v>
      </c>
      <c r="K40" s="172">
        <v>31.432801720123273175936090062</v>
      </c>
      <c r="L40" s="371">
        <v>25.65695229757273386834254972</v>
      </c>
      <c r="M40" s="370">
        <v>245.40540540540540540540540541</v>
      </c>
      <c r="N40" s="172">
        <v>403.27295981165101209594082451</v>
      </c>
      <c r="O40" s="371">
        <v>322.51804930990708344021959911</v>
      </c>
      <c r="P40" s="4"/>
      <c r="Q40" s="327">
        <v>86.72907488986784140969162996</v>
      </c>
      <c r="R40" s="171">
        <v>71.074376667504868001487669430</v>
      </c>
      <c r="S40" s="328">
        <v>69.438305447616998305464043070</v>
      </c>
      <c r="T40" s="327">
        <v>0.9150981177412895474569483400</v>
      </c>
      <c r="U40" s="171">
        <v>21.131199988365143551589768070</v>
      </c>
      <c r="V40" s="328">
        <v>22.606495656547249882584056490</v>
      </c>
      <c r="W40" s="327">
        <v>12.355826992390869042851421710</v>
      </c>
      <c r="X40" s="171">
        <v>7.794423344129988446922562500</v>
      </c>
      <c r="Y40" s="328">
        <v>7.955198895835751811951900440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222.68226600985221674876847291</v>
      </c>
      <c r="E41" s="173">
        <v>278.9375</v>
      </c>
      <c r="F41" s="379">
        <v>229.52178492434083488396587438</v>
      </c>
      <c r="G41" s="378">
        <v>1.3916256157635467980295566502</v>
      </c>
      <c r="H41" s="173">
        <v>87.52791934869522864787441716</v>
      </c>
      <c r="I41" s="379">
        <v>72.258660554220617510452238623</v>
      </c>
      <c r="J41" s="378">
        <v>28.423645320197044334975369458</v>
      </c>
      <c r="K41" s="173">
        <v>31.522988480564722974094532267</v>
      </c>
      <c r="L41" s="379">
        <v>21.868524287897007100960171707</v>
      </c>
      <c r="M41" s="378">
        <v>252.49753694581280788177339901</v>
      </c>
      <c r="N41" s="173">
        <v>397.98840782925995162196894942</v>
      </c>
      <c r="O41" s="379">
        <v>323.64896976645845949537828473</v>
      </c>
      <c r="P41" s="4"/>
      <c r="Q41" s="359">
        <v>88.19185672200870125056089900</v>
      </c>
      <c r="R41" s="170">
        <v>70.086840348291326393935070780</v>
      </c>
      <c r="S41" s="360">
        <v>70.916890324094414088457932820</v>
      </c>
      <c r="T41" s="359">
        <v>0.5511442339582886239928204900</v>
      </c>
      <c r="U41" s="170">
        <v>21.992580091992370425150527540</v>
      </c>
      <c r="V41" s="360">
        <v>22.326244574905235455411910430</v>
      </c>
      <c r="W41" s="359">
        <v>11.256999044033010125446280510</v>
      </c>
      <c r="X41" s="170">
        <v>7.9205795597163031809144016800</v>
      </c>
      <c r="Y41" s="360">
        <v>6.7568651010003504561301567400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205.25777777777777777777777778</v>
      </c>
      <c r="E42" s="172">
        <v>276.91981566820276497695852535</v>
      </c>
      <c r="F42" s="371">
        <v>227.60911183003702097855451422</v>
      </c>
      <c r="G42" s="370">
        <v>1.3688888888888888888888888889</v>
      </c>
      <c r="H42" s="172">
        <v>98.74042380867105668608555454</v>
      </c>
      <c r="I42" s="371">
        <v>136.34953367079337709103936507</v>
      </c>
      <c r="J42" s="370">
        <v>89.16888888888888888888888889</v>
      </c>
      <c r="K42" s="172">
        <v>35.542777751489215476009162201</v>
      </c>
      <c r="L42" s="371">
        <v>46.363189235821352116084859787</v>
      </c>
      <c r="M42" s="370">
        <v>295.79555555555555555555555556</v>
      </c>
      <c r="N42" s="172">
        <v>411.20301722836303713905324209</v>
      </c>
      <c r="O42" s="371">
        <v>410.32183473665175018567873909</v>
      </c>
      <c r="P42" s="4"/>
      <c r="Q42" s="327">
        <v>69.391772094840280073323917420</v>
      </c>
      <c r="R42" s="171">
        <v>67.343819005689438939631893830</v>
      </c>
      <c r="S42" s="328">
        <v>55.470874947739156827985129560</v>
      </c>
      <c r="T42" s="327">
        <v>0.4627821017519608137752802200</v>
      </c>
      <c r="U42" s="171">
        <v>24.012572785630903135516893240</v>
      </c>
      <c r="V42" s="328">
        <v>33.229899588040138315134855070</v>
      </c>
      <c r="W42" s="327">
        <v>30.145445803407759112900802360</v>
      </c>
      <c r="X42" s="171">
        <v>8.643608208679657924851212930</v>
      </c>
      <c r="Y42" s="328">
        <v>11.299225464220704856880015370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224.80743982494529540481400438</v>
      </c>
      <c r="E43" s="173">
        <v>308.55565449688334817453250223</v>
      </c>
      <c r="F43" s="379">
        <v>236.08661134343962362780972295</v>
      </c>
      <c r="G43" s="378">
        <v>1.1378555798687089715536105033</v>
      </c>
      <c r="H43" s="173">
        <v>109.47109139922160969461098981</v>
      </c>
      <c r="I43" s="379">
        <v>78.065679111741894190259808615</v>
      </c>
      <c r="J43" s="378">
        <v>30.100656455142231947483588621</v>
      </c>
      <c r="K43" s="173">
        <v>33.337654565283934458539644331</v>
      </c>
      <c r="L43" s="379">
        <v>25.124616255569502442030092607</v>
      </c>
      <c r="M43" s="378">
        <v>256.0459518599562363238512035</v>
      </c>
      <c r="N43" s="173">
        <v>451.36440046138889232768313637</v>
      </c>
      <c r="O43" s="379">
        <v>339.27690671075102026009962418</v>
      </c>
      <c r="P43" s="4"/>
      <c r="Q43" s="359">
        <v>87.79964619315802517668976951</v>
      </c>
      <c r="R43" s="170">
        <v>68.360653649573357028778098930</v>
      </c>
      <c r="S43" s="360">
        <v>69.585228665361001888655839460</v>
      </c>
      <c r="T43" s="359">
        <v>0.4443950672147539162315298300</v>
      </c>
      <c r="U43" s="170">
        <v>24.253372948180946680087524100</v>
      </c>
      <c r="V43" s="360">
        <v>23.009429043838940957906180070</v>
      </c>
      <c r="W43" s="359">
        <v>11.755958739627220907078700660</v>
      </c>
      <c r="X43" s="170">
        <v>7.3859734022456962911343769700</v>
      </c>
      <c r="Y43" s="360">
        <v>7.4053422908000571534379804700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320.06345733041575492341356674</v>
      </c>
      <c r="E44" s="172">
        <v>384.20303285593934288121314238</v>
      </c>
      <c r="F44" s="371">
        <v>261.96761367085533903964062405</v>
      </c>
      <c r="G44" s="370">
        <v>1</v>
      </c>
      <c r="H44" s="172">
        <v>100.35379672498773502585480548</v>
      </c>
      <c r="I44" s="371">
        <v>95.57126867127009754656358135</v>
      </c>
      <c r="J44" s="370">
        <v>29.93654266958424507658643326</v>
      </c>
      <c r="K44" s="172">
        <v>45.40560677213136031831794109</v>
      </c>
      <c r="L44" s="371">
        <v>26.74852671117828202047188822</v>
      </c>
      <c r="M44" s="370">
        <v>351.000000000</v>
      </c>
      <c r="N44" s="172">
        <v>529.96243635305843822538588895</v>
      </c>
      <c r="O44" s="371">
        <v>384.28740905330371860667609361</v>
      </c>
      <c r="P44" s="4"/>
      <c r="Q44" s="327">
        <v>91.18617017960562818330870847</v>
      </c>
      <c r="R44" s="171">
        <v>72.49627643420091787997308300</v>
      </c>
      <c r="S44" s="328">
        <v>68.169710352003322715843294720</v>
      </c>
      <c r="T44" s="327">
        <v>0.2849002849002849002849002800</v>
      </c>
      <c r="U44" s="171">
        <v>18.936020714142184226519187890</v>
      </c>
      <c r="V44" s="328">
        <v>24.869737186214602940218596770</v>
      </c>
      <c r="W44" s="327">
        <v>8.528929535494086916406391240</v>
      </c>
      <c r="X44" s="171">
        <v>8.567702851656897893507729110</v>
      </c>
      <c r="Y44" s="328">
        <v>6.9605524617820743439381085100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323.67761806981519507186858316</v>
      </c>
      <c r="E45" s="385">
        <v>369.02270884022708840227088402</v>
      </c>
      <c r="F45" s="386">
        <v>267.89521387974872868680825606</v>
      </c>
      <c r="G45" s="384">
        <v>1.1396303901437371663244353183</v>
      </c>
      <c r="H45" s="385">
        <v>107.28332354174782375434316037</v>
      </c>
      <c r="I45" s="386">
        <v>87.22597310222826103560468278</v>
      </c>
      <c r="J45" s="384">
        <v>30.437371663244353182751540041</v>
      </c>
      <c r="K45" s="385">
        <v>35.466842589220845191085764212</v>
      </c>
      <c r="L45" s="386">
        <v>25.009615117668555583015503706</v>
      </c>
      <c r="M45" s="384">
        <v>355.25462012320328542094455852</v>
      </c>
      <c r="N45" s="385">
        <v>511.77287497119575734769980861</v>
      </c>
      <c r="O45" s="386">
        <v>380.13080209964554530542844254</v>
      </c>
      <c r="P45" s="4"/>
      <c r="Q45" s="364">
        <v>91.11144506933165326659306741</v>
      </c>
      <c r="R45" s="365">
        <v>72.106734625393518015666499400</v>
      </c>
      <c r="S45" s="366">
        <v>70.474482046715079603094817740</v>
      </c>
      <c r="T45" s="364">
        <v>0.3207925599246281985330242900</v>
      </c>
      <c r="U45" s="365">
        <v>20.963073423495936217922214570</v>
      </c>
      <c r="V45" s="366">
        <v>22.946304961459895146647807940</v>
      </c>
      <c r="W45" s="364">
        <v>8.567762370743718534873908290</v>
      </c>
      <c r="X45" s="365">
        <v>6.9301919511105457664112860300</v>
      </c>
      <c r="Y45" s="366">
        <v>6.5792129918250252502573743200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199.37266187050359712230215827</v>
      </c>
      <c r="E47" s="382">
        <v>238.04658385093167701863354037</v>
      </c>
      <c r="F47" s="375">
        <v>209.71927277189251094114278703</v>
      </c>
      <c r="G47" s="374">
        <v>1.470503597122302158273381295</v>
      </c>
      <c r="H47" s="382">
        <v>82.43035620395515038871991397</v>
      </c>
      <c r="I47" s="375">
        <v>89.91048482573857498840698684</v>
      </c>
      <c r="J47" s="374">
        <v>31.151079136690647482014388489</v>
      </c>
      <c r="K47" s="382">
        <v>35.66560631898742959989200614</v>
      </c>
      <c r="L47" s="375">
        <v>27.532705892696492273651551718</v>
      </c>
      <c r="M47" s="374">
        <v>231.99424460431654676258992806</v>
      </c>
      <c r="N47" s="382">
        <v>356.14254637387425700724546048</v>
      </c>
      <c r="O47" s="375">
        <v>327.16246349032757820320132558</v>
      </c>
      <c r="P47" s="4"/>
      <c r="Q47" s="354">
        <v>85.93862412860651467414225111</v>
      </c>
      <c r="R47" s="355">
        <v>66.840254351703649773831983760</v>
      </c>
      <c r="S47" s="356">
        <v>64.102486127077586876523836290</v>
      </c>
      <c r="T47" s="354">
        <v>0.6338534818526879853134535700</v>
      </c>
      <c r="U47" s="355">
        <v>23.145326792104398504760695980</v>
      </c>
      <c r="V47" s="356">
        <v>27.481907266050630217541587460</v>
      </c>
      <c r="W47" s="354">
        <v>13.427522389540797340544295320</v>
      </c>
      <c r="X47" s="355">
        <v>10.014418856191951721407320260</v>
      </c>
      <c r="Y47" s="356">
        <v>8.415606606871782905934576260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251.20387096774193548387096774</v>
      </c>
      <c r="E48" s="172">
        <v>318.37102243088158581116327595</v>
      </c>
      <c r="F48" s="371">
        <v>241.28738928882811718351731597</v>
      </c>
      <c r="G48" s="370">
        <v>1.531935483870967741935483871</v>
      </c>
      <c r="H48" s="172">
        <v>99.04708670662417678941634712</v>
      </c>
      <c r="I48" s="371">
        <v>87.58538869113804915263323516</v>
      </c>
      <c r="J48" s="370">
        <v>38.506451612903225806451612903</v>
      </c>
      <c r="K48" s="172">
        <v>35.341516075077272975212204225</v>
      </c>
      <c r="L48" s="371">
        <v>27.593628939217806410700537727</v>
      </c>
      <c r="M48" s="370">
        <v>291.24225806451612903225806452</v>
      </c>
      <c r="N48" s="172">
        <v>452.7596252125830355757918273</v>
      </c>
      <c r="O48" s="371">
        <v>356.46640691918397274685108885</v>
      </c>
      <c r="P48" s="4"/>
      <c r="Q48" s="327">
        <v>86.25254887019009781237435634</v>
      </c>
      <c r="R48" s="171">
        <v>70.317891592342775111907671560</v>
      </c>
      <c r="S48" s="328">
        <v>67.688675455898265215002875700</v>
      </c>
      <c r="T48" s="327">
        <v>0.5260004142433247567981870800</v>
      </c>
      <c r="U48" s="171">
        <v>21.876307248049968848177386790</v>
      </c>
      <c r="V48" s="328">
        <v>24.570446749276687969576085200</v>
      </c>
      <c r="W48" s="327">
        <v>13.221450715566577430827456580</v>
      </c>
      <c r="X48" s="171">
        <v>7.8058011596072560399149416500</v>
      </c>
      <c r="Y48" s="328">
        <v>7.740877794825046815421039100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250.46666666666666666666666667</v>
      </c>
      <c r="E49" s="385">
        <v>305.39215236346948141349242772</v>
      </c>
      <c r="F49" s="386">
        <v>239.91476631925836459474808232</v>
      </c>
      <c r="G49" s="384">
        <v>1.6133333333333333333333333333</v>
      </c>
      <c r="H49" s="385">
        <v>106.21226469117400412142432175</v>
      </c>
      <c r="I49" s="386">
        <v>86.77445063194225268775516328</v>
      </c>
      <c r="J49" s="384">
        <v>29.281111111111111111111111111</v>
      </c>
      <c r="K49" s="385">
        <v>35.829082052794275884479895519</v>
      </c>
      <c r="L49" s="386">
        <v>25.774669331829185941608511576</v>
      </c>
      <c r="M49" s="384">
        <v>281.36111111111111111111111111</v>
      </c>
      <c r="N49" s="385">
        <v>447.433499107437761419396645</v>
      </c>
      <c r="O49" s="386">
        <v>352.46388628302980322411175718</v>
      </c>
      <c r="P49" s="4"/>
      <c r="Q49" s="364">
        <v>89.01964655938394708263402113</v>
      </c>
      <c r="R49" s="365">
        <v>68.254199333013887182231197100</v>
      </c>
      <c r="S49" s="366">
        <v>68.067900189526345013839765190</v>
      </c>
      <c r="T49" s="364">
        <v>0.5734031000098726429065060700</v>
      </c>
      <c r="U49" s="365">
        <v>23.738111898874676814049173350</v>
      </c>
      <c r="V49" s="366">
        <v>24.619387690193612673617003890</v>
      </c>
      <c r="W49" s="364">
        <v>10.406950340606180274459472800</v>
      </c>
      <c r="X49" s="365">
        <v>8.007688768111436003719629550</v>
      </c>
      <c r="Y49" s="366">
        <v>7.3127121202800423125432309200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5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138</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177</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184</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7" t="s">
        <v>209</v>
      </c>
      <c r="I5" s="687"/>
      <c r="J5" s="687"/>
      <c r="K5" s="687"/>
      <c r="L5" s="687"/>
      <c r="M5" s="687"/>
      <c r="N5" s="687"/>
      <c r="O5" s="687"/>
      <c r="P5" s="687"/>
      <c r="Q5" s="687"/>
      <c r="R5" s="687"/>
      <c r="S5" s="687"/>
      <c r="T5" s="687"/>
      <c r="U5" s="687"/>
      <c r="V5" s="687"/>
      <c r="AB5" s="687" t="s">
        <v>211</v>
      </c>
      <c r="AC5" s="687"/>
      <c r="AD5" s="687"/>
      <c r="AE5" s="687"/>
      <c r="AF5" s="687"/>
      <c r="AG5" s="687"/>
      <c r="AH5" s="687"/>
      <c r="AI5" s="687"/>
      <c r="AJ5" s="687"/>
      <c r="AK5" s="687"/>
      <c r="AL5" s="687"/>
      <c r="AM5" s="687"/>
      <c r="AN5" s="687"/>
      <c r="AO5" s="687"/>
      <c r="AP5" s="687"/>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212</v>
      </c>
      <c r="D6" s="104" t="s">
        <v>213</v>
      </c>
      <c r="I6" s="688" t="s">
        <v>0</v>
      </c>
      <c r="J6" s="688"/>
      <c r="K6" s="688" t="s">
        <v>1</v>
      </c>
      <c r="L6" s="688"/>
      <c r="M6" s="688" t="s">
        <v>2</v>
      </c>
      <c r="N6" s="688"/>
      <c r="O6" s="688" t="s">
        <v>3</v>
      </c>
      <c r="P6" s="688"/>
      <c r="Q6" s="688" t="s">
        <v>4</v>
      </c>
      <c r="R6" s="688"/>
      <c r="S6" s="688" t="s">
        <v>5</v>
      </c>
      <c r="T6" s="688"/>
      <c r="U6" s="688" t="s">
        <v>6</v>
      </c>
      <c r="V6" s="688"/>
      <c r="AC6" s="688" t="s">
        <v>0</v>
      </c>
      <c r="AD6" s="688"/>
      <c r="AE6" s="688" t="s">
        <v>1</v>
      </c>
      <c r="AF6" s="688"/>
      <c r="AG6" s="688" t="s">
        <v>2</v>
      </c>
      <c r="AH6" s="688"/>
      <c r="AI6" s="688" t="s">
        <v>3</v>
      </c>
      <c r="AJ6" s="688"/>
      <c r="AK6" s="688" t="s">
        <v>4</v>
      </c>
      <c r="AL6" s="688"/>
      <c r="AM6" s="688" t="s">
        <v>5</v>
      </c>
      <c r="AN6" s="688"/>
      <c r="AO6" s="688" t="s">
        <v>6</v>
      </c>
      <c r="AP6" s="688"/>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214</v>
      </c>
      <c r="D7" s="104" t="s">
        <v>215</v>
      </c>
      <c r="E7" s="104"/>
      <c r="F7" s="104"/>
      <c r="G7" s="104"/>
      <c r="H7" s="97" t="s">
        <v>182</v>
      </c>
      <c r="I7" s="689">
        <v>6</v>
      </c>
      <c r="J7" s="689"/>
      <c r="K7" s="690">
        <v>7</v>
      </c>
      <c r="L7" s="690"/>
      <c r="M7" s="690">
        <v>8</v>
      </c>
      <c r="N7" s="690"/>
      <c r="O7" s="690">
        <v>9</v>
      </c>
      <c r="P7" s="690"/>
      <c r="Q7" s="690">
        <v>10</v>
      </c>
      <c r="R7" s="690"/>
      <c r="S7" s="690">
        <v>11</v>
      </c>
      <c r="T7" s="690"/>
      <c r="U7" s="691">
        <v>12</v>
      </c>
      <c r="V7" s="691"/>
      <c r="Y7" s="3"/>
      <c r="AB7" s="97" t="s">
        <v>182</v>
      </c>
      <c r="AC7" s="689">
        <v>7</v>
      </c>
      <c r="AD7" s="689"/>
      <c r="AE7" s="690">
        <v>8</v>
      </c>
      <c r="AF7" s="690"/>
      <c r="AG7" s="690">
        <v>9</v>
      </c>
      <c r="AH7" s="690"/>
      <c r="AI7" s="690">
        <v>10</v>
      </c>
      <c r="AJ7" s="690"/>
      <c r="AK7" s="690">
        <v>11</v>
      </c>
      <c r="AL7" s="690"/>
      <c r="AM7" s="690">
        <v>12</v>
      </c>
      <c r="AN7" s="690"/>
      <c r="AO7" s="691">
        <v>13</v>
      </c>
      <c r="AP7" s="691"/>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216</v>
      </c>
      <c r="D8" t="s">
        <v>217</v>
      </c>
      <c r="H8" s="97" t="s">
        <v>182</v>
      </c>
      <c r="I8" s="692">
        <v>13</v>
      </c>
      <c r="J8" s="692"/>
      <c r="K8" s="693">
        <v>14</v>
      </c>
      <c r="L8" s="693"/>
      <c r="M8" s="693">
        <v>15</v>
      </c>
      <c r="N8" s="693"/>
      <c r="O8" s="693">
        <v>16</v>
      </c>
      <c r="P8" s="693"/>
      <c r="Q8" s="693">
        <v>17</v>
      </c>
      <c r="R8" s="693"/>
      <c r="S8" s="693">
        <v>18</v>
      </c>
      <c r="T8" s="693"/>
      <c r="U8" s="694">
        <v>19</v>
      </c>
      <c r="V8" s="694"/>
      <c r="Y8" s="3"/>
      <c r="AB8" s="97" t="s">
        <v>182</v>
      </c>
      <c r="AC8" s="692">
        <v>14</v>
      </c>
      <c r="AD8" s="692"/>
      <c r="AE8" s="693">
        <v>15</v>
      </c>
      <c r="AF8" s="693"/>
      <c r="AG8" s="693">
        <v>16</v>
      </c>
      <c r="AH8" s="693"/>
      <c r="AI8" s="693">
        <v>17</v>
      </c>
      <c r="AJ8" s="693"/>
      <c r="AK8" s="693">
        <v>18</v>
      </c>
      <c r="AL8" s="693"/>
      <c r="AM8" s="693">
        <v>19</v>
      </c>
      <c r="AN8" s="693"/>
      <c r="AO8" s="694">
        <v>20</v>
      </c>
      <c r="AP8" s="69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C9" t="s">
        <v>218</v>
      </c>
      <c r="D9" t="s">
        <v>219</v>
      </c>
      <c r="H9" s="97" t="s">
        <v>182</v>
      </c>
      <c r="I9" s="695">
        <v>20</v>
      </c>
      <c r="J9" s="695"/>
      <c r="K9" s="696">
        <v>21</v>
      </c>
      <c r="L9" s="696"/>
      <c r="M9" s="696">
        <v>22</v>
      </c>
      <c r="N9" s="696"/>
      <c r="O9" s="696">
        <v>23</v>
      </c>
      <c r="P9" s="696"/>
      <c r="Q9" s="696">
        <v>24</v>
      </c>
      <c r="R9" s="696"/>
      <c r="S9" s="696">
        <v>25</v>
      </c>
      <c r="T9" s="696"/>
      <c r="U9" s="697">
        <v>26</v>
      </c>
      <c r="V9" s="697"/>
      <c r="Y9" s="3"/>
      <c r="AB9" s="97" t="s">
        <v>182</v>
      </c>
      <c r="AC9" s="695">
        <v>21</v>
      </c>
      <c r="AD9" s="695"/>
      <c r="AE9" s="696">
        <v>22</v>
      </c>
      <c r="AF9" s="696"/>
      <c r="AG9" s="696">
        <v>23</v>
      </c>
      <c r="AH9" s="696"/>
      <c r="AI9" s="696">
        <v>24</v>
      </c>
      <c r="AJ9" s="696"/>
      <c r="AK9" s="696">
        <v>25</v>
      </c>
      <c r="AL9" s="696"/>
      <c r="AM9" s="696">
        <v>26</v>
      </c>
      <c r="AN9" s="696"/>
      <c r="AO9" s="697">
        <v>27</v>
      </c>
      <c r="AP9" s="697"/>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210</v>
      </c>
      <c r="I10" s="692">
        <v>27</v>
      </c>
      <c r="J10" s="692"/>
      <c r="K10" s="693">
        <v>28</v>
      </c>
      <c r="L10" s="693"/>
      <c r="M10" s="693">
        <v>29</v>
      </c>
      <c r="N10" s="693"/>
      <c r="O10" s="693">
        <v>30</v>
      </c>
      <c r="P10" s="693"/>
      <c r="Q10" s="693">
        <v>1</v>
      </c>
      <c r="R10" s="693"/>
      <c r="S10" s="693">
        <v>2</v>
      </c>
      <c r="T10" s="693"/>
      <c r="U10" s="694">
        <v>3</v>
      </c>
      <c r="V10" s="694"/>
      <c r="Y10" s="3"/>
      <c r="AB10" s="97" t="s">
        <v>210</v>
      </c>
      <c r="AC10" s="692">
        <v>28</v>
      </c>
      <c r="AD10" s="692"/>
      <c r="AE10" s="693">
        <v>29</v>
      </c>
      <c r="AF10" s="693"/>
      <c r="AG10" s="693">
        <v>30</v>
      </c>
      <c r="AH10" s="693"/>
      <c r="AI10" s="693">
        <v>1</v>
      </c>
      <c r="AJ10" s="693"/>
      <c r="AK10" s="693">
        <v>2</v>
      </c>
      <c r="AL10" s="693"/>
      <c r="AM10" s="693">
        <v>3</v>
      </c>
      <c r="AN10" s="693"/>
      <c r="AO10" s="694">
        <v>4</v>
      </c>
      <c r="AP10" s="69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179</v>
      </c>
      <c r="I11" s="695">
        <v>4</v>
      </c>
      <c r="J11" s="695"/>
      <c r="K11" s="696">
        <v>5</v>
      </c>
      <c r="L11" s="696"/>
      <c r="M11" s="696">
        <v>6</v>
      </c>
      <c r="N11" s="696"/>
      <c r="O11" s="696">
        <v>7</v>
      </c>
      <c r="P11" s="696"/>
      <c r="Q11" s="696">
        <v>8</v>
      </c>
      <c r="R11" s="696"/>
      <c r="S11" s="696">
        <v>9</v>
      </c>
      <c r="T11" s="696"/>
      <c r="U11" s="697">
        <v>10</v>
      </c>
      <c r="V11" s="697"/>
      <c r="Y11" s="3"/>
      <c r="AB11" s="97" t="s">
        <v>179</v>
      </c>
      <c r="AC11" s="695">
        <v>5</v>
      </c>
      <c r="AD11" s="695"/>
      <c r="AE11" s="696">
        <v>6</v>
      </c>
      <c r="AF11" s="696"/>
      <c r="AG11" s="696">
        <v>7</v>
      </c>
      <c r="AH11" s="696"/>
      <c r="AI11" s="696">
        <v>8</v>
      </c>
      <c r="AJ11" s="696"/>
      <c r="AK11" s="696">
        <v>9</v>
      </c>
      <c r="AL11" s="696"/>
      <c r="AM11" s="696">
        <v>10</v>
      </c>
      <c r="AN11" s="696"/>
      <c r="AO11" s="697">
        <v>11</v>
      </c>
      <c r="AP11" s="697"/>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179</v>
      </c>
      <c r="I12" s="698">
        <v>11</v>
      </c>
      <c r="J12" s="698"/>
      <c r="K12" s="699">
        <v>12</v>
      </c>
      <c r="L12" s="699"/>
      <c r="M12" s="699">
        <v>13</v>
      </c>
      <c r="N12" s="699"/>
      <c r="O12" s="699">
        <v>14</v>
      </c>
      <c r="P12" s="699"/>
      <c r="Q12" s="699">
        <v>15</v>
      </c>
      <c r="R12" s="699"/>
      <c r="S12" s="699">
        <v>16</v>
      </c>
      <c r="T12" s="699"/>
      <c r="U12" s="700">
        <v>17</v>
      </c>
      <c r="V12" s="700"/>
      <c r="Y12" s="3"/>
      <c r="AB12" s="97" t="s">
        <v>179</v>
      </c>
      <c r="AC12" s="698">
        <v>12</v>
      </c>
      <c r="AD12" s="698"/>
      <c r="AE12" s="699">
        <v>13</v>
      </c>
      <c r="AF12" s="699"/>
      <c r="AG12" s="699">
        <v>14</v>
      </c>
      <c r="AH12" s="699"/>
      <c r="AI12" s="699">
        <v>15</v>
      </c>
      <c r="AJ12" s="699"/>
      <c r="AK12" s="699">
        <v>16</v>
      </c>
      <c r="AL12" s="699"/>
      <c r="AM12" s="699">
        <v>17</v>
      </c>
      <c r="AN12" s="699"/>
      <c r="AO12" s="700">
        <v>18</v>
      </c>
      <c r="AP12" s="700"/>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220</v>
      </c>
      <c r="D14" s="106" t="s">
        <v>213</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221</v>
      </c>
      <c r="D15" s="104" t="s">
        <v>219</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222</v>
      </c>
      <c r="D16" s="104" t="s">
        <v>223</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224</v>
      </c>
      <c r="D17" s="104" t="s">
        <v>225</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226</v>
      </c>
      <c r="D18" s="104" t="s">
        <v>227</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228</v>
      </c>
      <c r="D19" s="104" t="s">
        <v>229</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1"/>
      <c r="AW20" s="701"/>
      <c r="AX20" s="701"/>
      <c r="AY20" s="701"/>
      <c r="AZ20" s="701"/>
      <c r="BA20" s="701"/>
      <c r="BB20" s="70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45788</v>
      </c>
      <c r="R21" s="119">
        <v>45789</v>
      </c>
      <c r="S21" s="119">
        <v>45790</v>
      </c>
      <c r="T21" s="119">
        <v>45791</v>
      </c>
      <c r="U21" s="119">
        <v>45792</v>
      </c>
      <c r="V21" s="119">
        <v>45793</v>
      </c>
      <c r="W21" s="119">
        <v>45794</v>
      </c>
      <c r="X21" s="120"/>
      <c r="Y21" s="120"/>
      <c r="Z21" s="119">
        <v>45788</v>
      </c>
      <c r="AA21" s="119">
        <v>45789</v>
      </c>
      <c r="AB21" s="119">
        <v>45790</v>
      </c>
      <c r="AC21" s="119">
        <v>45791</v>
      </c>
      <c r="AD21" s="119">
        <v>45792</v>
      </c>
      <c r="AE21" s="119">
        <v>45793</v>
      </c>
      <c r="AF21" s="119">
        <v>45794</v>
      </c>
      <c r="AG21" s="120"/>
      <c r="AH21" s="120"/>
      <c r="AI21" s="119">
        <v>45788</v>
      </c>
      <c r="AJ21" s="119">
        <v>45789</v>
      </c>
      <c r="AK21" s="119">
        <v>45790</v>
      </c>
      <c r="AL21" s="119">
        <v>45791</v>
      </c>
      <c r="AM21" s="119">
        <v>45792</v>
      </c>
      <c r="AN21" s="119">
        <v>45793</v>
      </c>
      <c r="AO21" s="119">
        <v>45794</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2">
        <v>56387</v>
      </c>
      <c r="D22" s="702" t="s">
        <v>185</v>
      </c>
      <c r="E22" s="702" t="s">
        <v>186</v>
      </c>
      <c r="F22" s="702" t="s">
        <v>187</v>
      </c>
      <c r="G22" s="702" t="s">
        <v>188</v>
      </c>
      <c r="H22" s="703">
        <v>132</v>
      </c>
      <c r="I22" s="703" t="s">
        <v>189</v>
      </c>
      <c r="J22" s="703"/>
      <c r="K22" s="703"/>
      <c r="L22" s="703"/>
      <c r="M22" s="703"/>
      <c r="N22" s="703"/>
      <c r="O22" s="113"/>
      <c r="Q22" s="704" t="s">
        <v>190</v>
      </c>
      <c r="R22" s="705" t="s">
        <v>190</v>
      </c>
      <c r="S22" s="705" t="s">
        <v>190</v>
      </c>
      <c r="T22" s="705" t="s">
        <v>190</v>
      </c>
      <c r="U22" s="705" t="s">
        <v>190</v>
      </c>
      <c r="V22" s="705" t="s">
        <v>190</v>
      </c>
      <c r="W22" s="706" t="s">
        <v>190</v>
      </c>
      <c r="Z22" s="704" t="s">
        <v>190</v>
      </c>
      <c r="AA22" s="705" t="s">
        <v>190</v>
      </c>
      <c r="AB22" s="705" t="s">
        <v>190</v>
      </c>
      <c r="AC22" s="705" t="s">
        <v>190</v>
      </c>
      <c r="AD22" s="705" t="s">
        <v>190</v>
      </c>
      <c r="AE22" s="705" t="s">
        <v>190</v>
      </c>
      <c r="AF22" s="706" t="s">
        <v>190</v>
      </c>
      <c r="AI22" s="704" t="s">
        <v>190</v>
      </c>
      <c r="AJ22" s="705" t="s">
        <v>190</v>
      </c>
      <c r="AK22" s="705" t="s">
        <v>190</v>
      </c>
      <c r="AL22" s="705" t="s">
        <v>190</v>
      </c>
      <c r="AM22" s="705" t="s">
        <v>190</v>
      </c>
      <c r="AN22" s="705" t="s">
        <v>190</v>
      </c>
      <c r="AO22" s="706" t="s">
        <v>190</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7">
        <v>33931</v>
      </c>
      <c r="D23" s="707" t="s">
        <v>191</v>
      </c>
      <c r="E23" s="707" t="s">
        <v>186</v>
      </c>
      <c r="F23" s="707" t="s">
        <v>192</v>
      </c>
      <c r="G23" s="707" t="s">
        <v>193</v>
      </c>
      <c r="H23" s="708">
        <v>107</v>
      </c>
      <c r="I23" s="708" t="s">
        <v>194</v>
      </c>
      <c r="J23" s="708"/>
      <c r="K23" s="708"/>
      <c r="L23" s="708"/>
      <c r="M23" s="708"/>
      <c r="N23" s="708"/>
      <c r="O23" s="113"/>
      <c r="Q23" s="709" t="s">
        <v>190</v>
      </c>
      <c r="R23" s="710" t="s">
        <v>190</v>
      </c>
      <c r="S23" s="710" t="s">
        <v>190</v>
      </c>
      <c r="T23" s="710" t="s">
        <v>190</v>
      </c>
      <c r="U23" s="710" t="s">
        <v>190</v>
      </c>
      <c r="V23" s="710" t="s">
        <v>190</v>
      </c>
      <c r="W23" s="711" t="s">
        <v>190</v>
      </c>
      <c r="Z23" s="709" t="s">
        <v>190</v>
      </c>
      <c r="AA23" s="710" t="s">
        <v>190</v>
      </c>
      <c r="AB23" s="710" t="s">
        <v>190</v>
      </c>
      <c r="AC23" s="710" t="s">
        <v>190</v>
      </c>
      <c r="AD23" s="710" t="s">
        <v>190</v>
      </c>
      <c r="AE23" s="710" t="s">
        <v>190</v>
      </c>
      <c r="AF23" s="711" t="s">
        <v>190</v>
      </c>
      <c r="AI23" s="709" t="s">
        <v>190</v>
      </c>
      <c r="AJ23" s="710" t="s">
        <v>190</v>
      </c>
      <c r="AK23" s="710" t="s">
        <v>190</v>
      </c>
      <c r="AL23" s="710" t="s">
        <v>190</v>
      </c>
      <c r="AM23" s="710" t="s">
        <v>190</v>
      </c>
      <c r="AN23" s="710" t="s">
        <v>190</v>
      </c>
      <c r="AO23" s="711" t="s">
        <v>190</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2">
        <v>34401</v>
      </c>
      <c r="D24" s="702" t="s">
        <v>195</v>
      </c>
      <c r="E24" s="702" t="s">
        <v>186</v>
      </c>
      <c r="F24" s="702" t="s">
        <v>192</v>
      </c>
      <c r="G24" s="702" t="s">
        <v>175</v>
      </c>
      <c r="H24" s="703">
        <v>0</v>
      </c>
      <c r="I24" s="703" t="s">
        <v>196</v>
      </c>
      <c r="J24" s="703"/>
      <c r="K24" s="703"/>
      <c r="L24" s="703"/>
      <c r="M24" s="703"/>
      <c r="N24" s="703"/>
      <c r="O24" s="113"/>
      <c r="Q24" s="704" t="s">
        <v>197</v>
      </c>
      <c r="R24" s="705" t="s">
        <v>197</v>
      </c>
      <c r="S24" s="705" t="s">
        <v>197</v>
      </c>
      <c r="T24" s="705" t="s">
        <v>197</v>
      </c>
      <c r="U24" s="705" t="s">
        <v>197</v>
      </c>
      <c r="V24" s="705" t="s">
        <v>197</v>
      </c>
      <c r="W24" s="706" t="s">
        <v>197</v>
      </c>
      <c r="Z24" s="704" t="s">
        <v>197</v>
      </c>
      <c r="AA24" s="705" t="s">
        <v>197</v>
      </c>
      <c r="AB24" s="705" t="s">
        <v>197</v>
      </c>
      <c r="AC24" s="705" t="s">
        <v>197</v>
      </c>
      <c r="AD24" s="705" t="s">
        <v>197</v>
      </c>
      <c r="AE24" s="705" t="s">
        <v>197</v>
      </c>
      <c r="AF24" s="706" t="s">
        <v>197</v>
      </c>
      <c r="AI24" s="704" t="s">
        <v>197</v>
      </c>
      <c r="AJ24" s="705" t="s">
        <v>197</v>
      </c>
      <c r="AK24" s="705" t="s">
        <v>197</v>
      </c>
      <c r="AL24" s="705" t="s">
        <v>197</v>
      </c>
      <c r="AM24" s="705" t="s">
        <v>197</v>
      </c>
      <c r="AN24" s="705" t="s">
        <v>197</v>
      </c>
      <c r="AO24" s="706" t="s">
        <v>197</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7">
        <v>39070</v>
      </c>
      <c r="D25" s="707" t="s">
        <v>198</v>
      </c>
      <c r="E25" s="707" t="s">
        <v>186</v>
      </c>
      <c r="F25" s="707" t="s">
        <v>192</v>
      </c>
      <c r="G25" s="707" t="s">
        <v>199</v>
      </c>
      <c r="H25" s="708">
        <v>73</v>
      </c>
      <c r="I25" s="708" t="s">
        <v>200</v>
      </c>
      <c r="J25" s="708"/>
      <c r="K25" s="708"/>
      <c r="L25" s="708"/>
      <c r="M25" s="708"/>
      <c r="N25" s="708"/>
      <c r="O25" s="113"/>
      <c r="Q25" s="709" t="s">
        <v>190</v>
      </c>
      <c r="R25" s="710" t="s">
        <v>190</v>
      </c>
      <c r="S25" s="710" t="s">
        <v>190</v>
      </c>
      <c r="T25" s="710" t="s">
        <v>190</v>
      </c>
      <c r="U25" s="710" t="s">
        <v>190</v>
      </c>
      <c r="V25" s="710" t="s">
        <v>190</v>
      </c>
      <c r="W25" s="711" t="s">
        <v>190</v>
      </c>
      <c r="Z25" s="709" t="s">
        <v>190</v>
      </c>
      <c r="AA25" s="710" t="s">
        <v>190</v>
      </c>
      <c r="AB25" s="710" t="s">
        <v>190</v>
      </c>
      <c r="AC25" s="710" t="s">
        <v>190</v>
      </c>
      <c r="AD25" s="710" t="s">
        <v>190</v>
      </c>
      <c r="AE25" s="710" t="s">
        <v>190</v>
      </c>
      <c r="AF25" s="711" t="s">
        <v>190</v>
      </c>
      <c r="AI25" s="709" t="s">
        <v>190</v>
      </c>
      <c r="AJ25" s="710" t="s">
        <v>190</v>
      </c>
      <c r="AK25" s="710" t="s">
        <v>190</v>
      </c>
      <c r="AL25" s="710" t="s">
        <v>190</v>
      </c>
      <c r="AM25" s="710" t="s">
        <v>190</v>
      </c>
      <c r="AN25" s="710" t="s">
        <v>190</v>
      </c>
      <c r="AO25" s="711" t="s">
        <v>190</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2">
        <v>44117</v>
      </c>
      <c r="D26" s="702" t="s">
        <v>201</v>
      </c>
      <c r="E26" s="702" t="s">
        <v>186</v>
      </c>
      <c r="F26" s="702" t="s">
        <v>192</v>
      </c>
      <c r="G26" s="702" t="s">
        <v>202</v>
      </c>
      <c r="H26" s="703">
        <v>129</v>
      </c>
      <c r="I26" s="703" t="s">
        <v>203</v>
      </c>
      <c r="J26" s="703"/>
      <c r="K26" s="703"/>
      <c r="L26" s="703"/>
      <c r="M26" s="703"/>
      <c r="N26" s="703"/>
      <c r="O26" s="113"/>
      <c r="Q26" s="704" t="s">
        <v>190</v>
      </c>
      <c r="R26" s="705" t="s">
        <v>190</v>
      </c>
      <c r="S26" s="705" t="s">
        <v>190</v>
      </c>
      <c r="T26" s="705" t="s">
        <v>190</v>
      </c>
      <c r="U26" s="705" t="s">
        <v>190</v>
      </c>
      <c r="V26" s="705" t="s">
        <v>190</v>
      </c>
      <c r="W26" s="706" t="s">
        <v>190</v>
      </c>
      <c r="Z26" s="704" t="s">
        <v>190</v>
      </c>
      <c r="AA26" s="705" t="s">
        <v>190</v>
      </c>
      <c r="AB26" s="705" t="s">
        <v>190</v>
      </c>
      <c r="AC26" s="705" t="s">
        <v>190</v>
      </c>
      <c r="AD26" s="705" t="s">
        <v>190</v>
      </c>
      <c r="AE26" s="705" t="s">
        <v>190</v>
      </c>
      <c r="AF26" s="706" t="s">
        <v>190</v>
      </c>
      <c r="AI26" s="704" t="s">
        <v>190</v>
      </c>
      <c r="AJ26" s="705" t="s">
        <v>190</v>
      </c>
      <c r="AK26" s="705" t="s">
        <v>190</v>
      </c>
      <c r="AL26" s="705" t="s">
        <v>190</v>
      </c>
      <c r="AM26" s="705" t="s">
        <v>190</v>
      </c>
      <c r="AN26" s="705" t="s">
        <v>190</v>
      </c>
      <c r="AO26" s="706" t="s">
        <v>190</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7">
        <v>53909</v>
      </c>
      <c r="D27" s="707" t="s">
        <v>204</v>
      </c>
      <c r="E27" s="707" t="s">
        <v>186</v>
      </c>
      <c r="F27" s="707" t="s">
        <v>205</v>
      </c>
      <c r="G27" s="707" t="s">
        <v>206</v>
      </c>
      <c r="H27" s="708">
        <v>35</v>
      </c>
      <c r="I27" s="708" t="s">
        <v>207</v>
      </c>
      <c r="J27" s="708"/>
      <c r="K27" s="708"/>
      <c r="L27" s="708"/>
      <c r="M27" s="708"/>
      <c r="N27" s="708"/>
      <c r="O27" s="113"/>
      <c r="Q27" s="709" t="s">
        <v>190</v>
      </c>
      <c r="R27" s="710" t="s">
        <v>190</v>
      </c>
      <c r="S27" s="710" t="s">
        <v>190</v>
      </c>
      <c r="T27" s="710" t="s">
        <v>190</v>
      </c>
      <c r="U27" s="710" t="s">
        <v>190</v>
      </c>
      <c r="V27" s="710" t="s">
        <v>190</v>
      </c>
      <c r="W27" s="711" t="s">
        <v>190</v>
      </c>
      <c r="Z27" s="709" t="s">
        <v>190</v>
      </c>
      <c r="AA27" s="710" t="s">
        <v>190</v>
      </c>
      <c r="AB27" s="710" t="s">
        <v>190</v>
      </c>
      <c r="AC27" s="710" t="s">
        <v>190</v>
      </c>
      <c r="AD27" s="710" t="s">
        <v>190</v>
      </c>
      <c r="AE27" s="710" t="s">
        <v>190</v>
      </c>
      <c r="AF27" s="711" t="s">
        <v>190</v>
      </c>
      <c r="AI27" s="709" t="s">
        <v>197</v>
      </c>
      <c r="AJ27" s="710" t="s">
        <v>197</v>
      </c>
      <c r="AK27" s="710" t="s">
        <v>197</v>
      </c>
      <c r="AL27" s="710" t="s">
        <v>197</v>
      </c>
      <c r="AM27" s="710" t="s">
        <v>197</v>
      </c>
      <c r="AN27" s="710" t="s">
        <v>197</v>
      </c>
      <c r="AO27" s="711" t="s">
        <v>197</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114"/>
      <c r="D28" s="118"/>
      <c r="E28" s="118"/>
      <c r="F28" s="118"/>
      <c r="G28" s="118"/>
      <c r="H28" s="703">
        <v>476</v>
      </c>
      <c r="I28" s="712"/>
      <c r="J28" s="712"/>
      <c r="K28" s="712"/>
      <c r="L28" s="712"/>
      <c r="M28" s="712"/>
      <c r="N28" s="712"/>
      <c r="O28" s="113"/>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114"/>
      <c r="D29" s="118"/>
      <c r="E29" s="118"/>
      <c r="F29" s="118"/>
      <c r="G29" s="118"/>
      <c r="H29" s="118"/>
      <c r="I29" s="712"/>
      <c r="J29" s="712"/>
      <c r="K29" s="712"/>
      <c r="L29" s="712"/>
      <c r="M29" s="712"/>
      <c r="N29" s="712"/>
      <c r="O29" s="113"/>
      <c r="P29" t="s">
        <v>208</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118"/>
      <c r="I30" s="712"/>
      <c r="J30" s="712"/>
      <c r="K30" s="712"/>
      <c r="L30" s="712"/>
      <c r="M30" s="712"/>
      <c r="N30" s="712"/>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2"/>
      <c r="J31" s="712"/>
      <c r="K31" s="712"/>
      <c r="L31" s="712"/>
      <c r="M31" s="712"/>
      <c r="N31" s="712"/>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2"/>
      <c r="J32" s="712"/>
      <c r="K32" s="712"/>
      <c r="L32" s="712"/>
      <c r="M32" s="712"/>
      <c r="N32" s="712"/>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2"/>
      <c r="J33" s="712"/>
      <c r="K33" s="712"/>
      <c r="L33" s="712"/>
      <c r="M33" s="712"/>
      <c r="N33" s="712"/>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2"/>
      <c r="J34" s="712"/>
      <c r="K34" s="712"/>
      <c r="L34" s="712"/>
      <c r="M34" s="712"/>
      <c r="N34" s="712"/>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2"/>
      <c r="J35" s="712"/>
      <c r="K35" s="712"/>
      <c r="L35" s="712"/>
      <c r="M35" s="712"/>
      <c r="N35" s="712"/>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2"/>
      <c r="J36" s="712"/>
      <c r="K36" s="712"/>
      <c r="L36" s="712"/>
      <c r="M36" s="712"/>
      <c r="N36" s="712"/>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2"/>
      <c r="J37" s="712"/>
      <c r="K37" s="712"/>
      <c r="L37" s="712"/>
      <c r="M37" s="712"/>
      <c r="N37" s="712"/>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2"/>
      <c r="J38" s="712"/>
      <c r="K38" s="712"/>
      <c r="L38" s="712"/>
      <c r="M38" s="712"/>
      <c r="N38" s="712"/>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2"/>
      <c r="J39" s="712"/>
      <c r="K39" s="712"/>
      <c r="L39" s="712"/>
      <c r="M39" s="712"/>
      <c r="N39" s="712"/>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2"/>
      <c r="J40" s="712"/>
      <c r="K40" s="712"/>
      <c r="L40" s="712"/>
      <c r="M40" s="712"/>
      <c r="N40" s="712"/>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2"/>
      <c r="J41" s="712"/>
      <c r="K41" s="712"/>
      <c r="L41" s="712"/>
      <c r="M41" s="712"/>
      <c r="N41" s="712"/>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2"/>
      <c r="J42" s="712"/>
      <c r="K42" s="712"/>
      <c r="L42" s="712"/>
      <c r="M42" s="712"/>
      <c r="N42" s="712"/>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2"/>
      <c r="J43" s="712"/>
      <c r="K43" s="712"/>
      <c r="L43" s="712"/>
      <c r="M43" s="712"/>
      <c r="N43" s="712"/>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2"/>
      <c r="J44" s="712"/>
      <c r="K44" s="712"/>
      <c r="L44" s="712"/>
      <c r="M44" s="712"/>
      <c r="N44" s="712"/>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2"/>
      <c r="J45" s="712"/>
      <c r="K45" s="712"/>
      <c r="L45" s="712"/>
      <c r="M45" s="712"/>
      <c r="N45" s="712"/>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2"/>
      <c r="J46" s="712"/>
      <c r="K46" s="712"/>
      <c r="L46" s="712"/>
      <c r="M46" s="712"/>
      <c r="N46" s="712"/>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2"/>
      <c r="J47" s="712"/>
      <c r="K47" s="712"/>
      <c r="L47" s="712"/>
      <c r="M47" s="712"/>
      <c r="N47" s="712"/>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2"/>
      <c r="J48" s="712"/>
      <c r="K48" s="712"/>
      <c r="L48" s="712"/>
      <c r="M48" s="712"/>
      <c r="N48" s="712"/>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2"/>
      <c r="J49" s="712"/>
      <c r="K49" s="712"/>
      <c r="L49" s="712"/>
      <c r="M49" s="712"/>
      <c r="N49" s="712"/>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2"/>
      <c r="J50" s="712"/>
      <c r="K50" s="712"/>
      <c r="L50" s="712"/>
      <c r="M50" s="712"/>
      <c r="N50" s="712"/>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2"/>
      <c r="J51" s="712"/>
      <c r="K51" s="712"/>
      <c r="L51" s="712"/>
      <c r="M51" s="712"/>
      <c r="N51" s="712"/>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2"/>
      <c r="J52" s="712"/>
      <c r="K52" s="712"/>
      <c r="L52" s="712"/>
      <c r="M52" s="712"/>
      <c r="N52" s="712"/>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2"/>
      <c r="J53" s="712"/>
      <c r="K53" s="712"/>
      <c r="L53" s="712"/>
      <c r="M53" s="712"/>
      <c r="N53" s="712"/>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2"/>
      <c r="J54" s="712"/>
      <c r="K54" s="712"/>
      <c r="L54" s="712"/>
      <c r="M54" s="712"/>
      <c r="N54" s="712"/>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2"/>
      <c r="J55" s="712"/>
      <c r="K55" s="712"/>
      <c r="L55" s="712"/>
      <c r="M55" s="712"/>
      <c r="N55" s="712"/>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2"/>
      <c r="J56" s="712"/>
      <c r="K56" s="712"/>
      <c r="L56" s="712"/>
      <c r="M56" s="712"/>
      <c r="N56" s="712"/>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2"/>
      <c r="J57" s="712"/>
      <c r="K57" s="712"/>
      <c r="L57" s="712"/>
      <c r="M57" s="712"/>
      <c r="N57" s="712"/>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2"/>
      <c r="J58" s="712"/>
      <c r="K58" s="712"/>
      <c r="L58" s="712"/>
      <c r="M58" s="712"/>
      <c r="N58" s="712"/>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2"/>
      <c r="J59" s="712"/>
      <c r="K59" s="712"/>
      <c r="L59" s="712"/>
      <c r="M59" s="712"/>
      <c r="N59" s="712"/>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2"/>
      <c r="J60" s="712"/>
      <c r="K60" s="712"/>
      <c r="L60" s="712"/>
      <c r="M60" s="712"/>
      <c r="N60" s="712"/>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2"/>
      <c r="J61" s="712"/>
      <c r="K61" s="712"/>
      <c r="L61" s="712"/>
      <c r="M61" s="712"/>
      <c r="N61" s="712"/>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2"/>
      <c r="J62" s="712"/>
      <c r="K62" s="712"/>
      <c r="L62" s="712"/>
      <c r="M62" s="712"/>
      <c r="N62" s="712"/>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2"/>
      <c r="J63" s="712"/>
      <c r="K63" s="712"/>
      <c r="L63" s="712"/>
      <c r="M63" s="712"/>
      <c r="N63" s="712"/>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2"/>
      <c r="J64" s="712"/>
      <c r="K64" s="712"/>
      <c r="L64" s="712"/>
      <c r="M64" s="712"/>
      <c r="N64" s="712"/>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2"/>
      <c r="J65" s="712"/>
      <c r="K65" s="712"/>
      <c r="L65" s="712"/>
      <c r="M65" s="712"/>
      <c r="N65" s="712"/>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2"/>
      <c r="J66" s="712"/>
      <c r="K66" s="712"/>
      <c r="L66" s="712"/>
      <c r="M66" s="712"/>
      <c r="N66" s="712"/>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2"/>
      <c r="J67" s="712"/>
      <c r="K67" s="712"/>
      <c r="L67" s="712"/>
      <c r="M67" s="712"/>
      <c r="N67" s="712"/>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2"/>
      <c r="J68" s="712"/>
      <c r="K68" s="712"/>
      <c r="L68" s="712"/>
      <c r="M68" s="712"/>
      <c r="N68" s="712"/>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2"/>
      <c r="J69" s="712"/>
      <c r="K69" s="712"/>
      <c r="L69" s="712"/>
      <c r="M69" s="712"/>
      <c r="N69" s="712"/>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2"/>
      <c r="J70" s="712"/>
      <c r="K70" s="712"/>
      <c r="L70" s="712"/>
      <c r="M70" s="712"/>
      <c r="N70" s="712"/>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2"/>
      <c r="J71" s="712"/>
      <c r="K71" s="712"/>
      <c r="L71" s="712"/>
      <c r="M71" s="712"/>
      <c r="N71" s="712"/>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2"/>
      <c r="J72" s="712"/>
      <c r="K72" s="712"/>
      <c r="L72" s="712"/>
      <c r="M72" s="712"/>
      <c r="N72" s="712"/>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2"/>
      <c r="J73" s="712"/>
      <c r="K73" s="712"/>
      <c r="L73" s="712"/>
      <c r="M73" s="712"/>
      <c r="N73" s="712"/>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2"/>
      <c r="J74" s="712"/>
      <c r="K74" s="712"/>
      <c r="L74" s="712"/>
      <c r="M74" s="712"/>
      <c r="N74" s="712"/>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2"/>
      <c r="J75" s="712"/>
      <c r="K75" s="712"/>
      <c r="L75" s="712"/>
      <c r="M75" s="712"/>
      <c r="N75" s="712"/>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2"/>
      <c r="J76" s="712"/>
      <c r="K76" s="712"/>
      <c r="L76" s="712"/>
      <c r="M76" s="712"/>
      <c r="N76" s="712"/>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2"/>
      <c r="J77" s="712"/>
      <c r="K77" s="712"/>
      <c r="L77" s="712"/>
      <c r="M77" s="712"/>
      <c r="N77" s="712"/>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2"/>
      <c r="J78" s="712"/>
      <c r="K78" s="712"/>
      <c r="L78" s="712"/>
      <c r="M78" s="712"/>
      <c r="N78" s="712"/>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2"/>
      <c r="J79" s="712"/>
      <c r="K79" s="712"/>
      <c r="L79" s="712"/>
      <c r="M79" s="712"/>
      <c r="N79" s="712"/>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2"/>
      <c r="J80" s="712"/>
      <c r="K80" s="712"/>
      <c r="L80" s="712"/>
      <c r="M80" s="712"/>
      <c r="N80" s="712"/>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2"/>
      <c r="J81" s="712"/>
      <c r="K81" s="712"/>
      <c r="L81" s="712"/>
      <c r="M81" s="712"/>
      <c r="N81" s="712"/>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2"/>
      <c r="J82" s="712"/>
      <c r="K82" s="712"/>
      <c r="L82" s="712"/>
      <c r="M82" s="712"/>
      <c r="N82" s="712"/>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2"/>
      <c r="J83" s="712"/>
      <c r="K83" s="712"/>
      <c r="L83" s="712"/>
      <c r="M83" s="712"/>
      <c r="N83" s="712"/>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2"/>
      <c r="J84" s="712"/>
      <c r="K84" s="712"/>
      <c r="L84" s="712"/>
      <c r="M84" s="712"/>
      <c r="N84" s="712"/>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2"/>
      <c r="J85" s="712"/>
      <c r="K85" s="712"/>
      <c r="L85" s="712"/>
      <c r="M85" s="712"/>
      <c r="N85" s="712"/>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2"/>
      <c r="J86" s="712"/>
      <c r="K86" s="712"/>
      <c r="L86" s="712"/>
      <c r="M86" s="712"/>
      <c r="N86" s="712"/>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2"/>
      <c r="J87" s="712"/>
      <c r="K87" s="712"/>
      <c r="L87" s="712"/>
      <c r="M87" s="712"/>
      <c r="N87" s="712"/>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2"/>
      <c r="J88" s="712"/>
      <c r="K88" s="712"/>
      <c r="L88" s="712"/>
      <c r="M88" s="712"/>
      <c r="N88" s="712"/>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2"/>
      <c r="J89" s="712"/>
      <c r="K89" s="712"/>
      <c r="L89" s="712"/>
      <c r="M89" s="712"/>
      <c r="N89" s="712"/>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2"/>
      <c r="J90" s="712"/>
      <c r="K90" s="712"/>
      <c r="L90" s="712"/>
      <c r="M90" s="712"/>
      <c r="N90" s="712"/>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2"/>
      <c r="J91" s="712"/>
      <c r="K91" s="712"/>
      <c r="L91" s="712"/>
      <c r="M91" s="712"/>
      <c r="N91" s="712"/>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2"/>
      <c r="J92" s="712"/>
      <c r="K92" s="712"/>
      <c r="L92" s="712"/>
      <c r="M92" s="712"/>
      <c r="N92" s="712"/>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2"/>
      <c r="J93" s="712"/>
      <c r="K93" s="712"/>
      <c r="L93" s="712"/>
      <c r="M93" s="712"/>
      <c r="N93" s="712"/>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2"/>
      <c r="J94" s="712"/>
      <c r="K94" s="712"/>
      <c r="L94" s="712"/>
      <c r="M94" s="712"/>
      <c r="N94" s="712"/>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2"/>
      <c r="J95" s="712"/>
      <c r="K95" s="712"/>
      <c r="L95" s="712"/>
      <c r="M95" s="712"/>
      <c r="N95" s="712"/>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2"/>
      <c r="J96" s="712"/>
      <c r="K96" s="712"/>
      <c r="L96" s="712"/>
      <c r="M96" s="712"/>
      <c r="N96" s="712"/>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2"/>
      <c r="J97" s="712"/>
      <c r="K97" s="712"/>
      <c r="L97" s="712"/>
      <c r="M97" s="712"/>
      <c r="N97" s="712"/>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2"/>
      <c r="J98" s="712"/>
      <c r="K98" s="712"/>
      <c r="L98" s="712"/>
      <c r="M98" s="712"/>
      <c r="N98" s="712"/>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2"/>
      <c r="J99" s="712"/>
      <c r="K99" s="712"/>
      <c r="L99" s="712"/>
      <c r="M99" s="712"/>
      <c r="N99" s="712"/>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2"/>
      <c r="J100" s="712"/>
      <c r="K100" s="712"/>
      <c r="L100" s="712"/>
      <c r="M100" s="712"/>
      <c r="N100" s="712"/>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3" t="s">
        <v>114</v>
      </c>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4"/>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714"/>
      <c r="AN105" s="714"/>
      <c r="AO105" s="714"/>
      <c r="AP105" s="714"/>
      <c r="AQ105" s="714"/>
      <c r="AR105" s="714"/>
      <c r="AS105" s="714"/>
      <c r="AT105" s="714"/>
      <c r="AU105" s="714"/>
      <c r="AV105" s="714"/>
      <c r="AW105" s="714"/>
      <c r="AX105" s="714"/>
      <c r="AY105" s="714"/>
      <c r="AZ105" s="714"/>
      <c r="BA105" s="714"/>
      <c r="BB105" s="714"/>
      <c r="BC105" s="714"/>
      <c r="BD105" s="714"/>
      <c r="BE105" s="714"/>
      <c r="BF105" s="714"/>
      <c r="BG105" s="714"/>
      <c r="BH105" s="714"/>
      <c r="BI105" s="714"/>
      <c r="BJ105" s="714"/>
      <c r="BK105" s="714"/>
      <c r="BL105" s="714"/>
      <c r="BM105" s="714"/>
      <c r="BN105" s="714"/>
      <c r="BO105" s="714"/>
      <c r="BP105" s="714"/>
      <c r="BQ105" s="714"/>
      <c r="BR105" s="244"/>
      <c r="BS105" s="244"/>
      <c r="BT105" s="244"/>
      <c r="BU105" s="244"/>
      <c r="BV105" s="244"/>
      <c r="BW105" s="244"/>
      <c r="BX105" s="244"/>
      <c r="BY105" s="244"/>
      <c r="BZ105" s="244"/>
      <c r="CA105" s="244"/>
      <c r="CB105" s="244"/>
      <c r="CC105" s="244"/>
      <c r="CD105" s="244"/>
      <c r="CE105" s="244"/>
      <c r="CF105" s="244"/>
    </row>
    <row r="106" ht="12.75" customHeight="1">
      <c r="A106" s="714"/>
      <c r="B106" s="714"/>
      <c r="C106" s="714"/>
      <c r="D106" s="714"/>
      <c r="E106" s="714"/>
      <c r="F106" s="714"/>
      <c r="G106" s="714"/>
      <c r="H106" s="714"/>
      <c r="I106" s="714"/>
      <c r="J106" s="714"/>
      <c r="K106" s="714"/>
      <c r="L106" s="714"/>
      <c r="M106" s="714"/>
      <c r="N106" s="714"/>
      <c r="O106" s="714"/>
      <c r="P106" s="714"/>
      <c r="Q106" s="714"/>
      <c r="R106" s="714"/>
      <c r="S106" s="714"/>
      <c r="T106" s="714"/>
      <c r="U106" s="714"/>
      <c r="V106" s="714"/>
      <c r="W106" s="714"/>
      <c r="X106" s="714"/>
      <c r="Y106" s="714"/>
      <c r="Z106" s="714"/>
      <c r="AA106" s="714"/>
      <c r="AB106" s="714"/>
      <c r="AC106" s="714"/>
      <c r="AD106" s="714"/>
      <c r="AE106" s="714"/>
      <c r="AF106" s="714"/>
      <c r="AG106" s="714"/>
      <c r="AH106" s="714"/>
      <c r="AI106" s="714"/>
      <c r="AJ106" s="714"/>
      <c r="AK106" s="714"/>
      <c r="AL106" s="714"/>
      <c r="AM106" s="714"/>
      <c r="AN106" s="714"/>
      <c r="AO106" s="714"/>
      <c r="AP106" s="714"/>
      <c r="AQ106" s="714"/>
      <c r="AR106" s="714"/>
      <c r="AS106" s="714"/>
      <c r="AT106" s="714"/>
      <c r="AU106" s="714"/>
      <c r="AV106" s="714"/>
      <c r="AW106" s="714"/>
      <c r="AX106" s="714"/>
      <c r="AY106" s="714"/>
      <c r="AZ106" s="714"/>
      <c r="BA106" s="714"/>
      <c r="BB106" s="714"/>
      <c r="BC106" s="714"/>
      <c r="BD106" s="714"/>
      <c r="BE106" s="714"/>
      <c r="BF106" s="714"/>
      <c r="BG106" s="714"/>
      <c r="BH106" s="714"/>
      <c r="BI106" s="714"/>
      <c r="BJ106" s="714"/>
      <c r="BK106" s="714"/>
      <c r="BL106" s="714"/>
      <c r="BM106" s="714"/>
      <c r="BN106" s="714"/>
      <c r="BO106" s="714"/>
      <c r="BP106" s="714"/>
      <c r="BQ106" s="714"/>
      <c r="BR106" s="244"/>
      <c r="BS106" s="244"/>
      <c r="BT106" s="244"/>
      <c r="BU106" s="244"/>
      <c r="BV106" s="244"/>
      <c r="BW106" s="244"/>
      <c r="BX106" s="244"/>
      <c r="BY106" s="244"/>
      <c r="BZ106" s="244"/>
      <c r="CA106" s="244"/>
      <c r="CB106" s="244"/>
      <c r="CC106" s="244"/>
      <c r="CD106" s="244"/>
      <c r="CE106" s="244"/>
      <c r="CF106" s="244"/>
    </row>
    <row r="107" ht="12.75" customHeight="1">
      <c r="A107" s="714"/>
      <c r="B107" s="714"/>
      <c r="C107" s="714"/>
      <c r="D107" s="714"/>
      <c r="E107" s="714"/>
      <c r="F107" s="714"/>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4"/>
      <c r="AL107" s="714"/>
      <c r="AM107" s="714"/>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244"/>
      <c r="BS107" s="244"/>
      <c r="BT107" s="244"/>
      <c r="BU107" s="244"/>
      <c r="BV107" s="244"/>
      <c r="BW107" s="244"/>
      <c r="BX107" s="244"/>
      <c r="BY107" s="244"/>
      <c r="BZ107" s="244"/>
      <c r="CA107" s="244"/>
      <c r="CB107" s="244"/>
      <c r="CC107" s="244"/>
      <c r="CD107" s="244"/>
      <c r="CE107" s="244"/>
      <c r="CF107" s="244"/>
    </row>
    <row r="108" ht="12.75" customHeight="1">
      <c r="A108" s="714"/>
      <c r="B108" s="714"/>
      <c r="C108" s="714"/>
      <c r="D108" s="714"/>
      <c r="E108" s="714"/>
      <c r="F108" s="714"/>
      <c r="G108" s="714"/>
      <c r="H108" s="714"/>
      <c r="I108" s="714"/>
      <c r="J108" s="714"/>
      <c r="K108" s="714"/>
      <c r="L108" s="714"/>
      <c r="M108" s="714"/>
      <c r="N108" s="714"/>
      <c r="O108" s="714"/>
      <c r="P108" s="714"/>
      <c r="Q108" s="714"/>
      <c r="R108" s="714"/>
      <c r="S108" s="714"/>
      <c r="T108" s="714"/>
      <c r="U108" s="714"/>
      <c r="V108" s="714"/>
      <c r="W108" s="714"/>
      <c r="X108" s="714"/>
      <c r="Y108" s="714"/>
      <c r="Z108" s="714"/>
      <c r="AA108" s="714"/>
      <c r="AB108" s="714"/>
      <c r="AC108" s="714"/>
      <c r="AD108" s="714"/>
      <c r="AE108" s="714"/>
      <c r="AF108" s="714"/>
      <c r="AG108" s="714"/>
      <c r="AH108" s="714"/>
      <c r="AI108" s="714"/>
      <c r="AJ108" s="714"/>
      <c r="AK108" s="714"/>
      <c r="AL108" s="714"/>
      <c r="AM108" s="714"/>
      <c r="AN108" s="714"/>
      <c r="AO108" s="714"/>
      <c r="AP108" s="714"/>
      <c r="AQ108" s="714"/>
      <c r="AR108" s="714"/>
      <c r="AS108" s="714"/>
      <c r="AT108" s="714"/>
      <c r="AU108" s="714"/>
      <c r="AV108" s="714"/>
      <c r="AW108" s="714"/>
      <c r="AX108" s="714"/>
      <c r="AY108" s="714"/>
      <c r="AZ108" s="714"/>
      <c r="BA108" s="714"/>
      <c r="BB108" s="714"/>
      <c r="BC108" s="714"/>
      <c r="BD108" s="714"/>
      <c r="BE108" s="714"/>
      <c r="BF108" s="714"/>
      <c r="BG108" s="714"/>
      <c r="BH108" s="714"/>
      <c r="BI108" s="714"/>
      <c r="BJ108" s="714"/>
      <c r="BK108" s="714"/>
      <c r="BL108" s="714"/>
      <c r="BM108" s="714"/>
      <c r="BN108" s="714"/>
      <c r="BO108" s="714"/>
      <c r="BP108" s="714"/>
      <c r="BQ108" s="714"/>
      <c r="BR108" s="244"/>
      <c r="BS108" s="244"/>
      <c r="BT108" s="244"/>
      <c r="BU108" s="244"/>
      <c r="BV108" s="244"/>
      <c r="BW108" s="244"/>
      <c r="BX108" s="244"/>
      <c r="BY108" s="244"/>
      <c r="BZ108" s="244"/>
      <c r="CA108" s="244"/>
      <c r="CB108" s="244"/>
      <c r="CC108" s="244"/>
      <c r="CD108" s="244"/>
      <c r="CE108" s="244"/>
      <c r="CF108" s="244"/>
    </row>
    <row r="109" ht="12.75" customHeight="1">
      <c r="A109" s="714"/>
      <c r="B109" s="714"/>
      <c r="C109" s="714"/>
      <c r="D109" s="714"/>
      <c r="E109" s="714"/>
      <c r="F109" s="714"/>
      <c r="G109" s="714"/>
      <c r="H109" s="714"/>
      <c r="I109" s="714"/>
      <c r="J109" s="714"/>
      <c r="K109" s="714"/>
      <c r="L109" s="714"/>
      <c r="M109" s="714"/>
      <c r="N109" s="714"/>
      <c r="O109" s="714"/>
      <c r="P109" s="714"/>
      <c r="Q109" s="714"/>
      <c r="R109" s="714"/>
      <c r="S109" s="714"/>
      <c r="T109" s="714"/>
      <c r="U109" s="714"/>
      <c r="V109" s="714"/>
      <c r="W109" s="714"/>
      <c r="X109" s="714"/>
      <c r="Y109" s="714"/>
      <c r="Z109" s="714"/>
      <c r="AA109" s="714"/>
      <c r="AB109" s="714"/>
      <c r="AC109" s="714"/>
      <c r="AD109" s="714"/>
      <c r="AE109" s="714"/>
      <c r="AF109" s="714"/>
      <c r="AG109" s="714"/>
      <c r="AH109" s="714"/>
      <c r="AI109" s="714"/>
      <c r="AJ109" s="714"/>
      <c r="AK109" s="714"/>
      <c r="AL109" s="714"/>
      <c r="AM109" s="714"/>
      <c r="AN109" s="714"/>
      <c r="AO109" s="714"/>
      <c r="AP109" s="714"/>
      <c r="AQ109" s="714"/>
      <c r="AR109" s="714"/>
      <c r="AS109" s="714"/>
      <c r="AT109" s="714"/>
      <c r="AU109" s="714"/>
      <c r="AV109" s="714"/>
      <c r="AW109" s="714"/>
      <c r="AX109" s="714"/>
      <c r="AY109" s="714"/>
      <c r="AZ109" s="714"/>
      <c r="BA109" s="714"/>
      <c r="BB109" s="714"/>
      <c r="BC109" s="714"/>
      <c r="BD109" s="714"/>
      <c r="BE109" s="714"/>
      <c r="BF109" s="714"/>
      <c r="BG109" s="714"/>
      <c r="BH109" s="714"/>
      <c r="BI109" s="714"/>
      <c r="BJ109" s="714"/>
      <c r="BK109" s="714"/>
      <c r="BL109" s="714"/>
      <c r="BM109" s="714"/>
      <c r="BN109" s="714"/>
      <c r="BO109" s="714"/>
      <c r="BP109" s="714"/>
      <c r="BQ109" s="714"/>
      <c r="BR109" s="244"/>
      <c r="BS109" s="244"/>
      <c r="BT109" s="244"/>
      <c r="BU109" s="244"/>
      <c r="BV109" s="244"/>
      <c r="BW109" s="244"/>
      <c r="BX109" s="244"/>
      <c r="BY109" s="244"/>
      <c r="BZ109" s="244"/>
      <c r="CA109" s="244"/>
      <c r="CB109" s="244"/>
      <c r="CC109" s="244"/>
      <c r="CD109" s="244"/>
      <c r="CE109" s="244"/>
      <c r="CF109" s="244"/>
    </row>
    <row r="110" ht="12.75" customHeight="1">
      <c r="A110" s="714"/>
      <c r="B110" s="714"/>
      <c r="C110" s="714"/>
      <c r="D110" s="714"/>
      <c r="E110" s="714"/>
      <c r="F110" s="714"/>
      <c r="G110" s="714"/>
      <c r="H110" s="714"/>
      <c r="I110" s="714"/>
      <c r="J110" s="714"/>
      <c r="K110" s="714"/>
      <c r="L110" s="714"/>
      <c r="M110" s="714"/>
      <c r="N110" s="714"/>
      <c r="O110" s="714"/>
      <c r="P110" s="714"/>
      <c r="Q110" s="714"/>
      <c r="R110" s="714"/>
      <c r="S110" s="714"/>
      <c r="T110" s="714"/>
      <c r="U110" s="714"/>
      <c r="V110" s="714"/>
      <c r="W110" s="714"/>
      <c r="X110" s="714"/>
      <c r="Y110" s="714"/>
      <c r="Z110" s="714"/>
      <c r="AA110" s="714"/>
      <c r="AB110" s="714"/>
      <c r="AC110" s="714"/>
      <c r="AD110" s="714"/>
      <c r="AE110" s="714"/>
      <c r="AF110" s="714"/>
      <c r="AG110" s="714"/>
      <c r="AH110" s="714"/>
      <c r="AI110" s="714"/>
      <c r="AJ110" s="714"/>
      <c r="AK110" s="714"/>
      <c r="AL110" s="714"/>
      <c r="AM110" s="714"/>
      <c r="AN110" s="714"/>
      <c r="AO110" s="714"/>
      <c r="AP110" s="714"/>
      <c r="AQ110" s="714"/>
      <c r="AR110" s="714"/>
      <c r="AS110" s="714"/>
      <c r="AT110" s="714"/>
      <c r="AU110" s="714"/>
      <c r="AV110" s="714"/>
      <c r="AW110" s="714"/>
      <c r="AX110" s="714"/>
      <c r="AY110" s="714"/>
      <c r="AZ110" s="714"/>
      <c r="BA110" s="714"/>
      <c r="BB110" s="714"/>
      <c r="BC110" s="714"/>
      <c r="BD110" s="714"/>
      <c r="BE110" s="714"/>
      <c r="BF110" s="714"/>
      <c r="BG110" s="714"/>
      <c r="BH110" s="714"/>
      <c r="BI110" s="714"/>
      <c r="BJ110" s="714"/>
      <c r="BK110" s="714"/>
      <c r="BL110" s="714"/>
      <c r="BM110" s="714"/>
      <c r="BN110" s="714"/>
      <c r="BO110" s="714"/>
      <c r="BP110" s="714"/>
      <c r="BQ110" s="714"/>
      <c r="BR110" s="244"/>
      <c r="BS110" s="244"/>
      <c r="BT110" s="244"/>
      <c r="BU110" s="244"/>
      <c r="BV110" s="244"/>
      <c r="BW110" s="244"/>
      <c r="BX110" s="244"/>
      <c r="BY110" s="244"/>
      <c r="BZ110" s="244"/>
      <c r="CA110" s="244"/>
      <c r="CB110" s="244"/>
      <c r="CC110" s="244"/>
      <c r="CD110" s="244"/>
      <c r="CE110" s="244"/>
      <c r="CF110" s="244"/>
    </row>
    <row r="111" ht="12.75" customHeight="1">
      <c r="A111" s="714"/>
      <c r="B111" s="714"/>
      <c r="C111" s="714"/>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4"/>
      <c r="AB111" s="714"/>
      <c r="AC111" s="714"/>
      <c r="AD111" s="714"/>
      <c r="AE111" s="714"/>
      <c r="AF111" s="714"/>
      <c r="AG111" s="714"/>
      <c r="AH111" s="714"/>
      <c r="AI111" s="714"/>
      <c r="AJ111" s="714"/>
      <c r="AK111" s="714"/>
      <c r="AL111" s="714"/>
      <c r="AM111" s="714"/>
      <c r="AN111" s="714"/>
      <c r="AO111" s="714"/>
      <c r="AP111" s="714"/>
      <c r="AQ111" s="714"/>
      <c r="AR111" s="714"/>
      <c r="AS111" s="714"/>
      <c r="AT111" s="714"/>
      <c r="AU111" s="714"/>
      <c r="AV111" s="714"/>
      <c r="AW111" s="714"/>
      <c r="AX111" s="714"/>
      <c r="AY111" s="714"/>
      <c r="AZ111" s="714"/>
      <c r="BA111" s="714"/>
      <c r="BB111" s="714"/>
      <c r="BC111" s="714"/>
      <c r="BD111" s="714"/>
      <c r="BE111" s="714"/>
      <c r="BF111" s="714"/>
      <c r="BG111" s="714"/>
      <c r="BH111" s="714"/>
      <c r="BI111" s="714"/>
      <c r="BJ111" s="714"/>
      <c r="BK111" s="714"/>
      <c r="BL111" s="714"/>
      <c r="BM111" s="714"/>
      <c r="BN111" s="714"/>
      <c r="BO111" s="714"/>
      <c r="BP111" s="714"/>
      <c r="BQ111" s="714"/>
      <c r="BR111" s="244"/>
      <c r="BS111" s="244"/>
      <c r="BT111" s="244"/>
      <c r="BU111" s="244"/>
      <c r="BV111" s="244"/>
      <c r="BW111" s="244"/>
      <c r="BX111" s="244"/>
      <c r="BY111" s="244"/>
      <c r="BZ111" s="244"/>
      <c r="CA111" s="244"/>
      <c r="CB111" s="244"/>
      <c r="CC111" s="244"/>
      <c r="CD111" s="244"/>
      <c r="CE111" s="244"/>
      <c r="CF111" s="244"/>
    </row>
    <row r="112" ht="12.75" customHeight="1">
      <c r="A112" s="714"/>
      <c r="B112" s="714"/>
      <c r="C112" s="714"/>
      <c r="D112" s="714"/>
      <c r="E112" s="714"/>
      <c r="F112" s="714"/>
      <c r="G112" s="714"/>
      <c r="H112" s="714"/>
      <c r="I112" s="714"/>
      <c r="J112" s="714"/>
      <c r="K112" s="714"/>
      <c r="L112" s="714"/>
      <c r="M112" s="714"/>
      <c r="N112" s="714"/>
      <c r="O112" s="714"/>
      <c r="P112" s="714"/>
      <c r="Q112" s="714"/>
      <c r="R112" s="714"/>
      <c r="S112" s="714"/>
      <c r="T112" s="714"/>
      <c r="U112" s="714"/>
      <c r="V112" s="714"/>
      <c r="W112" s="714"/>
      <c r="X112" s="714"/>
      <c r="Y112" s="714"/>
      <c r="Z112" s="714"/>
      <c r="AA112" s="714"/>
      <c r="AB112" s="714"/>
      <c r="AC112" s="714"/>
      <c r="AD112" s="714"/>
      <c r="AE112" s="714"/>
      <c r="AF112" s="714"/>
      <c r="AG112" s="714"/>
      <c r="AH112" s="714"/>
      <c r="AI112" s="714"/>
      <c r="AJ112" s="714"/>
      <c r="AK112" s="714"/>
      <c r="AL112" s="714"/>
      <c r="AM112" s="714"/>
      <c r="AN112" s="714"/>
      <c r="AO112" s="714"/>
      <c r="AP112" s="714"/>
      <c r="AQ112" s="714"/>
      <c r="AR112" s="714"/>
      <c r="AS112" s="714"/>
      <c r="AT112" s="714"/>
      <c r="AU112" s="714"/>
      <c r="AV112" s="714"/>
      <c r="AW112" s="714"/>
      <c r="AX112" s="714"/>
      <c r="AY112" s="714"/>
      <c r="AZ112" s="714"/>
      <c r="BA112" s="714"/>
      <c r="BB112" s="714"/>
      <c r="BC112" s="714"/>
      <c r="BD112" s="714"/>
      <c r="BE112" s="714"/>
      <c r="BF112" s="714"/>
      <c r="BG112" s="714"/>
      <c r="BH112" s="714"/>
      <c r="BI112" s="714"/>
      <c r="BJ112" s="714"/>
      <c r="BK112" s="714"/>
      <c r="BL112" s="714"/>
      <c r="BM112" s="714"/>
      <c r="BN112" s="714"/>
      <c r="BO112" s="714"/>
      <c r="BP112" s="714"/>
      <c r="BQ112" s="714"/>
      <c r="BR112" s="244"/>
      <c r="BS112" s="244"/>
      <c r="BT112" s="244"/>
      <c r="BU112" s="244"/>
      <c r="BV112" s="244"/>
      <c r="BW112" s="244"/>
      <c r="BX112" s="244"/>
      <c r="BY112" s="244"/>
      <c r="BZ112" s="244"/>
      <c r="CA112" s="244"/>
      <c r="CB112" s="244"/>
      <c r="CC112" s="244"/>
      <c r="CD112" s="244"/>
      <c r="CE112" s="244"/>
      <c r="CF112" s="244"/>
    </row>
    <row r="113" ht="12.75" customHeight="1">
      <c r="A113" s="714"/>
      <c r="B113" s="714"/>
      <c r="C113" s="714"/>
      <c r="D113" s="714"/>
      <c r="E113" s="714"/>
      <c r="F113" s="714"/>
      <c r="G113" s="714"/>
      <c r="H113" s="714"/>
      <c r="I113" s="714"/>
      <c r="J113" s="714"/>
      <c r="K113" s="714"/>
      <c r="L113" s="714"/>
      <c r="M113" s="714"/>
      <c r="N113" s="714"/>
      <c r="O113" s="714"/>
      <c r="P113" s="714"/>
      <c r="Q113" s="714"/>
      <c r="R113" s="714"/>
      <c r="S113" s="714"/>
      <c r="T113" s="714"/>
      <c r="U113" s="714"/>
      <c r="V113" s="714"/>
      <c r="W113" s="714"/>
      <c r="X113" s="714"/>
      <c r="Y113" s="714"/>
      <c r="Z113" s="714"/>
      <c r="AA113" s="714"/>
      <c r="AB113" s="714"/>
      <c r="AC113" s="714"/>
      <c r="AD113" s="714"/>
      <c r="AE113" s="714"/>
      <c r="AF113" s="714"/>
      <c r="AG113" s="714"/>
      <c r="AH113" s="714"/>
      <c r="AI113" s="714"/>
      <c r="AJ113" s="714"/>
      <c r="AK113" s="714"/>
      <c r="AL113" s="714"/>
      <c r="AM113" s="714"/>
      <c r="AN113" s="714"/>
      <c r="AO113" s="714"/>
      <c r="AP113" s="714"/>
      <c r="AQ113" s="714"/>
      <c r="AR113" s="714"/>
      <c r="AS113" s="714"/>
      <c r="AT113" s="714"/>
      <c r="AU113" s="714"/>
      <c r="AV113" s="714"/>
      <c r="AW113" s="714"/>
      <c r="AX113" s="714"/>
      <c r="AY113" s="714"/>
      <c r="AZ113" s="714"/>
      <c r="BA113" s="714"/>
      <c r="BB113" s="714"/>
      <c r="BC113" s="714"/>
      <c r="BD113" s="714"/>
      <c r="BE113" s="714"/>
      <c r="BF113" s="714"/>
      <c r="BG113" s="714"/>
      <c r="BH113" s="714"/>
      <c r="BI113" s="714"/>
      <c r="BJ113" s="714"/>
      <c r="BK113" s="714"/>
      <c r="BL113" s="714"/>
      <c r="BM113" s="714"/>
      <c r="BN113" s="714"/>
      <c r="BO113" s="714"/>
      <c r="BP113" s="714"/>
      <c r="BQ113" s="714"/>
      <c r="BR113" s="244"/>
      <c r="BS113" s="244"/>
      <c r="BT113" s="244"/>
      <c r="BU113" s="244"/>
      <c r="BV113" s="244"/>
      <c r="BW113" s="244"/>
      <c r="BX113" s="244"/>
      <c r="BY113" s="244"/>
      <c r="BZ113" s="244"/>
      <c r="CA113" s="244"/>
      <c r="CB113" s="244"/>
      <c r="CC113" s="244"/>
      <c r="CD113" s="244"/>
      <c r="CE113" s="244"/>
      <c r="CF113" s="244"/>
    </row>
    <row r="114">
      <c r="A114" s="714"/>
      <c r="B114" s="714"/>
      <c r="C114" s="714"/>
      <c r="D114" s="714"/>
      <c r="E114" s="714"/>
      <c r="F114" s="714"/>
      <c r="G114" s="714"/>
      <c r="H114" s="714"/>
      <c r="I114" s="714"/>
      <c r="J114" s="714"/>
      <c r="K114" s="714"/>
      <c r="L114" s="714"/>
      <c r="M114" s="714"/>
      <c r="N114" s="714"/>
      <c r="O114" s="714"/>
      <c r="P114" s="714"/>
      <c r="Q114" s="714"/>
      <c r="R114" s="714"/>
      <c r="S114" s="714"/>
      <c r="T114" s="714"/>
      <c r="U114" s="714"/>
      <c r="V114" s="714"/>
      <c r="W114" s="714"/>
      <c r="X114" s="714"/>
      <c r="Y114" s="714"/>
      <c r="Z114" s="714"/>
      <c r="AA114" s="714"/>
      <c r="AB114" s="714"/>
      <c r="AC114" s="714"/>
      <c r="AD114" s="714"/>
      <c r="AE114" s="714"/>
      <c r="AF114" s="714"/>
      <c r="AG114" s="714"/>
      <c r="AH114" s="714"/>
      <c r="AI114" s="714"/>
      <c r="AJ114" s="714"/>
      <c r="AK114" s="714"/>
      <c r="AL114" s="714"/>
      <c r="AM114" s="714"/>
      <c r="AN114" s="714"/>
      <c r="AO114" s="714"/>
      <c r="AP114" s="714"/>
      <c r="AQ114" s="714"/>
      <c r="AR114" s="714"/>
      <c r="AS114" s="714"/>
      <c r="AT114" s="714"/>
      <c r="AU114" s="714"/>
      <c r="AV114" s="714"/>
      <c r="AW114" s="714"/>
      <c r="AX114" s="714"/>
      <c r="AY114" s="714"/>
      <c r="AZ114" s="714"/>
      <c r="BA114" s="714"/>
      <c r="BB114" s="714"/>
      <c r="BC114" s="714"/>
      <c r="BD114" s="714"/>
      <c r="BE114" s="714"/>
      <c r="BF114" s="714"/>
      <c r="BG114" s="714"/>
      <c r="BH114" s="714"/>
      <c r="BI114" s="714"/>
      <c r="BJ114" s="714"/>
      <c r="BK114" s="714"/>
      <c r="BL114" s="714"/>
      <c r="BM114" s="714"/>
      <c r="BN114" s="714"/>
      <c r="BO114" s="714"/>
      <c r="BP114" s="714"/>
      <c r="BQ114" s="714"/>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xl/worksheets/sheet5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140</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168</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177</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178</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167</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51" t="s">
        <v>40</v>
      </c>
      <c r="F8" s="651"/>
      <c r="G8" s="64"/>
      <c r="H8" s="651" t="s">
        <v>39</v>
      </c>
      <c r="I8" s="651"/>
      <c r="J8" s="1"/>
      <c r="K8" s="651" t="s">
        <v>41</v>
      </c>
      <c r="L8" s="651"/>
      <c r="M8" s="64"/>
      <c r="N8" s="651" t="s">
        <v>42</v>
      </c>
      <c r="O8" s="651"/>
      <c r="P8" s="64"/>
      <c r="Q8" s="651" t="s">
        <v>43</v>
      </c>
      <c r="R8" s="651"/>
      <c r="S8" s="64"/>
      <c r="T8" s="651" t="s">
        <v>44</v>
      </c>
      <c r="U8" s="651"/>
      <c r="V8" s="64"/>
      <c r="W8" s="651" t="s">
        <v>45</v>
      </c>
      <c r="X8" s="651"/>
      <c r="Y8" s="64"/>
      <c r="Z8" s="651" t="s">
        <v>23</v>
      </c>
      <c r="AA8" s="651"/>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52" t="s">
        <v>57</v>
      </c>
      <c r="F9" s="652"/>
      <c r="G9" s="65"/>
      <c r="H9" s="652" t="s">
        <v>57</v>
      </c>
      <c r="I9" s="652"/>
      <c r="J9" s="3"/>
      <c r="K9" s="652" t="s">
        <v>57</v>
      </c>
      <c r="L9" s="652"/>
      <c r="M9" s="79"/>
      <c r="N9" s="652" t="s">
        <v>57</v>
      </c>
      <c r="O9" s="652"/>
      <c r="P9" s="65"/>
      <c r="Q9" s="652" t="s">
        <v>57</v>
      </c>
      <c r="R9" s="652"/>
      <c r="S9" s="65"/>
      <c r="T9" s="652" t="s">
        <v>57</v>
      </c>
      <c r="U9" s="652"/>
      <c r="V9" s="65"/>
      <c r="W9" s="652" t="s">
        <v>57</v>
      </c>
      <c r="X9" s="652"/>
      <c r="Y9" s="1"/>
      <c r="Z9" s="652" t="s">
        <v>57</v>
      </c>
      <c r="AA9" s="652"/>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3" t="s">
        <v>28</v>
      </c>
      <c r="C10" s="1"/>
      <c r="D10" s="17" t="s">
        <v>32</v>
      </c>
      <c r="E10" s="67">
        <v>0.5833333333333333333333333333</v>
      </c>
      <c r="F10" s="73">
        <v>-16.304347826123345935727772460</v>
      </c>
      <c r="G10" s="66"/>
      <c r="H10" s="67">
        <v>0.6363636363636363636363636364</v>
      </c>
      <c r="I10" s="73">
        <v>-20.000000000045714285714259590</v>
      </c>
      <c r="J10" s="66"/>
      <c r="K10" s="67">
        <v>0.696969696969696969696969697</v>
      </c>
      <c r="L10" s="73">
        <v>-15.596330275272721151418208510</v>
      </c>
      <c r="M10" s="67"/>
      <c r="N10" s="67">
        <v>0.7121212121212121212121212121</v>
      </c>
      <c r="O10" s="73">
        <v>-13.761467889952562915579473920</v>
      </c>
      <c r="P10" s="66"/>
      <c r="Q10" s="67">
        <v>0.8106060606060606060606060606</v>
      </c>
      <c r="R10" s="73">
        <v>3.8834951456351022716561411700</v>
      </c>
      <c r="S10" s="66"/>
      <c r="T10" s="67">
        <v>0.8636363636363636363636363636</v>
      </c>
      <c r="U10" s="73">
        <v>2.7027027027138056975894825700</v>
      </c>
      <c r="V10" s="66"/>
      <c r="W10" s="67">
        <v>0.9621212121212121212121212121</v>
      </c>
      <c r="X10" s="73">
        <v>16.513761467830047975759646950</v>
      </c>
      <c r="Y10" s="177"/>
      <c r="Z10" s="67">
        <v>0.7521645021645021645021645022</v>
      </c>
      <c r="AA10" s="73">
        <v>-5.8265582655474364906250556800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3"/>
      <c r="C11" s="15"/>
      <c r="D11" s="187" t="s">
        <v>26</v>
      </c>
      <c r="E11" s="180">
        <v>0.65440464666021297192642788</v>
      </c>
      <c r="F11" s="81">
        <v>-14.646464646423694010815203280</v>
      </c>
      <c r="G11" s="181"/>
      <c r="H11" s="180">
        <v>0.6534365924491771539206195547</v>
      </c>
      <c r="I11" s="81">
        <v>-15.625000000037652343749983200</v>
      </c>
      <c r="J11" s="181"/>
      <c r="K11" s="180">
        <v>0.7550822846079380445304937076</v>
      </c>
      <c r="L11" s="81">
        <v>-10.344827586189686880697578950</v>
      </c>
      <c r="M11" s="180"/>
      <c r="N11" s="180">
        <v>0.7676669893514036786060019361</v>
      </c>
      <c r="O11" s="81">
        <v>-4.687500000023599008413455700</v>
      </c>
      <c r="P11" s="181"/>
      <c r="Q11" s="180">
        <v>0.8005808325266214908034849952</v>
      </c>
      <c r="R11" s="81">
        <v>-6.6591422122184823871713906700</v>
      </c>
      <c r="S11" s="182"/>
      <c r="T11" s="180">
        <v>0.9022265246853823814133591481</v>
      </c>
      <c r="U11" s="81">
        <v>0.2150537634754505723205114200</v>
      </c>
      <c r="V11" s="181"/>
      <c r="W11" s="180">
        <v>0.9612778315585672797676669894</v>
      </c>
      <c r="X11" s="81">
        <v>2.5826446280632484333378993400</v>
      </c>
      <c r="Y11" s="183"/>
      <c r="Z11" s="180">
        <v>0.7849536716913290001382934587</v>
      </c>
      <c r="AA11" s="81">
        <v>-6.614017769055308660984012600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89.13954635111382253480854789</v>
      </c>
      <c r="F12" s="73">
        <v>-1.9423720092285074781076023400</v>
      </c>
      <c r="G12" s="68"/>
      <c r="H12" s="68">
        <v>97.38720538723178995884774379</v>
      </c>
      <c r="I12" s="73">
        <v>-5.185185185142696131482349100</v>
      </c>
      <c r="J12" s="68"/>
      <c r="K12" s="68">
        <v>92.30380730379973016157631605</v>
      </c>
      <c r="L12" s="73">
        <v>-5.8574453069682964194652496800</v>
      </c>
      <c r="M12" s="68"/>
      <c r="N12" s="68">
        <v>92.76433948569974129984572258</v>
      </c>
      <c r="O12" s="73">
        <v>-9.520228605736616791509715410</v>
      </c>
      <c r="P12" s="68"/>
      <c r="Q12" s="68">
        <v>101.25224432958460819652689054</v>
      </c>
      <c r="R12" s="73">
        <v>11.294772308393707604996401690</v>
      </c>
      <c r="S12" s="68"/>
      <c r="T12" s="68">
        <v>95.72278579793366323686032206</v>
      </c>
      <c r="U12" s="73">
        <v>2.4823106368146046020308760300</v>
      </c>
      <c r="V12" s="68"/>
      <c r="W12" s="68">
        <v>100.08773535959362830161770681</v>
      </c>
      <c r="X12" s="73">
        <v>13.580383787414494217383467040</v>
      </c>
      <c r="Y12" s="174"/>
      <c r="Z12" s="68">
        <v>95.82278920285050697093529473</v>
      </c>
      <c r="AA12" s="73">
        <v>0.843230948216347322164146400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3" t="s">
        <v>12</v>
      </c>
      <c r="C14" s="1"/>
      <c r="D14" s="17" t="s">
        <v>32</v>
      </c>
      <c r="E14" s="237">
        <v>165.72727272727272727272727273</v>
      </c>
      <c r="F14" s="73">
        <v>-11.632612200610776502651407250</v>
      </c>
      <c r="G14" s="70"/>
      <c r="H14" s="237">
        <v>148.4047619047619047619047619</v>
      </c>
      <c r="I14" s="73">
        <v>-3.5437944908428317595301016900</v>
      </c>
      <c r="J14" s="70"/>
      <c r="K14" s="237">
        <v>159.23913043478260869565217391</v>
      </c>
      <c r="L14" s="73">
        <v>4.4851024403320540846857472300</v>
      </c>
      <c r="M14" s="70"/>
      <c r="N14" s="237">
        <v>152.77659574468085106382978723</v>
      </c>
      <c r="O14" s="73">
        <v>-1.8758533016759899506322162300</v>
      </c>
      <c r="P14" s="70"/>
      <c r="Q14" s="237">
        <v>168.46728971962616822429906542</v>
      </c>
      <c r="R14" s="73">
        <v>-13.524714237416830599227164150</v>
      </c>
      <c r="S14" s="70"/>
      <c r="T14" s="237">
        <v>260.22807017543859649122807018</v>
      </c>
      <c r="U14" s="73">
        <v>0.8741602565764204145926959900</v>
      </c>
      <c r="V14" s="70"/>
      <c r="W14" s="237">
        <v>288.45669291338582677165354331</v>
      </c>
      <c r="X14" s="73">
        <v>3.7990806759759846514002311900</v>
      </c>
      <c r="Y14" s="178"/>
      <c r="Z14" s="237">
        <v>199.37266187050359712230215827</v>
      </c>
      <c r="AA14" s="73">
        <v>0.7898293377476600861407470200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3"/>
      <c r="C15" s="15"/>
      <c r="D15" s="187" t="s">
        <v>26</v>
      </c>
      <c r="E15" s="238">
        <v>170.22065088757396449704142011</v>
      </c>
      <c r="F15" s="81">
        <v>-4.1445510449607536468854687700</v>
      </c>
      <c r="G15" s="184"/>
      <c r="H15" s="238">
        <v>170.1608</v>
      </c>
      <c r="I15" s="81">
        <v>-6.741359274196227923298471800</v>
      </c>
      <c r="J15" s="184"/>
      <c r="K15" s="238">
        <v>179.76164102564102564102564104</v>
      </c>
      <c r="L15" s="81">
        <v>-8.763190762120056311346296820</v>
      </c>
      <c r="M15" s="184"/>
      <c r="N15" s="238">
        <v>174.02925598991172761664564943</v>
      </c>
      <c r="O15" s="81">
        <v>-4.8698122586749518512821301900</v>
      </c>
      <c r="P15" s="184"/>
      <c r="Q15" s="238">
        <v>181.7335792019347037484885127</v>
      </c>
      <c r="R15" s="81">
        <v>-8.481991595548638033047871470</v>
      </c>
      <c r="S15" s="184"/>
      <c r="T15" s="238">
        <v>244.81427038626609442060085837</v>
      </c>
      <c r="U15" s="81">
        <v>-3.492978271615887123815432900</v>
      </c>
      <c r="V15" s="184"/>
      <c r="W15" s="238">
        <v>266.43615307150050352467270894</v>
      </c>
      <c r="X15" s="81">
        <v>1.2888371952153550600570189300</v>
      </c>
      <c r="Y15" s="186"/>
      <c r="Z15" s="238">
        <v>202.81512508809020436927413671</v>
      </c>
      <c r="AA15" s="81">
        <v>-3.4468224076363886382154264400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97.36026261390908583163689417</v>
      </c>
      <c r="F16" s="73">
        <v>-7.8118262835042360306004098300</v>
      </c>
      <c r="G16" s="68"/>
      <c r="H16" s="68">
        <v>87.21442418275061280970985203</v>
      </c>
      <c r="I16" s="73">
        <v>3.4287061857861990298953752500</v>
      </c>
      <c r="J16" s="68"/>
      <c r="K16" s="68">
        <v>88.58348729254492950960581849</v>
      </c>
      <c r="L16" s="73">
        <v>14.520776551862534530895119860</v>
      </c>
      <c r="M16" s="68"/>
      <c r="N16" s="68">
        <v>87.78788076502920119425077388</v>
      </c>
      <c r="O16" s="73">
        <v>3.1472227985950140629720996800</v>
      </c>
      <c r="P16" s="68"/>
      <c r="Q16" s="68">
        <v>92.70014405673735032409522685</v>
      </c>
      <c r="R16" s="73">
        <v>-5.5100878283441899037931065300</v>
      </c>
      <c r="S16" s="68"/>
      <c r="T16" s="68">
        <v>106.29611981557148839553977409</v>
      </c>
      <c r="U16" s="73">
        <v>4.5252028816174635952593418900</v>
      </c>
      <c r="V16" s="68"/>
      <c r="W16" s="68">
        <v>108.26484678900781956475439439</v>
      </c>
      <c r="X16" s="73">
        <v>2.478302200152886234888683900</v>
      </c>
      <c r="Y16" s="174"/>
      <c r="Z16" s="68">
        <v>98.30265952004267634632503883</v>
      </c>
      <c r="AA16" s="73">
        <v>4.3878946825528072334810019200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3" t="s">
        <v>13</v>
      </c>
      <c r="C18" s="1"/>
      <c r="D18" s="17" t="s">
        <v>32</v>
      </c>
      <c r="E18" s="237">
        <v>96.67424242424242424242424242</v>
      </c>
      <c r="F18" s="73">
        <v>-26.040338472226319285251085760</v>
      </c>
      <c r="G18" s="70"/>
      <c r="H18" s="237">
        <v>94.43939393939393939393939394</v>
      </c>
      <c r="I18" s="73">
        <v>-22.835035592718687207004329950</v>
      </c>
      <c r="J18" s="70"/>
      <c r="K18" s="237">
        <v>110.98484848484848484848484848</v>
      </c>
      <c r="L18" s="73">
        <v>-11.810739224667492085332931920</v>
      </c>
      <c r="M18" s="70"/>
      <c r="N18" s="237">
        <v>108.79545454545454545454545455</v>
      </c>
      <c r="O18" s="73">
        <v>-15.379176241836255375465181360</v>
      </c>
      <c r="P18" s="70"/>
      <c r="Q18" s="237">
        <v>136.56060606060606060606060606</v>
      </c>
      <c r="R18" s="73">
        <v>-10.166450712676912923125628810</v>
      </c>
      <c r="S18" s="70"/>
      <c r="T18" s="237">
        <v>224.74242424242424242424242424</v>
      </c>
      <c r="U18" s="73">
        <v>3.6004889121791039348136626400</v>
      </c>
      <c r="V18" s="70"/>
      <c r="W18" s="237">
        <v>277.53030303030303030303030303</v>
      </c>
      <c r="X18" s="73">
        <v>20.940213264651699027177949020</v>
      </c>
      <c r="Y18" s="178"/>
      <c r="Z18" s="237">
        <v>149.96103896103896103896103896</v>
      </c>
      <c r="AA18" s="73">
        <v>-5.0827487943631987796828508100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3" t="s"/>
      <c r="C19" s="15"/>
      <c r="D19" s="187" t="s">
        <v>26</v>
      </c>
      <c r="E19" s="238">
        <v>111.39318489835430784123910939</v>
      </c>
      <c r="F19" s="81">
        <v>-18.183985487866004799484816470</v>
      </c>
      <c r="G19" s="184"/>
      <c r="H19" s="238">
        <v>111.18929332042594385285575992</v>
      </c>
      <c r="I19" s="81">
        <v>-21.313021887607218123277778530</v>
      </c>
      <c r="J19" s="184"/>
      <c r="K19" s="238">
        <v>135.73483059051306873184898354</v>
      </c>
      <c r="L19" s="81">
        <v>-18.201481372916564430714004410</v>
      </c>
      <c r="M19" s="184"/>
      <c r="N19" s="238">
        <v>133.59651500484027105517909003</v>
      </c>
      <c r="O19" s="81">
        <v>-9.329039809016858545765043770</v>
      </c>
      <c r="P19" s="184"/>
      <c r="Q19" s="238">
        <v>145.49242013552758954501452081</v>
      </c>
      <c r="R19" s="81">
        <v>-14.576305924960378166613468900</v>
      </c>
      <c r="S19" s="184"/>
      <c r="T19" s="238">
        <v>220.87792836398838334946757018</v>
      </c>
      <c r="U19" s="81">
        <v>-3.285436289392706795533159900</v>
      </c>
      <c r="V19" s="184"/>
      <c r="W19" s="238">
        <v>256.11916747337850919651500484</v>
      </c>
      <c r="X19" s="81">
        <v>3.9047679079163923529746577500</v>
      </c>
      <c r="Y19" s="186"/>
      <c r="Z19" s="238">
        <v>159.20047711243258193887429125</v>
      </c>
      <c r="AA19" s="81">
        <v>-9.832866730149401832521249210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86.78649642024106286698702644</v>
      </c>
      <c r="F20" s="73">
        <v>-9.602463565665925221888635100</v>
      </c>
      <c r="G20" s="68"/>
      <c r="H20" s="68">
        <v>84.93569040614368087820743712</v>
      </c>
      <c r="I20" s="73">
        <v>-1.9342637645554650481233910500</v>
      </c>
      <c r="J20" s="68"/>
      <c r="K20" s="68">
        <v>81.76593141349251319783695758</v>
      </c>
      <c r="L20" s="73">
        <v>7.8127847002138315483244104900</v>
      </c>
      <c r="M20" s="68"/>
      <c r="N20" s="68">
        <v>81.43584774014922826618515580</v>
      </c>
      <c r="O20" s="73">
        <v>-6.6726286123289350728078544700</v>
      </c>
      <c r="P20" s="68"/>
      <c r="Q20" s="68">
        <v>93.86097635424885890691309021</v>
      </c>
      <c r="R20" s="73">
        <v>5.1623326058492896642388661400</v>
      </c>
      <c r="S20" s="68"/>
      <c r="T20" s="68">
        <v>101.74960708254003208677179706</v>
      </c>
      <c r="U20" s="73">
        <v>7.1198431109139732582133209600</v>
      </c>
      <c r="V20" s="68"/>
      <c r="W20" s="68">
        <v>108.35983334169112742095733344</v>
      </c>
      <c r="X20" s="73">
        <v>16.395248937851318176289540370</v>
      </c>
      <c r="Y20" s="174"/>
      <c r="Z20" s="68">
        <v>94.19635021267069658335205616</v>
      </c>
      <c r="AA20" s="73">
        <v>5.2681257166964702222232208100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51" t="s">
        <v>40</v>
      </c>
      <c r="F25" s="651"/>
      <c r="G25" s="64"/>
      <c r="H25" s="651" t="s">
        <v>39</v>
      </c>
      <c r="I25" s="651"/>
      <c r="J25" s="1"/>
      <c r="K25" s="651" t="s">
        <v>41</v>
      </c>
      <c r="L25" s="651"/>
      <c r="M25" s="64"/>
      <c r="N25" s="651" t="s">
        <v>42</v>
      </c>
      <c r="O25" s="651"/>
      <c r="P25" s="64"/>
      <c r="Q25" s="651" t="s">
        <v>43</v>
      </c>
      <c r="R25" s="651"/>
      <c r="S25" s="64"/>
      <c r="T25" s="651" t="s">
        <v>44</v>
      </c>
      <c r="U25" s="651"/>
      <c r="V25" s="64"/>
      <c r="W25" s="651" t="s">
        <v>45</v>
      </c>
      <c r="X25" s="651"/>
      <c r="Y25" s="64"/>
      <c r="Z25" s="651" t="s">
        <v>23</v>
      </c>
      <c r="AA25" s="651"/>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52" t="s">
        <v>57</v>
      </c>
      <c r="F26" s="652"/>
      <c r="G26" s="65"/>
      <c r="H26" s="652" t="s">
        <v>57</v>
      </c>
      <c r="I26" s="652"/>
      <c r="J26" s="3"/>
      <c r="K26" s="652" t="s">
        <v>57</v>
      </c>
      <c r="L26" s="652"/>
      <c r="M26" s="65"/>
      <c r="N26" s="652" t="s">
        <v>57</v>
      </c>
      <c r="O26" s="652"/>
      <c r="P26" s="65"/>
      <c r="Q26" s="652" t="s">
        <v>57</v>
      </c>
      <c r="R26" s="652"/>
      <c r="S26" s="65"/>
      <c r="T26" s="652" t="s">
        <v>57</v>
      </c>
      <c r="U26" s="652"/>
      <c r="V26" s="65"/>
      <c r="W26" s="652" t="s">
        <v>57</v>
      </c>
      <c r="X26" s="652"/>
      <c r="Y26" s="1"/>
      <c r="Z26" s="652" t="s">
        <v>57</v>
      </c>
      <c r="AA26" s="652"/>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3" t="s">
        <v>28</v>
      </c>
      <c r="C27" s="1"/>
      <c r="D27" s="17" t="s">
        <v>32</v>
      </c>
      <c r="E27" s="67">
        <v>0.8257575757575757575757575758</v>
      </c>
      <c r="F27" s="73">
        <v>-2.022471910108836763034970200</v>
      </c>
      <c r="G27" s="66"/>
      <c r="H27" s="67">
        <v>0.7708333333333333333333333333</v>
      </c>
      <c r="I27" s="73">
        <v>-10.154525386361066035115393700</v>
      </c>
      <c r="J27" s="66"/>
      <c r="K27" s="67">
        <v>0.7689393939393939393939393939</v>
      </c>
      <c r="L27" s="73">
        <v>-13.432835820936867899309403290</v>
      </c>
      <c r="M27" s="67"/>
      <c r="N27" s="67">
        <v>0.8522727272727272727272727273</v>
      </c>
      <c r="O27" s="73">
        <v>-2.5974025974025974025974025900</v>
      </c>
      <c r="P27" s="66"/>
      <c r="Q27" s="67">
        <v>0.865530303030303030303030303</v>
      </c>
      <c r="R27" s="73">
        <v>-2.1413276231598659262961336700</v>
      </c>
      <c r="S27" s="66"/>
      <c r="T27" s="67">
        <v>0.865530303030303030303030303</v>
      </c>
      <c r="U27" s="73">
        <v>-6.3524590163504568664337346400</v>
      </c>
      <c r="V27" s="66"/>
      <c r="W27" s="67">
        <v>0.9223484848484848484848484848</v>
      </c>
      <c r="X27" s="73">
        <v>3.6170212765393064735174594400</v>
      </c>
      <c r="Y27" s="177"/>
      <c r="Z27" s="67">
        <v>0.8387445887445887445887445887</v>
      </c>
      <c r="AA27" s="73">
        <v>-4.732636754735730672740156900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3"/>
      <c r="C28" s="15"/>
      <c r="D28" s="187" t="s">
        <v>26</v>
      </c>
      <c r="E28" s="180">
        <v>0.7848499515972894482090997096</v>
      </c>
      <c r="F28" s="81">
        <v>-4.7856723429243631407253753100</v>
      </c>
      <c r="G28" s="181"/>
      <c r="H28" s="180">
        <v>0.7807357212003872216844143272</v>
      </c>
      <c r="I28" s="81">
        <v>0.8124999999550124218750200800</v>
      </c>
      <c r="J28" s="181"/>
      <c r="K28" s="180">
        <v>0.803484995159728944820909971</v>
      </c>
      <c r="L28" s="81">
        <v>1.7468587190306411028133752200</v>
      </c>
      <c r="M28" s="180"/>
      <c r="N28" s="180">
        <v>0.8105033881897386253630203291</v>
      </c>
      <c r="O28" s="81">
        <v>2.1347971942165830391279282100</v>
      </c>
      <c r="P28" s="181"/>
      <c r="Q28" s="180">
        <v>0.8596321393998063891577928364</v>
      </c>
      <c r="R28" s="81">
        <v>2.3631123918786806966256940900</v>
      </c>
      <c r="S28" s="182"/>
      <c r="T28" s="180">
        <v>0.9123910939012584704743465634</v>
      </c>
      <c r="U28" s="81">
        <v>0.7751937984773047044172239200</v>
      </c>
      <c r="V28" s="181"/>
      <c r="W28" s="180">
        <v>0.9317521781219748305905130688</v>
      </c>
      <c r="X28" s="81">
        <v>0.3126628452175686974363785300</v>
      </c>
      <c r="Y28" s="183"/>
      <c r="Z28" s="180">
        <v>0.8404784953671691329000138293</v>
      </c>
      <c r="AA28" s="81">
        <v>0.4670000413689909383979014200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105.21215858870062805179621223</v>
      </c>
      <c r="F29" s="73">
        <v>2.9020846975978455951397579600</v>
      </c>
      <c r="G29" s="68"/>
      <c r="H29" s="68">
        <v>98.73165943381627525989691239</v>
      </c>
      <c r="I29" s="73">
        <v>-10.878636464976227771616253870</v>
      </c>
      <c r="J29" s="68"/>
      <c r="K29" s="68">
        <v>95.70052939025614191706586466</v>
      </c>
      <c r="L29" s="73">
        <v>-14.919079302337151017606725790</v>
      </c>
      <c r="M29" s="68"/>
      <c r="N29" s="68">
        <v>105.15350579545456652871006270</v>
      </c>
      <c r="O29" s="73">
        <v>-4.6332884791854128946029467400</v>
      </c>
      <c r="P29" s="68"/>
      <c r="Q29" s="68">
        <v>100.68612646735379032095671120</v>
      </c>
      <c r="R29" s="73">
        <v>-4.4004523795125766032496914300</v>
      </c>
      <c r="S29" s="68"/>
      <c r="T29" s="68">
        <v>94.86395788122613443719609303</v>
      </c>
      <c r="U29" s="73">
        <v>-7.0728247162816752216104303100</v>
      </c>
      <c r="V29" s="68"/>
      <c r="W29" s="68">
        <v>98.99075167256718035214686933</v>
      </c>
      <c r="X29" s="73">
        <v>3.2940591323681608482780650200</v>
      </c>
      <c r="Y29" s="174"/>
      <c r="Z29" s="68">
        <v>99.79370006109982211555671529</v>
      </c>
      <c r="AA29" s="73">
        <v>-5.1754673614047149794897841200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3" t="s">
        <v>12</v>
      </c>
      <c r="C31" s="1"/>
      <c r="D31" s="17" t="s">
        <v>32</v>
      </c>
      <c r="E31" s="237">
        <v>235.53899082568807339449541284</v>
      </c>
      <c r="F31" s="73">
        <v>-9.070927711720199318089967530</v>
      </c>
      <c r="G31" s="70"/>
      <c r="H31" s="237">
        <v>212.83783783783783783783783784</v>
      </c>
      <c r="I31" s="73">
        <v>9.867747550661309899771807820</v>
      </c>
      <c r="J31" s="70"/>
      <c r="K31" s="237">
        <v>222.68226600985221674876847291</v>
      </c>
      <c r="L31" s="73">
        <v>16.689179739443118476599007130</v>
      </c>
      <c r="M31" s="70"/>
      <c r="N31" s="237">
        <v>205.25777777777777777777777778</v>
      </c>
      <c r="O31" s="73">
        <v>6.5615162752632620147363650400</v>
      </c>
      <c r="P31" s="70"/>
      <c r="Q31" s="237">
        <v>224.80743982494529540481400438</v>
      </c>
      <c r="R31" s="73">
        <v>-11.914927593623275249492385890</v>
      </c>
      <c r="S31" s="70"/>
      <c r="T31" s="237">
        <v>320.06345733041575492341356674</v>
      </c>
      <c r="U31" s="73">
        <v>-5.4808728836475879881523548600</v>
      </c>
      <c r="V31" s="70"/>
      <c r="W31" s="237">
        <v>323.67761806981519507186858316</v>
      </c>
      <c r="X31" s="73">
        <v>-4.6234362408196011619358258800</v>
      </c>
      <c r="Y31" s="178"/>
      <c r="Z31" s="237">
        <v>251.20387096774193548387096774</v>
      </c>
      <c r="AA31" s="73">
        <v>-0.9737179944193990723259742400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3"/>
      <c r="C32" s="15"/>
      <c r="D32" s="187" t="s">
        <v>26</v>
      </c>
      <c r="E32" s="238">
        <v>229.03111008325624421831637373</v>
      </c>
      <c r="F32" s="81">
        <v>-0.651603791443751771831517800</v>
      </c>
      <c r="G32" s="184"/>
      <c r="H32" s="238">
        <v>222.46774953502789832610043397</v>
      </c>
      <c r="I32" s="81">
        <v>11.300681262368541155370272440</v>
      </c>
      <c r="J32" s="184"/>
      <c r="K32" s="238">
        <v>229.69109939759036144578313253</v>
      </c>
      <c r="L32" s="81">
        <v>14.653076242319866592247570730</v>
      </c>
      <c r="M32" s="184"/>
      <c r="N32" s="238">
        <v>226.42735144819349059420722604</v>
      </c>
      <c r="O32" s="81">
        <v>12.335509409291316741579635770</v>
      </c>
      <c r="P32" s="184"/>
      <c r="Q32" s="238">
        <v>225.50481981981981981981981982</v>
      </c>
      <c r="R32" s="81">
        <v>-5.6349344835160527416568320800</v>
      </c>
      <c r="S32" s="184"/>
      <c r="T32" s="238">
        <v>295.24047745358090185676392573</v>
      </c>
      <c r="U32" s="81">
        <v>-1.1263879777399480527072619300</v>
      </c>
      <c r="V32" s="184"/>
      <c r="W32" s="238">
        <v>302.20348051948051948051948051</v>
      </c>
      <c r="X32" s="81">
        <v>3.0566761967557206542636882500</v>
      </c>
      <c r="Y32" s="186"/>
      <c r="Z32" s="238">
        <v>249.23248128342245989304812834</v>
      </c>
      <c r="AA32" s="81">
        <v>3.7769016752324633760778791900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102.84148329893747526546961063</v>
      </c>
      <c r="F33" s="73">
        <v>-8.474544372728623266461604450</v>
      </c>
      <c r="G33" s="68"/>
      <c r="H33" s="68">
        <v>95.67132237491029008976388117</v>
      </c>
      <c r="I33" s="73">
        <v>-1.2874437922824491042155596600</v>
      </c>
      <c r="J33" s="68"/>
      <c r="K33" s="68">
        <v>96.94858294199056053600666703</v>
      </c>
      <c r="L33" s="73">
        <v>1.7758821340751078268058020600</v>
      </c>
      <c r="M33" s="68"/>
      <c r="N33" s="68">
        <v>90.65061109666108262801820503</v>
      </c>
      <c r="O33" s="73">
        <v>-5.1399536659740752638155237800</v>
      </c>
      <c r="P33" s="68"/>
      <c r="Q33" s="68">
        <v>99.69074718872440147350082177</v>
      </c>
      <c r="R33" s="73">
        <v>-6.6549978805359845915868461400</v>
      </c>
      <c r="S33" s="68"/>
      <c r="T33" s="68">
        <v>108.40771566653387999370285772</v>
      </c>
      <c r="U33" s="73">
        <v>-4.4040920694894425685089826800</v>
      </c>
      <c r="V33" s="68"/>
      <c r="W33" s="68">
        <v>107.10585381525066637275036388</v>
      </c>
      <c r="X33" s="73">
        <v>-7.452319171332494814376251600</v>
      </c>
      <c r="Y33" s="174"/>
      <c r="Z33" s="68">
        <v>100.79098425461659072690752118</v>
      </c>
      <c r="AA33" s="73">
        <v>-4.5777235521051868716201572900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3" t="s">
        <v>13</v>
      </c>
      <c r="C35" s="1"/>
      <c r="D35" s="17" t="s">
        <v>32</v>
      </c>
      <c r="E35" s="237">
        <v>194.49810606060606060606060606</v>
      </c>
      <c r="F35" s="73">
        <v>-10.909942656874410531417234200</v>
      </c>
      <c r="G35" s="70"/>
      <c r="H35" s="237">
        <v>164.062500000</v>
      </c>
      <c r="I35" s="73">
        <v>-1.2888007657326100918270839900</v>
      </c>
      <c r="J35" s="70"/>
      <c r="K35" s="237">
        <v>171.22916666666666666666666667</v>
      </c>
      <c r="L35" s="73">
        <v>1.0145138042969773273944564700</v>
      </c>
      <c r="M35" s="70"/>
      <c r="N35" s="237">
        <v>174.93560606060606060606060606</v>
      </c>
      <c r="O35" s="73">
        <v>3.7936846836517949336955582500</v>
      </c>
      <c r="P35" s="70"/>
      <c r="Q35" s="237">
        <v>194.57765151515151515151515152</v>
      </c>
      <c r="R35" s="73">
        <v>-13.801117580938977201637075400</v>
      </c>
      <c r="S35" s="70"/>
      <c r="T35" s="237">
        <v>277.02462121212121212121212121</v>
      </c>
      <c r="U35" s="73">
        <v>-11.485161696360268346614094110</v>
      </c>
      <c r="V35" s="70"/>
      <c r="W35" s="237">
        <v>298.54356060606060606060606061</v>
      </c>
      <c r="X35" s="73">
        <v>-1.1736456367542264983423135200</v>
      </c>
      <c r="Y35" s="178"/>
      <c r="Z35" s="237">
        <v>210.69588744588744588744588745</v>
      </c>
      <c r="AA35" s="73">
        <v>-5.6602722135099647197299783700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3" t="s"/>
      <c r="C36" s="15"/>
      <c r="D36" s="187" t="s">
        <v>26</v>
      </c>
      <c r="E36" s="238">
        <v>179.75505566311713455953533398</v>
      </c>
      <c r="F36" s="81">
        <v>-5.4060925119236756110584826400</v>
      </c>
      <c r="G36" s="184"/>
      <c r="H36" s="238">
        <v>173.68851887705711519845111326</v>
      </c>
      <c r="I36" s="81">
        <v>12.204999297653213309032580090</v>
      </c>
      <c r="J36" s="184"/>
      <c r="K36" s="238">
        <v>184.55335188770571151984511133</v>
      </c>
      <c r="L36" s="81">
        <v>16.655903501269134382376778440</v>
      </c>
      <c r="M36" s="184"/>
      <c r="N36" s="238">
        <v>183.52013552758954501452081317</v>
      </c>
      <c r="O36" s="81">
        <v>14.733644712304945136194796050</v>
      </c>
      <c r="P36" s="184"/>
      <c r="Q36" s="238">
        <v>193.85119070667957405614714424</v>
      </c>
      <c r="R36" s="81">
        <v>-3.4049819266383615029919166800</v>
      </c>
      <c r="S36" s="184"/>
      <c r="T36" s="238">
        <v>269.37478218780251694094869313</v>
      </c>
      <c r="U36" s="81">
        <v>-0.3599258690469653509997459400</v>
      </c>
      <c r="V36" s="184"/>
      <c r="W36" s="238">
        <v>281.57875121006776379477250726</v>
      </c>
      <c r="X36" s="81">
        <v>3.3788961327251823778840551900</v>
      </c>
      <c r="Y36" s="186"/>
      <c r="Z36" s="238">
        <v>209.47454086571705158346010234</v>
      </c>
      <c r="AA36" s="81">
        <v>4.2615398489218388330326020200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108.20174450344124831635009568</v>
      </c>
      <c r="F37" s="73">
        <v>-5.8183981305671050132540707600</v>
      </c>
      <c r="G37" s="68"/>
      <c r="H37" s="68">
        <v>94.45788418294288044498600398</v>
      </c>
      <c r="I37" s="73">
        <v>-12.026023927537765669329848890</v>
      </c>
      <c r="J37" s="68"/>
      <c r="K37" s="68">
        <v>92.78030711187459307339041704</v>
      </c>
      <c r="L37" s="73">
        <v>-13.408142432158886899144588720</v>
      </c>
      <c r="M37" s="68"/>
      <c r="N37" s="68">
        <v>95.32229559317054178087479481</v>
      </c>
      <c r="O37" s="73">
        <v>-9.535093264104337184829889690</v>
      </c>
      <c r="P37" s="68"/>
      <c r="Q37" s="68">
        <v>100.37475179069220273896350843</v>
      </c>
      <c r="R37" s="73">
        <v>-10.762600247540577511641236210</v>
      </c>
      <c r="S37" s="68"/>
      <c r="T37" s="68">
        <v>102.83984972987856536938196963</v>
      </c>
      <c r="U37" s="73">
        <v>-11.165423073356022220896809470</v>
      </c>
      <c r="V37" s="68"/>
      <c r="W37" s="68">
        <v>106.02488977703516862288204813</v>
      </c>
      <c r="X37" s="73">
        <v>-4.4037438391807674515126383200</v>
      </c>
      <c r="Y37" s="174"/>
      <c r="Z37" s="68">
        <v>100.58305251566131151755526645</v>
      </c>
      <c r="AA37" s="73">
        <v>-9.516272325155527722367379810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654"/>
      <c r="U40" s="654"/>
      <c r="V40" s="654"/>
      <c r="W40" s="654"/>
      <c r="X40" s="654"/>
      <c r="Y40" s="654"/>
      <c r="Z40" s="654"/>
      <c r="AA40" s="654"/>
      <c r="AB40" s="654"/>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9"/>
</worksheet>
</file>

<file path=xl/worksheets/sheet5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142</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168</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177</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178</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167</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51" t="s">
        <v>21</v>
      </c>
      <c r="E8" s="651"/>
      <c r="F8" s="651"/>
      <c r="G8" s="1"/>
      <c r="H8" s="651" t="s">
        <v>24</v>
      </c>
      <c r="I8" s="651"/>
      <c r="J8" s="651"/>
      <c r="K8" s="1"/>
      <c r="L8" s="651" t="s">
        <v>25</v>
      </c>
      <c r="M8" s="651"/>
      <c r="N8" s="651"/>
      <c r="O8" s="1"/>
      <c r="P8" s="651" t="s">
        <v>23</v>
      </c>
      <c r="Q8" s="651"/>
      <c r="R8" s="651"/>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0.7034632034632034632034632035</v>
      </c>
      <c r="F10" s="73">
        <v>-11.924119241159472976843577250</v>
      </c>
      <c r="G10" s="66"/>
      <c r="H10" s="17" t="s">
        <v>32</v>
      </c>
      <c r="I10" s="19">
        <v>0.0487012987012987012987012987</v>
      </c>
      <c r="J10" s="73">
        <v>0</v>
      </c>
      <c r="K10" s="1"/>
      <c r="L10" s="17" t="s">
        <v>32</v>
      </c>
      <c r="M10" s="19">
        <v>0</v>
      </c>
      <c r="N10" s="73">
        <v>0</v>
      </c>
      <c r="O10" s="1"/>
      <c r="P10" s="17" t="s">
        <v>32</v>
      </c>
      <c r="Q10" s="19">
        <v>0.7521645021645021645021645022</v>
      </c>
      <c r="R10" s="73">
        <v>-5.8265582655474364906250556800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0.68040381689946065551099433</v>
      </c>
      <c r="F11" s="81">
        <v>-9.807516040289199878011980410</v>
      </c>
      <c r="G11" s="181"/>
      <c r="H11" s="187" t="s">
        <v>27</v>
      </c>
      <c r="I11" s="190">
        <v>0.1045498547918683446272991288</v>
      </c>
      <c r="J11" s="81">
        <v>33.568904593949899486821632780</v>
      </c>
      <c r="K11" s="191"/>
      <c r="L11" s="187" t="s">
        <v>27</v>
      </c>
      <c r="M11" s="190">
        <v>0</v>
      </c>
      <c r="N11" s="81">
        <v>-100</v>
      </c>
      <c r="O11" s="191"/>
      <c r="P11" s="187" t="s">
        <v>27</v>
      </c>
      <c r="Q11" s="190">
        <v>0.7849536716913290001382934587</v>
      </c>
      <c r="R11" s="81">
        <v>-6.614017769055308660984012600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103.38907366353390513146290120</v>
      </c>
      <c r="F12" s="73">
        <v>-2.3467622887252353364142091600</v>
      </c>
      <c r="G12" s="68"/>
      <c r="H12" s="406" t="s">
        <v>91</v>
      </c>
      <c r="I12" s="74">
        <v>46.581890331831673213617731930</v>
      </c>
      <c r="J12" s="73">
        <v>0</v>
      </c>
      <c r="K12" s="1"/>
      <c r="L12" s="406" t="s">
        <v>91</v>
      </c>
      <c r="M12" s="74">
        <v>0</v>
      </c>
      <c r="N12" s="73">
        <v>0</v>
      </c>
      <c r="O12" s="1"/>
      <c r="P12" s="406" t="s">
        <v>91</v>
      </c>
      <c r="Q12" s="74">
        <v>95.82278920285050697093529473</v>
      </c>
      <c r="R12" s="73">
        <v>0.843230948216347322164146400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201.28461538461538461538461538</v>
      </c>
      <c r="F14" s="73">
        <v>1.7563884767042333076002216400</v>
      </c>
      <c r="G14" s="70"/>
      <c r="H14" s="76" t="s">
        <v>32</v>
      </c>
      <c r="I14" s="239">
        <v>171.75555555555555555555555556</v>
      </c>
      <c r="J14" s="73">
        <v>0</v>
      </c>
      <c r="K14" s="77"/>
      <c r="L14" s="76" t="s">
        <v>32</v>
      </c>
      <c r="M14" s="239">
        <v>0</v>
      </c>
      <c r="N14" s="73">
        <v>0</v>
      </c>
      <c r="O14" s="77"/>
      <c r="P14" s="76" t="s">
        <v>32</v>
      </c>
      <c r="Q14" s="239">
        <v>199.37266187050359712230215827</v>
      </c>
      <c r="R14" s="73">
        <v>0.7898293377476600861407470200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200.23123313432284018509391164</v>
      </c>
      <c r="F15" s="81">
        <v>-4.5918585175003041983843174500</v>
      </c>
      <c r="G15" s="184"/>
      <c r="H15" s="189" t="s">
        <v>27</v>
      </c>
      <c r="I15" s="240">
        <v>219.63092986657622525044702997</v>
      </c>
      <c r="J15" s="81">
        <v>1.4941112037692098043174410600</v>
      </c>
      <c r="K15" s="188"/>
      <c r="L15" s="189" t="s">
        <v>27</v>
      </c>
      <c r="M15" s="240">
        <v>0</v>
      </c>
      <c r="N15" s="81">
        <v>-100</v>
      </c>
      <c r="O15" s="188"/>
      <c r="P15" s="189" t="s">
        <v>27</v>
      </c>
      <c r="Q15" s="240">
        <v>202.81512508809020436927413671</v>
      </c>
      <c r="R15" s="81">
        <v>-3.4468224076363886382154264400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100.52608288618432235256677986</v>
      </c>
      <c r="F16" s="73">
        <v>6.6537791173148156625312836100</v>
      </c>
      <c r="G16" s="68"/>
      <c r="H16" s="406" t="s">
        <v>92</v>
      </c>
      <c r="I16" s="74">
        <v>78.201897911135233716403221230</v>
      </c>
      <c r="J16" s="73">
        <v>0</v>
      </c>
      <c r="K16" s="1"/>
      <c r="L16" s="406" t="s">
        <v>92</v>
      </c>
      <c r="M16" s="74">
        <v>0</v>
      </c>
      <c r="N16" s="73">
        <v>0</v>
      </c>
      <c r="O16" s="1"/>
      <c r="P16" s="406" t="s">
        <v>92</v>
      </c>
      <c r="Q16" s="74">
        <v>98.30265952004267634632503883</v>
      </c>
      <c r="R16" s="73">
        <v>4.3878946825528072334810019200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141.59632034632034632034632035</v>
      </c>
      <c r="F18" s="73">
        <v>-10.377164620756539305590238340</v>
      </c>
      <c r="G18" s="70"/>
      <c r="H18" s="76" t="s">
        <v>32</v>
      </c>
      <c r="I18" s="239">
        <v>8.364718614718614718614718615</v>
      </c>
      <c r="J18" s="73">
        <v>0</v>
      </c>
      <c r="K18" s="77"/>
      <c r="L18" s="76" t="s">
        <v>32</v>
      </c>
      <c r="M18" s="239">
        <v>0</v>
      </c>
      <c r="N18" s="73">
        <v>0</v>
      </c>
      <c r="O18" s="77"/>
      <c r="P18" s="76" t="s">
        <v>32</v>
      </c>
      <c r="Q18" s="239">
        <v>149.96103896103896103896103896</v>
      </c>
      <c r="R18" s="73">
        <v>-5.0827487943631987796828508100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136.23809528707901724666879343</v>
      </c>
      <c r="F19" s="81">
        <v>-13.949027297153679765039735270</v>
      </c>
      <c r="G19" s="184"/>
      <c r="H19" s="189" t="s">
        <v>27</v>
      </c>
      <c r="I19" s="240">
        <v>22.962381825353564692205497809</v>
      </c>
      <c r="J19" s="81">
        <v>35.564572561833196207179665170</v>
      </c>
      <c r="K19" s="188"/>
      <c r="L19" s="189" t="s">
        <v>27</v>
      </c>
      <c r="M19" s="240">
        <v>0</v>
      </c>
      <c r="N19" s="81">
        <v>-100</v>
      </c>
      <c r="O19" s="188"/>
      <c r="P19" s="189" t="s">
        <v>27</v>
      </c>
      <c r="Q19" s="240">
        <v>159.20047711243258193887429125</v>
      </c>
      <c r="R19" s="81">
        <v>-9.832866730149401832521249210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103.93298588616403058275982833</v>
      </c>
      <c r="F20" s="73">
        <v>4.1508684494742964444891911800</v>
      </c>
      <c r="G20" s="68"/>
      <c r="H20" s="406" t="s">
        <v>93</v>
      </c>
      <c r="I20" s="74">
        <v>36.427922322352128335124529710</v>
      </c>
      <c r="J20" s="73">
        <v>0</v>
      </c>
      <c r="K20" s="1"/>
      <c r="L20" s="406" t="s">
        <v>93</v>
      </c>
      <c r="M20" s="74">
        <v>0</v>
      </c>
      <c r="N20" s="73">
        <v>0</v>
      </c>
      <c r="O20" s="1"/>
      <c r="P20" s="406" t="s">
        <v>93</v>
      </c>
      <c r="Q20" s="74">
        <v>94.19635021267069658335205616</v>
      </c>
      <c r="R20" s="73">
        <v>5.2681257166964702222232208100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51" t="s">
        <v>21</v>
      </c>
      <c r="E25" s="651"/>
      <c r="F25" s="651"/>
      <c r="G25" s="1"/>
      <c r="H25" s="651" t="s">
        <v>24</v>
      </c>
      <c r="I25" s="651"/>
      <c r="J25" s="651"/>
      <c r="K25" s="1"/>
      <c r="L25" s="651" t="s">
        <v>25</v>
      </c>
      <c r="M25" s="651"/>
      <c r="N25" s="651"/>
      <c r="O25" s="1"/>
      <c r="P25" s="651" t="s">
        <v>23</v>
      </c>
      <c r="Q25" s="651"/>
      <c r="R25" s="651"/>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0.7583874458874458874458874459</v>
      </c>
      <c r="F27" s="73">
        <v>-2.2322985698753476439315056100</v>
      </c>
      <c r="G27" s="1"/>
      <c r="H27" s="17" t="s">
        <v>32</v>
      </c>
      <c r="I27" s="19">
        <v>0.0803571428571428571428571429</v>
      </c>
      <c r="J27" s="73">
        <v>-23.255813953640670632774170410</v>
      </c>
      <c r="K27" s="1"/>
      <c r="L27" s="17" t="s">
        <v>32</v>
      </c>
      <c r="M27" s="19">
        <v>0</v>
      </c>
      <c r="N27" s="73">
        <v>0</v>
      </c>
      <c r="O27" s="1"/>
      <c r="P27" s="17" t="s">
        <v>32</v>
      </c>
      <c r="Q27" s="19">
        <v>0.8387445887445887445887445887</v>
      </c>
      <c r="R27" s="73">
        <v>-4.732636754735730672740156900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0.7465772368966947863366062785</v>
      </c>
      <c r="F28" s="81">
        <v>4.820154361380353605549796300</v>
      </c>
      <c r="G28" s="191"/>
      <c r="H28" s="187" t="s">
        <v>27</v>
      </c>
      <c r="I28" s="190">
        <v>0.0939012584704743465634075508</v>
      </c>
      <c r="J28" s="81">
        <v>-18.560719639966678322007852800</v>
      </c>
      <c r="K28" s="191"/>
      <c r="L28" s="187" t="s">
        <v>27</v>
      </c>
      <c r="M28" s="190">
        <v>0</v>
      </c>
      <c r="N28" s="81">
        <v>-100</v>
      </c>
      <c r="O28" s="191"/>
      <c r="P28" s="187" t="s">
        <v>27</v>
      </c>
      <c r="Q28" s="190">
        <v>0.8404784953671691329000138293</v>
      </c>
      <c r="R28" s="81">
        <v>0.4670000413689909383979014200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101.58191388737388717758113883</v>
      </c>
      <c r="F29" s="73">
        <v>-6.7281459126729015027640464500</v>
      </c>
      <c r="G29" s="75"/>
      <c r="H29" s="406" t="s">
        <v>91</v>
      </c>
      <c r="I29" s="74">
        <v>85.57621502252360297132143739</v>
      </c>
      <c r="J29" s="73">
        <v>-5.7651471039606640273592529700</v>
      </c>
      <c r="K29" s="75"/>
      <c r="L29" s="406" t="s">
        <v>91</v>
      </c>
      <c r="M29" s="74">
        <v>0</v>
      </c>
      <c r="N29" s="73">
        <v>0</v>
      </c>
      <c r="O29" s="75"/>
      <c r="P29" s="406" t="s">
        <v>91</v>
      </c>
      <c r="Q29" s="74">
        <v>99.79370006109982211555671529</v>
      </c>
      <c r="R29" s="73">
        <v>-5.1754673614047149794897841200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242.89047449161612557973599715</v>
      </c>
      <c r="F31" s="73">
        <v>2.1429908849587508079493238100</v>
      </c>
      <c r="G31" s="77"/>
      <c r="H31" s="76" t="s">
        <v>32</v>
      </c>
      <c r="I31" s="239">
        <v>329.66329966329966329966329966</v>
      </c>
      <c r="J31" s="73">
        <v>-11.216790094712715572605909010</v>
      </c>
      <c r="K31" s="77"/>
      <c r="L31" s="76" t="s">
        <v>32</v>
      </c>
      <c r="M31" s="239">
        <v>0</v>
      </c>
      <c r="N31" s="73">
        <v>0</v>
      </c>
      <c r="O31" s="77"/>
      <c r="P31" s="76" t="s">
        <v>32</v>
      </c>
      <c r="Q31" s="239">
        <v>251.20387096774193548387096774</v>
      </c>
      <c r="R31" s="73">
        <v>-0.9737179944193990723259742400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248.64925054671886419023971457</v>
      </c>
      <c r="F32" s="81">
        <v>5.8429547754987170509758403300</v>
      </c>
      <c r="G32" s="188"/>
      <c r="H32" s="189" t="s">
        <v>27</v>
      </c>
      <c r="I32" s="240">
        <v>253.86955217015936917377157716</v>
      </c>
      <c r="J32" s="81">
        <v>-8.788458567806069483909715340</v>
      </c>
      <c r="K32" s="188"/>
      <c r="L32" s="189" t="s">
        <v>27</v>
      </c>
      <c r="M32" s="240">
        <v>0</v>
      </c>
      <c r="N32" s="81">
        <v>-100</v>
      </c>
      <c r="O32" s="188"/>
      <c r="P32" s="189" t="s">
        <v>27</v>
      </c>
      <c r="Q32" s="240">
        <v>249.23248128342245989304812834</v>
      </c>
      <c r="R32" s="81">
        <v>3.7769016752324633760778791900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97.68397610593147906483072083</v>
      </c>
      <c r="F33" s="73">
        <v>-3.4957110734618954627980521900</v>
      </c>
      <c r="G33" s="75"/>
      <c r="H33" s="406" t="s">
        <v>92</v>
      </c>
      <c r="I33" s="74">
        <v>129.85539102471248217100200146</v>
      </c>
      <c r="J33" s="73">
        <v>-2.6623073010467564577398112700</v>
      </c>
      <c r="K33" s="75"/>
      <c r="L33" s="406" t="s">
        <v>92</v>
      </c>
      <c r="M33" s="74">
        <v>0</v>
      </c>
      <c r="N33" s="73">
        <v>0</v>
      </c>
      <c r="O33" s="75"/>
      <c r="P33" s="406" t="s">
        <v>92</v>
      </c>
      <c r="Q33" s="74">
        <v>100.79098425461659072690752118</v>
      </c>
      <c r="R33" s="73">
        <v>-4.5777235521051868716201572900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184.20508658008658008658008658</v>
      </c>
      <c r="F35" s="73">
        <v>-0.1371456398889063533780383400</v>
      </c>
      <c r="G35" s="77"/>
      <c r="H35" s="76" t="s">
        <v>32</v>
      </c>
      <c r="I35" s="239">
        <v>26.490800865800865800865800866</v>
      </c>
      <c r="J35" s="73">
        <v>-31.864048212172026235357101990</v>
      </c>
      <c r="K35" s="77"/>
      <c r="L35" s="76" t="s">
        <v>32</v>
      </c>
      <c r="M35" s="239">
        <v>0</v>
      </c>
      <c r="N35" s="73">
        <v>0</v>
      </c>
      <c r="O35" s="77"/>
      <c r="P35" s="76" t="s">
        <v>32</v>
      </c>
      <c r="Q35" s="239">
        <v>210.69588744588744588744588745</v>
      </c>
      <c r="R35" s="73">
        <v>-5.6602722135099647197299783700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185.6358704296033450879558981</v>
      </c>
      <c r="F36" s="81">
        <v>10.944748576422582339323744390</v>
      </c>
      <c r="G36" s="188"/>
      <c r="H36" s="189" t="s">
        <v>27</v>
      </c>
      <c r="I36" s="240">
        <v>23.838670436113706495504204245</v>
      </c>
      <c r="J36" s="81">
        <v>-25.717977052577549844392153800</v>
      </c>
      <c r="K36" s="188"/>
      <c r="L36" s="189" t="s">
        <v>27</v>
      </c>
      <c r="M36" s="240">
        <v>0</v>
      </c>
      <c r="N36" s="81">
        <v>-100</v>
      </c>
      <c r="O36" s="188"/>
      <c r="P36" s="189" t="s">
        <v>27</v>
      </c>
      <c r="Q36" s="240">
        <v>209.47454086571705158346010234</v>
      </c>
      <c r="R36" s="81">
        <v>4.2615398489218388330326020200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99.22925248972502533627869319</v>
      </c>
      <c r="F37" s="73">
        <v>-9.988660444486174609414261870</v>
      </c>
      <c r="G37" s="75"/>
      <c r="H37" s="406" t="s">
        <v>93</v>
      </c>
      <c r="I37" s="74">
        <v>111.12532864116709362030728051</v>
      </c>
      <c r="J37" s="73">
        <v>-8.273968472746102291336794340</v>
      </c>
      <c r="K37" s="75"/>
      <c r="L37" s="406" t="s">
        <v>93</v>
      </c>
      <c r="M37" s="74">
        <v>0</v>
      </c>
      <c r="N37" s="73">
        <v>0</v>
      </c>
      <c r="O37" s="75"/>
      <c r="P37" s="406" t="s">
        <v>93</v>
      </c>
      <c r="Q37" s="74">
        <v>100.58305251566131151755526645</v>
      </c>
      <c r="R37" s="73">
        <v>-9.516272325155527722367379810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4" t="s">
        <v>114</v>
      </c>
      <c r="C40" s="654"/>
      <c r="D40" s="654"/>
      <c r="E40" s="654"/>
      <c r="F40" s="654"/>
      <c r="G40" s="654"/>
      <c r="H40" s="654"/>
      <c r="I40" s="654"/>
      <c r="J40" s="654"/>
      <c r="K40" s="654"/>
      <c r="L40" s="654"/>
      <c r="M40" s="654"/>
      <c r="N40" s="654"/>
      <c r="O40" s="654"/>
      <c r="P40" s="654"/>
      <c r="Q40" s="654"/>
      <c r="R40" s="654"/>
      <c r="S40" s="654"/>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33"/>
</worksheet>
</file>

<file path=xl/worksheets/sheet6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144</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168</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177</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178</v>
      </c>
      <c r="T4" s="655"/>
      <c r="U4" s="655"/>
      <c r="V4" s="655"/>
      <c r="W4" s="655"/>
      <c r="X4" s="655"/>
      <c r="Y4" s="655"/>
      <c r="Z4" s="655"/>
      <c r="AA4" s="655"/>
      <c r="AB4" s="655"/>
      <c r="AC4" s="655"/>
      <c r="AD4" s="655"/>
      <c r="AE4" s="655"/>
      <c r="AF4" s="655"/>
      <c r="AG4" s="655"/>
      <c r="AH4" s="655"/>
      <c r="AI4" s="655"/>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167</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6"/>
      <c r="Y22" s="656"/>
      <c r="Z22" s="656"/>
      <c r="AA22" s="656"/>
      <c r="AB22" s="656"/>
      <c r="AC22" s="656"/>
      <c r="AD22" s="656"/>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51</v>
      </c>
      <c r="D23" s="50" t="s">
        <v>52</v>
      </c>
      <c r="E23" s="50" t="s">
        <v>53</v>
      </c>
      <c r="F23" s="50" t="s">
        <v>49</v>
      </c>
      <c r="G23" s="50" t="s">
        <v>47</v>
      </c>
      <c r="H23" s="50" t="s">
        <v>48</v>
      </c>
      <c r="I23" s="50" t="s">
        <v>50</v>
      </c>
      <c r="J23" s="50" t="s">
        <v>51</v>
      </c>
      <c r="K23" s="50" t="s">
        <v>52</v>
      </c>
      <c r="L23" s="50" t="s">
        <v>53</v>
      </c>
      <c r="M23" s="50" t="s">
        <v>49</v>
      </c>
      <c r="N23" s="50" t="s">
        <v>47</v>
      </c>
      <c r="O23" s="50" t="s">
        <v>48</v>
      </c>
      <c r="P23" s="50" t="s">
        <v>50</v>
      </c>
      <c r="Q23" s="50" t="s">
        <v>51</v>
      </c>
      <c r="R23" s="50" t="s">
        <v>52</v>
      </c>
      <c r="S23" s="50" t="s">
        <v>53</v>
      </c>
      <c r="T23" s="50" t="s">
        <v>49</v>
      </c>
      <c r="U23" s="50" t="s">
        <v>47</v>
      </c>
      <c r="V23" s="50" t="s">
        <v>48</v>
      </c>
      <c r="W23" s="50" t="s">
        <v>50</v>
      </c>
      <c r="X23" s="50" t="s">
        <v>51</v>
      </c>
      <c r="Y23" s="50" t="s">
        <v>52</v>
      </c>
      <c r="Z23" s="50" t="s">
        <v>53</v>
      </c>
      <c r="AA23" s="50" t="s">
        <v>49</v>
      </c>
      <c r="AB23" s="50" t="s">
        <v>47</v>
      </c>
      <c r="AC23" s="50" t="s">
        <v>48</v>
      </c>
      <c r="AD23" s="50" t="s">
        <v>50</v>
      </c>
      <c r="AE23" s="50" t="s">
        <v>51</v>
      </c>
      <c r="AF23" s="50" t="s">
        <v>52</v>
      </c>
      <c r="AG23" s="50" t="s">
        <v>53</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179</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93.93939393939393939393939394</v>
      </c>
      <c r="D26" s="287">
        <v>96.96969696969696969696969697</v>
      </c>
      <c r="E26" s="287">
        <v>99.24242424242424242424242424</v>
      </c>
      <c r="F26" s="287">
        <v>97.72727272727272727272727273</v>
      </c>
      <c r="G26" s="287">
        <v>64.393939393939393939393939390</v>
      </c>
      <c r="H26" s="287">
        <v>51.515151515151515151515151520</v>
      </c>
      <c r="I26" s="287">
        <v>82.57575757575757575757575758</v>
      </c>
      <c r="J26" s="287">
        <v>85.60606060606060606060606061</v>
      </c>
      <c r="K26" s="287">
        <v>79.54545454545454545454545455</v>
      </c>
      <c r="L26" s="287">
        <v>85.60606060606060606060606061</v>
      </c>
      <c r="M26" s="287">
        <v>58.333333333333333333333333330</v>
      </c>
      <c r="N26" s="287">
        <v>63.636363636363636363636363640</v>
      </c>
      <c r="O26" s="287">
        <v>69.696969696969696969696969700</v>
      </c>
      <c r="P26" s="287">
        <v>71.212121212121212121212121210</v>
      </c>
      <c r="Q26" s="287">
        <v>81.06060606060606060606060606</v>
      </c>
      <c r="R26" s="287">
        <v>86.36363636363636363636363636</v>
      </c>
      <c r="S26" s="287">
        <v>96.21212121212121212121212121</v>
      </c>
      <c r="T26" s="287"/>
      <c r="U26" s="287"/>
      <c r="V26" s="287"/>
      <c r="W26" s="287"/>
      <c r="X26" s="287"/>
      <c r="Y26" s="287"/>
      <c r="Z26" s="287"/>
      <c r="AA26" s="287"/>
      <c r="AB26" s="287"/>
      <c r="AC26" s="287"/>
      <c r="AD26" s="287"/>
      <c r="AE26" s="287"/>
      <c r="AF26" s="287"/>
      <c r="AG26" s="288"/>
      <c r="AH26" s="218"/>
      <c r="AI26" s="302">
        <v>80.21390374331550802139037433</v>
      </c>
      <c r="AJ26" s="302">
        <v>74.517906336088154269972451790</v>
      </c>
      <c r="AK26" s="302">
        <v>90.65656565656565656565656566</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91.38431752178121974830590513</v>
      </c>
      <c r="D27" s="202">
        <v>96.61181026137463697967086157</v>
      </c>
      <c r="E27" s="202">
        <v>98.83833494675701839303000968</v>
      </c>
      <c r="F27" s="202">
        <v>84.41432720232333010648596321</v>
      </c>
      <c r="G27" s="202">
        <v>74.733785091965150048402710550</v>
      </c>
      <c r="H27" s="202">
        <v>78.218780251694094869312681510</v>
      </c>
      <c r="I27" s="202">
        <v>79.57405614714424007744433688</v>
      </c>
      <c r="J27" s="202">
        <v>84.60793804453049370764762827</v>
      </c>
      <c r="K27" s="202">
        <v>85.47918683446272991287512101</v>
      </c>
      <c r="L27" s="202">
        <v>82.76863504356243949661181026</v>
      </c>
      <c r="M27" s="202">
        <v>65.44046466602129719264278800</v>
      </c>
      <c r="N27" s="202">
        <v>65.343659244917715392061955470</v>
      </c>
      <c r="O27" s="202">
        <v>75.508228460793804453049370760</v>
      </c>
      <c r="P27" s="202">
        <v>76.766698935140367860600193610</v>
      </c>
      <c r="Q27" s="202">
        <v>80.05808325266214908034849952</v>
      </c>
      <c r="R27" s="202">
        <v>90.22265246853823814133591481</v>
      </c>
      <c r="S27" s="202">
        <v>96.12778315585672797676669894</v>
      </c>
      <c r="T27" s="202"/>
      <c r="U27" s="202"/>
      <c r="V27" s="202"/>
      <c r="W27" s="202"/>
      <c r="X27" s="202"/>
      <c r="Y27" s="202"/>
      <c r="Z27" s="202"/>
      <c r="AA27" s="202"/>
      <c r="AB27" s="202"/>
      <c r="AC27" s="202"/>
      <c r="AD27" s="202"/>
      <c r="AE27" s="202"/>
      <c r="AF27" s="202"/>
      <c r="AG27" s="290"/>
      <c r="AH27" s="218"/>
      <c r="AI27" s="303">
        <v>82.71169067820739137862308525</v>
      </c>
      <c r="AJ27" s="303">
        <v>77.822758074452169321482002990</v>
      </c>
      <c r="AK27" s="303">
        <v>91.67473378509196515004840271</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102.79596815611652222046303743</v>
      </c>
      <c r="D28" s="292">
        <v>100.37043784536139543312045319</v>
      </c>
      <c r="E28" s="292">
        <v>100.40883863112601459342821184</v>
      </c>
      <c r="F28" s="292">
        <v>115.77095496250072026705646262</v>
      </c>
      <c r="G28" s="292">
        <v>86.16442926672069267468642479</v>
      </c>
      <c r="H28" s="292">
        <v>65.860336033598388206704334180</v>
      </c>
      <c r="I28" s="292">
        <v>103.77221116277980493683351332</v>
      </c>
      <c r="J28" s="292">
        <v>101.17970321063212547725104088</v>
      </c>
      <c r="K28" s="292">
        <v>93.05827241836774407663010529</v>
      </c>
      <c r="L28" s="292">
        <v>103.42814105967307127704667539</v>
      </c>
      <c r="M28" s="292">
        <v>89.13954635111382253480854789</v>
      </c>
      <c r="N28" s="292">
        <v>97.38720538723178995884774379</v>
      </c>
      <c r="O28" s="292">
        <v>92.30380730379973016157631605</v>
      </c>
      <c r="P28" s="292">
        <v>92.76433948569974129984572258</v>
      </c>
      <c r="Q28" s="292">
        <v>101.25224432958460819652689054</v>
      </c>
      <c r="R28" s="292">
        <v>95.72278579793366323686032206</v>
      </c>
      <c r="S28" s="292">
        <v>100.08773535959362830161770681</v>
      </c>
      <c r="T28" s="292"/>
      <c r="U28" s="292"/>
      <c r="V28" s="292"/>
      <c r="W28" s="292"/>
      <c r="X28" s="292"/>
      <c r="Y28" s="292"/>
      <c r="Z28" s="292"/>
      <c r="AA28" s="292"/>
      <c r="AB28" s="292"/>
      <c r="AC28" s="292"/>
      <c r="AD28" s="292"/>
      <c r="AE28" s="292"/>
      <c r="AF28" s="292"/>
      <c r="AG28" s="293"/>
      <c r="AH28" s="218"/>
      <c r="AI28" s="304">
        <v>96.98012830543817670018429070</v>
      </c>
      <c r="AJ28" s="304">
        <v>95.75336081606347138455972687</v>
      </c>
      <c r="AK28" s="304">
        <v>98.88936887352071321510742356</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5.0847457627581729388107069900</v>
      </c>
      <c r="D31" s="287">
        <v>1.5873015873499622071050872800</v>
      </c>
      <c r="E31" s="287">
        <v>3.9682539683034769463341127600</v>
      </c>
      <c r="F31" s="287">
        <v>8.403361344556034178377236310</v>
      </c>
      <c r="G31" s="287">
        <v>-16.666666666637254901960773940</v>
      </c>
      <c r="H31" s="287">
        <v>-39.285714285725127551020406220</v>
      </c>
      <c r="I31" s="287">
        <v>-6.0344827586336504161712229400</v>
      </c>
      <c r="J31" s="287">
        <v>-2.5862068965651605231866806600</v>
      </c>
      <c r="K31" s="287">
        <v>-17.968750000002563476562499920</v>
      </c>
      <c r="L31" s="287">
        <v>0.892857142839126275510207300</v>
      </c>
      <c r="M31" s="287">
        <v>-16.304347826123345935727772460</v>
      </c>
      <c r="N31" s="287">
        <v>-20.000000000045714285714259590</v>
      </c>
      <c r="O31" s="287">
        <v>-15.596330275272721151418208510</v>
      </c>
      <c r="P31" s="287">
        <v>-13.761467889952562915579473920</v>
      </c>
      <c r="Q31" s="287">
        <v>3.8834951456351022716561411700</v>
      </c>
      <c r="R31" s="287">
        <v>2.7027027027138056975894825700</v>
      </c>
      <c r="S31" s="287">
        <v>16.513761467830047975759646950</v>
      </c>
      <c r="T31" s="287"/>
      <c r="U31" s="287"/>
      <c r="V31" s="287"/>
      <c r="W31" s="287"/>
      <c r="X31" s="287"/>
      <c r="Y31" s="287"/>
      <c r="Z31" s="287"/>
      <c r="AA31" s="287"/>
      <c r="AB31" s="287"/>
      <c r="AC31" s="287"/>
      <c r="AD31" s="287"/>
      <c r="AE31" s="287"/>
      <c r="AF31" s="287"/>
      <c r="AG31" s="288"/>
      <c r="AH31" s="218"/>
      <c r="AI31" s="302">
        <v>-6.6390041494184630085569973100</v>
      </c>
      <c r="AJ31" s="302">
        <v>-10.915951972566503459658887340</v>
      </c>
      <c r="AK31" s="302">
        <v>-0.7739082365553107871367163200</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7.762557077673424240528784200</v>
      </c>
      <c r="D32" s="202">
        <v>0.1003009026781043229990965400</v>
      </c>
      <c r="E32" s="202">
        <v>4.6106557377003091616836873800</v>
      </c>
      <c r="F32" s="202">
        <v>-7.1352502662781637275283073300</v>
      </c>
      <c r="G32" s="202">
        <v>-8.095238095228248299319726840</v>
      </c>
      <c r="H32" s="202">
        <v>-4.3786982248209516473512730900</v>
      </c>
      <c r="I32" s="202">
        <v>-2.8368794325882802675921602200</v>
      </c>
      <c r="J32" s="202">
        <v>12.339331619517348550432527770</v>
      </c>
      <c r="K32" s="202">
        <v>-1.6703786191350600939479431600</v>
      </c>
      <c r="L32" s="202">
        <v>-9.139213602579928310150067080</v>
      </c>
      <c r="M32" s="202">
        <v>-14.646464646423694010815203280</v>
      </c>
      <c r="N32" s="202">
        <v>-15.625000000037652343749983200</v>
      </c>
      <c r="O32" s="202">
        <v>-10.344827586189686880697578950</v>
      </c>
      <c r="P32" s="202">
        <v>-4.687500000023599008413455700</v>
      </c>
      <c r="Q32" s="202">
        <v>-6.6591422122184823871713906700</v>
      </c>
      <c r="R32" s="202">
        <v>0.2150537634754505723205114200</v>
      </c>
      <c r="S32" s="202">
        <v>2.5826446280632484333378993400</v>
      </c>
      <c r="T32" s="202"/>
      <c r="U32" s="202"/>
      <c r="V32" s="202"/>
      <c r="W32" s="202"/>
      <c r="X32" s="202"/>
      <c r="Y32" s="202"/>
      <c r="Z32" s="202"/>
      <c r="AA32" s="202"/>
      <c r="AB32" s="202"/>
      <c r="AC32" s="202"/>
      <c r="AD32" s="202"/>
      <c r="AE32" s="202"/>
      <c r="AF32" s="202"/>
      <c r="AG32" s="290"/>
      <c r="AH32" s="218"/>
      <c r="AI32" s="303">
        <v>-1.8912529550260241292834898800</v>
      </c>
      <c r="AJ32" s="303">
        <v>-4.1348594762342005349315336200</v>
      </c>
      <c r="AK32" s="303">
        <v>-0.1476170391837372308192410300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-2.484918127037082506647997600</v>
      </c>
      <c r="D33" s="292">
        <v>1.4855107039742018833236283800</v>
      </c>
      <c r="E33" s="292">
        <v>-0.6140882732377224030514194200</v>
      </c>
      <c r="F33" s="292">
        <v>16.732518695586574113207105800</v>
      </c>
      <c r="G33" s="292">
        <v>-9.326424870550324119289381200</v>
      </c>
      <c r="H33" s="292">
        <v>-36.505480905255669899503345100</v>
      </c>
      <c r="I33" s="292">
        <v>-3.2909640070687196869757965900</v>
      </c>
      <c r="J33" s="292">
        <v>-13.286120097790223326596087610</v>
      </c>
      <c r="K33" s="292">
        <v>-16.575240656920688799842659870</v>
      </c>
      <c r="L33" s="292">
        <v>11.041144527935163870990114130</v>
      </c>
      <c r="M33" s="292">
        <v>-1.9423720092285074781076023400</v>
      </c>
      <c r="N33" s="292">
        <v>-5.185185185142696131482349100</v>
      </c>
      <c r="O33" s="292">
        <v>-5.8574453069682964194652496800</v>
      </c>
      <c r="P33" s="292">
        <v>-9.520228605736616791509715410</v>
      </c>
      <c r="Q33" s="292">
        <v>11.294772308393707604996401690</v>
      </c>
      <c r="R33" s="292">
        <v>2.4823106368146046020308760300</v>
      </c>
      <c r="S33" s="292">
        <v>13.580383787414494217383467040</v>
      </c>
      <c r="T33" s="292"/>
      <c r="U33" s="292"/>
      <c r="V33" s="292"/>
      <c r="W33" s="292"/>
      <c r="X33" s="292"/>
      <c r="Y33" s="292"/>
      <c r="Z33" s="292"/>
      <c r="AA33" s="292"/>
      <c r="AB33" s="292"/>
      <c r="AC33" s="292"/>
      <c r="AD33" s="292"/>
      <c r="AE33" s="292"/>
      <c r="AF33" s="292"/>
      <c r="AG33" s="293"/>
      <c r="AH33" s="218"/>
      <c r="AI33" s="304">
        <v>-4.8392741089564228715893301400</v>
      </c>
      <c r="AJ33" s="304">
        <v>-7.073574877537463743541046200</v>
      </c>
      <c r="AK33" s="304">
        <v>-0.6272170766547455721344372200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6"/>
      <c r="Y35" s="656"/>
      <c r="Z35" s="656"/>
      <c r="AA35" s="656"/>
      <c r="AB35" s="656"/>
      <c r="AC35" s="656"/>
      <c r="AD35" s="656"/>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179</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297.04838709677419354838709677</v>
      </c>
      <c r="D38" s="295">
        <v>420.132812500</v>
      </c>
      <c r="E38" s="295">
        <v>408.95419847328244274809160305</v>
      </c>
      <c r="F38" s="295">
        <v>289.93023255813953488372093023</v>
      </c>
      <c r="G38" s="295">
        <v>191.56470588235294117647058824</v>
      </c>
      <c r="H38" s="295">
        <v>173.10294117647058823529411765</v>
      </c>
      <c r="I38" s="295">
        <v>185.79816513761467889908256881</v>
      </c>
      <c r="J38" s="295">
        <v>208.4867256637168141592920354</v>
      </c>
      <c r="K38" s="295">
        <v>277.38095238095238095238095238</v>
      </c>
      <c r="L38" s="295">
        <v>262.84070796460176991150442478</v>
      </c>
      <c r="M38" s="295">
        <v>165.72727272727272727272727273</v>
      </c>
      <c r="N38" s="295">
        <v>148.4047619047619047619047619</v>
      </c>
      <c r="O38" s="295">
        <v>159.23913043478260869565217391</v>
      </c>
      <c r="P38" s="295">
        <v>152.77659574468085106382978723</v>
      </c>
      <c r="Q38" s="295">
        <v>168.46728971962616822429906542</v>
      </c>
      <c r="R38" s="295">
        <v>260.22807017543859649122807018</v>
      </c>
      <c r="S38" s="295">
        <v>288.45669291338582677165354331</v>
      </c>
      <c r="T38" s="295"/>
      <c r="U38" s="295"/>
      <c r="V38" s="295"/>
      <c r="W38" s="295"/>
      <c r="X38" s="295"/>
      <c r="Y38" s="295"/>
      <c r="Z38" s="295"/>
      <c r="AA38" s="295"/>
      <c r="AB38" s="295"/>
      <c r="AC38" s="295"/>
      <c r="AD38" s="295"/>
      <c r="AE38" s="295"/>
      <c r="AF38" s="295"/>
      <c r="AG38" s="296"/>
      <c r="AH38" s="218"/>
      <c r="AI38" s="305">
        <v>250.46666666666666666666666667</v>
      </c>
      <c r="AJ38" s="305">
        <v>201.81515711645101663585951941</v>
      </c>
      <c r="AK38" s="305">
        <v>323.78272980501392757660167131</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301.69745762711864406779661017</v>
      </c>
      <c r="D39" s="207">
        <v>397.13426853707414829659318637</v>
      </c>
      <c r="E39" s="207">
        <v>393.97708129285014691478942214</v>
      </c>
      <c r="F39" s="207">
        <v>266.29779816513761467889908257</v>
      </c>
      <c r="G39" s="207">
        <v>179.39512953367875647668393783</v>
      </c>
      <c r="H39" s="207">
        <v>190.80512376237623762376237624</v>
      </c>
      <c r="I39" s="207">
        <v>186.50608272506082725060827251</v>
      </c>
      <c r="J39" s="207">
        <v>197.38684210526315789473684211</v>
      </c>
      <c r="K39" s="207">
        <v>235.39977349943374858437146092</v>
      </c>
      <c r="L39" s="207">
        <v>225.05730994152046783625730994</v>
      </c>
      <c r="M39" s="207">
        <v>170.22065088757396449704142011</v>
      </c>
      <c r="N39" s="207">
        <v>170.1608</v>
      </c>
      <c r="O39" s="207">
        <v>179.76164102564102564102564104</v>
      </c>
      <c r="P39" s="207">
        <v>174.02925598991172761664564943</v>
      </c>
      <c r="Q39" s="207">
        <v>181.7335792019347037484885127</v>
      </c>
      <c r="R39" s="207">
        <v>244.81427038626609442060085837</v>
      </c>
      <c r="S39" s="207">
        <v>266.43615307150050352467270894</v>
      </c>
      <c r="T39" s="207"/>
      <c r="U39" s="207"/>
      <c r="V39" s="207"/>
      <c r="W39" s="207"/>
      <c r="X39" s="207"/>
      <c r="Y39" s="207"/>
      <c r="Z39" s="207"/>
      <c r="AA39" s="207"/>
      <c r="AB39" s="207"/>
      <c r="AC39" s="207"/>
      <c r="AD39" s="207"/>
      <c r="AE39" s="207"/>
      <c r="AF39" s="207"/>
      <c r="AG39" s="298"/>
      <c r="AH39" s="218"/>
      <c r="AI39" s="306">
        <v>239.96922616179001721170395869</v>
      </c>
      <c r="AJ39" s="306">
        <v>202.86581589958158995815899582</v>
      </c>
      <c r="AK39" s="306">
        <v>297.71393875395987328405491024</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98.45902893352449540410113105</v>
      </c>
      <c r="D40" s="292">
        <v>105.79112551722579247353700251</v>
      </c>
      <c r="E40" s="292">
        <v>103.80151990852680867900957427</v>
      </c>
      <c r="F40" s="292">
        <v>108.87443852554418676719492734</v>
      </c>
      <c r="G40" s="292">
        <v>106.78367154129836276689609903</v>
      </c>
      <c r="H40" s="292">
        <v>90.72237566954803206759805981</v>
      </c>
      <c r="I40" s="292">
        <v>99.62043190380618641947768281</v>
      </c>
      <c r="J40" s="292">
        <v>105.62341615075606557023993441</v>
      </c>
      <c r="K40" s="292">
        <v>117.83399289534974208875058702</v>
      </c>
      <c r="L40" s="292">
        <v>116.78834516991381076931204949</v>
      </c>
      <c r="M40" s="292">
        <v>97.36026261390908583163689417</v>
      </c>
      <c r="N40" s="292">
        <v>87.21442418275061280970985203</v>
      </c>
      <c r="O40" s="292">
        <v>88.58348729254492950960581849</v>
      </c>
      <c r="P40" s="292">
        <v>87.78788076502920119425077388</v>
      </c>
      <c r="Q40" s="292">
        <v>92.70014405673735032409522685</v>
      </c>
      <c r="R40" s="292">
        <v>106.29611981557148839553977409</v>
      </c>
      <c r="S40" s="292">
        <v>108.26484678900781956475439439</v>
      </c>
      <c r="T40" s="292"/>
      <c r="U40" s="292"/>
      <c r="V40" s="292"/>
      <c r="W40" s="292"/>
      <c r="X40" s="292"/>
      <c r="Y40" s="292"/>
      <c r="Z40" s="292"/>
      <c r="AA40" s="292"/>
      <c r="AB40" s="292"/>
      <c r="AC40" s="292"/>
      <c r="AD40" s="292"/>
      <c r="AE40" s="292"/>
      <c r="AF40" s="292"/>
      <c r="AG40" s="293"/>
      <c r="AH40" s="218"/>
      <c r="AI40" s="304">
        <v>104.37449446029747773987709061</v>
      </c>
      <c r="AJ40" s="304">
        <v>99.48209175681477886826509864</v>
      </c>
      <c r="AK40" s="304">
        <v>108.75632197811016152748987298</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-18.605541339827349489056864450</v>
      </c>
      <c r="D43" s="287">
        <v>-7.643786637713167064868609800</v>
      </c>
      <c r="E43" s="287">
        <v>-11.568365670199479265071261270</v>
      </c>
      <c r="F43" s="287">
        <v>-27.102415697730294398365331180</v>
      </c>
      <c r="G43" s="287">
        <v>7.2720285479295284184869419500</v>
      </c>
      <c r="H43" s="287">
        <v>-10.759358288763481092656750470</v>
      </c>
      <c r="I43" s="287">
        <v>-10.130151130147710847990950290</v>
      </c>
      <c r="J43" s="287">
        <v>5.3743199729271664520023846900</v>
      </c>
      <c r="K43" s="287">
        <v>-1.3866184180593690648129043900</v>
      </c>
      <c r="L43" s="287">
        <v>-1.3763968908889604831385067200</v>
      </c>
      <c r="M43" s="287">
        <v>-11.632612200610776502651407250</v>
      </c>
      <c r="N43" s="287">
        <v>-3.5437944908428317595301016900</v>
      </c>
      <c r="O43" s="287">
        <v>4.4851024403320540846857472300</v>
      </c>
      <c r="P43" s="287">
        <v>-1.8758533016759899506322162300</v>
      </c>
      <c r="Q43" s="287">
        <v>-13.524714237416830599227164150</v>
      </c>
      <c r="R43" s="287">
        <v>0.8741602565764204145926959900</v>
      </c>
      <c r="S43" s="287">
        <v>3.7990806759759846514002311900</v>
      </c>
      <c r="T43" s="287"/>
      <c r="U43" s="287"/>
      <c r="V43" s="287"/>
      <c r="W43" s="287"/>
      <c r="X43" s="287"/>
      <c r="Y43" s="287"/>
      <c r="Z43" s="287"/>
      <c r="AA43" s="287"/>
      <c r="AB43" s="287"/>
      <c r="AC43" s="287"/>
      <c r="AD43" s="287"/>
      <c r="AE43" s="287"/>
      <c r="AF43" s="287"/>
      <c r="AG43" s="288"/>
      <c r="AH43" s="218"/>
      <c r="AI43" s="302">
        <v>-3.1809101814864069854423742700</v>
      </c>
      <c r="AJ43" s="302">
        <v>-7.3729318025145471580022742100</v>
      </c>
      <c r="AK43" s="302">
        <v>-7.0612942651760161865573069200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-0.3157416401472670514763234500</v>
      </c>
      <c r="D44" s="202">
        <v>-0.2071188270450100043163516500</v>
      </c>
      <c r="E44" s="202">
        <v>2.8659438264235232130815976600</v>
      </c>
      <c r="F44" s="202">
        <v>-15.283902716147765786352564210</v>
      </c>
      <c r="G44" s="202">
        <v>-11.692572853850986173548967930</v>
      </c>
      <c r="H44" s="202">
        <v>-1.6592852345732348134825579200</v>
      </c>
      <c r="I44" s="202">
        <v>-0.2104544128855724531502003100</v>
      </c>
      <c r="J44" s="202">
        <v>8.557840380773868048909108630</v>
      </c>
      <c r="K44" s="202">
        <v>2.6847517508045040951763238400</v>
      </c>
      <c r="L44" s="202">
        <v>-1.0010969239710437369633416300</v>
      </c>
      <c r="M44" s="202">
        <v>-4.1445510449607536468854687700</v>
      </c>
      <c r="N44" s="202">
        <v>-6.741359274196227923298471800</v>
      </c>
      <c r="O44" s="202">
        <v>-8.763190762120056311346296820</v>
      </c>
      <c r="P44" s="202">
        <v>-4.8698122586749518512821301900</v>
      </c>
      <c r="Q44" s="202">
        <v>-8.481991595548638033047871470</v>
      </c>
      <c r="R44" s="202">
        <v>-3.492978271615887123815432900</v>
      </c>
      <c r="S44" s="202">
        <v>1.2888371952153550600570189300</v>
      </c>
      <c r="T44" s="202"/>
      <c r="U44" s="202"/>
      <c r="V44" s="202"/>
      <c r="W44" s="202"/>
      <c r="X44" s="202"/>
      <c r="Y44" s="202"/>
      <c r="Z44" s="202"/>
      <c r="AA44" s="202"/>
      <c r="AB44" s="202"/>
      <c r="AC44" s="202"/>
      <c r="AD44" s="202"/>
      <c r="AE44" s="202"/>
      <c r="AF44" s="202"/>
      <c r="AG44" s="290"/>
      <c r="AH44" s="218"/>
      <c r="AI44" s="303">
        <v>-0.5364438061622410506078557500</v>
      </c>
      <c r="AJ44" s="303">
        <v>-4.8560703447950090841784305700</v>
      </c>
      <c r="AK44" s="303">
        <v>-1.017620527902840405560210500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-18.347731126845261567033006610</v>
      </c>
      <c r="D45" s="292">
        <v>-7.4521025179724277993977648300</v>
      </c>
      <c r="E45" s="292">
        <v>-14.032155793930274454883816510</v>
      </c>
      <c r="F45" s="292">
        <v>-13.950728799465709151809109830</v>
      </c>
      <c r="G45" s="292">
        <v>21.475658406815960830962953390</v>
      </c>
      <c r="H45" s="292">
        <v>-9.253616954026177373445469670</v>
      </c>
      <c r="I45" s="292">
        <v>-9.940617184795813680042409100</v>
      </c>
      <c r="J45" s="292">
        <v>-2.9325568717223783859447588200</v>
      </c>
      <c r="K45" s="292">
        <v>-3.9649218597849127076198451300</v>
      </c>
      <c r="L45" s="292">
        <v>-0.3790950760985757058637292600</v>
      </c>
      <c r="M45" s="292">
        <v>-7.8118262835042360306004098300</v>
      </c>
      <c r="N45" s="292">
        <v>3.4287061857861990298953752500</v>
      </c>
      <c r="O45" s="292">
        <v>14.520776551862534530895119860</v>
      </c>
      <c r="P45" s="292">
        <v>3.1472227985950140629720996800</v>
      </c>
      <c r="Q45" s="292">
        <v>-5.5100878283441899037931065300</v>
      </c>
      <c r="R45" s="292">
        <v>4.5252028816174635952593418900</v>
      </c>
      <c r="S45" s="292">
        <v>2.478302200152886234888683900</v>
      </c>
      <c r="T45" s="292"/>
      <c r="U45" s="292"/>
      <c r="V45" s="292"/>
      <c r="W45" s="292"/>
      <c r="X45" s="292"/>
      <c r="Y45" s="292"/>
      <c r="Z45" s="292"/>
      <c r="AA45" s="292"/>
      <c r="AB45" s="292"/>
      <c r="AC45" s="292"/>
      <c r="AD45" s="292"/>
      <c r="AE45" s="292"/>
      <c r="AF45" s="292"/>
      <c r="AG45" s="293"/>
      <c r="AH45" s="218"/>
      <c r="AI45" s="304">
        <v>-2.6587289622074049780375529600</v>
      </c>
      <c r="AJ45" s="304">
        <v>-2.645320060742481989174886800</v>
      </c>
      <c r="AK45" s="304">
        <v>-6.1058076897460344158933574800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6"/>
      <c r="Y47" s="656"/>
      <c r="Z47" s="656"/>
      <c r="AA47" s="656"/>
      <c r="AB47" s="656"/>
      <c r="AC47" s="656"/>
      <c r="AD47" s="656"/>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179</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279.04545454545454545454545455</v>
      </c>
      <c r="D50" s="295">
        <v>407.40151515151515151515151515</v>
      </c>
      <c r="E50" s="295">
        <v>405.85606060606060606060606061</v>
      </c>
      <c r="F50" s="295">
        <v>283.34090909090909090909090909</v>
      </c>
      <c r="G50" s="295">
        <v>123.35606060606060606060606061</v>
      </c>
      <c r="H50" s="295">
        <v>89.17424242424242424242424242</v>
      </c>
      <c r="I50" s="295">
        <v>153.42424242424242424242424242</v>
      </c>
      <c r="J50" s="295">
        <v>178.47727272727272727272727273</v>
      </c>
      <c r="K50" s="295">
        <v>220.64393939393939393939393939</v>
      </c>
      <c r="L50" s="295">
        <v>225.00757575757575757575757576</v>
      </c>
      <c r="M50" s="295">
        <v>96.67424242424242424242424242</v>
      </c>
      <c r="N50" s="295">
        <v>94.43939393939393939393939394</v>
      </c>
      <c r="O50" s="295">
        <v>110.98484848484848484848484848</v>
      </c>
      <c r="P50" s="295">
        <v>108.79545454545454545454545455</v>
      </c>
      <c r="Q50" s="295">
        <v>136.56060606060606060606060606</v>
      </c>
      <c r="R50" s="295">
        <v>224.74242424242424242424242424</v>
      </c>
      <c r="S50" s="295">
        <v>277.53030303030303030303030303</v>
      </c>
      <c r="T50" s="295"/>
      <c r="U50" s="295"/>
      <c r="V50" s="295"/>
      <c r="W50" s="295"/>
      <c r="X50" s="295"/>
      <c r="Y50" s="295"/>
      <c r="Z50" s="295"/>
      <c r="AA50" s="295"/>
      <c r="AB50" s="295"/>
      <c r="AC50" s="295"/>
      <c r="AD50" s="295"/>
      <c r="AE50" s="295"/>
      <c r="AF50" s="295"/>
      <c r="AG50" s="296"/>
      <c r="AH50" s="218"/>
      <c r="AI50" s="305">
        <v>200.90909090909090909090909091</v>
      </c>
      <c r="AJ50" s="305">
        <v>150.38842975206611570247933884</v>
      </c>
      <c r="AK50" s="305">
        <v>293.53030303030303030303030303</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275.7041626331074540174249758</v>
      </c>
      <c r="D51" s="207">
        <v>383.67860600193610842207163601</v>
      </c>
      <c r="E51" s="207">
        <v>389.40038722168441432720232333</v>
      </c>
      <c r="F51" s="207">
        <v>224.79349467570183930300096805</v>
      </c>
      <c r="G51" s="207">
        <v>134.06877057115198451113262343</v>
      </c>
      <c r="H51" s="207">
        <v>149.24544046466602129719264279</v>
      </c>
      <c r="I51" s="207">
        <v>148.41045498547918683446272991</v>
      </c>
      <c r="J51" s="207">
        <v>167.00493707647628267182962246</v>
      </c>
      <c r="K51" s="207">
        <v>201.21781219748305905130687318</v>
      </c>
      <c r="L51" s="207">
        <v>186.27686350435624394966118103</v>
      </c>
      <c r="M51" s="207">
        <v>111.39318489835430784123910939</v>
      </c>
      <c r="N51" s="207">
        <v>111.18929332042594385285575992</v>
      </c>
      <c r="O51" s="207">
        <v>135.73483059051306873184898354</v>
      </c>
      <c r="P51" s="207">
        <v>133.59651500484027105517909003</v>
      </c>
      <c r="Q51" s="207">
        <v>145.49242013552758954501452081</v>
      </c>
      <c r="R51" s="207">
        <v>220.87792836398838334946757018</v>
      </c>
      <c r="S51" s="207">
        <v>256.11916747337850919651500484</v>
      </c>
      <c r="T51" s="207"/>
      <c r="U51" s="207"/>
      <c r="V51" s="207"/>
      <c r="W51" s="207"/>
      <c r="X51" s="207"/>
      <c r="Y51" s="207"/>
      <c r="Z51" s="207"/>
      <c r="AA51" s="207"/>
      <c r="AB51" s="207"/>
      <c r="AC51" s="207"/>
      <c r="AD51" s="207"/>
      <c r="AE51" s="207"/>
      <c r="AF51" s="207"/>
      <c r="AG51" s="298"/>
      <c r="AH51" s="218"/>
      <c r="AI51" s="306">
        <v>198.48260406582768635043562439</v>
      </c>
      <c r="AJ51" s="306">
        <v>157.87577312329490451465282056</v>
      </c>
      <c r="AK51" s="306">
        <v>272.92846079380445304937076476</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101.21191202934467503496168364</v>
      </c>
      <c r="D52" s="292">
        <v>106.18301588322015385277185151</v>
      </c>
      <c r="E52" s="292">
        <v>104.22590062166316860449828362</v>
      </c>
      <c r="F52" s="292">
        <v>126.04497719103168529836980581</v>
      </c>
      <c r="G52" s="292">
        <v>92.00954113363023104136047560</v>
      </c>
      <c r="H52" s="292">
        <v>59.750061473626188226912223070</v>
      </c>
      <c r="I52" s="292">
        <v>103.37832495644075840957980514</v>
      </c>
      <c r="J52" s="292">
        <v>106.86945898223211877342266946</v>
      </c>
      <c r="K52" s="292">
        <v>109.65427811001751409169947095</v>
      </c>
      <c r="L52" s="292">
        <v>120.79201438361179457097668858</v>
      </c>
      <c r="M52" s="292">
        <v>86.78649642024106286698702644</v>
      </c>
      <c r="N52" s="292">
        <v>84.93569040614368087820743712</v>
      </c>
      <c r="O52" s="292">
        <v>81.76593141349251319783695758</v>
      </c>
      <c r="P52" s="292">
        <v>81.43584774014922826618515580</v>
      </c>
      <c r="Q52" s="292">
        <v>93.86097635424885890691309021</v>
      </c>
      <c r="R52" s="292">
        <v>101.74960708254003208677179706</v>
      </c>
      <c r="S52" s="292">
        <v>108.35983334169112742095733344</v>
      </c>
      <c r="T52" s="292"/>
      <c r="U52" s="292"/>
      <c r="V52" s="292"/>
      <c r="W52" s="292"/>
      <c r="X52" s="292"/>
      <c r="Y52" s="292"/>
      <c r="Z52" s="292"/>
      <c r="AA52" s="292"/>
      <c r="AB52" s="292"/>
      <c r="AC52" s="292"/>
      <c r="AD52" s="292"/>
      <c r="AE52" s="292"/>
      <c r="AF52" s="292"/>
      <c r="AG52" s="293"/>
      <c r="AH52" s="218"/>
      <c r="AI52" s="304">
        <v>101.22251864575824076854622911</v>
      </c>
      <c r="AJ52" s="304">
        <v>95.25744626733430749685459193</v>
      </c>
      <c r="AK52" s="304">
        <v>107.54844041423291301128854043</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-14.466840052009248882782984150</v>
      </c>
      <c r="D55" s="287">
        <v>-6.1778149970399832489970106400</v>
      </c>
      <c r="E55" s="287">
        <v>-8.059173831707757847520913330</v>
      </c>
      <c r="F55" s="287">
        <v>-20.976568277370827743521086090</v>
      </c>
      <c r="G55" s="287">
        <v>-10.606642876734226805226766370</v>
      </c>
      <c r="H55" s="287">
        <v>-45.818181818170844649021861990</v>
      </c>
      <c r="I55" s="287">
        <v>-15.553331665407277457926652390</v>
      </c>
      <c r="J55" s="287">
        <v>2.6491220426196783841779526600</v>
      </c>
      <c r="K55" s="287">
        <v>-19.106210421071515946190772450</v>
      </c>
      <c r="L55" s="287">
        <v>-0.4958290060021845513615329300</v>
      </c>
      <c r="M55" s="287">
        <v>-26.040338472226319285251085760</v>
      </c>
      <c r="N55" s="287">
        <v>-22.835035592718687207004329950</v>
      </c>
      <c r="O55" s="287">
        <v>-11.810739224667492085332931920</v>
      </c>
      <c r="P55" s="287">
        <v>-15.379176241836255375465181360</v>
      </c>
      <c r="Q55" s="287">
        <v>-10.166450712676912923125628810</v>
      </c>
      <c r="R55" s="287">
        <v>3.6004889121791039348136626400</v>
      </c>
      <c r="S55" s="287">
        <v>20.940213264651699027177949020</v>
      </c>
      <c r="T55" s="287"/>
      <c r="U55" s="287"/>
      <c r="V55" s="287"/>
      <c r="W55" s="287"/>
      <c r="X55" s="287"/>
      <c r="Y55" s="287"/>
      <c r="Z55" s="287"/>
      <c r="AA55" s="287"/>
      <c r="AB55" s="287"/>
      <c r="AC55" s="287"/>
      <c r="AD55" s="287"/>
      <c r="AE55" s="287"/>
      <c r="AF55" s="287"/>
      <c r="AG55" s="288"/>
      <c r="AH55" s="218"/>
      <c r="AI55" s="302">
        <v>-9.608733571902858608174294090</v>
      </c>
      <c r="AJ55" s="302">
        <v>-17.484058080551150295514656360</v>
      </c>
      <c r="AK55" s="302">
        <v>-7.7805545638594148916486217700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7.4223058124319666968106507100</v>
      </c>
      <c r="D56" s="202">
        <v>-0.1070256663974167284025876200</v>
      </c>
      <c r="E56" s="202">
        <v>7.6087383676183974453436476200</v>
      </c>
      <c r="F56" s="202">
        <v>-21.328608273146758349319679810</v>
      </c>
      <c r="G56" s="202">
        <v>-18.841269337124650907674679260</v>
      </c>
      <c r="H56" s="202">
        <v>-5.9653283662901272666959499400</v>
      </c>
      <c r="I56" s="202">
        <v>-3.0413635075644994566142662900</v>
      </c>
      <c r="J56" s="202">
        <v>21.953152304325845663617603780</v>
      </c>
      <c r="K56" s="202">
        <v>0.9695276124487347809447863200</v>
      </c>
      <c r="L56" s="202">
        <v>-10.048818140271918685603664400</v>
      </c>
      <c r="M56" s="202">
        <v>-18.183985487866004799484816470</v>
      </c>
      <c r="N56" s="202">
        <v>-21.313021887607218123277778530</v>
      </c>
      <c r="O56" s="202">
        <v>-18.201481372916564430714004410</v>
      </c>
      <c r="P56" s="202">
        <v>-9.329039809016858545765043770</v>
      </c>
      <c r="Q56" s="202">
        <v>-14.576305924960378166613468900</v>
      </c>
      <c r="R56" s="202">
        <v>-3.285436289392706795533159900</v>
      </c>
      <c r="S56" s="202">
        <v>3.9047679079163923529746577500</v>
      </c>
      <c r="T56" s="202"/>
      <c r="U56" s="202"/>
      <c r="V56" s="202"/>
      <c r="W56" s="202"/>
      <c r="X56" s="202"/>
      <c r="Y56" s="202"/>
      <c r="Z56" s="202"/>
      <c r="AA56" s="202"/>
      <c r="AB56" s="202"/>
      <c r="AC56" s="202"/>
      <c r="AD56" s="202"/>
      <c r="AE56" s="202"/>
      <c r="AF56" s="202"/>
      <c r="AG56" s="290"/>
      <c r="AH56" s="218"/>
      <c r="AI56" s="303">
        <v>-2.4175512518974708306977353600</v>
      </c>
      <c r="AJ56" s="303">
        <v>-8.790138136182634356675832260</v>
      </c>
      <c r="AK56" s="303">
        <v>-1.1637353858237477660190936200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-20.376723157186988538572270760</v>
      </c>
      <c r="D57" s="292">
        <v>-6.0772935946137951425771863100</v>
      </c>
      <c r="E57" s="292">
        <v>-14.560074243947783370735080360</v>
      </c>
      <c r="F57" s="292">
        <v>0.447481591503010823609054200</v>
      </c>
      <c r="G57" s="292">
        <v>10.146322389592204086498654750</v>
      </c>
      <c r="H57" s="292">
        <v>-42.381020489044944366422200970</v>
      </c>
      <c r="I57" s="292">
        <v>-12.904439058260043270776037870</v>
      </c>
      <c r="J57" s="292">
        <v>-15.829053941577806251516247640</v>
      </c>
      <c r="K57" s="292">
        <v>-19.882967176580014299220443520</v>
      </c>
      <c r="L57" s="292">
        <v>10.620193016656024344830318280</v>
      </c>
      <c r="M57" s="292">
        <v>-9.602463565665925221888635100</v>
      </c>
      <c r="N57" s="292">
        <v>-1.9342637645554650481233910500</v>
      </c>
      <c r="O57" s="292">
        <v>7.8127847002138315483244104900</v>
      </c>
      <c r="P57" s="292">
        <v>-6.6726286123289350728078544700</v>
      </c>
      <c r="Q57" s="292">
        <v>5.1623326058492896642388661400</v>
      </c>
      <c r="R57" s="292">
        <v>7.1198431109139732582133209600</v>
      </c>
      <c r="S57" s="292">
        <v>16.395248937851318176289540370</v>
      </c>
      <c r="T57" s="292"/>
      <c r="U57" s="292"/>
      <c r="V57" s="292"/>
      <c r="W57" s="292"/>
      <c r="X57" s="292"/>
      <c r="Y57" s="292"/>
      <c r="Z57" s="292"/>
      <c r="AA57" s="292"/>
      <c r="AB57" s="292"/>
      <c r="AC57" s="292"/>
      <c r="AD57" s="292"/>
      <c r="AE57" s="292"/>
      <c r="AF57" s="292"/>
      <c r="AG57" s="293"/>
      <c r="AH57" s="218"/>
      <c r="AI57" s="304">
        <v>-7.3693398887422453444009024300</v>
      </c>
      <c r="AJ57" s="304">
        <v>-9.531776242954336114172364120</v>
      </c>
      <c r="AK57" s="304">
        <v>-6.6947280978712628577680656100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7" t="s">
        <v>82</v>
      </c>
      <c r="C60" s="657"/>
      <c r="D60" s="657"/>
      <c r="E60" s="657"/>
      <c r="F60" s="657"/>
      <c r="G60" s="657"/>
      <c r="H60" s="657"/>
      <c r="I60" s="657"/>
      <c r="J60" s="657"/>
      <c r="K60" s="657"/>
      <c r="L60" s="657"/>
      <c r="M60" s="657"/>
      <c r="N60" s="657"/>
      <c r="O60" s="657"/>
      <c r="P60" s="657"/>
      <c r="Q60" s="657"/>
      <c r="R60" s="657"/>
      <c r="S60" s="657"/>
      <c r="T60" s="657"/>
      <c r="U60" s="657"/>
      <c r="V60" s="657"/>
      <c r="W60" s="657"/>
      <c r="X60" s="657"/>
      <c r="Y60" s="657"/>
      <c r="Z60" s="657"/>
      <c r="AA60" s="657"/>
      <c r="AB60" s="657"/>
      <c r="AC60" s="657"/>
      <c r="AD60" s="657"/>
      <c r="AE60" s="657"/>
      <c r="AF60" s="657"/>
      <c r="AG60" s="657"/>
      <c r="AH60" s="657"/>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0" t="s">
        <v>114</v>
      </c>
      <c r="C62" s="650"/>
      <c r="D62" s="650"/>
      <c r="E62" s="650"/>
      <c r="F62" s="650"/>
      <c r="G62" s="650"/>
      <c r="H62" s="650"/>
      <c r="I62" s="650"/>
      <c r="J62" s="650"/>
      <c r="K62" s="650"/>
      <c r="L62" s="650"/>
      <c r="M62" s="650"/>
      <c r="N62" s="650"/>
      <c r="O62" s="650"/>
      <c r="P62" s="650"/>
      <c r="Q62" s="650"/>
      <c r="R62" s="650"/>
      <c r="S62" s="650"/>
      <c r="T62" s="650"/>
      <c r="U62" s="650"/>
      <c r="V62" s="650"/>
      <c r="W62" s="650"/>
      <c r="X62" s="650"/>
      <c r="Y62" s="650"/>
      <c r="Z62" s="650"/>
      <c r="AA62" s="650"/>
      <c r="AB62" s="650"/>
      <c r="AC62" s="650"/>
      <c r="AD62" s="650"/>
      <c r="AE62" s="650"/>
      <c r="AF62" s="650"/>
      <c r="AG62" s="650"/>
      <c r="AH62" s="650"/>
      <c r="AI62" s="650"/>
      <c r="AJ62" s="650"/>
      <c r="AK62" s="650"/>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7"/>
</worksheet>
</file>

<file path=xl/worksheets/sheet6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146</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177</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178</v>
      </c>
      <c r="R4" s="715" t="s">
        <v>180</v>
      </c>
      <c r="S4" s="715"/>
      <c r="T4" s="715"/>
      <c r="U4" s="715"/>
      <c r="V4" s="715"/>
      <c r="W4" s="715"/>
      <c r="X4" s="715"/>
      <c r="Y4" s="715"/>
      <c r="Z4" s="715"/>
      <c r="AA4" s="715"/>
      <c r="AB4" s="715"/>
      <c r="AC4" s="715"/>
      <c r="AD4" s="715"/>
      <c r="AE4" s="715"/>
      <c r="AF4" s="715"/>
      <c r="AG4" s="715"/>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716" t="s">
        <v>72</v>
      </c>
      <c r="Y22" s="716"/>
      <c r="Z22" s="716"/>
      <c r="AA22" s="716"/>
      <c r="AB22" s="716"/>
      <c r="AC22" s="716"/>
      <c r="AD22" s="716"/>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275" t="s">
        <v>182</v>
      </c>
      <c r="D24" s="276"/>
      <c r="E24" s="276"/>
      <c r="F24" s="276"/>
      <c r="G24" s="276"/>
      <c r="H24" s="276"/>
      <c r="I24" s="276"/>
      <c r="J24" s="276"/>
      <c r="K24" s="276"/>
      <c r="L24" s="276"/>
      <c r="M24" s="276"/>
      <c r="N24" s="658" t="s">
        <v>179</v>
      </c>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20</v>
      </c>
      <c r="D25">
        <v>21</v>
      </c>
      <c r="E25">
        <v>22</v>
      </c>
      <c r="F25">
        <v>23</v>
      </c>
      <c r="G25">
        <v>24</v>
      </c>
      <c r="H25">
        <v>25</v>
      </c>
      <c r="I25">
        <v>26</v>
      </c>
      <c r="J25">
        <v>27</v>
      </c>
      <c r="K25">
        <v>28</v>
      </c>
      <c r="L25">
        <v>29</v>
      </c>
      <c r="M25">
        <v>30</v>
      </c>
      <c r="N25" s="717">
        <v>1</v>
      </c>
      <c r="O25">
        <v>2</v>
      </c>
      <c r="P25">
        <v>3</v>
      </c>
      <c r="Q25">
        <v>4</v>
      </c>
      <c r="R25">
        <v>5</v>
      </c>
      <c r="S25">
        <v>6</v>
      </c>
      <c r="T25">
        <v>7</v>
      </c>
      <c r="U25">
        <v>8</v>
      </c>
      <c r="V25">
        <v>9</v>
      </c>
      <c r="W25">
        <v>10</v>
      </c>
      <c r="X25" s="323">
        <v>11</v>
      </c>
      <c r="Y25">
        <v>12</v>
      </c>
      <c r="Z25">
        <v>13</v>
      </c>
      <c r="AA25">
        <v>14</v>
      </c>
      <c r="AB25">
        <v>15</v>
      </c>
      <c r="AC25">
        <v>16</v>
      </c>
      <c r="AD25" s="337">
        <v>17</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44">
        <v>92.42424242424242424242424242</v>
      </c>
      <c r="D26" s="445">
        <v>86.36363636363636363636363636</v>
      </c>
      <c r="E26" s="445">
        <v>89.39393939393939393939393939</v>
      </c>
      <c r="F26" s="445">
        <v>91.66666666666666666666666667</v>
      </c>
      <c r="G26" s="445">
        <v>85.60606060606060606060606061</v>
      </c>
      <c r="H26" s="445">
        <v>83.33333333333333333333333333</v>
      </c>
      <c r="I26" s="445">
        <v>87.87878787878787878787878788</v>
      </c>
      <c r="J26" s="445">
        <v>81.81818181818181818181818182</v>
      </c>
      <c r="K26" s="445">
        <v>93.93939393939393939393939394</v>
      </c>
      <c r="L26" s="445">
        <v>96.96969696969696969696969697</v>
      </c>
      <c r="M26" s="445">
        <v>95.45454545454545454545454545</v>
      </c>
      <c r="N26" s="660">
        <v>93.93939393939393939393939394</v>
      </c>
      <c r="O26" s="445">
        <v>96.96969696969696969696969697</v>
      </c>
      <c r="P26" s="445">
        <v>99.24242424242424242424242424</v>
      </c>
      <c r="Q26" s="445">
        <v>97.72727272727272727272727273</v>
      </c>
      <c r="R26" s="445">
        <v>64.393939393939393939393939390</v>
      </c>
      <c r="S26" s="445">
        <v>51.515151515151515151515151520</v>
      </c>
      <c r="T26" s="445">
        <v>82.57575757575757575757575758</v>
      </c>
      <c r="U26" s="445">
        <v>85.60606060606060606060606061</v>
      </c>
      <c r="V26" s="445">
        <v>79.54545454545454545454545455</v>
      </c>
      <c r="W26" s="445">
        <v>85.60606060606060606060606061</v>
      </c>
      <c r="X26" s="446">
        <v>58.333333333333333333333333330</v>
      </c>
      <c r="Y26" s="445">
        <v>63.636363636363636363636363640</v>
      </c>
      <c r="Z26" s="445">
        <v>69.696969696969696969696969700</v>
      </c>
      <c r="AA26" s="445">
        <v>71.212121212121212121212121210</v>
      </c>
      <c r="AB26" s="445">
        <v>81.06060606060606060606060606</v>
      </c>
      <c r="AC26" s="445">
        <v>86.36363636363636363636363636</v>
      </c>
      <c r="AD26" s="447">
        <v>96.21212121212121212121212121</v>
      </c>
      <c r="AE26" s="448"/>
      <c r="AF26" s="444">
        <v>75.216450216450216450216450220</v>
      </c>
      <c r="AG26" s="445">
        <v>83.87445887445887445887445887</v>
      </c>
      <c r="AH26" s="449">
        <v>80.21390374331550802139037433</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76.960309777347531461761858660</v>
      </c>
      <c r="D27" s="81">
        <v>74.927395934172313649564375610</v>
      </c>
      <c r="E27" s="81">
        <v>70.087124878993223620522749270</v>
      </c>
      <c r="F27" s="81">
        <v>74.830590513068731848983543080</v>
      </c>
      <c r="G27" s="81">
        <v>87.80251694094869312681510165</v>
      </c>
      <c r="H27" s="81">
        <v>92.64278799612778315585672798</v>
      </c>
      <c r="I27" s="81">
        <v>94.96611810261374636979670862</v>
      </c>
      <c r="J27" s="81">
        <v>87.12487899322362052274927396</v>
      </c>
      <c r="K27" s="81">
        <v>97.28944820909970958373668925</v>
      </c>
      <c r="L27" s="81">
        <v>97.57986447241045498547918683</v>
      </c>
      <c r="M27" s="81">
        <v>93.03000968054211035818005808</v>
      </c>
      <c r="N27" s="661">
        <v>91.38431752178121974830590513</v>
      </c>
      <c r="O27" s="81">
        <v>96.61181026137463697967086157</v>
      </c>
      <c r="P27" s="81">
        <v>98.83833494675701839303000968</v>
      </c>
      <c r="Q27" s="81">
        <v>84.41432720232333010648596321</v>
      </c>
      <c r="R27" s="81">
        <v>74.733785091965150048402710550</v>
      </c>
      <c r="S27" s="81">
        <v>78.218780251694094869312681510</v>
      </c>
      <c r="T27" s="81">
        <v>79.57405614714424007744433688</v>
      </c>
      <c r="U27" s="81">
        <v>84.60793804453049370764762827</v>
      </c>
      <c r="V27" s="81">
        <v>85.47918683446272991287512101</v>
      </c>
      <c r="W27" s="81">
        <v>82.76863504356243949661181026</v>
      </c>
      <c r="X27" s="82">
        <v>65.44046466602129719264278800</v>
      </c>
      <c r="Y27" s="81">
        <v>65.343659244917715392061955470</v>
      </c>
      <c r="Z27" s="81">
        <v>75.508228460793804453049370760</v>
      </c>
      <c r="AA27" s="81">
        <v>76.766698935140367860600193610</v>
      </c>
      <c r="AB27" s="81">
        <v>80.05808325266214908034849952</v>
      </c>
      <c r="AC27" s="81">
        <v>90.22265246853823814133591481</v>
      </c>
      <c r="AD27" s="83">
        <v>96.12778315585672797676669894</v>
      </c>
      <c r="AE27" s="88"/>
      <c r="AF27" s="327">
        <v>78.495367169132900013829345870</v>
      </c>
      <c r="AG27" s="81">
        <v>84.04784953671691329000138293</v>
      </c>
      <c r="AH27" s="328">
        <v>82.71169067820739137862308525</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181</v>
      </c>
      <c r="C28" s="450">
        <v>66.072359503701386716713585650</v>
      </c>
      <c r="D28" s="451">
        <v>65.227817745803357314148681060</v>
      </c>
      <c r="E28" s="451">
        <v>71.316859555833593994369721610</v>
      </c>
      <c r="F28" s="451">
        <v>76.384110103221770409759149200</v>
      </c>
      <c r="G28" s="451">
        <v>77.927223438640392034198727970</v>
      </c>
      <c r="H28" s="451">
        <v>85.49681993535606297570639141</v>
      </c>
      <c r="I28" s="451">
        <v>89.66739651756855385257011782</v>
      </c>
      <c r="J28" s="451">
        <v>82.72338650818475654259201335</v>
      </c>
      <c r="K28" s="451">
        <v>88.36409133562715045355020332</v>
      </c>
      <c r="L28" s="451">
        <v>91.24178917735376915858617454</v>
      </c>
      <c r="M28" s="451">
        <v>90.49108539255552080075070378</v>
      </c>
      <c r="N28" s="662">
        <v>85.91387759357731206339276405</v>
      </c>
      <c r="O28" s="451">
        <v>93.47304764883745177770826817</v>
      </c>
      <c r="P28" s="451">
        <v>95.18298404754457303722239600</v>
      </c>
      <c r="Q28" s="451">
        <v>80.62767177562297987696799082</v>
      </c>
      <c r="R28" s="451">
        <v>68.720675633406318423522051920</v>
      </c>
      <c r="S28" s="451">
        <v>66.760504639766447711396100510</v>
      </c>
      <c r="T28" s="451">
        <v>70.743405275779376498800959230</v>
      </c>
      <c r="U28" s="451">
        <v>77.791679699718486080700656870</v>
      </c>
      <c r="V28" s="451">
        <v>77.885517672818267125430090710</v>
      </c>
      <c r="W28" s="451">
        <v>76.592638932332394953602335520</v>
      </c>
      <c r="X28" s="452">
        <v>54.186216244395787717651965380</v>
      </c>
      <c r="Y28" s="451">
        <v>61.724533416744864977583150870</v>
      </c>
      <c r="Z28" s="451">
        <v>67.657178604942133249921801690</v>
      </c>
      <c r="AA28" s="451">
        <v>74.997393389636117193201960170</v>
      </c>
      <c r="AB28" s="451">
        <v>77.499739338963611719320196020</v>
      </c>
      <c r="AC28" s="451">
        <v>86.65415493692002919403607549</v>
      </c>
      <c r="AD28" s="453">
        <v>87.11291836096340319049108539</v>
      </c>
      <c r="AE28" s="448"/>
      <c r="AF28" s="450">
        <v>72.833162041795135320315176430</v>
      </c>
      <c r="AG28" s="451">
        <v>78.158467015207709608710547090</v>
      </c>
      <c r="AH28" s="454">
        <v>76.677890424233503222997049930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275" t="s">
        <v>182</v>
      </c>
      <c r="D31" s="276"/>
      <c r="E31" s="276"/>
      <c r="F31" s="276"/>
      <c r="G31" s="276"/>
      <c r="H31" s="276"/>
      <c r="I31" s="276"/>
      <c r="J31" s="276"/>
      <c r="K31" s="276"/>
      <c r="L31" s="276"/>
      <c r="M31" s="276"/>
      <c r="N31" s="658" t="s">
        <v>179</v>
      </c>
      <c r="O31" s="276"/>
      <c r="P31" s="276"/>
      <c r="Q31" s="276"/>
      <c r="R31" s="276"/>
      <c r="S31" s="277"/>
      <c r="T31" s="277"/>
      <c r="U31" s="277"/>
      <c r="V31" s="277"/>
      <c r="W31" s="277"/>
      <c r="X31" s="312"/>
      <c r="Y31" s="277"/>
      <c r="Z31" s="277"/>
      <c r="AA31" s="277"/>
      <c r="AB31" s="277"/>
      <c r="AC31" s="277"/>
      <c r="AD31" s="336"/>
      <c r="AE31" s="25"/>
      <c r="AF31" s="316" t="s">
        <v>58</v>
      </c>
      <c r="AG31" s="317" t="s">
        <v>59</v>
      </c>
      <c r="AH31" s="318" t="s">
        <v>59</v>
      </c>
      <c r="AI31" s="25"/>
      <c r="AJ31" s="248"/>
      <c r="AK31" s="248"/>
      <c r="AL31" s="248"/>
      <c r="AM31" s="248"/>
      <c r="AN31" s="253"/>
      <c r="AO31" s="253"/>
      <c r="AP31" s="253"/>
      <c r="AQ31" s="253"/>
      <c r="AR31" s="253"/>
      <c r="AS31" s="253"/>
      <c r="AT31" s="253"/>
      <c r="AU31" s="253"/>
      <c r="AV31" s="253"/>
      <c r="AW31" s="253"/>
      <c r="AX31" s="253"/>
      <c r="AY31" s="253"/>
      <c r="AZ31" s="253"/>
      <c r="BA31" s="253"/>
      <c r="BB31" s="253"/>
      <c r="BC31" s="253"/>
      <c r="BD31" s="253"/>
      <c r="BE31" s="253"/>
      <c r="BF31" s="253"/>
      <c r="BG31" s="253"/>
      <c r="BH31" s="253"/>
      <c r="BI31" s="253"/>
      <c r="BJ31" s="253"/>
      <c r="BK31" s="253"/>
    </row>
    <row r="32" s="42" customFormat="1">
      <c r="C32" s="284">
        <v>20</v>
      </c>
      <c r="D32">
        <v>21</v>
      </c>
      <c r="E32">
        <v>22</v>
      </c>
      <c r="F32">
        <v>23</v>
      </c>
      <c r="G32">
        <v>24</v>
      </c>
      <c r="H32">
        <v>25</v>
      </c>
      <c r="I32">
        <v>26</v>
      </c>
      <c r="J32">
        <v>27</v>
      </c>
      <c r="K32">
        <v>28</v>
      </c>
      <c r="L32">
        <v>29</v>
      </c>
      <c r="M32">
        <v>30</v>
      </c>
      <c r="N32" s="717">
        <v>1</v>
      </c>
      <c r="O32">
        <v>2</v>
      </c>
      <c r="P32">
        <v>3</v>
      </c>
      <c r="Q32">
        <v>4</v>
      </c>
      <c r="R32">
        <v>5</v>
      </c>
      <c r="S32">
        <v>6</v>
      </c>
      <c r="T32">
        <v>7</v>
      </c>
      <c r="U32">
        <v>8</v>
      </c>
      <c r="V32">
        <v>9</v>
      </c>
      <c r="W32">
        <v>10</v>
      </c>
      <c r="X32" s="323">
        <v>11</v>
      </c>
      <c r="Y32">
        <v>12</v>
      </c>
      <c r="Z32">
        <v>13</v>
      </c>
      <c r="AA32">
        <v>14</v>
      </c>
      <c r="AB32">
        <v>15</v>
      </c>
      <c r="AC32">
        <v>16</v>
      </c>
      <c r="AD32" s="337">
        <v>17</v>
      </c>
      <c r="AE32" s="25"/>
      <c r="AF32" s="324" t="s">
        <v>60</v>
      </c>
      <c r="AG32" s="325">
        <v>28</v>
      </c>
      <c r="AH32" s="326" t="s">
        <v>31</v>
      </c>
      <c r="AI32" s="25"/>
      <c r="AJ32" s="248"/>
      <c r="AK32" s="248"/>
      <c r="AL32" s="248"/>
      <c r="AM32" s="248"/>
      <c r="AN32" s="254"/>
      <c r="AO32" s="254"/>
      <c r="AP32" s="254"/>
      <c r="AQ32" s="254"/>
      <c r="AR32" s="254"/>
      <c r="AS32" s="254"/>
      <c r="AT32" s="254"/>
      <c r="AU32" s="254"/>
      <c r="AV32" s="254"/>
      <c r="AW32" s="254"/>
      <c r="AX32" s="254"/>
      <c r="AY32" s="254"/>
      <c r="AZ32" s="254"/>
      <c r="BA32" s="254"/>
      <c r="BB32" s="254"/>
      <c r="BC32" s="254"/>
      <c r="BD32" s="254"/>
      <c r="BE32" s="254"/>
      <c r="BF32" s="254"/>
      <c r="BG32" s="254"/>
      <c r="BH32" s="254"/>
      <c r="BI32" s="254"/>
      <c r="BJ32" s="254"/>
      <c r="BK32" s="254"/>
    </row>
    <row r="33" ht="14.25" customHeight="1">
      <c r="B33" s="46" t="s">
        <v>32</v>
      </c>
      <c r="C33" s="444">
        <v>16.190476190409795918367384870</v>
      </c>
      <c r="D33" s="445">
        <v>-8.064516129038189386056191090</v>
      </c>
      <c r="E33" s="445">
        <v>-2.4793388430106686701727895100</v>
      </c>
      <c r="F33" s="445">
        <v>7.0796460176498394549299310500</v>
      </c>
      <c r="G33" s="445">
        <v>-13.076923076880284023668617980</v>
      </c>
      <c r="H33" s="445">
        <v>-10.569105691039460638508820710</v>
      </c>
      <c r="I33" s="445">
        <v>-5.6910569105507039460638472900</v>
      </c>
      <c r="J33" s="445">
        <v>-16.279069767465224445646288770</v>
      </c>
      <c r="K33" s="445">
        <v>1.6393442623417360924482880100</v>
      </c>
      <c r="L33" s="445">
        <v>0.7874015748253704507409063800</v>
      </c>
      <c r="M33" s="445">
        <v>1.6129032257998959417273677400</v>
      </c>
      <c r="N33" s="660">
        <v>5.0847457627581729388107069900</v>
      </c>
      <c r="O33" s="445">
        <v>1.5873015873499622071050872800</v>
      </c>
      <c r="P33" s="445">
        <v>3.9682539683034769463341127600</v>
      </c>
      <c r="Q33" s="445">
        <v>8.403361344556034178377236310</v>
      </c>
      <c r="R33" s="445">
        <v>-16.666666666637254901960773940</v>
      </c>
      <c r="S33" s="445">
        <v>-39.285714285725127551020406220</v>
      </c>
      <c r="T33" s="445">
        <v>-6.0344827586336504161712229400</v>
      </c>
      <c r="U33" s="445">
        <v>-2.5862068965651605231866806600</v>
      </c>
      <c r="V33" s="445">
        <v>-17.968750000002563476562499920</v>
      </c>
      <c r="W33" s="445">
        <v>0.892857142839126275510207300</v>
      </c>
      <c r="X33" s="446">
        <v>-16.304347826123345935727772460</v>
      </c>
      <c r="Y33" s="445">
        <v>-20.000000000045714285714259590</v>
      </c>
      <c r="Z33" s="445">
        <v>-15.596330275272721151418208510</v>
      </c>
      <c r="AA33" s="445">
        <v>-13.761467889952562915579473920</v>
      </c>
      <c r="AB33" s="445">
        <v>3.8834951456351022716561411700</v>
      </c>
      <c r="AC33" s="445">
        <v>2.7027027027138056975894825700</v>
      </c>
      <c r="AD33" s="447">
        <v>16.513761467830047975759646950</v>
      </c>
      <c r="AE33" s="448"/>
      <c r="AF33" s="444">
        <v>-5.8265582655474364906250556800</v>
      </c>
      <c r="AG33" s="445">
        <v>-4.732636754735730672740156900</v>
      </c>
      <c r="AH33" s="449">
        <v>-6.6390041494184630085569973100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-1.6089108910965369510342117800</v>
      </c>
      <c r="D34" s="81">
        <v>-4.5622688039398620387671972700</v>
      </c>
      <c r="E34" s="81">
        <v>-13.809523809514574829931971800</v>
      </c>
      <c r="F34" s="81">
        <v>-8.194774346775467865787257930</v>
      </c>
      <c r="G34" s="81">
        <v>-2.4731182795362299687825065900</v>
      </c>
      <c r="H34" s="81">
        <v>4.4759825327286225234072625200</v>
      </c>
      <c r="I34" s="81">
        <v>2.938090241358141022606032300</v>
      </c>
      <c r="J34" s="81">
        <v>3.8062283737091270458926501900</v>
      </c>
      <c r="K34" s="81">
        <v>34.178905206910702476466181430</v>
      </c>
      <c r="L34" s="81">
        <v>42.372881356006808388394178700</v>
      </c>
      <c r="M34" s="81">
        <v>26.613965744432555838501885440</v>
      </c>
      <c r="N34" s="661">
        <v>7.762557077673424240528784200</v>
      </c>
      <c r="O34" s="81">
        <v>0.1003009026781043229990965400</v>
      </c>
      <c r="P34" s="81">
        <v>4.6106557377003091616836873800</v>
      </c>
      <c r="Q34" s="81">
        <v>-7.1352502662781637275283073300</v>
      </c>
      <c r="R34" s="81">
        <v>-8.095238095228248299319726840</v>
      </c>
      <c r="S34" s="81">
        <v>-4.3786982248209516473512730900</v>
      </c>
      <c r="T34" s="81">
        <v>-2.8368794325882802675921602200</v>
      </c>
      <c r="U34" s="81">
        <v>12.339331619517348550432527770</v>
      </c>
      <c r="V34" s="81">
        <v>-1.6703786191350600939479431600</v>
      </c>
      <c r="W34" s="81">
        <v>-9.139213602579928310150067080</v>
      </c>
      <c r="X34" s="82">
        <v>-14.646464646423694010815203280</v>
      </c>
      <c r="Y34" s="81">
        <v>-15.625000000037652343749983200</v>
      </c>
      <c r="Z34" s="81">
        <v>-10.344827586189686880697578950</v>
      </c>
      <c r="AA34" s="81">
        <v>-4.687500000023599008413455700</v>
      </c>
      <c r="AB34" s="81">
        <v>-6.6591422122184823871713906700</v>
      </c>
      <c r="AC34" s="81">
        <v>0.2150537634754505723205114200</v>
      </c>
      <c r="AD34" s="83">
        <v>2.5826446280632484333378993400</v>
      </c>
      <c r="AE34" s="88"/>
      <c r="AF34" s="327">
        <v>-6.614017769055308660984012600</v>
      </c>
      <c r="AG34" s="81">
        <v>0.4670000413689909383979014200</v>
      </c>
      <c r="AH34" s="328">
        <v>-1.8912529550260241292834898800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181</v>
      </c>
      <c r="C35" s="450">
        <v>-7.3862582862909891404114176300</v>
      </c>
      <c r="D35" s="451">
        <v>-14.289223532983954699120774810</v>
      </c>
      <c r="E35" s="451">
        <v>-10.651726320278289455319152980</v>
      </c>
      <c r="F35" s="451">
        <v>-1.9082612323347831985368956600</v>
      </c>
      <c r="G35" s="451">
        <v>-10.578439681184824789534688870</v>
      </c>
      <c r="H35" s="451">
        <v>-3.4033041519968870730140816200</v>
      </c>
      <c r="I35" s="451">
        <v>6.7820993405364567717993172300</v>
      </c>
      <c r="J35" s="451">
        <v>20.523289264886880503267437580</v>
      </c>
      <c r="K35" s="451">
        <v>26.042658004238101892864731910</v>
      </c>
      <c r="L35" s="451">
        <v>24.764875546201741580703805260</v>
      </c>
      <c r="M35" s="451">
        <v>28.161582479037623434323029550</v>
      </c>
      <c r="N35" s="662">
        <v>6.752853063922516898758833500</v>
      </c>
      <c r="O35" s="451">
        <v>1.5047898024949222668993360300</v>
      </c>
      <c r="P35" s="451">
        <v>4.4609888039548665566495622400</v>
      </c>
      <c r="Q35" s="451">
        <v>-0.1590613249535624750779269100</v>
      </c>
      <c r="R35" s="451">
        <v>-4.796821452065012499889814300</v>
      </c>
      <c r="S35" s="451">
        <v>-14.114106238227832292526017410</v>
      </c>
      <c r="T35" s="451">
        <v>-10.786922436221479292556481790</v>
      </c>
      <c r="U35" s="451">
        <v>-0.3731761620423793254510065500</v>
      </c>
      <c r="V35" s="451">
        <v>-3.9220952512079818961073919700</v>
      </c>
      <c r="W35" s="451">
        <v>-2.3615422787729802208894120800</v>
      </c>
      <c r="X35" s="452">
        <v>-10.891668908090164622788366540</v>
      </c>
      <c r="Y35" s="451">
        <v>-5.6190573550045331098813545200</v>
      </c>
      <c r="Z35" s="451">
        <v>-6.4633529004021841278192796800</v>
      </c>
      <c r="AA35" s="451">
        <v>-1.945763864016141129097586500</v>
      </c>
      <c r="AB35" s="451">
        <v>-0.9227294223823286335516883500</v>
      </c>
      <c r="AC35" s="451">
        <v>2.3500018689074435389265039800</v>
      </c>
      <c r="AD35" s="453">
        <v>6.5646565150914162108366702700</v>
      </c>
      <c r="AE35" s="448"/>
      <c r="AF35" s="450">
        <v>-1.8910619516929490103826109400</v>
      </c>
      <c r="AG35" s="451">
        <v>0.4724250353645159886875358500</v>
      </c>
      <c r="AH35" s="454">
        <v>-1.2306404756621284975052005900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275" t="s">
        <v>182</v>
      </c>
      <c r="D38" s="276"/>
      <c r="E38" s="276"/>
      <c r="F38" s="276"/>
      <c r="G38" s="276"/>
      <c r="H38" s="276"/>
      <c r="I38" s="276"/>
      <c r="J38" s="276"/>
      <c r="K38" s="276"/>
      <c r="L38" s="276"/>
      <c r="M38" s="276"/>
      <c r="N38" s="658" t="s">
        <v>179</v>
      </c>
      <c r="O38" s="276"/>
      <c r="P38" s="276"/>
      <c r="Q38" s="276"/>
      <c r="R38" s="276"/>
      <c r="S38" s="277"/>
      <c r="T38" s="277"/>
      <c r="U38" s="277"/>
      <c r="V38" s="277"/>
      <c r="W38" s="277"/>
      <c r="X38" s="312"/>
      <c r="Y38" s="277"/>
      <c r="Z38" s="277"/>
      <c r="AA38" s="277"/>
      <c r="AB38" s="277"/>
      <c r="AC38" s="277"/>
      <c r="AD38" s="336"/>
      <c r="AE38" s="25"/>
      <c r="AF38" s="316" t="s">
        <v>58</v>
      </c>
      <c r="AG38" s="317" t="s">
        <v>59</v>
      </c>
      <c r="AH38" s="318" t="s">
        <v>59</v>
      </c>
      <c r="AI38" s="25"/>
      <c r="AJ38" s="248"/>
      <c r="AK38" s="248"/>
      <c r="AL38" s="248"/>
      <c r="AM38" s="248"/>
      <c r="AN38" s="253"/>
      <c r="AO38" s="253"/>
      <c r="AP38" s="253"/>
      <c r="AQ38" s="253"/>
      <c r="AR38" s="253"/>
      <c r="AS38" s="253"/>
      <c r="AT38" s="253"/>
      <c r="AU38" s="253"/>
      <c r="AV38" s="253"/>
      <c r="AW38" s="253"/>
      <c r="AX38" s="253"/>
      <c r="AY38" s="253"/>
      <c r="AZ38" s="253"/>
      <c r="BA38" s="253"/>
      <c r="BB38" s="253"/>
      <c r="BC38" s="253"/>
      <c r="BD38" s="253"/>
      <c r="BE38" s="253"/>
      <c r="BF38" s="253"/>
      <c r="BG38" s="253"/>
      <c r="BH38" s="253"/>
      <c r="BI38" s="253"/>
      <c r="BJ38" s="253"/>
      <c r="BK38" s="253"/>
    </row>
    <row r="39" s="42" customFormat="1">
      <c r="C39" s="279">
        <v>20</v>
      </c>
      <c r="D39">
        <v>21</v>
      </c>
      <c r="E39">
        <v>22</v>
      </c>
      <c r="F39">
        <v>23</v>
      </c>
      <c r="G39">
        <v>24</v>
      </c>
      <c r="H39">
        <v>25</v>
      </c>
      <c r="I39">
        <v>26</v>
      </c>
      <c r="J39">
        <v>27</v>
      </c>
      <c r="K39">
        <v>28</v>
      </c>
      <c r="L39">
        <v>29</v>
      </c>
      <c r="M39">
        <v>30</v>
      </c>
      <c r="N39" s="717">
        <v>1</v>
      </c>
      <c r="O39">
        <v>2</v>
      </c>
      <c r="P39">
        <v>3</v>
      </c>
      <c r="Q39">
        <v>4</v>
      </c>
      <c r="R39">
        <v>5</v>
      </c>
      <c r="S39">
        <v>6</v>
      </c>
      <c r="T39">
        <v>7</v>
      </c>
      <c r="U39">
        <v>8</v>
      </c>
      <c r="V39">
        <v>9</v>
      </c>
      <c r="W39">
        <v>10</v>
      </c>
      <c r="X39" s="323">
        <v>11</v>
      </c>
      <c r="Y39">
        <v>12</v>
      </c>
      <c r="Z39">
        <v>13</v>
      </c>
      <c r="AA39">
        <v>14</v>
      </c>
      <c r="AB39">
        <v>15</v>
      </c>
      <c r="AC39">
        <v>16</v>
      </c>
      <c r="AD39" s="337">
        <v>17</v>
      </c>
      <c r="AE39" s="25"/>
      <c r="AF39" s="324" t="s">
        <v>60</v>
      </c>
      <c r="AG39" s="325">
        <v>28</v>
      </c>
      <c r="AH39" s="326" t="s">
        <v>31</v>
      </c>
      <c r="AI39" s="25"/>
      <c r="AJ39" s="248"/>
      <c r="AK39" s="248"/>
      <c r="AL39" s="248"/>
      <c r="AM39" s="248"/>
      <c r="AN39" s="254"/>
      <c r="AO39" s="254"/>
      <c r="AP39" s="254"/>
      <c r="AQ39" s="254"/>
      <c r="AR39" s="254"/>
      <c r="AS39" s="254"/>
      <c r="AT39" s="254"/>
      <c r="AU39" s="254"/>
      <c r="AV39" s="254"/>
      <c r="AW39" s="254"/>
      <c r="AX39" s="254"/>
      <c r="AY39" s="254"/>
      <c r="AZ39" s="254"/>
      <c r="BA39" s="254"/>
      <c r="BB39" s="254"/>
      <c r="BC39" s="254"/>
      <c r="BD39" s="254"/>
      <c r="BE39" s="254"/>
      <c r="BF39" s="254"/>
      <c r="BG39" s="254"/>
      <c r="BH39" s="254"/>
      <c r="BI39" s="254"/>
      <c r="BJ39" s="254"/>
      <c r="BK39" s="254"/>
    </row>
    <row r="40" ht="14.25" customHeight="1">
      <c r="A40" s="1"/>
      <c r="B40" s="46" t="s">
        <v>26</v>
      </c>
      <c r="C40" s="444">
        <v>120.09338669723445295005356545</v>
      </c>
      <c r="D40" s="445">
        <v>115.26309607700697466522688936</v>
      </c>
      <c r="E40" s="445">
        <v>127.54687761592605753861992343</v>
      </c>
      <c r="F40" s="445">
        <v>122.49892194906481179156160250</v>
      </c>
      <c r="G40" s="445">
        <v>97.49841301665892807315704526</v>
      </c>
      <c r="H40" s="445">
        <v>89.95123650298761686333301022</v>
      </c>
      <c r="I40" s="445">
        <v>92.53699070214171156020233639</v>
      </c>
      <c r="J40" s="445">
        <v>93.90909090911636888888889579</v>
      </c>
      <c r="K40" s="445">
        <v>96.55661088496880569562859605</v>
      </c>
      <c r="L40" s="445">
        <v>99.37469937471002198859341831</v>
      </c>
      <c r="M40" s="445">
        <v>102.60618673734660586543734779</v>
      </c>
      <c r="N40" s="660">
        <v>102.79596815611652222046303743</v>
      </c>
      <c r="O40" s="445">
        <v>100.37043784536139543312045319</v>
      </c>
      <c r="P40" s="445">
        <v>100.40883863112601459342821184</v>
      </c>
      <c r="Q40" s="445">
        <v>115.77095496250072026705646262</v>
      </c>
      <c r="R40" s="445">
        <v>86.16442926672069267468642479</v>
      </c>
      <c r="S40" s="445">
        <v>65.860336033598388206704334180</v>
      </c>
      <c r="T40" s="445">
        <v>103.77221116277980493683351332</v>
      </c>
      <c r="U40" s="445">
        <v>101.17970321063212547725104088</v>
      </c>
      <c r="V40" s="445">
        <v>93.05827241836774407663010529</v>
      </c>
      <c r="W40" s="445">
        <v>103.42814105967307127704667539</v>
      </c>
      <c r="X40" s="446">
        <v>89.13954635111382253480854789</v>
      </c>
      <c r="Y40" s="445">
        <v>97.38720538723178995884774379</v>
      </c>
      <c r="Z40" s="445">
        <v>92.30380730379973016157631605</v>
      </c>
      <c r="AA40" s="445">
        <v>92.76433948569974129984572258</v>
      </c>
      <c r="AB40" s="445">
        <v>101.25224432958460819652689054</v>
      </c>
      <c r="AC40" s="445">
        <v>95.72278579793366323686032206</v>
      </c>
      <c r="AD40" s="447">
        <v>100.08773535959362830161770681</v>
      </c>
      <c r="AE40" s="448"/>
      <c r="AF40" s="444">
        <v>95.82278920285050697093529473</v>
      </c>
      <c r="AG40" s="445">
        <v>99.79370006109982211555671529</v>
      </c>
      <c r="AH40" s="449">
        <v>96.98012830543817670018429070</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181</v>
      </c>
      <c r="C41" s="329">
        <v>139.88336895864410531752602315</v>
      </c>
      <c r="D41" s="330">
        <v>132.40307486631697529195501765</v>
      </c>
      <c r="E41" s="330">
        <v>125.34755449235037969200316164</v>
      </c>
      <c r="F41" s="330">
        <v>120.00750750754171112144086092</v>
      </c>
      <c r="G41" s="330">
        <v>109.85385700737929442993300973</v>
      </c>
      <c r="H41" s="330">
        <v>97.46951219507186139946463014</v>
      </c>
      <c r="I41" s="330">
        <v>98.00528541222778622252815995</v>
      </c>
      <c r="J41" s="330">
        <v>98.90574512453204159093094479</v>
      </c>
      <c r="K41" s="330">
        <v>106.30946634489723924219880114</v>
      </c>
      <c r="L41" s="330">
        <v>106.27772410420436532224412313</v>
      </c>
      <c r="M41" s="330">
        <v>105.48502655307010662774272939</v>
      </c>
      <c r="N41" s="663">
        <v>109.34135039714676528504957960</v>
      </c>
      <c r="O41" s="330">
        <v>103.74081022161029262174594398</v>
      </c>
      <c r="P41" s="330">
        <v>104.26488015221126535804138395</v>
      </c>
      <c r="Q41" s="330">
        <v>121.20810458134486873596593261</v>
      </c>
      <c r="R41" s="330">
        <v>93.70387994649211224760656151</v>
      </c>
      <c r="S41" s="330">
        <v>77.164113412708084913512372890</v>
      </c>
      <c r="T41" s="330">
        <v>116.72573189518939212869865974</v>
      </c>
      <c r="U41" s="330">
        <v>110.04526568461632260867598875</v>
      </c>
      <c r="V41" s="330">
        <v>102.13125228187864516847969290</v>
      </c>
      <c r="W41" s="330">
        <v>111.76799990104472310141100916</v>
      </c>
      <c r="X41" s="331">
        <v>107.65345391571223936975525346</v>
      </c>
      <c r="Y41" s="330">
        <v>103.09735872243365950983428982</v>
      </c>
      <c r="Z41" s="330">
        <v>103.01489233534483692653579363</v>
      </c>
      <c r="AA41" s="330">
        <v>94.95279501540156568003319971</v>
      </c>
      <c r="AB41" s="330">
        <v>104.59468219116207343359075973</v>
      </c>
      <c r="AC41" s="330">
        <v>99.66473786112715913822582861</v>
      </c>
      <c r="AD41" s="338">
        <v>110.44529677379615589022973429</v>
      </c>
      <c r="AE41" s="88"/>
      <c r="AF41" s="329">
        <v>103.27225690583420374303912970</v>
      </c>
      <c r="AG41" s="330">
        <v>107.31333670880116837390974068</v>
      </c>
      <c r="AH41" s="332">
        <v>104.61151617441932271415346376</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275" t="s">
        <v>182</v>
      </c>
      <c r="D44" s="276"/>
      <c r="E44" s="276"/>
      <c r="F44" s="276"/>
      <c r="G44" s="276"/>
      <c r="H44" s="276"/>
      <c r="I44" s="276"/>
      <c r="J44" s="276"/>
      <c r="K44" s="276"/>
      <c r="L44" s="276"/>
      <c r="M44" s="276"/>
      <c r="N44" s="658" t="s">
        <v>179</v>
      </c>
      <c r="O44" s="276"/>
      <c r="P44" s="276"/>
      <c r="Q44" s="276"/>
      <c r="R44" s="276"/>
      <c r="S44" s="277"/>
      <c r="T44" s="277"/>
      <c r="U44" s="277"/>
      <c r="V44" s="277"/>
      <c r="W44" s="277"/>
      <c r="X44" s="312"/>
      <c r="Y44" s="277"/>
      <c r="Z44" s="277"/>
      <c r="AA44" s="277"/>
      <c r="AB44" s="277"/>
      <c r="AC44" s="277"/>
      <c r="AD44" s="336"/>
      <c r="AE44" s="25"/>
      <c r="AF44" s="316" t="s">
        <v>58</v>
      </c>
      <c r="AG44" s="317" t="s">
        <v>59</v>
      </c>
      <c r="AH44" s="318" t="s">
        <v>59</v>
      </c>
      <c r="AI44" s="25"/>
      <c r="AJ44" s="248"/>
      <c r="AK44" s="248"/>
      <c r="AL44" s="248"/>
      <c r="AM44" s="248"/>
      <c r="AN44" s="253"/>
      <c r="AO44" s="253"/>
      <c r="AP44" s="253"/>
      <c r="AQ44" s="253"/>
      <c r="AR44" s="253"/>
      <c r="AS44" s="253"/>
      <c r="AT44" s="253"/>
      <c r="AU44" s="253"/>
      <c r="AV44" s="253"/>
      <c r="AW44" s="253"/>
      <c r="AX44" s="253"/>
      <c r="AY44" s="253"/>
      <c r="AZ44" s="253"/>
      <c r="BA44" s="253"/>
      <c r="BB44" s="253"/>
      <c r="BC44" s="253"/>
      <c r="BD44" s="253"/>
      <c r="BE44" s="253"/>
      <c r="BF44" s="253"/>
      <c r="BG44" s="253"/>
      <c r="BH44" s="253"/>
      <c r="BI44" s="253"/>
      <c r="BJ44" s="253"/>
      <c r="BK44" s="253"/>
    </row>
    <row r="45" s="42" customFormat="1">
      <c r="C45" s="284">
        <v>20</v>
      </c>
      <c r="D45">
        <v>21</v>
      </c>
      <c r="E45">
        <v>22</v>
      </c>
      <c r="F45">
        <v>23</v>
      </c>
      <c r="G45">
        <v>24</v>
      </c>
      <c r="H45">
        <v>25</v>
      </c>
      <c r="I45">
        <v>26</v>
      </c>
      <c r="J45">
        <v>27</v>
      </c>
      <c r="K45">
        <v>28</v>
      </c>
      <c r="L45">
        <v>29</v>
      </c>
      <c r="M45">
        <v>30</v>
      </c>
      <c r="N45" s="717">
        <v>1</v>
      </c>
      <c r="O45">
        <v>2</v>
      </c>
      <c r="P45">
        <v>3</v>
      </c>
      <c r="Q45">
        <v>4</v>
      </c>
      <c r="R45">
        <v>5</v>
      </c>
      <c r="S45">
        <v>6</v>
      </c>
      <c r="T45">
        <v>7</v>
      </c>
      <c r="U45">
        <v>8</v>
      </c>
      <c r="V45">
        <v>9</v>
      </c>
      <c r="W45">
        <v>10</v>
      </c>
      <c r="X45" s="323">
        <v>11</v>
      </c>
      <c r="Y45">
        <v>12</v>
      </c>
      <c r="Z45">
        <v>13</v>
      </c>
      <c r="AA45">
        <v>14</v>
      </c>
      <c r="AB45">
        <v>15</v>
      </c>
      <c r="AC45">
        <v>16</v>
      </c>
      <c r="AD45" s="337">
        <v>17</v>
      </c>
      <c r="AE45" s="25"/>
      <c r="AF45" s="324" t="s">
        <v>60</v>
      </c>
      <c r="AG45" s="325">
        <v>28</v>
      </c>
      <c r="AH45" s="326" t="s">
        <v>31</v>
      </c>
      <c r="AI45" s="25"/>
      <c r="AJ45" s="248"/>
      <c r="AK45" s="248"/>
      <c r="AL45" s="248"/>
      <c r="AM45" s="248"/>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row>
    <row r="46" ht="14.25" customHeight="1">
      <c r="A46" s="1"/>
      <c r="B46" s="46" t="s">
        <v>26</v>
      </c>
      <c r="C46" s="444">
        <v>18.090446241475427334440901840</v>
      </c>
      <c r="D46" s="445">
        <v>-3.6696674169139910869739933300</v>
      </c>
      <c r="E46" s="445">
        <v>13.145518469439849288216761610</v>
      </c>
      <c r="F46" s="445">
        <v>16.637855041190837646312896980</v>
      </c>
      <c r="G46" s="445">
        <v>-10.872699516562128807699044540</v>
      </c>
      <c r="H46" s="445">
        <v>-14.400523315547170799507499070</v>
      </c>
      <c r="I46" s="445">
        <v>-8.382851412605308560382869220</v>
      </c>
      <c r="J46" s="445">
        <v>-19.348837209299212608027392810</v>
      </c>
      <c r="K46" s="445">
        <v>-24.250876763730988655078874840</v>
      </c>
      <c r="L46" s="445">
        <v>-29.208848893916569323172941130</v>
      </c>
      <c r="M46" s="445">
        <v>-19.745896411673937261320690090</v>
      </c>
      <c r="N46" s="660">
        <v>-2.484918127037082506647997600</v>
      </c>
      <c r="O46" s="445">
        <v>1.4855107039742018833236283800</v>
      </c>
      <c r="P46" s="445">
        <v>-0.6140882732377224030514194200</v>
      </c>
      <c r="Q46" s="445">
        <v>16.732518695586574113207105800</v>
      </c>
      <c r="R46" s="445">
        <v>-9.326424870550324119289381200</v>
      </c>
      <c r="S46" s="445">
        <v>-36.505480905255669899503345100</v>
      </c>
      <c r="T46" s="445">
        <v>-3.2909640070687196869757965900</v>
      </c>
      <c r="U46" s="445">
        <v>-13.286120097790223326596087610</v>
      </c>
      <c r="V46" s="445">
        <v>-16.575240656920688799842659870</v>
      </c>
      <c r="W46" s="445">
        <v>11.041144527935163870990114130</v>
      </c>
      <c r="X46" s="446">
        <v>-1.9423720092285074781076023400</v>
      </c>
      <c r="Y46" s="445">
        <v>-5.185185185142696131482349100</v>
      </c>
      <c r="Z46" s="445">
        <v>-5.8574453069682964194652496800</v>
      </c>
      <c r="AA46" s="445">
        <v>-9.520228605736616791509715410</v>
      </c>
      <c r="AB46" s="445">
        <v>11.294772308393707604996401690</v>
      </c>
      <c r="AC46" s="445">
        <v>2.4823106368146046020308760300</v>
      </c>
      <c r="AD46" s="447">
        <v>13.580383787414494217383467040</v>
      </c>
      <c r="AE46" s="448"/>
      <c r="AF46" s="444">
        <v>0.843230948216347322164146400</v>
      </c>
      <c r="AG46" s="445">
        <v>-5.1754673614047149794897841200</v>
      </c>
      <c r="AH46" s="449">
        <v>-4.8392741089564228715893301400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181</v>
      </c>
      <c r="C47" s="329">
        <v>25.457058575230280021744204770</v>
      </c>
      <c r="D47" s="330">
        <v>7.2624559717826886308438303200</v>
      </c>
      <c r="E47" s="330">
        <v>9.146665224449935792543934490</v>
      </c>
      <c r="F47" s="330">
        <v>9.162756581716085030162297610</v>
      </c>
      <c r="G47" s="330">
        <v>-2.7940503238583421290755985100</v>
      </c>
      <c r="H47" s="330">
        <v>-7.4182677535976526642593487800</v>
      </c>
      <c r="I47" s="330">
        <v>-11.680943087038780072365708050</v>
      </c>
      <c r="J47" s="330">
        <v>-30.535475140798621459647289260</v>
      </c>
      <c r="K47" s="330">
        <v>-19.361154491937975351889774650</v>
      </c>
      <c r="L47" s="330">
        <v>-19.218128392701594760544774330</v>
      </c>
      <c r="M47" s="330">
        <v>-20.715005807345851249919794040</v>
      </c>
      <c r="N47" s="663">
        <v>-1.5625880277265683182931155700</v>
      </c>
      <c r="O47" s="330">
        <v>0.0812885628330883442190274200</v>
      </c>
      <c r="P47" s="330">
        <v>-0.4716926781062410330536263200</v>
      </c>
      <c r="Q47" s="330">
        <v>8.576063870296942909276342270</v>
      </c>
      <c r="R47" s="330">
        <v>-12.467908525401669598139821830</v>
      </c>
      <c r="S47" s="330">
        <v>-29.308198290805294364266707410</v>
      </c>
      <c r="T47" s="330">
        <v>5.3270661739031371261693618900</v>
      </c>
      <c r="U47" s="330">
        <v>-2.2213201718433125893766310600</v>
      </c>
      <c r="V47" s="330">
        <v>-14.620067730952732791852707080</v>
      </c>
      <c r="W47" s="330">
        <v>3.3331122773027729238299193600</v>
      </c>
      <c r="X47" s="331">
        <v>-6.0742680865485167664543021400</v>
      </c>
      <c r="Y47" s="330">
        <v>-15.237125464001548249248681390</v>
      </c>
      <c r="Z47" s="330">
        <v>-9.764063239337341280142479200</v>
      </c>
      <c r="AA47" s="330">
        <v>-12.050171916587348230940966440</v>
      </c>
      <c r="AB47" s="330">
        <v>4.8509860434595407061076597700</v>
      </c>
      <c r="AC47" s="330">
        <v>0.3446026647203660902643794600</v>
      </c>
      <c r="AD47" s="338">
        <v>9.336214536905418067480140710</v>
      </c>
      <c r="AE47" s="88"/>
      <c r="AF47" s="329">
        <v>-4.0113534935676521738803956200</v>
      </c>
      <c r="AG47" s="330">
        <v>-5.1805873982386289274324124900</v>
      </c>
      <c r="AH47" s="332">
        <v>-5.4757504753619906643533672500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275" t="s">
        <v>182</v>
      </c>
      <c r="D50" s="276"/>
      <c r="E50" s="276"/>
      <c r="F50" s="276"/>
      <c r="G50" s="276"/>
      <c r="H50" s="276"/>
      <c r="I50" s="276"/>
      <c r="J50" s="276"/>
      <c r="K50" s="276"/>
      <c r="L50" s="276"/>
      <c r="M50" s="276"/>
      <c r="N50" s="658" t="s">
        <v>179</v>
      </c>
      <c r="O50" s="276"/>
      <c r="P50" s="276"/>
      <c r="Q50" s="276"/>
      <c r="R50" s="276"/>
      <c r="S50" s="277"/>
      <c r="T50" s="277"/>
      <c r="U50" s="277"/>
      <c r="V50" s="277"/>
      <c r="W50" s="277"/>
      <c r="X50" s="312"/>
      <c r="Y50" s="277"/>
      <c r="Z50" s="277"/>
      <c r="AA50" s="277"/>
      <c r="AB50" s="277"/>
      <c r="AC50" s="277"/>
      <c r="AD50" s="336"/>
      <c r="AE50" s="25"/>
      <c r="AF50" s="316" t="s">
        <v>58</v>
      </c>
      <c r="AG50" s="317" t="s">
        <v>59</v>
      </c>
      <c r="AH50" s="318" t="s">
        <v>59</v>
      </c>
      <c r="AI50" s="25"/>
      <c r="AJ50" s="248"/>
      <c r="AK50" s="248"/>
      <c r="AL50" s="248"/>
      <c r="AM50" s="248"/>
      <c r="AN50" s="253"/>
      <c r="AO50" s="253"/>
      <c r="AP50" s="253"/>
      <c r="AQ50" s="253"/>
      <c r="AR50" s="253"/>
      <c r="AS50" s="253"/>
      <c r="AT50" s="253"/>
      <c r="AU50" s="253"/>
      <c r="AV50" s="253"/>
      <c r="AW50" s="253"/>
      <c r="AX50" s="253"/>
      <c r="AY50" s="253"/>
      <c r="AZ50" s="253"/>
      <c r="BA50" s="253"/>
      <c r="BB50" s="253"/>
      <c r="BC50" s="253"/>
      <c r="BD50" s="253"/>
      <c r="BE50" s="253"/>
      <c r="BF50" s="253"/>
      <c r="BG50" s="253"/>
      <c r="BH50" s="253"/>
      <c r="BI50" s="253"/>
      <c r="BJ50" s="253"/>
      <c r="BK50" s="253"/>
    </row>
    <row r="51" s="42" customFormat="1">
      <c r="C51" s="284">
        <v>20</v>
      </c>
      <c r="D51">
        <v>21</v>
      </c>
      <c r="E51">
        <v>22</v>
      </c>
      <c r="F51">
        <v>23</v>
      </c>
      <c r="G51">
        <v>24</v>
      </c>
      <c r="H51">
        <v>25</v>
      </c>
      <c r="I51">
        <v>26</v>
      </c>
      <c r="J51">
        <v>27</v>
      </c>
      <c r="K51">
        <v>28</v>
      </c>
      <c r="L51">
        <v>29</v>
      </c>
      <c r="M51">
        <v>30</v>
      </c>
      <c r="N51" s="717">
        <v>1</v>
      </c>
      <c r="O51">
        <v>2</v>
      </c>
      <c r="P51">
        <v>3</v>
      </c>
      <c r="Q51">
        <v>4</v>
      </c>
      <c r="R51">
        <v>5</v>
      </c>
      <c r="S51">
        <v>6</v>
      </c>
      <c r="T51">
        <v>7</v>
      </c>
      <c r="U51">
        <v>8</v>
      </c>
      <c r="V51">
        <v>9</v>
      </c>
      <c r="W51">
        <v>10</v>
      </c>
      <c r="X51" s="323">
        <v>11</v>
      </c>
      <c r="Y51">
        <v>12</v>
      </c>
      <c r="Z51">
        <v>13</v>
      </c>
      <c r="AA51">
        <v>14</v>
      </c>
      <c r="AB51">
        <v>15</v>
      </c>
      <c r="AC51">
        <v>16</v>
      </c>
      <c r="AD51" s="337">
        <v>17</v>
      </c>
      <c r="AE51" s="25"/>
      <c r="AF51" s="324" t="s">
        <v>60</v>
      </c>
      <c r="AG51" s="325">
        <v>28</v>
      </c>
      <c r="AH51" s="326" t="s">
        <v>31</v>
      </c>
      <c r="AI51" s="25"/>
      <c r="AJ51" s="248"/>
      <c r="AK51" s="248"/>
      <c r="AL51" s="248"/>
      <c r="AM51" s="248"/>
      <c r="AN51" s="254"/>
      <c r="AO51" s="254"/>
      <c r="AP51" s="254"/>
      <c r="AQ51" s="254"/>
      <c r="AR51" s="254"/>
      <c r="AS51" s="254"/>
      <c r="AT51" s="254"/>
      <c r="AU51" s="254"/>
      <c r="AV51" s="254"/>
      <c r="AW51" s="254"/>
      <c r="AX51" s="254"/>
      <c r="AY51" s="254"/>
      <c r="AZ51" s="254"/>
      <c r="BA51" s="254"/>
      <c r="BB51" s="254"/>
      <c r="BC51" s="254"/>
      <c r="BD51" s="254"/>
      <c r="BE51" s="254"/>
      <c r="BF51" s="254"/>
      <c r="BG51" s="254"/>
      <c r="BH51" s="254"/>
      <c r="BI51" s="254"/>
      <c r="BJ51" s="254"/>
      <c r="BK51" s="254"/>
    </row>
    <row r="52" ht="14.25" customHeight="1">
      <c r="A52" s="1"/>
      <c r="B52" s="46" t="s">
        <v>56</v>
      </c>
      <c r="C52" s="455" t="s">
        <v>230</v>
      </c>
      <c r="D52" s="456" t="s">
        <v>232</v>
      </c>
      <c r="E52" s="456" t="s">
        <v>232</v>
      </c>
      <c r="F52" s="456" t="s">
        <v>232</v>
      </c>
      <c r="G52" s="456" t="s">
        <v>233</v>
      </c>
      <c r="H52" s="456" t="s">
        <v>233</v>
      </c>
      <c r="I52" s="456" t="s">
        <v>235</v>
      </c>
      <c r="J52" s="456" t="s">
        <v>234</v>
      </c>
      <c r="K52" s="456" t="s">
        <v>233</v>
      </c>
      <c r="L52" s="456" t="s">
        <v>234</v>
      </c>
      <c r="M52" s="456" t="s">
        <v>232</v>
      </c>
      <c r="N52" s="664" t="s">
        <v>236</v>
      </c>
      <c r="O52" s="456" t="s">
        <v>237</v>
      </c>
      <c r="P52" s="456" t="s">
        <v>237</v>
      </c>
      <c r="Q52" s="456" t="s">
        <v>232</v>
      </c>
      <c r="R52" s="456" t="s">
        <v>234</v>
      </c>
      <c r="S52" s="456" t="s">
        <v>235</v>
      </c>
      <c r="T52" s="456" t="s">
        <v>231</v>
      </c>
      <c r="U52" s="456" t="s">
        <v>236</v>
      </c>
      <c r="V52" s="456" t="s">
        <v>238</v>
      </c>
      <c r="W52" s="456" t="s">
        <v>238</v>
      </c>
      <c r="X52" s="457" t="s">
        <v>237</v>
      </c>
      <c r="Y52" s="456" t="s">
        <v>237</v>
      </c>
      <c r="Z52" s="456" t="s">
        <v>237</v>
      </c>
      <c r="AA52" s="456" t="s">
        <v>237</v>
      </c>
      <c r="AB52" s="456" t="s">
        <v>237</v>
      </c>
      <c r="AC52" s="456" t="s">
        <v>238</v>
      </c>
      <c r="AD52" s="458" t="s">
        <v>238</v>
      </c>
      <c r="AE52" s="459"/>
      <c r="AF52" s="455" t="s">
        <v>237</v>
      </c>
      <c r="AG52" s="456" t="s">
        <v>236</v>
      </c>
      <c r="AH52" s="460" t="s">
        <v>237</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231</v>
      </c>
      <c r="D53" s="334" t="s">
        <v>233</v>
      </c>
      <c r="E53" s="334" t="s">
        <v>231</v>
      </c>
      <c r="F53" s="334" t="s">
        <v>231</v>
      </c>
      <c r="G53" s="334" t="s">
        <v>234</v>
      </c>
      <c r="H53" s="334" t="s">
        <v>233</v>
      </c>
      <c r="I53" s="334" t="s">
        <v>233</v>
      </c>
      <c r="J53" s="334" t="s">
        <v>235</v>
      </c>
      <c r="K53" s="334" t="s">
        <v>234</v>
      </c>
      <c r="L53" s="334" t="s">
        <v>235</v>
      </c>
      <c r="M53" s="334" t="s">
        <v>235</v>
      </c>
      <c r="N53" s="665" t="s">
        <v>236</v>
      </c>
      <c r="O53" s="334" t="s">
        <v>231</v>
      </c>
      <c r="P53" s="334" t="s">
        <v>237</v>
      </c>
      <c r="Q53" s="334" t="s">
        <v>232</v>
      </c>
      <c r="R53" s="334" t="s">
        <v>238</v>
      </c>
      <c r="S53" s="334" t="s">
        <v>235</v>
      </c>
      <c r="T53" s="334" t="s">
        <v>238</v>
      </c>
      <c r="U53" s="334" t="s">
        <v>234</v>
      </c>
      <c r="V53" s="334" t="s">
        <v>234</v>
      </c>
      <c r="W53" s="334" t="s">
        <v>232</v>
      </c>
      <c r="X53" s="60" t="s">
        <v>236</v>
      </c>
      <c r="Y53" s="61" t="s">
        <v>237</v>
      </c>
      <c r="Z53" s="61" t="s">
        <v>236</v>
      </c>
      <c r="AA53" s="61" t="s">
        <v>238</v>
      </c>
      <c r="AB53" s="61" t="s">
        <v>230</v>
      </c>
      <c r="AC53" s="61" t="s">
        <v>236</v>
      </c>
      <c r="AD53" s="62" t="s">
        <v>230</v>
      </c>
      <c r="AE53" s="59"/>
      <c r="AF53" s="333" t="s">
        <v>236</v>
      </c>
      <c r="AG53" s="334" t="s">
        <v>234</v>
      </c>
      <c r="AH53" s="335" t="s">
        <v>237</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50" t="s">
        <v>114</v>
      </c>
      <c r="C56" s="650"/>
      <c r="D56" s="650"/>
      <c r="E56" s="650"/>
      <c r="F56" s="650"/>
      <c r="G56" s="650"/>
      <c r="H56" s="650"/>
      <c r="I56" s="650"/>
      <c r="J56" s="650"/>
      <c r="K56" s="650"/>
      <c r="L56" s="650"/>
      <c r="M56" s="650"/>
      <c r="N56" s="650"/>
      <c r="O56" s="650"/>
      <c r="P56" s="650"/>
      <c r="Q56" s="650"/>
      <c r="R56" s="650"/>
      <c r="S56" s="650"/>
      <c r="T56" s="650"/>
      <c r="U56" s="650"/>
      <c r="V56" s="650"/>
      <c r="W56" s="650"/>
      <c r="X56" s="650"/>
      <c r="Y56" s="650"/>
      <c r="Z56" s="650"/>
      <c r="AA56" s="650"/>
      <c r="AB56" s="650"/>
      <c r="AC56" s="650"/>
      <c r="AD56" s="650"/>
      <c r="AE56" s="650"/>
      <c r="AF56" s="650"/>
      <c r="AG56" s="650"/>
      <c r="AH56" s="650"/>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53"/>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c r="Z65" s="248"/>
      <c r="AA65" s="248"/>
      <c r="AB65" s="248"/>
      <c r="AC65" s="248"/>
      <c r="AD65" s="248"/>
      <c r="AE65" s="248"/>
      <c r="AF65" s="248"/>
      <c r="AG65" s="248"/>
      <c r="AH65" s="248"/>
      <c r="AI65" s="248"/>
      <c r="AJ65" s="248"/>
      <c r="AK65" s="248"/>
      <c r="AL65" s="248"/>
      <c r="AM65" s="248"/>
      <c r="AN65" s="248"/>
      <c r="AO65" s="248"/>
      <c r="AP65" s="248"/>
      <c r="AQ65" s="248"/>
      <c r="AR65" s="248"/>
      <c r="AS65" s="248"/>
      <c r="AT65" s="248"/>
      <c r="AU65" s="248"/>
      <c r="AV65" s="248"/>
      <c r="AW65" s="248"/>
      <c r="AX65" s="248"/>
      <c r="AY65" s="248"/>
      <c r="AZ65" s="248"/>
      <c r="BA65" s="248"/>
      <c r="BB65" s="248"/>
      <c r="BC65" s="248"/>
      <c r="BD65" s="248"/>
      <c r="BE65" s="248"/>
      <c r="BF65" s="248"/>
      <c r="BG65" s="248"/>
      <c r="BH65" s="248"/>
      <c r="BI65" s="248"/>
      <c r="BJ65" s="248"/>
      <c r="BK65" s="248"/>
    </row>
    <row r="66" s="25" customFormat="1" ht="10.5" customHeight="1">
      <c r="A66" s="248"/>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8"/>
      <c r="AJ66" s="248"/>
      <c r="AK66" s="248"/>
      <c r="AL66" s="248"/>
      <c r="AM66" s="248"/>
      <c r="AN66" s="248"/>
      <c r="AO66" s="248"/>
      <c r="AP66" s="248"/>
      <c r="AQ66" s="248"/>
      <c r="AR66" s="248"/>
      <c r="AS66" s="248"/>
      <c r="AT66" s="248"/>
      <c r="AU66" s="248"/>
      <c r="AV66" s="248"/>
      <c r="AW66" s="248"/>
      <c r="AX66" s="248"/>
      <c r="AY66" s="248"/>
      <c r="AZ66" s="248"/>
      <c r="BA66" s="248"/>
      <c r="BB66" s="248"/>
      <c r="BC66" s="248"/>
      <c r="BD66" s="248"/>
      <c r="BE66" s="248"/>
      <c r="BF66" s="248"/>
      <c r="BG66" s="248"/>
      <c r="BH66" s="248"/>
      <c r="BI66" s="248"/>
      <c r="BJ66" s="248"/>
      <c r="BK66" s="248"/>
    </row>
    <row r="67" s="25" customFormat="1">
      <c r="A67" s="248"/>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8"/>
      <c r="AJ67" s="248"/>
      <c r="AK67" s="248"/>
      <c r="AL67" s="248"/>
      <c r="AM67" s="248"/>
      <c r="AN67" s="248"/>
      <c r="AO67" s="248"/>
      <c r="AP67" s="248"/>
      <c r="AQ67" s="248"/>
      <c r="AR67" s="248"/>
      <c r="AS67" s="248"/>
      <c r="AT67" s="248"/>
      <c r="AU67" s="248"/>
      <c r="AV67" s="248"/>
      <c r="AW67" s="248"/>
      <c r="AX67" s="248"/>
      <c r="AY67" s="248"/>
      <c r="AZ67" s="248"/>
      <c r="BA67" s="248"/>
      <c r="BB67" s="248"/>
      <c r="BC67" s="248"/>
      <c r="BD67" s="248"/>
      <c r="BE67" s="248"/>
      <c r="BF67" s="248"/>
      <c r="BG67" s="248"/>
      <c r="BH67" s="248"/>
      <c r="BI67" s="248"/>
      <c r="BJ67" s="248"/>
      <c r="BK67" s="248"/>
    </row>
    <row r="68" s="84" customFormat="1">
      <c r="A68" s="249"/>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9"/>
      <c r="AJ68" s="249"/>
      <c r="AK68" s="249"/>
      <c r="AL68" s="249"/>
      <c r="AM68" s="249"/>
      <c r="AN68" s="249"/>
      <c r="AO68" s="249"/>
      <c r="AP68" s="249"/>
      <c r="AQ68" s="249"/>
      <c r="AR68" s="249"/>
      <c r="AS68" s="249"/>
      <c r="AT68" s="249"/>
      <c r="AU68" s="249"/>
      <c r="AV68" s="249"/>
      <c r="AW68" s="249"/>
      <c r="AX68" s="249"/>
      <c r="AY68" s="249"/>
      <c r="AZ68" s="249"/>
      <c r="BA68" s="249"/>
      <c r="BB68" s="249"/>
      <c r="BC68" s="249"/>
      <c r="BD68" s="249"/>
      <c r="BE68" s="249"/>
      <c r="BF68" s="249"/>
      <c r="BG68" s="249"/>
      <c r="BH68" s="249"/>
      <c r="BI68" s="249"/>
      <c r="BJ68" s="249"/>
      <c r="BK68" s="249"/>
    </row>
    <row r="69" s="84" customFormat="1">
      <c r="A69" s="249"/>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9"/>
      <c r="AJ69" s="249"/>
      <c r="AK69" s="249"/>
      <c r="AL69" s="249"/>
      <c r="AM69" s="249"/>
      <c r="AN69" s="249"/>
      <c r="AO69" s="249"/>
      <c r="AP69" s="249"/>
      <c r="AQ69" s="249"/>
      <c r="AR69" s="249"/>
      <c r="AS69" s="249"/>
      <c r="AT69" s="249"/>
      <c r="AU69" s="249"/>
      <c r="AV69" s="249"/>
      <c r="AW69" s="249"/>
      <c r="AX69" s="249"/>
      <c r="AY69" s="249"/>
      <c r="AZ69" s="249"/>
      <c r="BA69" s="249"/>
      <c r="BB69" s="249"/>
      <c r="BC69" s="249"/>
      <c r="BD69" s="249"/>
      <c r="BE69" s="249"/>
      <c r="BF69" s="249"/>
      <c r="BG69" s="249"/>
      <c r="BH69" s="249"/>
      <c r="BI69" s="249"/>
      <c r="BJ69" s="249"/>
      <c r="BK69" s="249"/>
    </row>
    <row r="70" s="84" customFormat="1">
      <c r="A70" s="249"/>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49"/>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45717</v>
      </c>
      <c r="C72" s="666">
        <v>45724</v>
      </c>
      <c r="D72" s="666">
        <v>45731</v>
      </c>
      <c r="E72" s="666">
        <v>45738</v>
      </c>
      <c r="F72" s="666">
        <v>45745</v>
      </c>
      <c r="G72" s="666">
        <v>45752</v>
      </c>
      <c r="H72" s="666">
        <v>45759</v>
      </c>
      <c r="I72" s="666">
        <v>45766</v>
      </c>
      <c r="J72" s="666">
        <v>45773</v>
      </c>
      <c r="K72" s="666">
        <v>45780</v>
      </c>
      <c r="L72" s="666">
        <v>45787</v>
      </c>
      <c r="M72" s="666">
        <v>45794</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92.74891774891774891774891775</v>
      </c>
      <c r="C73" s="666">
        <v>91.34199134199134199134199134</v>
      </c>
      <c r="D73" s="666">
        <v>90.90909090909090909090909091</v>
      </c>
      <c r="E73" s="666">
        <v>90.90909090909090909090909091</v>
      </c>
      <c r="F73" s="666">
        <v>90.25974025974025974025974026</v>
      </c>
      <c r="G73" s="666">
        <v>95.12987012987012987012987013</v>
      </c>
      <c r="H73" s="666">
        <v>93.83116883116883116883116883</v>
      </c>
      <c r="I73" s="666">
        <v>96.21212121212121212121212121</v>
      </c>
      <c r="J73" s="666">
        <v>88.09523809523809523809523810</v>
      </c>
      <c r="K73" s="666">
        <v>94.04761904761904761904761905</v>
      </c>
      <c r="L73" s="666">
        <v>78.138528138528138528138528140</v>
      </c>
      <c r="M73" s="666">
        <v>75.216450216450216450216450220</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94.8001659521504632830867100</v>
      </c>
      <c r="C74" s="666">
        <v>90.78965564928778868759507675</v>
      </c>
      <c r="D74" s="666">
        <v>86.87595076752869589268427603</v>
      </c>
      <c r="E74" s="666">
        <v>89.64181994191674733785091965</v>
      </c>
      <c r="F74" s="666">
        <v>86.69616927119347254874844420</v>
      </c>
      <c r="G74" s="666">
        <v>84.53554261107587542143739360</v>
      </c>
      <c r="H74" s="666">
        <v>93.04383902641405061540589130</v>
      </c>
      <c r="I74" s="666">
        <v>91.06624256672659383211174111</v>
      </c>
      <c r="J74" s="666">
        <v>81.74526344903886046190015212</v>
      </c>
      <c r="K74" s="666">
        <v>94.55123772645553865302171207</v>
      </c>
      <c r="L74" s="666">
        <v>81.39952980224035403125432167</v>
      </c>
      <c r="M74" s="666">
        <v>78.495367169132900013829345870</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ht="14.25">
      <c r="A75" s="260" t="s">
        <v>181</v>
      </c>
      <c r="B75" s="666">
        <v>90.49255441008018327605956472</v>
      </c>
      <c r="C75" s="666">
        <v>85.56403504857113104535784948</v>
      </c>
      <c r="D75" s="666">
        <v>80.40195772154535041132979277</v>
      </c>
      <c r="E75" s="666">
        <v>88.89781467101054729920709302</v>
      </c>
      <c r="F75" s="666">
        <v>84.58071138483509617530236087</v>
      </c>
      <c r="G75" s="666">
        <v>85.23250100504757225175324965</v>
      </c>
      <c r="H75" s="666">
        <v>88.20322623888466866258545958</v>
      </c>
      <c r="I75" s="666">
        <v>81.27262165422941150185441709</v>
      </c>
      <c r="J75" s="666">
        <v>76.013226685732159613923767820</v>
      </c>
      <c r="K75" s="666">
        <v>89.62718024338293340482893189</v>
      </c>
      <c r="L75" s="666">
        <v>74.160299089920610095774312230</v>
      </c>
      <c r="M75" s="666">
        <v>72.833162041795135320315176430</v>
      </c>
      <c r="N75" s="666"/>
      <c r="O75" s="666"/>
      <c r="P75" s="666"/>
      <c r="Q75" s="666"/>
      <c r="R75" s="666"/>
      <c r="S75" s="666"/>
      <c r="T75" s="666"/>
      <c r="U75" s="666"/>
      <c r="V75" s="666"/>
      <c r="W75" s="666"/>
      <c r="X75" s="666"/>
      <c r="Y75" s="666"/>
      <c r="Z75" s="666"/>
      <c r="AA75" s="666"/>
      <c r="AB75" s="666"/>
      <c r="AC75" s="666"/>
      <c r="AD75" s="666"/>
      <c r="AE75" s="666"/>
      <c r="AF75" s="666"/>
      <c r="AG75" s="666"/>
      <c r="AH75" s="666"/>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70"/>
</worksheet>
</file>

<file path=xl/worksheets/sheet6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148</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178</v>
      </c>
      <c r="B4" s="442"/>
      <c r="C4" s="211"/>
      <c r="D4" s="212"/>
      <c r="E4" s="212"/>
      <c r="F4" s="212"/>
      <c r="G4" s="212"/>
      <c r="H4" s="212"/>
      <c r="I4" s="212"/>
      <c r="J4" s="212"/>
      <c r="K4" s="212"/>
      <c r="L4" s="212"/>
      <c r="M4" s="212"/>
      <c r="N4" s="212"/>
      <c r="O4" s="212"/>
      <c r="P4" s="212"/>
      <c r="Q4" s="212"/>
      <c r="R4" s="667" t="s">
        <v>180</v>
      </c>
      <c r="S4" s="667"/>
      <c r="T4" s="667"/>
      <c r="U4" s="667"/>
      <c r="V4" s="667"/>
      <c r="W4" s="667"/>
      <c r="X4" s="667"/>
      <c r="Y4" s="667"/>
      <c r="Z4" s="667"/>
      <c r="AA4" s="66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181</v>
      </c>
      <c r="G9" s="339" t="s">
        <v>63</v>
      </c>
      <c r="H9" s="340" t="s">
        <v>26</v>
      </c>
      <c r="I9" s="341" t="s">
        <v>181</v>
      </c>
      <c r="J9" s="340" t="s">
        <v>63</v>
      </c>
      <c r="K9" s="340" t="s">
        <v>26</v>
      </c>
      <c r="L9" s="341" t="s">
        <v>181</v>
      </c>
      <c r="M9" s="339" t="s">
        <v>63</v>
      </c>
      <c r="N9" s="340" t="s">
        <v>26</v>
      </c>
      <c r="O9" s="341" t="s">
        <v>181</v>
      </c>
      <c r="P9" s="96"/>
      <c r="Q9" s="339" t="s">
        <v>63</v>
      </c>
      <c r="R9" s="340" t="s">
        <v>26</v>
      </c>
      <c r="S9" s="341" t="s">
        <v>181</v>
      </c>
      <c r="T9" s="339" t="s">
        <v>63</v>
      </c>
      <c r="U9" s="340" t="s">
        <v>26</v>
      </c>
      <c r="V9" s="341" t="s">
        <v>181</v>
      </c>
      <c r="W9" s="340"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182</v>
      </c>
      <c r="B10" s="342">
        <v>20</v>
      </c>
      <c r="C10" s="350" t="s">
        <v>49</v>
      </c>
      <c r="D10" s="354">
        <v>92.42424242424242424242424242</v>
      </c>
      <c r="E10" s="355">
        <v>75.992255566311713455953533400</v>
      </c>
      <c r="F10" s="356">
        <v>56.613796847002854000890453920</v>
      </c>
      <c r="G10" s="354">
        <v>0</v>
      </c>
      <c r="H10" s="355">
        <v>0.9680542110358180058083252700</v>
      </c>
      <c r="I10" s="356">
        <v>2.2815199620400097096349129900</v>
      </c>
      <c r="J10" s="355">
        <v>0</v>
      </c>
      <c r="K10" s="355">
        <v>0</v>
      </c>
      <c r="L10" s="356">
        <v>7.1770426946585230061882187400</v>
      </c>
      <c r="M10" s="354">
        <v>92.42424242424242424242424242</v>
      </c>
      <c r="N10" s="355">
        <v>76.960309777347531461761858660</v>
      </c>
      <c r="O10" s="356">
        <v>66.072359503701386716713585650</v>
      </c>
      <c r="P10" s="4"/>
      <c r="Q10" s="354">
        <v>16.190476190409795918367384870</v>
      </c>
      <c r="R10" s="355">
        <v>4.2496679946837616334132264100</v>
      </c>
      <c r="S10" s="356">
        <v>11.039087845751116181224101410</v>
      </c>
      <c r="T10" s="354">
        <v>0</v>
      </c>
      <c r="U10" s="355">
        <v>-77.272727272953512396691962670</v>
      </c>
      <c r="V10" s="356">
        <v>-82.71134500578912594862895660</v>
      </c>
      <c r="W10" s="355">
        <v>0</v>
      </c>
      <c r="X10" s="355">
        <v>-100</v>
      </c>
      <c r="Y10" s="356">
        <v>0.2414444681643113631515658600</v>
      </c>
      <c r="Z10" s="354">
        <v>16.190476190409795918367384870</v>
      </c>
      <c r="AA10" s="355">
        <v>-1.6089108910965369510342117800</v>
      </c>
      <c r="AB10" s="356">
        <v>-7.3862582862909891404114176300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21</v>
      </c>
      <c r="C11" s="351" t="s">
        <v>47</v>
      </c>
      <c r="D11" s="327">
        <v>86.36363636363636363636363636</v>
      </c>
      <c r="E11" s="171">
        <v>74.056147144240077444336882870</v>
      </c>
      <c r="F11" s="328">
        <v>52.086931707243808293657349690</v>
      </c>
      <c r="G11" s="327">
        <v>0</v>
      </c>
      <c r="H11" s="171">
        <v>0.8712487899322362052274927400</v>
      </c>
      <c r="I11" s="328">
        <v>6.7520096657538270010296564400</v>
      </c>
      <c r="J11" s="171">
        <v>0</v>
      </c>
      <c r="K11" s="171">
        <v>0</v>
      </c>
      <c r="L11" s="328">
        <v>6.3888763728057220194616749200</v>
      </c>
      <c r="M11" s="327">
        <v>86.36363636363636363636363636</v>
      </c>
      <c r="N11" s="171">
        <v>74.927395934172313649564375610</v>
      </c>
      <c r="O11" s="328">
        <v>65.227817745803357314148681060</v>
      </c>
      <c r="P11" s="4"/>
      <c r="Q11" s="327">
        <v>-8.064516129038189386056191090</v>
      </c>
      <c r="R11" s="171">
        <v>19.905956112823909700179840040</v>
      </c>
      <c r="S11" s="328">
        <v>7.4063236635557999294174854100</v>
      </c>
      <c r="T11" s="327">
        <v>0</v>
      </c>
      <c r="U11" s="171">
        <v>-94.40993788820712549670150362</v>
      </c>
      <c r="V11" s="328">
        <v>-67.485645746250929820825505710</v>
      </c>
      <c r="W11" s="171">
        <v>0</v>
      </c>
      <c r="X11" s="171">
        <v>-100</v>
      </c>
      <c r="Y11" s="328">
        <v>-6.6059571360220588681482391900</v>
      </c>
      <c r="Z11" s="327">
        <v>-8.064516129038189386056191090</v>
      </c>
      <c r="AA11" s="171">
        <v>-4.5622688039398620387671972700</v>
      </c>
      <c r="AB11" s="328">
        <v>-14.289223532983954699120774810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22</v>
      </c>
      <c r="C12" s="352" t="s">
        <v>48</v>
      </c>
      <c r="D12" s="359">
        <v>89.39393939393939393939393939</v>
      </c>
      <c r="E12" s="170">
        <v>69.215876089060987415295256530</v>
      </c>
      <c r="F12" s="360">
        <v>51.718008733038192008435628220</v>
      </c>
      <c r="G12" s="359">
        <v>0</v>
      </c>
      <c r="H12" s="170">
        <v>0.8712487899322362052274927400</v>
      </c>
      <c r="I12" s="360">
        <v>12.562820863635664396623697610</v>
      </c>
      <c r="J12" s="170">
        <v>0</v>
      </c>
      <c r="K12" s="170">
        <v>0</v>
      </c>
      <c r="L12" s="360">
        <v>7.0360299591597375893103957800</v>
      </c>
      <c r="M12" s="359">
        <v>89.39393939393939393939393939</v>
      </c>
      <c r="N12" s="170">
        <v>70.087124878993223620522749270</v>
      </c>
      <c r="O12" s="360">
        <v>71.316859555833593994369721610</v>
      </c>
      <c r="P12" s="4"/>
      <c r="Q12" s="359">
        <v>-2.4793388430106686701727895100</v>
      </c>
      <c r="R12" s="170">
        <v>8.497723823908383051526587960</v>
      </c>
      <c r="S12" s="360">
        <v>6.859217819869167231937841700</v>
      </c>
      <c r="T12" s="359">
        <v>0</v>
      </c>
      <c r="U12" s="170">
        <v>-94.82758620688941736028536471</v>
      </c>
      <c r="V12" s="360">
        <v>-48.983950552572026242597172900</v>
      </c>
      <c r="W12" s="170">
        <v>0</v>
      </c>
      <c r="X12" s="170">
        <v>-100</v>
      </c>
      <c r="Y12" s="360">
        <v>3.5401958165277150680347501700</v>
      </c>
      <c r="Z12" s="359">
        <v>-2.4793388430106686701727895100</v>
      </c>
      <c r="AA12" s="170">
        <v>-13.809523809514574829931971800</v>
      </c>
      <c r="AB12" s="360">
        <v>-10.651726320278289455319152980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23</v>
      </c>
      <c r="C13" s="351" t="s">
        <v>50</v>
      </c>
      <c r="D13" s="327">
        <v>90.90909090909090909090909091</v>
      </c>
      <c r="E13" s="171">
        <v>73.668925459825750242013552760</v>
      </c>
      <c r="F13" s="328">
        <v>52.398442311293134891815748550</v>
      </c>
      <c r="G13" s="327">
        <v>0.7575757575757575757575757600</v>
      </c>
      <c r="H13" s="171">
        <v>1.1616650532429816069699903200</v>
      </c>
      <c r="I13" s="328">
        <v>18.0057698988995955334423600</v>
      </c>
      <c r="J13" s="171">
        <v>0</v>
      </c>
      <c r="K13" s="171">
        <v>0</v>
      </c>
      <c r="L13" s="328">
        <v>5.9798978930290399845010406600</v>
      </c>
      <c r="M13" s="327">
        <v>91.66666666666666666666666667</v>
      </c>
      <c r="N13" s="171">
        <v>74.830590513068731848983543080</v>
      </c>
      <c r="O13" s="328">
        <v>76.384110103221770409759149200</v>
      </c>
      <c r="P13" s="4"/>
      <c r="Q13" s="327">
        <v>6.1946902654378573106743117800</v>
      </c>
      <c r="R13" s="171">
        <v>16.539050536059492646731234180</v>
      </c>
      <c r="S13" s="328">
        <v>3.2107247360151839669140153800</v>
      </c>
      <c r="T13" s="327">
        <v>0</v>
      </c>
      <c r="U13" s="171">
        <v>-93.51351351352704747991231654</v>
      </c>
      <c r="V13" s="328">
        <v>-10.794531365823317714444776670</v>
      </c>
      <c r="W13" s="171">
        <v>0</v>
      </c>
      <c r="X13" s="171">
        <v>-100</v>
      </c>
      <c r="Y13" s="328">
        <v>-13.548596934756703992682613210</v>
      </c>
      <c r="Z13" s="327">
        <v>7.0796460176498394549299310500</v>
      </c>
      <c r="AA13" s="171">
        <v>-8.194774346775467865787257930</v>
      </c>
      <c r="AB13" s="328">
        <v>-1.9082612323347831985368956600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24</v>
      </c>
      <c r="C14" s="352" t="s">
        <v>51</v>
      </c>
      <c r="D14" s="359">
        <v>84.09090909090909090909090909</v>
      </c>
      <c r="E14" s="170">
        <v>83.25266214908034849951597289</v>
      </c>
      <c r="F14" s="360">
        <v>57.248301001590478231774842170</v>
      </c>
      <c r="G14" s="359">
        <v>1.5151515151515151515151515200</v>
      </c>
      <c r="H14" s="170">
        <v>4.5498547918683446272991287500</v>
      </c>
      <c r="I14" s="360">
        <v>13.416237455290764086358560260</v>
      </c>
      <c r="J14" s="170">
        <v>0</v>
      </c>
      <c r="K14" s="170">
        <v>0</v>
      </c>
      <c r="L14" s="360">
        <v>7.2626849817591497160653255400</v>
      </c>
      <c r="M14" s="359">
        <v>85.60606060606060606060606061</v>
      </c>
      <c r="N14" s="170">
        <v>87.80251694094869312681510165</v>
      </c>
      <c r="O14" s="360">
        <v>77.927223438640392034198727970</v>
      </c>
      <c r="P14" s="4"/>
      <c r="Q14" s="359">
        <v>-13.953488372117036235803130130</v>
      </c>
      <c r="R14" s="170">
        <v>19.113573407178459342699953320</v>
      </c>
      <c r="S14" s="360">
        <v>15.609923497039819326652582760</v>
      </c>
      <c r="T14" s="359">
        <v>99.99999999360000000020480064</v>
      </c>
      <c r="U14" s="170">
        <v>-76.732673267298742770316601960</v>
      </c>
      <c r="V14" s="360">
        <v>-57.210874167867344813922736040</v>
      </c>
      <c r="W14" s="170">
        <v>0</v>
      </c>
      <c r="X14" s="170">
        <v>-100</v>
      </c>
      <c r="Y14" s="360">
        <v>15.775357160211123445483622480</v>
      </c>
      <c r="Z14" s="359">
        <v>-13.076923076880284023668617980</v>
      </c>
      <c r="AA14" s="170">
        <v>-2.4731182795362299687825065900</v>
      </c>
      <c r="AB14" s="360">
        <v>-10.578439681184824789534688870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25</v>
      </c>
      <c r="C15" s="351" t="s">
        <v>52</v>
      </c>
      <c r="D15" s="327">
        <v>81.06060606060606060606060606</v>
      </c>
      <c r="E15" s="171">
        <v>84.80154888673765730880929332</v>
      </c>
      <c r="F15" s="328">
        <v>66.025031101911095753490537870</v>
      </c>
      <c r="G15" s="327">
        <v>2.2727272727272727272727272700</v>
      </c>
      <c r="H15" s="171">
        <v>7.8412391093901258470474346600</v>
      </c>
      <c r="I15" s="328">
        <v>12.299093767813624616550134090</v>
      </c>
      <c r="J15" s="171">
        <v>0</v>
      </c>
      <c r="K15" s="171">
        <v>0</v>
      </c>
      <c r="L15" s="328">
        <v>7.1726950656313426056657194500</v>
      </c>
      <c r="M15" s="327">
        <v>83.33333333333333333333333333</v>
      </c>
      <c r="N15" s="171">
        <v>92.64278799612778315585672798</v>
      </c>
      <c r="O15" s="328">
        <v>85.49681993535606297570639141</v>
      </c>
      <c r="P15" s="4"/>
      <c r="Q15" s="327">
        <v>-12.295081967172856758935751480</v>
      </c>
      <c r="R15" s="171">
        <v>6.43985419204444870956363300</v>
      </c>
      <c r="S15" s="328">
        <v>3.7176494602418049688290677900</v>
      </c>
      <c r="T15" s="327">
        <v>199.99999999040000000030719964</v>
      </c>
      <c r="U15" s="171">
        <v>-8.988764044745436182299782140</v>
      </c>
      <c r="V15" s="328">
        <v>-30.750308920525841220854622600</v>
      </c>
      <c r="W15" s="171">
        <v>0</v>
      </c>
      <c r="X15" s="171">
        <v>-100</v>
      </c>
      <c r="Y15" s="328">
        <v>1.1647203110940066981783191500</v>
      </c>
      <c r="Z15" s="327">
        <v>-10.569105691039460638508820710</v>
      </c>
      <c r="AA15" s="171">
        <v>4.4759825327286225234072625200</v>
      </c>
      <c r="AB15" s="328">
        <v>-3.4033041519968870730140816200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26</v>
      </c>
      <c r="C16" s="352" t="s">
        <v>53</v>
      </c>
      <c r="D16" s="359">
        <v>85.60606060606060606060606061</v>
      </c>
      <c r="E16" s="170">
        <v>85.47918683446272991287512101</v>
      </c>
      <c r="F16" s="360">
        <v>69.11173963683363177922882700</v>
      </c>
      <c r="G16" s="359">
        <v>2.2727272727272727272727272700</v>
      </c>
      <c r="H16" s="170">
        <v>9.486931268151016456921587610</v>
      </c>
      <c r="I16" s="360">
        <v>13.089586687265916698516293480</v>
      </c>
      <c r="J16" s="170">
        <v>0</v>
      </c>
      <c r="K16" s="170">
        <v>0</v>
      </c>
      <c r="L16" s="360">
        <v>7.4660701934690053748249973400</v>
      </c>
      <c r="M16" s="359">
        <v>87.87878787878787878787878788</v>
      </c>
      <c r="N16" s="170">
        <v>94.96611810261374636979670862</v>
      </c>
      <c r="O16" s="360">
        <v>89.66739651756855385257011782</v>
      </c>
      <c r="P16" s="4"/>
      <c r="Q16" s="359">
        <v>-7.3770491802853533996237375400</v>
      </c>
      <c r="R16" s="170">
        <v>0.6841505131617918450611253400</v>
      </c>
      <c r="S16" s="360">
        <v>-1.0805214258403951066754367900</v>
      </c>
      <c r="T16" s="359">
        <v>199.99999999040000000030719964</v>
      </c>
      <c r="U16" s="170">
        <v>44.117647059777249134954408280</v>
      </c>
      <c r="V16" s="360">
        <v>86.84546181993177572311149098</v>
      </c>
      <c r="W16" s="170">
        <v>0</v>
      </c>
      <c r="X16" s="170">
        <v>-100</v>
      </c>
      <c r="Y16" s="360">
        <v>5.1547536867372964070866844700</v>
      </c>
      <c r="Z16" s="359">
        <v>-5.6910569105507039460638472900</v>
      </c>
      <c r="AA16" s="170">
        <v>2.938090241358141022606032300</v>
      </c>
      <c r="AB16" s="360">
        <v>6.7820993405364567717993172300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27</v>
      </c>
      <c r="C17" s="351" t="s">
        <v>49</v>
      </c>
      <c r="D17" s="327">
        <v>78.030303030303030303030303030</v>
      </c>
      <c r="E17" s="171">
        <v>81.12294288480154888673765731</v>
      </c>
      <c r="F17" s="328">
        <v>57.002132688529009529541966710</v>
      </c>
      <c r="G17" s="327">
        <v>3.7878787878787878787878787900</v>
      </c>
      <c r="H17" s="171">
        <v>6.0019361084220716360116166500</v>
      </c>
      <c r="I17" s="328">
        <v>18.500131629292767106280716770</v>
      </c>
      <c r="J17" s="171">
        <v>0</v>
      </c>
      <c r="K17" s="171">
        <v>0</v>
      </c>
      <c r="L17" s="328">
        <v>7.2211221903629799067693298600</v>
      </c>
      <c r="M17" s="327">
        <v>81.81818181818181818181818182</v>
      </c>
      <c r="N17" s="171">
        <v>87.12487899322362052274927396</v>
      </c>
      <c r="O17" s="328">
        <v>82.72338650818475654259201335</v>
      </c>
      <c r="P17" s="4"/>
      <c r="Q17" s="327">
        <v>-17.600000000026367999999991560</v>
      </c>
      <c r="R17" s="171">
        <v>20.057306590258051658032364270</v>
      </c>
      <c r="S17" s="328">
        <v>11.891654121136714243778896710</v>
      </c>
      <c r="T17" s="327">
        <v>25.000000000125000000000125070</v>
      </c>
      <c r="U17" s="171">
        <v>-61.006289308253352319923900590</v>
      </c>
      <c r="V17" s="328">
        <v>63.867428097075340808009007350</v>
      </c>
      <c r="W17" s="171">
        <v>0</v>
      </c>
      <c r="X17" s="171">
        <v>-100</v>
      </c>
      <c r="Y17" s="328">
        <v>12.775229353701075023496448100</v>
      </c>
      <c r="Z17" s="327">
        <v>-16.279069767465224445646288770</v>
      </c>
      <c r="AA17" s="171">
        <v>3.8062283737091270458926501900</v>
      </c>
      <c r="AB17" s="328">
        <v>20.523289264886880503267437580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28</v>
      </c>
      <c r="C18" s="352" t="s">
        <v>47</v>
      </c>
      <c r="D18" s="359">
        <v>76.515151515151515151515151520</v>
      </c>
      <c r="E18" s="170">
        <v>83.63988383349467570183930300</v>
      </c>
      <c r="F18" s="360">
        <v>55.331492607082184886226474620</v>
      </c>
      <c r="G18" s="359">
        <v>17.424242424242424242424242420</v>
      </c>
      <c r="H18" s="170">
        <v>13.649564375605033881897386250</v>
      </c>
      <c r="I18" s="360">
        <v>25.873195996598148904644541990</v>
      </c>
      <c r="J18" s="170">
        <v>0</v>
      </c>
      <c r="K18" s="170">
        <v>0</v>
      </c>
      <c r="L18" s="360">
        <v>7.159402731946816662679186700</v>
      </c>
      <c r="M18" s="359">
        <v>93.93939393939393939393939394</v>
      </c>
      <c r="N18" s="170">
        <v>97.28944820909970958373668925</v>
      </c>
      <c r="O18" s="360">
        <v>88.36409133562715045355020332</v>
      </c>
      <c r="P18" s="4"/>
      <c r="Q18" s="359">
        <v>-4.7169811320395158419366186800</v>
      </c>
      <c r="R18" s="170">
        <v>52.112676056433366395556496970</v>
      </c>
      <c r="S18" s="360">
        <v>22.957329091590720161011101240</v>
      </c>
      <c r="T18" s="359">
        <v>43.750000000143750000000143720</v>
      </c>
      <c r="U18" s="170">
        <v>-14.545454545502710743801625770</v>
      </c>
      <c r="V18" s="360">
        <v>38.373782381617063722885315540</v>
      </c>
      <c r="W18" s="170">
        <v>0</v>
      </c>
      <c r="X18" s="170">
        <v>-100</v>
      </c>
      <c r="Y18" s="360">
        <v>11.728039479801472761196980790</v>
      </c>
      <c r="Z18" s="359">
        <v>1.6393442623417360924482880100</v>
      </c>
      <c r="AA18" s="170">
        <v>34.178905206910702476466181430</v>
      </c>
      <c r="AB18" s="360">
        <v>26.042658004238101892864731910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29</v>
      </c>
      <c r="C19" s="351" t="s">
        <v>48</v>
      </c>
      <c r="D19" s="327">
        <v>78.787878787878787878787878790</v>
      </c>
      <c r="E19" s="171">
        <v>84.02710551790900290416263311</v>
      </c>
      <c r="F19" s="328">
        <v>56.099839876039360845703593070</v>
      </c>
      <c r="G19" s="327">
        <v>18.181818181818181818181818180</v>
      </c>
      <c r="H19" s="171">
        <v>13.552758954501452081316553730</v>
      </c>
      <c r="I19" s="328">
        <v>28.087672185580945134053481320</v>
      </c>
      <c r="J19" s="171">
        <v>0</v>
      </c>
      <c r="K19" s="171">
        <v>0</v>
      </c>
      <c r="L19" s="328">
        <v>7.0542771157334631788291001500</v>
      </c>
      <c r="M19" s="327">
        <v>96.96969696969696969696969697</v>
      </c>
      <c r="N19" s="171">
        <v>97.57986447241045498547918683</v>
      </c>
      <c r="O19" s="328">
        <v>91.24178917735376915858617454</v>
      </c>
      <c r="P19" s="4"/>
      <c r="Q19" s="327">
        <v>-4.5871559633517717363858009200</v>
      </c>
      <c r="R19" s="171">
        <v>66.283524904114852982193509680</v>
      </c>
      <c r="S19" s="328">
        <v>27.730062409212217000355188240</v>
      </c>
      <c r="T19" s="327">
        <v>33.333333332977777777778725910</v>
      </c>
      <c r="U19" s="171">
        <v>-21.348314606570130034086231500</v>
      </c>
      <c r="V19" s="328">
        <v>25.108482819442185908859691870</v>
      </c>
      <c r="W19" s="171">
        <v>0</v>
      </c>
      <c r="X19" s="171">
        <v>-100</v>
      </c>
      <c r="Y19" s="328">
        <v>4.3576393370229574586886735100</v>
      </c>
      <c r="Z19" s="327">
        <v>0.7874015748253704507409063800</v>
      </c>
      <c r="AA19" s="171">
        <v>42.372881356006808388394178700</v>
      </c>
      <c r="AB19" s="328">
        <v>24.764875546201741580703805260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30</v>
      </c>
      <c r="C20" s="352" t="s">
        <v>50</v>
      </c>
      <c r="D20" s="359">
        <v>76.515151515151515151515151520</v>
      </c>
      <c r="E20" s="170">
        <v>76.379477250726040658276863500</v>
      </c>
      <c r="F20" s="360">
        <v>54.094301968981529039563151340</v>
      </c>
      <c r="G20" s="359">
        <v>18.939393939393939393939393940</v>
      </c>
      <c r="H20" s="170">
        <v>16.650532429816069699903194580</v>
      </c>
      <c r="I20" s="360">
        <v>29.427644958036148414194848560</v>
      </c>
      <c r="J20" s="170">
        <v>0</v>
      </c>
      <c r="K20" s="170">
        <v>0</v>
      </c>
      <c r="L20" s="360">
        <v>6.9691384655378433469927038900</v>
      </c>
      <c r="M20" s="359">
        <v>95.45454545454545454545454545</v>
      </c>
      <c r="N20" s="170">
        <v>93.03000968054211035818005808</v>
      </c>
      <c r="O20" s="360">
        <v>90.49108539255552080075070378</v>
      </c>
      <c r="P20" s="4"/>
      <c r="Q20" s="359">
        <v>-4.7169811320395158419366186800</v>
      </c>
      <c r="R20" s="170">
        <v>36.741767764216569899287884740</v>
      </c>
      <c r="S20" s="360">
        <v>9.194223034537472993413783400</v>
      </c>
      <c r="T20" s="359">
        <v>38.888888888518518518519506180</v>
      </c>
      <c r="U20" s="170">
        <v>-2.27272727255291838842944100</v>
      </c>
      <c r="V20" s="360">
        <v>102.55605171858691488397314761</v>
      </c>
      <c r="W20" s="170">
        <v>0</v>
      </c>
      <c r="X20" s="170">
        <v>-100</v>
      </c>
      <c r="Y20" s="360">
        <v>6.5723025201884735766304479700</v>
      </c>
      <c r="Z20" s="359">
        <v>1.6129032257998959417273677400</v>
      </c>
      <c r="AA20" s="170">
        <v>26.613965744432555838501885440</v>
      </c>
      <c r="AB20" s="360">
        <v>28.161582479037623434323029550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t="s">
        <v>179</v>
      </c>
      <c r="B21" s="668">
        <v>1</v>
      </c>
      <c r="C21" s="669" t="s">
        <v>51</v>
      </c>
      <c r="D21" s="670">
        <v>79.54545454545454545454545455</v>
      </c>
      <c r="E21" s="671">
        <v>78.606001936108422071636011620</v>
      </c>
      <c r="F21" s="672">
        <v>55.421713648655821470073403580</v>
      </c>
      <c r="G21" s="670">
        <v>14.393939393939393939393939390</v>
      </c>
      <c r="H21" s="671">
        <v>12.778315585672797676669893510</v>
      </c>
      <c r="I21" s="672">
        <v>23.089690834792349616536114170</v>
      </c>
      <c r="J21" s="671">
        <v>0</v>
      </c>
      <c r="K21" s="671">
        <v>0</v>
      </c>
      <c r="L21" s="672">
        <v>7.402473110129140976783246300</v>
      </c>
      <c r="M21" s="670">
        <v>93.93939393939393939393939394</v>
      </c>
      <c r="N21" s="671">
        <v>91.38431752178121974830590513</v>
      </c>
      <c r="O21" s="672">
        <v>85.91387759357731206339276405</v>
      </c>
      <c r="P21" s="4"/>
      <c r="Q21" s="670">
        <v>52.173913043557655954631421390</v>
      </c>
      <c r="R21" s="671">
        <v>14.851485148569109471060285840</v>
      </c>
      <c r="S21" s="672">
        <v>-6.343027383753841513965360500</v>
      </c>
      <c r="T21" s="670">
        <v>-61.224489795905705955851724320</v>
      </c>
      <c r="U21" s="671">
        <v>-18.518518518621124828532106760</v>
      </c>
      <c r="V21" s="672">
        <v>48.337916226513847333659003220</v>
      </c>
      <c r="W21" s="671">
        <v>0</v>
      </c>
      <c r="X21" s="671">
        <v>-100</v>
      </c>
      <c r="Y21" s="672">
        <v>28.998526925245137038348084360</v>
      </c>
      <c r="Z21" s="670">
        <v>5.0847457627581729388107069900</v>
      </c>
      <c r="AA21" s="671">
        <v>7.762557077673424240528784200</v>
      </c>
      <c r="AB21" s="672">
        <v>6.752853063922516898758833500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2</v>
      </c>
      <c r="C22" s="352" t="s">
        <v>52</v>
      </c>
      <c r="D22" s="359">
        <v>72.727272727272727272727272730</v>
      </c>
      <c r="E22" s="170">
        <v>88.38334946757018393030009681</v>
      </c>
      <c r="F22" s="360">
        <v>65.084777030796203292524099460</v>
      </c>
      <c r="G22" s="359">
        <v>24.242424242424242424242424240</v>
      </c>
      <c r="H22" s="170">
        <v>8.228460793804453049370764760</v>
      </c>
      <c r="I22" s="360">
        <v>21.374824817308898992455278680</v>
      </c>
      <c r="J22" s="170">
        <v>0</v>
      </c>
      <c r="K22" s="170">
        <v>0</v>
      </c>
      <c r="L22" s="360">
        <v>7.0134458007323494927288900300</v>
      </c>
      <c r="M22" s="359">
        <v>96.96969696969696969696969697</v>
      </c>
      <c r="N22" s="170">
        <v>96.61181026137463697967086157</v>
      </c>
      <c r="O22" s="360">
        <v>93.47304764883745177770826817</v>
      </c>
      <c r="P22" s="4"/>
      <c r="Q22" s="359">
        <v>88.23529411746989619377179305</v>
      </c>
      <c r="R22" s="170">
        <v>18.417639429251605962576636990</v>
      </c>
      <c r="S22" s="360">
        <v>-4.3469495924426234777671395400</v>
      </c>
      <c r="T22" s="359">
        <v>-57.333333333346986666666662300</v>
      </c>
      <c r="U22" s="170">
        <v>-59.715639810513791244581019910</v>
      </c>
      <c r="V22" s="360">
        <v>23.713978480494478430257603450</v>
      </c>
      <c r="W22" s="170">
        <v>0</v>
      </c>
      <c r="X22" s="170">
        <v>-100</v>
      </c>
      <c r="Y22" s="360">
        <v>3.6394335904529051607346582700</v>
      </c>
      <c r="Z22" s="359">
        <v>1.5873015873499622071050872800</v>
      </c>
      <c r="AA22" s="170">
        <v>0.1003009026781043229990965400</v>
      </c>
      <c r="AB22" s="360">
        <v>1.5047898024949222668993360300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3</v>
      </c>
      <c r="C23" s="351" t="s">
        <v>53</v>
      </c>
      <c r="D23" s="327">
        <v>75.757575757575757575757575760</v>
      </c>
      <c r="E23" s="171">
        <v>91.09390125847047434656340755</v>
      </c>
      <c r="F23" s="328">
        <v>67.933844282203036923196286260</v>
      </c>
      <c r="G23" s="327">
        <v>23.484848484848484848484848480</v>
      </c>
      <c r="H23" s="171">
        <v>7.7444336882865440464666021300</v>
      </c>
      <c r="I23" s="328">
        <v>20.250549766157503057391579770</v>
      </c>
      <c r="J23" s="171">
        <v>0</v>
      </c>
      <c r="K23" s="171">
        <v>0</v>
      </c>
      <c r="L23" s="328">
        <v>6.9985899991840330566345299700</v>
      </c>
      <c r="M23" s="327">
        <v>99.24242424242424242424242424</v>
      </c>
      <c r="N23" s="171">
        <v>98.83833494675701839303000968</v>
      </c>
      <c r="O23" s="328">
        <v>95.18298404754457303722239600</v>
      </c>
      <c r="P23" s="4"/>
      <c r="Q23" s="327">
        <v>96.07843137236447520184561776</v>
      </c>
      <c r="R23" s="171">
        <v>24.142480211107179530913880750</v>
      </c>
      <c r="S23" s="328">
        <v>1.1665911086107765816596473100</v>
      </c>
      <c r="T23" s="327">
        <v>-58.666666666679893333333329110</v>
      </c>
      <c r="U23" s="171">
        <v>-60.784313725429257977700789580</v>
      </c>
      <c r="V23" s="328">
        <v>11.224958666332641373032404970</v>
      </c>
      <c r="W23" s="171">
        <v>0</v>
      </c>
      <c r="X23" s="171">
        <v>-100</v>
      </c>
      <c r="Y23" s="328">
        <v>21.484348854461645308436164870</v>
      </c>
      <c r="Z23" s="327">
        <v>3.9682539683034769463341127600</v>
      </c>
      <c r="AA23" s="171">
        <v>4.6106557377003091616836873800</v>
      </c>
      <c r="AB23" s="328">
        <v>4.4609888039548665566495622400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4</v>
      </c>
      <c r="C24" s="352" t="s">
        <v>49</v>
      </c>
      <c r="D24" s="359">
        <v>76.515151515151515151515151520</v>
      </c>
      <c r="E24" s="170">
        <v>74.443368828654404646660212970</v>
      </c>
      <c r="F24" s="360">
        <v>54.630372745427696619627655140</v>
      </c>
      <c r="G24" s="359">
        <v>21.212121212121212121212121210</v>
      </c>
      <c r="H24" s="170">
        <v>9.970958373668925459825750240</v>
      </c>
      <c r="I24" s="360">
        <v>18.191350924508397946535806810</v>
      </c>
      <c r="J24" s="170">
        <v>0</v>
      </c>
      <c r="K24" s="170">
        <v>0</v>
      </c>
      <c r="L24" s="360">
        <v>7.8059481056868853108045288700</v>
      </c>
      <c r="M24" s="359">
        <v>97.72727272727272727272727273</v>
      </c>
      <c r="N24" s="170">
        <v>84.41432720232333010648596321</v>
      </c>
      <c r="O24" s="360">
        <v>80.62767177562297987696799082</v>
      </c>
      <c r="P24" s="4"/>
      <c r="Q24" s="359">
        <v>42.253521126704463400119046140</v>
      </c>
      <c r="R24" s="170">
        <v>6.6574202496264840595489841900</v>
      </c>
      <c r="S24" s="360">
        <v>-2.7610339571731079166450604900</v>
      </c>
      <c r="T24" s="359">
        <v>-41.666666666608333333333275010</v>
      </c>
      <c r="U24" s="170">
        <v>-48.499999999956482499999963240</v>
      </c>
      <c r="V24" s="360">
        <v>3.1766299910856962556518867700</v>
      </c>
      <c r="W24" s="170">
        <v>0</v>
      </c>
      <c r="X24" s="170">
        <v>-100</v>
      </c>
      <c r="Y24" s="360">
        <v>12.424374272302030043702754700</v>
      </c>
      <c r="Z24" s="359">
        <v>8.403361344556034178377236310</v>
      </c>
      <c r="AA24" s="170">
        <v>-7.1352502662781637275283073300</v>
      </c>
      <c r="AB24" s="360">
        <v>-0.1590613249535624750779269100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5</v>
      </c>
      <c r="C25" s="351" t="s">
        <v>47</v>
      </c>
      <c r="D25" s="327">
        <v>64.393939393939393939393939390</v>
      </c>
      <c r="E25" s="171">
        <v>59.632139399806389157792836400</v>
      </c>
      <c r="F25" s="328">
        <v>45.532573829738610979336179670</v>
      </c>
      <c r="G25" s="327">
        <v>0</v>
      </c>
      <c r="H25" s="171">
        <v>15.101645692158760890609874150</v>
      </c>
      <c r="I25" s="328">
        <v>16.837444311202878017834814770</v>
      </c>
      <c r="J25" s="171">
        <v>0</v>
      </c>
      <c r="K25" s="171">
        <v>0</v>
      </c>
      <c r="L25" s="328">
        <v>6.3506574924648294263510574800</v>
      </c>
      <c r="M25" s="327">
        <v>64.393939393939393939393939390</v>
      </c>
      <c r="N25" s="171">
        <v>74.733785091965150048402710550</v>
      </c>
      <c r="O25" s="328">
        <v>68.720675633406318423522051920</v>
      </c>
      <c r="P25" s="4"/>
      <c r="Q25" s="327">
        <v>-16.666666666637254901960773940</v>
      </c>
      <c r="R25" s="171">
        <v>-13.117066290500073008528242640</v>
      </c>
      <c r="S25" s="328">
        <v>-7.1269800707140811215025947500</v>
      </c>
      <c r="T25" s="327">
        <v>0</v>
      </c>
      <c r="U25" s="171">
        <v>33.333333333557834757835135820</v>
      </c>
      <c r="V25" s="328">
        <v>-2.9342764217110140689054386700</v>
      </c>
      <c r="W25" s="171">
        <v>0</v>
      </c>
      <c r="X25" s="171">
        <v>-100</v>
      </c>
      <c r="Y25" s="328">
        <v>9.304881543958475809066861830</v>
      </c>
      <c r="Z25" s="327">
        <v>-16.666666666637254901960773940</v>
      </c>
      <c r="AA25" s="171">
        <v>-8.095238095228248299319726840</v>
      </c>
      <c r="AB25" s="328">
        <v>-4.796821452065012499889814300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6</v>
      </c>
      <c r="C26" s="352" t="s">
        <v>48</v>
      </c>
      <c r="D26" s="359">
        <v>51.515151515151515151515151520</v>
      </c>
      <c r="E26" s="170">
        <v>60.890609874152952565343659240</v>
      </c>
      <c r="F26" s="360">
        <v>44.128863729599232217048569410</v>
      </c>
      <c r="G26" s="359">
        <v>0</v>
      </c>
      <c r="H26" s="170">
        <v>17.328170377541142303969022270</v>
      </c>
      <c r="I26" s="360">
        <v>15.235234958573719503212398130</v>
      </c>
      <c r="J26" s="170">
        <v>0</v>
      </c>
      <c r="K26" s="170">
        <v>0</v>
      </c>
      <c r="L26" s="360">
        <v>7.3964059515934959911351329700</v>
      </c>
      <c r="M26" s="359">
        <v>51.515151515151515151515151520</v>
      </c>
      <c r="N26" s="170">
        <v>78.218780251694094869312681510</v>
      </c>
      <c r="O26" s="360">
        <v>66.760504639766447711396100510</v>
      </c>
      <c r="P26" s="4"/>
      <c r="Q26" s="359">
        <v>-35.849056603749377002491980890</v>
      </c>
      <c r="R26" s="170">
        <v>-12.638888888915339891975300640</v>
      </c>
      <c r="S26" s="360">
        <v>-15.153466849451690153924618550</v>
      </c>
      <c r="T26" s="359">
        <v>-100</v>
      </c>
      <c r="U26" s="170">
        <v>55.652173913209958412098476780</v>
      </c>
      <c r="V26" s="360">
        <v>-21.746444429033624673654089570</v>
      </c>
      <c r="W26" s="170">
        <v>0</v>
      </c>
      <c r="X26" s="170">
        <v>-100</v>
      </c>
      <c r="Y26" s="360">
        <v>18.297998196259905064356037850</v>
      </c>
      <c r="Z26" s="359">
        <v>-39.285714285725127551020406220</v>
      </c>
      <c r="AA26" s="170">
        <v>-4.3786982248209516473512730900</v>
      </c>
      <c r="AB26" s="360">
        <v>-14.114106238227832292526017410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7</v>
      </c>
      <c r="C27" s="351" t="s">
        <v>50</v>
      </c>
      <c r="D27" s="327">
        <v>71.969696969696969696969696970</v>
      </c>
      <c r="E27" s="171">
        <v>65.44046466602129719264278800</v>
      </c>
      <c r="F27" s="328">
        <v>48.818980811561675825111934450</v>
      </c>
      <c r="G27" s="327">
        <v>10.606060606060606060606060610</v>
      </c>
      <c r="H27" s="171">
        <v>14.133591481122942884801548890</v>
      </c>
      <c r="I27" s="328">
        <v>14.899226813686404838869668390</v>
      </c>
      <c r="J27" s="171">
        <v>0</v>
      </c>
      <c r="K27" s="171">
        <v>0</v>
      </c>
      <c r="L27" s="328">
        <v>7.0251976505312958348193563900</v>
      </c>
      <c r="M27" s="327">
        <v>82.57575757575757575757575758</v>
      </c>
      <c r="N27" s="171">
        <v>79.57405614714424007744433688</v>
      </c>
      <c r="O27" s="328">
        <v>70.743405275779376498800959230</v>
      </c>
      <c r="P27" s="4"/>
      <c r="Q27" s="327">
        <v>-4.0404040404040404040404040400</v>
      </c>
      <c r="R27" s="171">
        <v>-6.6298342541526739110527752900</v>
      </c>
      <c r="S27" s="328">
        <v>-9.905746601475595587775346070</v>
      </c>
      <c r="T27" s="327">
        <v>-17.647058823606920415224840510</v>
      </c>
      <c r="U27" s="171">
        <v>28.070175438693105570944979040</v>
      </c>
      <c r="V27" s="328">
        <v>-24.088827054326355027925042130</v>
      </c>
      <c r="W27" s="171">
        <v>0</v>
      </c>
      <c r="X27" s="171">
        <v>-100</v>
      </c>
      <c r="Y27" s="328">
        <v>28.118146626324980601430496620</v>
      </c>
      <c r="Z27" s="327">
        <v>-6.0344827586336504161712229400</v>
      </c>
      <c r="AA27" s="171">
        <v>-2.8368794325882802675921602200</v>
      </c>
      <c r="AB27" s="328">
        <v>-10.786922436221479292556481790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8</v>
      </c>
      <c r="C28" s="352" t="s">
        <v>51</v>
      </c>
      <c r="D28" s="359">
        <v>75.00</v>
      </c>
      <c r="E28" s="170">
        <v>76.379477250726040658276863500</v>
      </c>
      <c r="F28" s="360">
        <v>58.694602607898433429052249110</v>
      </c>
      <c r="G28" s="359">
        <v>10.606060606060606060606060610</v>
      </c>
      <c r="H28" s="170">
        <v>8.228460793804453049370764760</v>
      </c>
      <c r="I28" s="360">
        <v>11.316786424782253423199056450</v>
      </c>
      <c r="J28" s="170">
        <v>0</v>
      </c>
      <c r="K28" s="170">
        <v>0</v>
      </c>
      <c r="L28" s="360">
        <v>7.7802906670377992284493513100</v>
      </c>
      <c r="M28" s="359">
        <v>85.60606060606060606060606061</v>
      </c>
      <c r="N28" s="170">
        <v>84.60793804453049370764762827</v>
      </c>
      <c r="O28" s="360">
        <v>77.791679699718486080700656870</v>
      </c>
      <c r="P28" s="4"/>
      <c r="Q28" s="359">
        <v>-1.0000000000316799999999898600</v>
      </c>
      <c r="R28" s="170">
        <v>4.6419098143245789036720162700</v>
      </c>
      <c r="S28" s="360">
        <v>-1.6750224231396102845063871300</v>
      </c>
      <c r="T28" s="359">
        <v>-12.499999999912499999999912470</v>
      </c>
      <c r="U28" s="170">
        <v>372.22222221259413580266544162</v>
      </c>
      <c r="V28" s="360">
        <v>-12.894544596529780303369486530</v>
      </c>
      <c r="W28" s="170">
        <v>0</v>
      </c>
      <c r="X28" s="170">
        <v>-100</v>
      </c>
      <c r="Y28" s="360">
        <v>44.172479393039617629806445560</v>
      </c>
      <c r="Z28" s="359">
        <v>-2.5862068965651605231866806600</v>
      </c>
      <c r="AA28" s="170">
        <v>12.339331619517348550432527770</v>
      </c>
      <c r="AB28" s="360">
        <v>-0.3731761620423793254510065500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c r="B29" s="344">
        <v>9</v>
      </c>
      <c r="C29" s="351" t="s">
        <v>52</v>
      </c>
      <c r="D29" s="327">
        <v>68.939393939393939393939393940</v>
      </c>
      <c r="E29" s="171">
        <v>74.540174249757986447241045500</v>
      </c>
      <c r="F29" s="328">
        <v>64.551952042989916037634500740</v>
      </c>
      <c r="G29" s="327">
        <v>10.606060606060606060606060610</v>
      </c>
      <c r="H29" s="171">
        <v>10.939012584704743465634075510</v>
      </c>
      <c r="I29" s="328">
        <v>5.7802425469734607109326626700</v>
      </c>
      <c r="J29" s="171">
        <v>0</v>
      </c>
      <c r="K29" s="171">
        <v>0</v>
      </c>
      <c r="L29" s="328">
        <v>7.553323082854890376862927300</v>
      </c>
      <c r="M29" s="327">
        <v>79.54545454545454545454545455</v>
      </c>
      <c r="N29" s="171">
        <v>85.47918683446272991287512101</v>
      </c>
      <c r="O29" s="328">
        <v>77.885517672818267125430090710</v>
      </c>
      <c r="P29" s="4"/>
      <c r="Q29" s="327">
        <v>-9.000000000029119999999990680</v>
      </c>
      <c r="R29" s="171">
        <v>-11.392405063277883789019822930</v>
      </c>
      <c r="S29" s="328">
        <v>-4.6014087689421342320544162900</v>
      </c>
      <c r="T29" s="327">
        <v>-49.999999999949999999999949980</v>
      </c>
      <c r="U29" s="171">
        <v>606.24999998053398437553653217</v>
      </c>
      <c r="V29" s="328">
        <v>-16.163280289690347996717801900</v>
      </c>
      <c r="W29" s="171">
        <v>0</v>
      </c>
      <c r="X29" s="171">
        <v>-100</v>
      </c>
      <c r="Y29" s="328">
        <v>16.119211528213652699822374790</v>
      </c>
      <c r="Z29" s="327">
        <v>-17.968750000002563476562499920</v>
      </c>
      <c r="AA29" s="171">
        <v>-1.6703786191350600939479431600</v>
      </c>
      <c r="AB29" s="328">
        <v>-3.9220952512079818961073919700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10</v>
      </c>
      <c r="C30" s="352" t="s">
        <v>53</v>
      </c>
      <c r="D30" s="359">
        <v>75.00</v>
      </c>
      <c r="E30" s="170">
        <v>73.088092933204259438528557600</v>
      </c>
      <c r="F30" s="360">
        <v>64.058230076381679399078763130</v>
      </c>
      <c r="G30" s="359">
        <v>10.606060606060606060606060610</v>
      </c>
      <c r="H30" s="170">
        <v>9.680542110358180058083252660</v>
      </c>
      <c r="I30" s="360">
        <v>4.3465147860372678117841816200</v>
      </c>
      <c r="J30" s="170">
        <v>0</v>
      </c>
      <c r="K30" s="170">
        <v>0</v>
      </c>
      <c r="L30" s="360">
        <v>8.187894069913447742739390780</v>
      </c>
      <c r="M30" s="359">
        <v>85.60606060606060606060606061</v>
      </c>
      <c r="N30" s="170">
        <v>82.76863504356243949661181026</v>
      </c>
      <c r="O30" s="360">
        <v>76.592638932332394953602335520</v>
      </c>
      <c r="P30" s="4"/>
      <c r="Q30" s="359">
        <v>1.0204081632982923781757708700</v>
      </c>
      <c r="R30" s="170">
        <v>-18.201516793060594251398883810</v>
      </c>
      <c r="S30" s="360">
        <v>-1.7123993363613729025004380800</v>
      </c>
      <c r="T30" s="359">
        <v>-0.000000000371428571427191800</v>
      </c>
      <c r="U30" s="170">
        <v>809.0909091245454545466990907</v>
      </c>
      <c r="V30" s="360">
        <v>-37.734119028300964872150185170</v>
      </c>
      <c r="W30" s="170">
        <v>0</v>
      </c>
      <c r="X30" s="170">
        <v>-100</v>
      </c>
      <c r="Y30" s="360">
        <v>30.166816724891238832587291200</v>
      </c>
      <c r="Z30" s="359">
        <v>0.892857142839126275510207300</v>
      </c>
      <c r="AA30" s="170">
        <v>-9.139213602579928310150067080</v>
      </c>
      <c r="AB30" s="360">
        <v>-2.3615422787729802208894120800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11</v>
      </c>
      <c r="C31" s="351" t="s">
        <v>49</v>
      </c>
      <c r="D31" s="327">
        <v>57.575757575757575757575757580</v>
      </c>
      <c r="E31" s="171">
        <v>55.953533397870280735721200390</v>
      </c>
      <c r="F31" s="328">
        <v>41.469043044180449783917320450</v>
      </c>
      <c r="G31" s="327">
        <v>0.7575757575757575757575757600</v>
      </c>
      <c r="H31" s="171">
        <v>9.486931268151016456921587610</v>
      </c>
      <c r="I31" s="328">
        <v>5.1793988455180480138280408400</v>
      </c>
      <c r="J31" s="171">
        <v>0</v>
      </c>
      <c r="K31" s="171">
        <v>0</v>
      </c>
      <c r="L31" s="328">
        <v>7.537774354697289919906604100</v>
      </c>
      <c r="M31" s="327">
        <v>58.333333333333333333333333330</v>
      </c>
      <c r="N31" s="171">
        <v>65.44046466602129719264278800</v>
      </c>
      <c r="O31" s="328">
        <v>54.186216244395787717651965380</v>
      </c>
      <c r="P31" s="4"/>
      <c r="Q31" s="327">
        <v>-17.391304347862003780718320860</v>
      </c>
      <c r="R31" s="171">
        <v>-23.035952063925438430073704060</v>
      </c>
      <c r="S31" s="328">
        <v>-11.562718309595615238385441230</v>
      </c>
      <c r="T31" s="327">
        <v>0</v>
      </c>
      <c r="U31" s="171">
        <v>180.00000000209600000001569009</v>
      </c>
      <c r="V31" s="328">
        <v>-29.647020560631500979855597320</v>
      </c>
      <c r="W31" s="171">
        <v>0</v>
      </c>
      <c r="X31" s="171">
        <v>-100</v>
      </c>
      <c r="Y31" s="328">
        <v>14.967357420013159856086420640</v>
      </c>
      <c r="Z31" s="327">
        <v>-16.304347826123345935727772460</v>
      </c>
      <c r="AA31" s="171">
        <v>-14.646464646423694010815203280</v>
      </c>
      <c r="AB31" s="328">
        <v>-10.891668908090164622788366540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12</v>
      </c>
      <c r="C32" s="352" t="s">
        <v>47</v>
      </c>
      <c r="D32" s="359">
        <v>55.303030303030303030303030300</v>
      </c>
      <c r="E32" s="170">
        <v>54.791868344627299128751210070</v>
      </c>
      <c r="F32" s="360">
        <v>42.471317495245241878968482690</v>
      </c>
      <c r="G32" s="359">
        <v>8.333333333333333333333333330</v>
      </c>
      <c r="H32" s="170">
        <v>10.551790900290416263310745400</v>
      </c>
      <c r="I32" s="360">
        <v>11.984258892381964348759566580</v>
      </c>
      <c r="J32" s="170">
        <v>0</v>
      </c>
      <c r="K32" s="170">
        <v>0</v>
      </c>
      <c r="L32" s="360">
        <v>7.268957029117658749855101600</v>
      </c>
      <c r="M32" s="359">
        <v>63.636363636363636363636363640</v>
      </c>
      <c r="N32" s="170">
        <v>65.343659244917715392061955470</v>
      </c>
      <c r="O32" s="360">
        <v>61.724533416744864977583150870</v>
      </c>
      <c r="P32" s="4"/>
      <c r="Q32" s="359">
        <v>-30.476190476230204081632630360</v>
      </c>
      <c r="R32" s="170">
        <v>-18.443804034599407436321201560</v>
      </c>
      <c r="S32" s="360">
        <v>-7.8522384825147394732672197800</v>
      </c>
      <c r="T32" s="359">
        <v>0</v>
      </c>
      <c r="U32" s="170">
        <v>7.9207920787858543280087087700</v>
      </c>
      <c r="V32" s="360">
        <v>-9.300266566442021193520011680</v>
      </c>
      <c r="W32" s="170">
        <v>0</v>
      </c>
      <c r="X32" s="170">
        <v>-100</v>
      </c>
      <c r="Y32" s="360">
        <v>19.245375837784633762839877730</v>
      </c>
      <c r="Z32" s="359">
        <v>-20.000000000045714285714259590</v>
      </c>
      <c r="AA32" s="170">
        <v>-15.625000000037652343749983200</v>
      </c>
      <c r="AB32" s="360">
        <v>-5.6190573550045331098813545200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13</v>
      </c>
      <c r="C33" s="351" t="s">
        <v>48</v>
      </c>
      <c r="D33" s="327">
        <v>61.363636363636363636363636360</v>
      </c>
      <c r="E33" s="171">
        <v>63.407550822846079380445304930</v>
      </c>
      <c r="F33" s="328">
        <v>46.330214860579350469080715310</v>
      </c>
      <c r="G33" s="327">
        <v>8.333333333333333333333333330</v>
      </c>
      <c r="H33" s="171">
        <v>12.100677637947725072604065830</v>
      </c>
      <c r="I33" s="328">
        <v>14.446572699792396348645648910</v>
      </c>
      <c r="J33" s="171">
        <v>0</v>
      </c>
      <c r="K33" s="171">
        <v>0</v>
      </c>
      <c r="L33" s="328">
        <v>6.8803910445703864321954374600</v>
      </c>
      <c r="M33" s="327">
        <v>69.696969696969696969696969700</v>
      </c>
      <c r="N33" s="171">
        <v>75.508228460793804453049370760</v>
      </c>
      <c r="O33" s="328">
        <v>67.657178604942133249921801690</v>
      </c>
      <c r="P33" s="4"/>
      <c r="Q33" s="327">
        <v>-25.688073394533591448531248800</v>
      </c>
      <c r="R33" s="171">
        <v>-6.1604584527219285966453477500</v>
      </c>
      <c r="S33" s="328">
        <v>-6.3217224522492248700735419200</v>
      </c>
      <c r="T33" s="327">
        <v>0</v>
      </c>
      <c r="U33" s="171">
        <v>-23.780487804938466686496085350</v>
      </c>
      <c r="V33" s="328">
        <v>-13.566994365605652329824352200</v>
      </c>
      <c r="W33" s="171">
        <v>0</v>
      </c>
      <c r="X33" s="171">
        <v>-100</v>
      </c>
      <c r="Y33" s="328">
        <v>11.670170475368806550204936240</v>
      </c>
      <c r="Z33" s="327">
        <v>-15.596330275272721151418208510</v>
      </c>
      <c r="AA33" s="171">
        <v>-10.344827586189686880697578950</v>
      </c>
      <c r="AB33" s="328">
        <v>-6.4633529004021841278192796800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14</v>
      </c>
      <c r="C34" s="352" t="s">
        <v>50</v>
      </c>
      <c r="D34" s="359">
        <v>62.878787878787878787878787880</v>
      </c>
      <c r="E34" s="170">
        <v>64.956437560503388189738625360</v>
      </c>
      <c r="F34" s="360">
        <v>48.177356357835345998325219700</v>
      </c>
      <c r="G34" s="359">
        <v>8.333333333333333333333333330</v>
      </c>
      <c r="H34" s="170">
        <v>11.810261374636979670861568250</v>
      </c>
      <c r="I34" s="360">
        <v>19.641106165906796471028512150</v>
      </c>
      <c r="J34" s="170">
        <v>0</v>
      </c>
      <c r="K34" s="170">
        <v>0</v>
      </c>
      <c r="L34" s="360">
        <v>7.1789308658939747238482283100</v>
      </c>
      <c r="M34" s="359">
        <v>71.212121212121212121212121210</v>
      </c>
      <c r="N34" s="170">
        <v>76.766698935140367860600193610</v>
      </c>
      <c r="O34" s="360">
        <v>74.997393389636117193201960170</v>
      </c>
      <c r="P34" s="4"/>
      <c r="Q34" s="359">
        <v>-23.853211009213433212692514200</v>
      </c>
      <c r="R34" s="170">
        <v>-5.0919377651602555971903303100</v>
      </c>
      <c r="S34" s="360">
        <v>-7.5353669267110327629870534700</v>
      </c>
      <c r="T34" s="359">
        <v>0</v>
      </c>
      <c r="U34" s="170">
        <v>1.6666666669276111111117808900</v>
      </c>
      <c r="V34" s="360">
        <v>9.577375766273111295523648210</v>
      </c>
      <c r="W34" s="170">
        <v>0</v>
      </c>
      <c r="X34" s="170">
        <v>-100</v>
      </c>
      <c r="Y34" s="360">
        <v>11.169305128507060129572938220</v>
      </c>
      <c r="Z34" s="359">
        <v>-13.761467889952562915579473920</v>
      </c>
      <c r="AA34" s="170">
        <v>-4.687500000023599008413455700</v>
      </c>
      <c r="AB34" s="360">
        <v>-1.945763864016141129097586500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15</v>
      </c>
      <c r="C35" s="351" t="s">
        <v>51</v>
      </c>
      <c r="D35" s="327">
        <v>72.727272727272727272727272730</v>
      </c>
      <c r="E35" s="171">
        <v>74.443368828654404646660212970</v>
      </c>
      <c r="F35" s="328">
        <v>52.125601303695363755734072020</v>
      </c>
      <c r="G35" s="327">
        <v>8.333333333333333333333333330</v>
      </c>
      <c r="H35" s="171">
        <v>5.6147144240077444336882865400</v>
      </c>
      <c r="I35" s="328">
        <v>17.513306216751782795696689290</v>
      </c>
      <c r="J35" s="171">
        <v>0</v>
      </c>
      <c r="K35" s="171">
        <v>0</v>
      </c>
      <c r="L35" s="328">
        <v>7.8608318185164651678894347100</v>
      </c>
      <c r="M35" s="327">
        <v>81.06060606060606060606060606</v>
      </c>
      <c r="N35" s="171">
        <v>80.05808325266214908034849952</v>
      </c>
      <c r="O35" s="328">
        <v>77.499739338963611719320196020</v>
      </c>
      <c r="P35" s="4"/>
      <c r="Q35" s="327">
        <v>-6.7961165048507493637477611900</v>
      </c>
      <c r="R35" s="171">
        <v>-3.1486146095164099131394464100</v>
      </c>
      <c r="S35" s="328">
        <v>-6.5311930171450046555337125400</v>
      </c>
      <c r="T35" s="327">
        <v>0</v>
      </c>
      <c r="U35" s="171">
        <v>-25.641025641228698224851516560</v>
      </c>
      <c r="V35" s="328">
        <v>6.6672092473718251060830492900</v>
      </c>
      <c r="W35" s="171">
        <v>0</v>
      </c>
      <c r="X35" s="171">
        <v>-100</v>
      </c>
      <c r="Y35" s="328">
        <v>30.254912600647531804066524570</v>
      </c>
      <c r="Z35" s="327">
        <v>3.8834951456351022716561411700</v>
      </c>
      <c r="AA35" s="171">
        <v>-6.6591422122184823871713906700</v>
      </c>
      <c r="AB35" s="328">
        <v>-0.9227294223823286335516883500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16</v>
      </c>
      <c r="C36" s="352" t="s">
        <v>52</v>
      </c>
      <c r="D36" s="359">
        <v>86.36363636363636363636363636</v>
      </c>
      <c r="E36" s="170">
        <v>78.896418199419167473378509200</v>
      </c>
      <c r="F36" s="360">
        <v>63.147706006453600571261060450</v>
      </c>
      <c r="G36" s="359">
        <v>0</v>
      </c>
      <c r="H36" s="170">
        <v>11.326234269119070667957405610</v>
      </c>
      <c r="I36" s="360">
        <v>15.605798042388915675687717910</v>
      </c>
      <c r="J36" s="170">
        <v>0</v>
      </c>
      <c r="K36" s="170">
        <v>0</v>
      </c>
      <c r="L36" s="360">
        <v>7.9006508880775129470872971300</v>
      </c>
      <c r="M36" s="359">
        <v>86.36363636363636363636363636</v>
      </c>
      <c r="N36" s="170">
        <v>90.22265246853823814133591481</v>
      </c>
      <c r="O36" s="360">
        <v>86.65415493692002919403607549</v>
      </c>
      <c r="P36" s="4"/>
      <c r="Q36" s="359">
        <v>2.7027027027138056975894825700</v>
      </c>
      <c r="R36" s="170">
        <v>-6.6437571591913481838376348100</v>
      </c>
      <c r="S36" s="360">
        <v>-5.0103212846524275495575256200</v>
      </c>
      <c r="T36" s="359">
        <v>0</v>
      </c>
      <c r="U36" s="170">
        <v>154.34782608494385633271913981</v>
      </c>
      <c r="V36" s="360">
        <v>31.653372332006689447088947450</v>
      </c>
      <c r="W36" s="170">
        <v>0</v>
      </c>
      <c r="X36" s="170">
        <v>-100</v>
      </c>
      <c r="Y36" s="360">
        <v>24.766629001841445389688639980</v>
      </c>
      <c r="Z36" s="359">
        <v>2.7027027027138056975894825700</v>
      </c>
      <c r="AA36" s="170">
        <v>0.2150537634754505723205114200</v>
      </c>
      <c r="AB36" s="360">
        <v>2.3500018689074435389265039800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17</v>
      </c>
      <c r="C37" s="353" t="s">
        <v>53</v>
      </c>
      <c r="D37" s="329">
        <v>96.21212121212121212121212121</v>
      </c>
      <c r="E37" s="330">
        <v>83.83349467570183930300096806</v>
      </c>
      <c r="F37" s="332">
        <v>68.305863545096678090189979690</v>
      </c>
      <c r="G37" s="329">
        <v>0</v>
      </c>
      <c r="H37" s="330">
        <v>12.294288480154888673765730880</v>
      </c>
      <c r="I37" s="332">
        <v>10.808391743576419123907984840</v>
      </c>
      <c r="J37" s="330">
        <v>0</v>
      </c>
      <c r="K37" s="330">
        <v>0</v>
      </c>
      <c r="L37" s="332">
        <v>7.998663072290305976393120860</v>
      </c>
      <c r="M37" s="329">
        <v>96.21212121212121212121212121</v>
      </c>
      <c r="N37" s="330">
        <v>96.12778315585672797676669894</v>
      </c>
      <c r="O37" s="332">
        <v>87.11291836096340319049108539</v>
      </c>
      <c r="P37" s="4"/>
      <c r="Q37" s="329">
        <v>16.513761467830047975759646950</v>
      </c>
      <c r="R37" s="330">
        <v>-7.6759061834098153763621551300</v>
      </c>
      <c r="S37" s="332">
        <v>3.1328146728456585143150346100</v>
      </c>
      <c r="T37" s="329">
        <v>0</v>
      </c>
      <c r="U37" s="330">
        <v>477.27272726698078512402414578</v>
      </c>
      <c r="V37" s="332">
        <v>20.608123400295086539647640490</v>
      </c>
      <c r="W37" s="330">
        <v>0</v>
      </c>
      <c r="X37" s="330">
        <v>-100</v>
      </c>
      <c r="Y37" s="332">
        <v>22.042644355157486244203142800</v>
      </c>
      <c r="Z37" s="329">
        <v>16.513761467830047975759646950</v>
      </c>
      <c r="AA37" s="330">
        <v>2.5826446280632484333378993400</v>
      </c>
      <c r="AB37" s="332">
        <v>6.5646565150914162108366702700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76.136363636363636363636363640</v>
      </c>
      <c r="E39" s="355">
        <v>71.878025169409486931268151020</v>
      </c>
      <c r="F39" s="356">
        <v>52.428836331285002483494349060</v>
      </c>
      <c r="G39" s="354">
        <v>6.4393939393939393939393939400</v>
      </c>
      <c r="H39" s="355">
        <v>6.6069699903194578896418199400</v>
      </c>
      <c r="I39" s="356">
        <v>11.038100340339805694069869350</v>
      </c>
      <c r="J39" s="355">
        <v>0</v>
      </c>
      <c r="K39" s="355">
        <v>0</v>
      </c>
      <c r="L39" s="356">
        <v>7.4354718363514195359171703900</v>
      </c>
      <c r="M39" s="354">
        <v>82.57575757575757575757575758</v>
      </c>
      <c r="N39" s="355">
        <v>78.484995159728944820909970960</v>
      </c>
      <c r="O39" s="356">
        <v>70.902408507976227713481388800</v>
      </c>
      <c r="P39" s="4"/>
      <c r="Q39" s="354">
        <v>2.2900763359028494842957930700</v>
      </c>
      <c r="R39" s="355">
        <v>1.6079370510359278500559065900</v>
      </c>
      <c r="S39" s="356">
        <v>2.2991798976843617926349610300</v>
      </c>
      <c r="T39" s="354">
        <v>-34.615384615485207100591561210</v>
      </c>
      <c r="U39" s="355">
        <v>-37.671232876464152123599437190</v>
      </c>
      <c r="V39" s="356">
        <v>-10.766478839980563368701203690</v>
      </c>
      <c r="W39" s="355">
        <v>0</v>
      </c>
      <c r="X39" s="355">
        <v>-100</v>
      </c>
      <c r="Y39" s="356">
        <v>9.900326316204729971538139960</v>
      </c>
      <c r="Z39" s="354">
        <v>-2.022471910108836763034970200</v>
      </c>
      <c r="AA39" s="355">
        <v>-4.7856723429243631407253753100</v>
      </c>
      <c r="AB39" s="356">
        <v>0.7336106047976356141864308500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70.643939393939393939393939390</v>
      </c>
      <c r="E40" s="171">
        <v>68.030009680542110358180058090</v>
      </c>
      <c r="F40" s="328">
        <v>48.855578909827461509547121670</v>
      </c>
      <c r="G40" s="327">
        <v>6.4393939393939393939393939400</v>
      </c>
      <c r="H40" s="171">
        <v>10.043562439496611810261374640</v>
      </c>
      <c r="I40" s="328">
        <v>15.361727216484204568067144950</v>
      </c>
      <c r="J40" s="171">
        <v>0</v>
      </c>
      <c r="K40" s="171">
        <v>0</v>
      </c>
      <c r="L40" s="328">
        <v>6.7919734065837567145867551800</v>
      </c>
      <c r="M40" s="327">
        <v>77.083333333333333333333333330</v>
      </c>
      <c r="N40" s="171">
        <v>78.073572120038722168441432720</v>
      </c>
      <c r="O40" s="328">
        <v>71.009279532895422792201021790</v>
      </c>
      <c r="P40" s="4"/>
      <c r="Q40" s="327">
        <v>-14.645308924535127690881736860</v>
      </c>
      <c r="R40" s="171">
        <v>7.7424300498466816740295626200</v>
      </c>
      <c r="S40" s="328">
        <v>3.6102433257414049216260293300</v>
      </c>
      <c r="T40" s="327">
        <v>112.50000000021250000000021252</v>
      </c>
      <c r="U40" s="171">
        <v>-23.713235294192251027249061970</v>
      </c>
      <c r="V40" s="328">
        <v>-12.248588198502015896214870730</v>
      </c>
      <c r="W40" s="171">
        <v>0</v>
      </c>
      <c r="X40" s="171">
        <v>-100</v>
      </c>
      <c r="Y40" s="328">
        <v>8.004123628656721423554773470</v>
      </c>
      <c r="Z40" s="327">
        <v>-10.154525386361066035115393700</v>
      </c>
      <c r="AA40" s="171">
        <v>0.8124999999550124218750200800</v>
      </c>
      <c r="AB40" s="328">
        <v>0.0866308637034089034623005300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70.265151515151515151515151520</v>
      </c>
      <c r="E41" s="170">
        <v>69.385285575992255566311713450</v>
      </c>
      <c r="F41" s="360">
        <v>49.569231799814033885067126500</v>
      </c>
      <c r="G41" s="359">
        <v>6.6287878787878787878787878800</v>
      </c>
      <c r="H41" s="170">
        <v>10.963213939980638915779283640</v>
      </c>
      <c r="I41" s="360">
        <v>17.583075176895681345633806490</v>
      </c>
      <c r="J41" s="170">
        <v>0</v>
      </c>
      <c r="K41" s="170">
        <v>0</v>
      </c>
      <c r="L41" s="360">
        <v>7.0917760177642707978675165900</v>
      </c>
      <c r="M41" s="359">
        <v>76.893939393939393939393939390</v>
      </c>
      <c r="N41" s="170">
        <v>80.34849951597289448209099710</v>
      </c>
      <c r="O41" s="360">
        <v>74.244082994473986028568449590</v>
      </c>
      <c r="P41" s="4"/>
      <c r="Q41" s="359">
        <v>-16.629213483143069814417371430</v>
      </c>
      <c r="R41" s="170">
        <v>10.311658330043272570132033340</v>
      </c>
      <c r="S41" s="360">
        <v>2.3175537393868365010382236500</v>
      </c>
      <c r="T41" s="359">
        <v>45.833333331875000000014583360</v>
      </c>
      <c r="U41" s="170">
        <v>-28.209191759159394315364859480</v>
      </c>
      <c r="V41" s="360">
        <v>-15.526025994059364857902862060</v>
      </c>
      <c r="W41" s="170">
        <v>0</v>
      </c>
      <c r="X41" s="170">
        <v>-100</v>
      </c>
      <c r="Y41" s="360">
        <v>9.235024102079892651005175900</v>
      </c>
      <c r="Z41" s="359">
        <v>-13.432835820936867899309403290</v>
      </c>
      <c r="AA41" s="170">
        <v>1.7468587190306411028133752200</v>
      </c>
      <c r="AB41" s="360">
        <v>-1.9924873556043832374305649400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75.568181818181818181818181820</v>
      </c>
      <c r="E42" s="171">
        <v>70.111326234269119070667957410</v>
      </c>
      <c r="F42" s="328">
        <v>50.872270362417921438704013510</v>
      </c>
      <c r="G42" s="327">
        <v>9.659090909090909090909090910</v>
      </c>
      <c r="H42" s="171">
        <v>10.939012584704743465634075510</v>
      </c>
      <c r="I42" s="328">
        <v>20.493436959132236314383847280</v>
      </c>
      <c r="J42" s="171">
        <v>0</v>
      </c>
      <c r="K42" s="171">
        <v>0</v>
      </c>
      <c r="L42" s="328">
        <v>6.7882912187480384725403323100</v>
      </c>
      <c r="M42" s="327">
        <v>85.22727272727272727272727273</v>
      </c>
      <c r="N42" s="171">
        <v>81.05033881897386253630203291</v>
      </c>
      <c r="O42" s="328">
        <v>78.153998540298196225628193100</v>
      </c>
      <c r="P42" s="4"/>
      <c r="Q42" s="327">
        <v>-6.5573770491663224171689616900</v>
      </c>
      <c r="R42" s="171">
        <v>8.86884629831271429239223700</v>
      </c>
      <c r="S42" s="328">
        <v>-1.5048394547430321262066962200</v>
      </c>
      <c r="T42" s="327">
        <v>45.714285714019265306122936210</v>
      </c>
      <c r="U42" s="171">
        <v>-24.033613445600815761598104490</v>
      </c>
      <c r="V42" s="328">
        <v>13.435936205175701819280271610</v>
      </c>
      <c r="W42" s="171">
        <v>0</v>
      </c>
      <c r="X42" s="171">
        <v>-100</v>
      </c>
      <c r="Y42" s="328">
        <v>6.9129770713119043474172004600</v>
      </c>
      <c r="Z42" s="327">
        <v>-2.5974025974025974025974025900</v>
      </c>
      <c r="AA42" s="171">
        <v>2.1347971942165830391279282100</v>
      </c>
      <c r="AB42" s="328">
        <v>2.7463838002722077009006440700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77.840909090909090909090909090</v>
      </c>
      <c r="E43" s="170">
        <v>78.170377541142303969022265250</v>
      </c>
      <c r="F43" s="360">
        <v>55.872554640460024221658641720</v>
      </c>
      <c r="G43" s="359">
        <v>8.712121212121212121212121210</v>
      </c>
      <c r="H43" s="170">
        <v>7.7928363988383349467570183900</v>
      </c>
      <c r="I43" s="360">
        <v>16.334005232904287480447605040</v>
      </c>
      <c r="J43" s="170">
        <v>0</v>
      </c>
      <c r="K43" s="170">
        <v>0</v>
      </c>
      <c r="L43" s="360">
        <v>7.5765701443606387722968394600</v>
      </c>
      <c r="M43" s="359">
        <v>86.55303030303030303030303030</v>
      </c>
      <c r="N43" s="170">
        <v>85.96321393998063891577928364</v>
      </c>
      <c r="O43" s="360">
        <v>79.78313001772495047440308623</v>
      </c>
      <c r="P43" s="4"/>
      <c r="Q43" s="359">
        <v>2.4937655859940174501402517600</v>
      </c>
      <c r="R43" s="170">
        <v>8.498488411213540965564153050</v>
      </c>
      <c r="S43" s="360">
        <v>-0.2970724382697896178336808700</v>
      </c>
      <c r="T43" s="359">
        <v>-30.303030303030303030303030320</v>
      </c>
      <c r="U43" s="170">
        <v>-29.999999999925130434782528640</v>
      </c>
      <c r="V43" s="360">
        <v>-14.403907517333324630855680560</v>
      </c>
      <c r="W43" s="170">
        <v>0</v>
      </c>
      <c r="X43" s="170">
        <v>-100</v>
      </c>
      <c r="Y43" s="360">
        <v>29.276591534978638708109044270</v>
      </c>
      <c r="Z43" s="359">
        <v>-2.1413276231598659262961336700</v>
      </c>
      <c r="AA43" s="170">
        <v>2.3631123918786806966256940900</v>
      </c>
      <c r="AB43" s="360">
        <v>-1.4809362045454760758341504400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77.272727272727272727272727270</v>
      </c>
      <c r="E44" s="171">
        <v>81.65537270087124878993223621</v>
      </c>
      <c r="F44" s="328">
        <v>64.702366545537703913727549630</v>
      </c>
      <c r="G44" s="327">
        <v>9.280303030303030303030303030</v>
      </c>
      <c r="H44" s="171">
        <v>9.583736689254598257502420140</v>
      </c>
      <c r="I44" s="328">
        <v>13.764989793621224998906448340</v>
      </c>
      <c r="J44" s="171">
        <v>0</v>
      </c>
      <c r="K44" s="171">
        <v>0</v>
      </c>
      <c r="L44" s="328">
        <v>7.4100287093240238555862084800</v>
      </c>
      <c r="M44" s="327">
        <v>86.55303030303030303030303030</v>
      </c>
      <c r="N44" s="171">
        <v>91.23910939012584704743465634</v>
      </c>
      <c r="O44" s="328">
        <v>85.87738504848295276822020644</v>
      </c>
      <c r="P44" s="4"/>
      <c r="Q44" s="327">
        <v>6.2499999999601562500000149400</v>
      </c>
      <c r="R44" s="171">
        <v>1.1390887290007789451891749400</v>
      </c>
      <c r="S44" s="328">
        <v>-2.6464786926317986006300664700</v>
      </c>
      <c r="T44" s="327">
        <v>-52.884615384687869822485095590</v>
      </c>
      <c r="U44" s="171">
        <v>9.392265193047428344679075590</v>
      </c>
      <c r="V44" s="328">
        <v>2.3676888165167430553047920200</v>
      </c>
      <c r="W44" s="171">
        <v>0</v>
      </c>
      <c r="X44" s="171">
        <v>-100</v>
      </c>
      <c r="Y44" s="328">
        <v>11.034879009094388172959356190</v>
      </c>
      <c r="Z44" s="327">
        <v>-6.3524590163504568664337346400</v>
      </c>
      <c r="AA44" s="171">
        <v>0.7751937984773047044172239200</v>
      </c>
      <c r="AB44" s="328">
        <v>-0.8132047226440583962723372200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83.14393939393939393939393939</v>
      </c>
      <c r="E45" s="365">
        <v>83.37366892545982575024201356</v>
      </c>
      <c r="F45" s="366">
        <v>67.352419385128756547923464020</v>
      </c>
      <c r="G45" s="364">
        <v>9.090909090909090909090909090</v>
      </c>
      <c r="H45" s="365">
        <v>9.801548886737657308809293320</v>
      </c>
      <c r="I45" s="366">
        <v>12.123760745759276672900009930</v>
      </c>
      <c r="J45" s="365">
        <v>0</v>
      </c>
      <c r="K45" s="365">
        <v>0</v>
      </c>
      <c r="L45" s="366">
        <v>7.6628043337141980376480097400</v>
      </c>
      <c r="M45" s="364">
        <v>92.23484848484848484848484848</v>
      </c>
      <c r="N45" s="365">
        <v>93.17521781219748305905130688</v>
      </c>
      <c r="O45" s="366">
        <v>87.13898446460223125847148368</v>
      </c>
      <c r="P45" s="4"/>
      <c r="Q45" s="364">
        <v>15.526315789468819944598338150</v>
      </c>
      <c r="R45" s="365">
        <v>-1.458810068614370166100244300</v>
      </c>
      <c r="S45" s="366">
        <v>0.367814666609454091993311900</v>
      </c>
      <c r="T45" s="364">
        <v>-46.666666666808888888888509630</v>
      </c>
      <c r="U45" s="365">
        <v>32.786885246767148615969092100</v>
      </c>
      <c r="V45" s="366">
        <v>17.836381759143938985393271110</v>
      </c>
      <c r="W45" s="365">
        <v>0</v>
      </c>
      <c r="X45" s="365">
        <v>-100</v>
      </c>
      <c r="Y45" s="366">
        <v>19.240959310915070291573106640</v>
      </c>
      <c r="Z45" s="364">
        <v>3.6170212765393064735174594400</v>
      </c>
      <c r="AA45" s="365">
        <v>0.3126628452175686974363785300</v>
      </c>
      <c r="AB45" s="366">
        <v>3.9589701264539622535917346300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70.346320346320346320346320350</v>
      </c>
      <c r="E47" s="355">
        <v>68.04038168994606555109943300</v>
      </c>
      <c r="F47" s="356">
        <v>51.718157516155147221068121480</v>
      </c>
      <c r="G47" s="354">
        <v>4.8701298701298701298701298700</v>
      </c>
      <c r="H47" s="355">
        <v>10.454985479186834462729912880</v>
      </c>
      <c r="I47" s="356">
        <v>13.596976086616617539650594360</v>
      </c>
      <c r="J47" s="355">
        <v>0</v>
      </c>
      <c r="K47" s="355">
        <v>0</v>
      </c>
      <c r="L47" s="356">
        <v>7.518028439023370559596460600</v>
      </c>
      <c r="M47" s="354">
        <v>75.216450216450216450216450220</v>
      </c>
      <c r="N47" s="355">
        <v>78.495367169132900013829345870</v>
      </c>
      <c r="O47" s="356">
        <v>72.833162041795135320315176430</v>
      </c>
      <c r="P47" s="4"/>
      <c r="Q47" s="354">
        <v>-11.924119241159472976843577250</v>
      </c>
      <c r="R47" s="355">
        <v>-9.807516040289199878011980410</v>
      </c>
      <c r="S47" s="356">
        <v>-5.480644105644608492573194300</v>
      </c>
      <c r="T47" s="354">
        <v>0</v>
      </c>
      <c r="U47" s="355">
        <v>33.568904593949899486821632780</v>
      </c>
      <c r="V47" s="356">
        <v>2.9542957732433801933362642800</v>
      </c>
      <c r="W47" s="355">
        <v>0</v>
      </c>
      <c r="X47" s="355">
        <v>-100</v>
      </c>
      <c r="Y47" s="356">
        <v>19.083884087330711027735817800</v>
      </c>
      <c r="Z47" s="354">
        <v>-5.8265582655474364906250556800</v>
      </c>
      <c r="AA47" s="355">
        <v>-6.614017769055308660984012600</v>
      </c>
      <c r="AB47" s="356">
        <v>-1.8910619516929490103826109400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75.838744588744588744588744590</v>
      </c>
      <c r="E48" s="171">
        <v>74.657723689669478633660627850</v>
      </c>
      <c r="F48" s="328">
        <v>55.664751139210129142874609440</v>
      </c>
      <c r="G48" s="327">
        <v>8.035714285714285714285714290</v>
      </c>
      <c r="H48" s="171">
        <v>9.390125847047434656340755080</v>
      </c>
      <c r="I48" s="328">
        <v>15.242727923590959582058390200</v>
      </c>
      <c r="J48" s="171">
        <v>0</v>
      </c>
      <c r="K48" s="171">
        <v>0</v>
      </c>
      <c r="L48" s="328">
        <v>7.2509879524066208837775474500</v>
      </c>
      <c r="M48" s="327">
        <v>83.87445887445887445887445887</v>
      </c>
      <c r="N48" s="171">
        <v>84.04784953671691329000138293</v>
      </c>
      <c r="O48" s="328">
        <v>78.158467015207709608710547090</v>
      </c>
      <c r="P48" s="4"/>
      <c r="Q48" s="327">
        <v>-2.2322985698753476439315056100</v>
      </c>
      <c r="R48" s="171">
        <v>4.820154361380353605549796300</v>
      </c>
      <c r="S48" s="328">
        <v>0.3987788360302415255545334100</v>
      </c>
      <c r="T48" s="327">
        <v>-23.255813953640670632774170410</v>
      </c>
      <c r="U48" s="171">
        <v>-18.560719639966678322007852800</v>
      </c>
      <c r="V48" s="328">
        <v>-4.3697644952555795352205414100</v>
      </c>
      <c r="W48" s="171">
        <v>0</v>
      </c>
      <c r="X48" s="171">
        <v>-100</v>
      </c>
      <c r="Y48" s="328">
        <v>13.153927263848770961590390750</v>
      </c>
      <c r="Z48" s="327">
        <v>-4.732636754735730672740156900</v>
      </c>
      <c r="AA48" s="171">
        <v>0.4670000413689909383979014200</v>
      </c>
      <c r="AB48" s="328">
        <v>0.4724250353645159886875358500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70.811051693404634581105169340</v>
      </c>
      <c r="E49" s="365">
        <v>71.692955982005580547804794720</v>
      </c>
      <c r="F49" s="366">
        <v>54.757824318725784514127087720</v>
      </c>
      <c r="G49" s="364">
        <v>9.402852049910873440285204990</v>
      </c>
      <c r="H49" s="365">
        <v>11.018734696201810830818290530</v>
      </c>
      <c r="I49" s="366">
        <v>14.500041105314085688017983650</v>
      </c>
      <c r="J49" s="365">
        <v>0</v>
      </c>
      <c r="K49" s="365">
        <v>0</v>
      </c>
      <c r="L49" s="366">
        <v>7.4200250001936330208519785600</v>
      </c>
      <c r="M49" s="364">
        <v>80.21390374331550802139037433</v>
      </c>
      <c r="N49" s="365">
        <v>82.71169067820739137862308525</v>
      </c>
      <c r="O49" s="366">
        <v>76.677890424233503222997049930</v>
      </c>
      <c r="P49" s="4"/>
      <c r="Q49" s="364">
        <v>0.4424778761102581027712206400</v>
      </c>
      <c r="R49" s="365">
        <v>-1.2549019608028778039215651300</v>
      </c>
      <c r="S49" s="366">
        <v>-3.4989526492403528639338433800</v>
      </c>
      <c r="T49" s="364">
        <v>-39.017341040622463162818250880</v>
      </c>
      <c r="U49" s="365">
        <v>2.4894067799764107274320248600</v>
      </c>
      <c r="V49" s="366">
        <v>-1.4018927843474424261600404200</v>
      </c>
      <c r="W49" s="365">
        <v>0</v>
      </c>
      <c r="X49" s="365">
        <v>-100</v>
      </c>
      <c r="Y49" s="366">
        <v>19.990823289188850594453553640</v>
      </c>
      <c r="Z49" s="364">
        <v>-6.6390041494184630085569973100</v>
      </c>
      <c r="AA49" s="365">
        <v>-1.8912529550260241292834898800</v>
      </c>
      <c r="AB49" s="366">
        <v>-1.2306404756621284975052005900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1"/>
</worksheet>
</file>

<file path=xl/worksheets/sheet7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150</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168</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177</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178</v>
      </c>
      <c r="R4" s="715" t="s">
        <v>180</v>
      </c>
      <c r="S4" s="715"/>
      <c r="T4" s="715"/>
      <c r="U4" s="715"/>
      <c r="V4" s="715"/>
      <c r="W4" s="715"/>
      <c r="X4" s="715"/>
      <c r="Y4" s="715"/>
      <c r="Z4" s="715"/>
      <c r="AA4" s="715"/>
      <c r="AB4" s="715"/>
      <c r="AC4" s="715"/>
      <c r="AD4" s="715"/>
      <c r="AE4" s="715"/>
      <c r="AF4" s="715"/>
      <c r="AG4" s="715"/>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716" t="s">
        <v>72</v>
      </c>
      <c r="Y22" s="716"/>
      <c r="Z22" s="716"/>
      <c r="AA22" s="716"/>
      <c r="AB22" s="716"/>
      <c r="AC22" s="716"/>
      <c r="AD22" s="716"/>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275" t="s">
        <v>182</v>
      </c>
      <c r="D24" s="276"/>
      <c r="E24" s="276"/>
      <c r="F24" s="276"/>
      <c r="G24" s="276"/>
      <c r="H24" s="276"/>
      <c r="I24" s="276"/>
      <c r="J24" s="276"/>
      <c r="K24" s="276"/>
      <c r="L24" s="276"/>
      <c r="M24" s="276"/>
      <c r="N24" s="658" t="s">
        <v>179</v>
      </c>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row>
    <row r="25" s="42" customFormat="1">
      <c r="C25" s="284">
        <v>20</v>
      </c>
      <c r="D25">
        <v>21</v>
      </c>
      <c r="E25">
        <v>22</v>
      </c>
      <c r="F25">
        <v>23</v>
      </c>
      <c r="G25">
        <v>24</v>
      </c>
      <c r="H25">
        <v>25</v>
      </c>
      <c r="I25">
        <v>26</v>
      </c>
      <c r="J25">
        <v>27</v>
      </c>
      <c r="K25">
        <v>28</v>
      </c>
      <c r="L25">
        <v>29</v>
      </c>
      <c r="M25">
        <v>30</v>
      </c>
      <c r="N25" s="717">
        <v>1</v>
      </c>
      <c r="O25">
        <v>2</v>
      </c>
      <c r="P25">
        <v>3</v>
      </c>
      <c r="Q25">
        <v>4</v>
      </c>
      <c r="R25">
        <v>5</v>
      </c>
      <c r="S25">
        <v>6</v>
      </c>
      <c r="T25">
        <v>7</v>
      </c>
      <c r="U25">
        <v>8</v>
      </c>
      <c r="V25">
        <v>9</v>
      </c>
      <c r="W25">
        <v>10</v>
      </c>
      <c r="X25" s="323">
        <v>11</v>
      </c>
      <c r="Y25">
        <v>12</v>
      </c>
      <c r="Z25">
        <v>13</v>
      </c>
      <c r="AA25">
        <v>14</v>
      </c>
      <c r="AB25">
        <v>15</v>
      </c>
      <c r="AC25">
        <v>16</v>
      </c>
      <c r="AD25" s="337">
        <v>17</v>
      </c>
      <c r="AE25" s="25"/>
      <c r="AF25" s="324" t="s">
        <v>60</v>
      </c>
      <c r="AG25" s="325">
        <v>28</v>
      </c>
      <c r="AH25" s="326"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row>
    <row r="26" ht="14.25" customHeight="1">
      <c r="B26" s="46" t="s">
        <v>32</v>
      </c>
      <c r="C26" s="461">
        <v>210.82786885245901639344262295</v>
      </c>
      <c r="D26" s="462">
        <v>197.21929824561403508771929825</v>
      </c>
      <c r="E26" s="462">
        <v>204.38983050847457627118644068</v>
      </c>
      <c r="F26" s="462">
        <v>198.97520661157024793388429752</v>
      </c>
      <c r="G26" s="462">
        <v>215.20353982300884955752212389</v>
      </c>
      <c r="H26" s="462">
        <v>306.37272727272727272727272727</v>
      </c>
      <c r="I26" s="462">
        <v>325.19827586206896551724137931</v>
      </c>
      <c r="J26" s="462">
        <v>248.25925925925925925925925926</v>
      </c>
      <c r="K26" s="462">
        <v>285.42741935483870967741935484</v>
      </c>
      <c r="L26" s="462">
        <v>311.484375000</v>
      </c>
      <c r="M26" s="462">
        <v>267.27777777777777777777777778</v>
      </c>
      <c r="N26" s="673">
        <v>297.04838709677419354838709677</v>
      </c>
      <c r="O26" s="462">
        <v>420.132812500</v>
      </c>
      <c r="P26" s="462">
        <v>408.95419847328244274809160305</v>
      </c>
      <c r="Q26" s="462">
        <v>289.93023255813953488372093023</v>
      </c>
      <c r="R26" s="462">
        <v>191.56470588235294117647058824</v>
      </c>
      <c r="S26" s="462">
        <v>173.10294117647058823529411765</v>
      </c>
      <c r="T26" s="462">
        <v>185.79816513761467889908256881</v>
      </c>
      <c r="U26" s="462">
        <v>208.4867256637168141592920354</v>
      </c>
      <c r="V26" s="462">
        <v>277.38095238095238095238095238</v>
      </c>
      <c r="W26" s="462">
        <v>262.84070796460176991150442478</v>
      </c>
      <c r="X26" s="463">
        <v>165.72727272727272727272727273</v>
      </c>
      <c r="Y26" s="462">
        <v>148.4047619047619047619047619</v>
      </c>
      <c r="Z26" s="462">
        <v>159.23913043478260869565217391</v>
      </c>
      <c r="AA26" s="462">
        <v>152.77659574468085106382978723</v>
      </c>
      <c r="AB26" s="462">
        <v>168.46728971962616822429906542</v>
      </c>
      <c r="AC26" s="462">
        <v>260.22807017543859649122807018</v>
      </c>
      <c r="AD26" s="464">
        <v>288.45669291338582677165354331</v>
      </c>
      <c r="AE26" s="465"/>
      <c r="AF26" s="461">
        <v>199.37266187050359712230215827</v>
      </c>
      <c r="AG26" s="462">
        <v>251.20387096774193548387096774</v>
      </c>
      <c r="AH26" s="466">
        <v>250.46666666666666666666666667</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211.88894339622641509433962264</v>
      </c>
      <c r="D27" s="85">
        <v>199.02542635658914728682170541</v>
      </c>
      <c r="E27" s="85">
        <v>191.46034530386740331491712708</v>
      </c>
      <c r="F27" s="85">
        <v>190.49486416558861578266494178</v>
      </c>
      <c r="G27" s="85">
        <v>213.20942668136714443219404631</v>
      </c>
      <c r="H27" s="85">
        <v>293.30376175548589341692789969</v>
      </c>
      <c r="I27" s="85">
        <v>310.13017329255861365953109073</v>
      </c>
      <c r="J27" s="85">
        <v>252.23926666666666666666666667</v>
      </c>
      <c r="K27" s="85">
        <v>308.74</v>
      </c>
      <c r="L27" s="85">
        <v>326.95688492063492063492063492</v>
      </c>
      <c r="M27" s="85">
        <v>332.71536940686784599375650364</v>
      </c>
      <c r="N27" s="674">
        <v>301.69745762711864406779661017</v>
      </c>
      <c r="O27" s="85">
        <v>397.13426853707414829659318637</v>
      </c>
      <c r="P27" s="85">
        <v>393.97708129285014691478942214</v>
      </c>
      <c r="Q27" s="85">
        <v>266.29779816513761467889908257</v>
      </c>
      <c r="R27" s="85">
        <v>179.39512953367875647668393783</v>
      </c>
      <c r="S27" s="85">
        <v>190.80512376237623762376237624</v>
      </c>
      <c r="T27" s="85">
        <v>186.50608272506082725060827251</v>
      </c>
      <c r="U27" s="85">
        <v>197.38684210526315789473684211</v>
      </c>
      <c r="V27" s="85">
        <v>235.39977349943374858437146092</v>
      </c>
      <c r="W27" s="85">
        <v>225.05730994152046783625730994</v>
      </c>
      <c r="X27" s="86">
        <v>170.22065088757396449704142011</v>
      </c>
      <c r="Y27" s="85">
        <v>170.1608</v>
      </c>
      <c r="Z27" s="85">
        <v>179.76164102564102564102564104</v>
      </c>
      <c r="AA27" s="85">
        <v>174.02925598991172761664564943</v>
      </c>
      <c r="AB27" s="85">
        <v>181.7335792019347037484885127</v>
      </c>
      <c r="AC27" s="85">
        <v>244.81427038626609442060085837</v>
      </c>
      <c r="AD27" s="87">
        <v>266.43615307150050352467270894</v>
      </c>
      <c r="AE27" s="169"/>
      <c r="AF27" s="370">
        <v>202.81512508809020436927413671</v>
      </c>
      <c r="AG27" s="85">
        <v>249.23248128342245989304812834</v>
      </c>
      <c r="AH27" s="371">
        <v>239.96922616179001721170395869</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181</v>
      </c>
      <c r="C28" s="467">
        <v>225.54284361685340066277418337</v>
      </c>
      <c r="D28" s="468">
        <v>206.82560741687979539641943734</v>
      </c>
      <c r="E28" s="468">
        <v>212.94239766081871345029239766</v>
      </c>
      <c r="F28" s="468">
        <v>218.06756756756756756756756757</v>
      </c>
      <c r="G28" s="468">
        <v>218.77990366604227990366604228</v>
      </c>
      <c r="H28" s="468">
        <v>252.42353658536585365853658537</v>
      </c>
      <c r="I28" s="468">
        <v>259.38790697674418604651162791</v>
      </c>
      <c r="J28" s="468">
        <v>238.97769095034030753718174943</v>
      </c>
      <c r="K28" s="468">
        <v>269.46395280235988200589970501</v>
      </c>
      <c r="L28" s="468">
        <v>280.38212775682779110958747572</v>
      </c>
      <c r="M28" s="468">
        <v>265.43899066712754925682682337</v>
      </c>
      <c r="N28" s="675">
        <v>285.45558252427184466019417476</v>
      </c>
      <c r="O28" s="468">
        <v>327.43658672615727830451756832</v>
      </c>
      <c r="P28" s="468">
        <v>346.25260159929893745207580239</v>
      </c>
      <c r="Q28" s="468">
        <v>268.1900944006207164101900944</v>
      </c>
      <c r="R28" s="468">
        <v>207.9854346836595357305416477</v>
      </c>
      <c r="S28" s="468">
        <v>206.61018272684679056692175543</v>
      </c>
      <c r="T28" s="468">
        <v>214.78983050847457627118644068</v>
      </c>
      <c r="U28" s="468">
        <v>228.08390296206942769065808873</v>
      </c>
      <c r="V28" s="468">
        <v>229.53949129852744310575635877</v>
      </c>
      <c r="W28" s="468">
        <v>224.55132044650149741355839913</v>
      </c>
      <c r="X28" s="469">
        <v>186.62632287858379834519915336</v>
      </c>
      <c r="Y28" s="468">
        <v>194.66807432432432432432432432</v>
      </c>
      <c r="Z28" s="468">
        <v>201.01618122977346278317152104</v>
      </c>
      <c r="AA28" s="468">
        <v>203.77408591686361740581120534</v>
      </c>
      <c r="AB28" s="468">
        <v>206.79268128615632988026368895</v>
      </c>
      <c r="AC28" s="468">
        <v>229.9101191192395620262302972</v>
      </c>
      <c r="AD28" s="470">
        <v>229.14506283662477558348294434</v>
      </c>
      <c r="AE28" s="465"/>
      <c r="AF28" s="467">
        <v>209.71927277189251094114278703</v>
      </c>
      <c r="AG28" s="468">
        <v>241.28738928882811718351731597</v>
      </c>
      <c r="AH28" s="471">
        <v>239.91476631925836459474808232</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275" t="s">
        <v>182</v>
      </c>
      <c r="D33" s="276"/>
      <c r="E33" s="276"/>
      <c r="F33" s="276"/>
      <c r="G33" s="276"/>
      <c r="H33" s="276"/>
      <c r="I33" s="276"/>
      <c r="J33" s="276"/>
      <c r="K33" s="276"/>
      <c r="L33" s="276"/>
      <c r="M33" s="276"/>
      <c r="N33" s="658" t="s">
        <v>179</v>
      </c>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c r="BK33" s="253"/>
    </row>
    <row r="34" s="42" customFormat="1">
      <c r="C34" s="284">
        <v>20</v>
      </c>
      <c r="D34">
        <v>21</v>
      </c>
      <c r="E34">
        <v>22</v>
      </c>
      <c r="F34">
        <v>23</v>
      </c>
      <c r="G34">
        <v>24</v>
      </c>
      <c r="H34">
        <v>25</v>
      </c>
      <c r="I34">
        <v>26</v>
      </c>
      <c r="J34">
        <v>27</v>
      </c>
      <c r="K34">
        <v>28</v>
      </c>
      <c r="L34">
        <v>29</v>
      </c>
      <c r="M34">
        <v>30</v>
      </c>
      <c r="N34" s="717">
        <v>1</v>
      </c>
      <c r="O34">
        <v>2</v>
      </c>
      <c r="P34">
        <v>3</v>
      </c>
      <c r="Q34">
        <v>4</v>
      </c>
      <c r="R34">
        <v>5</v>
      </c>
      <c r="S34">
        <v>6</v>
      </c>
      <c r="T34">
        <v>7</v>
      </c>
      <c r="U34">
        <v>8</v>
      </c>
      <c r="V34">
        <v>9</v>
      </c>
      <c r="W34">
        <v>10</v>
      </c>
      <c r="X34" s="323">
        <v>11</v>
      </c>
      <c r="Y34">
        <v>12</v>
      </c>
      <c r="Z34">
        <v>13</v>
      </c>
      <c r="AA34">
        <v>14</v>
      </c>
      <c r="AB34">
        <v>15</v>
      </c>
      <c r="AC34">
        <v>16</v>
      </c>
      <c r="AD34" s="337">
        <v>17</v>
      </c>
      <c r="AE34" s="25"/>
      <c r="AF34" s="324" t="s">
        <v>60</v>
      </c>
      <c r="AG34" s="325">
        <v>28</v>
      </c>
      <c r="AH34" s="326"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c r="BK34" s="254"/>
    </row>
    <row r="35" ht="14.25" customHeight="1">
      <c r="B35" s="46" t="s">
        <v>32</v>
      </c>
      <c r="C35" s="444">
        <v>-6.0322343598409603525779938700</v>
      </c>
      <c r="D35" s="445">
        <v>-14.053584794916632380076293960</v>
      </c>
      <c r="E35" s="445">
        <v>-2.8550181022758797849849739900</v>
      </c>
      <c r="F35" s="445">
        <v>-5.0137368632213759496848255300</v>
      </c>
      <c r="G35" s="445">
        <v>-15.491737873444431541442472620</v>
      </c>
      <c r="H35" s="445">
        <v>-12.952240755480309286784036280</v>
      </c>
      <c r="I35" s="445">
        <v>-2.6636785636938463170342986100</v>
      </c>
      <c r="J35" s="445">
        <v>18.044395298346388832166190340</v>
      </c>
      <c r="K35" s="445">
        <v>39.668478907793841615267961070</v>
      </c>
      <c r="L35" s="445">
        <v>53.888258091494352817341186950</v>
      </c>
      <c r="M35" s="445">
        <v>36.019225332202431439072660450</v>
      </c>
      <c r="N35" s="660">
        <v>-18.605541339827349489056864450</v>
      </c>
      <c r="O35" s="445">
        <v>-7.643786637713167064868609800</v>
      </c>
      <c r="P35" s="445">
        <v>-11.568365670199479265071261270</v>
      </c>
      <c r="Q35" s="445">
        <v>-27.102415697730294398365331180</v>
      </c>
      <c r="R35" s="445">
        <v>7.2720285479295284184869419500</v>
      </c>
      <c r="S35" s="445">
        <v>-10.759358288763481092656750470</v>
      </c>
      <c r="T35" s="445">
        <v>-10.130151130147710847990950290</v>
      </c>
      <c r="U35" s="445">
        <v>5.3743199729271664520023846900</v>
      </c>
      <c r="V35" s="445">
        <v>-1.3866184180593690648129043900</v>
      </c>
      <c r="W35" s="445">
        <v>-1.3763968908889604831385067200</v>
      </c>
      <c r="X35" s="446">
        <v>-11.632612200610776502651407250</v>
      </c>
      <c r="Y35" s="445">
        <v>-3.5437944908428317595301016900</v>
      </c>
      <c r="Z35" s="445">
        <v>4.4851024403320540846857472300</v>
      </c>
      <c r="AA35" s="445">
        <v>-1.8758533016759899506322162300</v>
      </c>
      <c r="AB35" s="445">
        <v>-13.524714237416830599227164150</v>
      </c>
      <c r="AC35" s="445">
        <v>0.8741602565764204145926959900</v>
      </c>
      <c r="AD35" s="447">
        <v>3.7990806759759846514002311900</v>
      </c>
      <c r="AE35" s="448"/>
      <c r="AF35" s="444">
        <v>0.7898293377476600861407470200</v>
      </c>
      <c r="AG35" s="445">
        <v>-0.9737179944193990723259742400</v>
      </c>
      <c r="AH35" s="449">
        <v>-3.1809101814864069854423742700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3.7293619836332449195047100500</v>
      </c>
      <c r="D36" s="81">
        <v>-8.503424752334699419904745550</v>
      </c>
      <c r="E36" s="81">
        <v>-11.945149368758154822928041190</v>
      </c>
      <c r="F36" s="81">
        <v>-13.582799588782829558249414970</v>
      </c>
      <c r="G36" s="81">
        <v>-19.626467917199805878095546920</v>
      </c>
      <c r="H36" s="81">
        <v>-3.5422861641212827363635716800</v>
      </c>
      <c r="I36" s="81">
        <v>4.399905583178680758961877900</v>
      </c>
      <c r="J36" s="81">
        <v>18.638053578422025263062124500</v>
      </c>
      <c r="K36" s="81">
        <v>57.748535558296518762358440040</v>
      </c>
      <c r="L36" s="81">
        <v>70.602431317376797184219190190</v>
      </c>
      <c r="M36" s="81">
        <v>53.050971469503813601280777790</v>
      </c>
      <c r="N36" s="661">
        <v>-0.3157416401472670514763234500</v>
      </c>
      <c r="O36" s="81">
        <v>-0.2071188270450100043163516500</v>
      </c>
      <c r="P36" s="81">
        <v>2.8659438264235232130815976600</v>
      </c>
      <c r="Q36" s="81">
        <v>-15.283902716147765786352564210</v>
      </c>
      <c r="R36" s="81">
        <v>-11.692572853850986173548967930</v>
      </c>
      <c r="S36" s="81">
        <v>-1.6592852345732348134825579200</v>
      </c>
      <c r="T36" s="81">
        <v>-0.2104544128855724531502003100</v>
      </c>
      <c r="U36" s="81">
        <v>8.557840380773868048909108630</v>
      </c>
      <c r="V36" s="81">
        <v>2.6847517508045040951763238400</v>
      </c>
      <c r="W36" s="81">
        <v>-1.0010969239710437369633416300</v>
      </c>
      <c r="X36" s="82">
        <v>-4.1445510449607536468854687700</v>
      </c>
      <c r="Y36" s="81">
        <v>-6.741359274196227923298471800</v>
      </c>
      <c r="Z36" s="81">
        <v>-8.763190762120056311346296820</v>
      </c>
      <c r="AA36" s="81">
        <v>-4.8698122586749518512821301900</v>
      </c>
      <c r="AB36" s="81">
        <v>-8.481991595548638033047871470</v>
      </c>
      <c r="AC36" s="81">
        <v>-3.492978271615887123815432900</v>
      </c>
      <c r="AD36" s="83">
        <v>1.2888371952153550600570189300</v>
      </c>
      <c r="AE36" s="88"/>
      <c r="AF36" s="327">
        <v>-3.4468224076363886382154264400</v>
      </c>
      <c r="AG36" s="81">
        <v>3.7769016752324633760778791900</v>
      </c>
      <c r="AH36" s="328">
        <v>-0.5364438061622410506078557500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181</v>
      </c>
      <c r="C37" s="450">
        <v>-1.6548782695141535982139488800</v>
      </c>
      <c r="D37" s="451">
        <v>-12.499886591310302047858731200</v>
      </c>
      <c r="E37" s="451">
        <v>-12.113195853476655229613401600</v>
      </c>
      <c r="F37" s="451">
        <v>-10.343820197683318730464838590</v>
      </c>
      <c r="G37" s="451">
        <v>-16.639111291085671417151347210</v>
      </c>
      <c r="H37" s="451">
        <v>-5.9970931729215659365603103200</v>
      </c>
      <c r="I37" s="451">
        <v>-2.8549856267529762926326431100</v>
      </c>
      <c r="J37" s="451">
        <v>5.9658298927888029846474207600</v>
      </c>
      <c r="K37" s="451">
        <v>15.276168032289406711044783640</v>
      </c>
      <c r="L37" s="451">
        <v>17.443933770330888165260761730</v>
      </c>
      <c r="M37" s="451">
        <v>13.050716780563929720899643760</v>
      </c>
      <c r="N37" s="662">
        <v>3.0488647524396100333251346100</v>
      </c>
      <c r="O37" s="451">
        <v>-3.1787710833697164835347548700</v>
      </c>
      <c r="P37" s="451">
        <v>2.261116179705005799017409300</v>
      </c>
      <c r="Q37" s="451">
        <v>-6.5789141707016189159927414400</v>
      </c>
      <c r="R37" s="451">
        <v>-6.2727531470473605343944598500</v>
      </c>
      <c r="S37" s="451">
        <v>-4.1148726145950780202884622800</v>
      </c>
      <c r="T37" s="451">
        <v>-0.4700370553185834951649993700</v>
      </c>
      <c r="U37" s="451">
        <v>7.2583577335922920890111126900</v>
      </c>
      <c r="V37" s="451">
        <v>-0.1533991890990098200190237400</v>
      </c>
      <c r="W37" s="451">
        <v>0.1931741114286224534999589500</v>
      </c>
      <c r="X37" s="452">
        <v>0.2776270353172040724995801600</v>
      </c>
      <c r="Y37" s="451">
        <v>2.2473547231426979414761881100</v>
      </c>
      <c r="Z37" s="451">
        <v>1.395977208577111881501912100</v>
      </c>
      <c r="AA37" s="451">
        <v>3.9447347807056942555150137500</v>
      </c>
      <c r="AB37" s="451">
        <v>1.8268622126800468047064104900</v>
      </c>
      <c r="AC37" s="451">
        <v>0.7480620807771837737768740800</v>
      </c>
      <c r="AD37" s="453">
        <v>0.0714302484551832053282807700</v>
      </c>
      <c r="AE37" s="448"/>
      <c r="AF37" s="450">
        <v>1.826958042453743485899482500</v>
      </c>
      <c r="AG37" s="451">
        <v>0.1458539983512841807353667900</v>
      </c>
      <c r="AH37" s="454">
        <v>0.4986871544944252874733249100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275" t="s">
        <v>182</v>
      </c>
      <c r="D40" s="276"/>
      <c r="E40" s="276"/>
      <c r="F40" s="276"/>
      <c r="G40" s="276"/>
      <c r="H40" s="276"/>
      <c r="I40" s="276"/>
      <c r="J40" s="276"/>
      <c r="K40" s="276"/>
      <c r="L40" s="276"/>
      <c r="M40" s="276"/>
      <c r="N40" s="658" t="s">
        <v>179</v>
      </c>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c r="BK40" s="253"/>
    </row>
    <row r="41" s="42" customFormat="1">
      <c r="C41" s="279">
        <v>20</v>
      </c>
      <c r="D41" s="280">
        <v>21</v>
      </c>
      <c r="E41" s="280">
        <v>22</v>
      </c>
      <c r="F41" s="280">
        <v>23</v>
      </c>
      <c r="G41" s="280">
        <v>24</v>
      </c>
      <c r="H41" s="280">
        <v>25</v>
      </c>
      <c r="I41" s="280">
        <v>26</v>
      </c>
      <c r="J41" s="280">
        <v>27</v>
      </c>
      <c r="K41" s="280">
        <v>28</v>
      </c>
      <c r="L41" s="280">
        <v>29</v>
      </c>
      <c r="M41" s="280">
        <v>30</v>
      </c>
      <c r="N41" s="676">
        <v>1</v>
      </c>
      <c r="O41" s="280">
        <v>2</v>
      </c>
      <c r="P41" s="280">
        <v>3</v>
      </c>
      <c r="Q41" s="280">
        <v>4</v>
      </c>
      <c r="R41" s="280">
        <v>5</v>
      </c>
      <c r="S41" s="280">
        <v>6</v>
      </c>
      <c r="T41" s="280">
        <v>7</v>
      </c>
      <c r="U41" s="280">
        <v>8</v>
      </c>
      <c r="V41" s="280">
        <v>9</v>
      </c>
      <c r="W41" s="280">
        <v>10</v>
      </c>
      <c r="X41" s="315">
        <v>11</v>
      </c>
      <c r="Y41" s="280">
        <v>12</v>
      </c>
      <c r="Z41" s="280">
        <v>13</v>
      </c>
      <c r="AA41" s="280">
        <v>14</v>
      </c>
      <c r="AB41" s="280">
        <v>15</v>
      </c>
      <c r="AC41" s="280">
        <v>16</v>
      </c>
      <c r="AD41" s="373">
        <v>17</v>
      </c>
      <c r="AE41" s="25"/>
      <c r="AF41" s="324" t="s">
        <v>60</v>
      </c>
      <c r="AG41" s="325">
        <v>28</v>
      </c>
      <c r="AH41" s="326"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c r="BK41" s="254"/>
    </row>
    <row r="42" ht="14.25" customHeight="1">
      <c r="A42" s="1"/>
      <c r="B42" s="46" t="s">
        <v>26</v>
      </c>
      <c r="C42" s="444">
        <v>99.49923081085125990781403407</v>
      </c>
      <c r="D42" s="445">
        <v>99.09251388425624099729928118</v>
      </c>
      <c r="E42" s="445">
        <v>106.75308779165311880763226068</v>
      </c>
      <c r="F42" s="445">
        <v>104.45174334915305692844655132</v>
      </c>
      <c r="G42" s="445">
        <v>100.93528375956315647126162972</v>
      </c>
      <c r="H42" s="445">
        <v>104.45577835040576492640241775</v>
      </c>
      <c r="I42" s="445">
        <v>104.85863803882526148645287223</v>
      </c>
      <c r="J42" s="445">
        <v>98.42213012270616016269936714</v>
      </c>
      <c r="K42" s="445">
        <v>92.44912202981107393840103480</v>
      </c>
      <c r="L42" s="445">
        <v>95.26772163725580239118717659</v>
      </c>
      <c r="M42" s="445">
        <v>80.33226065096674544931950244</v>
      </c>
      <c r="N42" s="660">
        <v>98.45902893352449540410113105</v>
      </c>
      <c r="O42" s="445">
        <v>105.79112551722579247353700251</v>
      </c>
      <c r="P42" s="445">
        <v>103.80151990852680867900957427</v>
      </c>
      <c r="Q42" s="445">
        <v>108.87443852554418676719492734</v>
      </c>
      <c r="R42" s="445">
        <v>106.78367154129836276689609903</v>
      </c>
      <c r="S42" s="445">
        <v>90.72237566954803206759805981</v>
      </c>
      <c r="T42" s="445">
        <v>99.62043190380618641947768281</v>
      </c>
      <c r="U42" s="445">
        <v>105.62341615075606557023993441</v>
      </c>
      <c r="V42" s="445">
        <v>117.83399289534974208875058702</v>
      </c>
      <c r="W42" s="445">
        <v>116.78834516991381076931204949</v>
      </c>
      <c r="X42" s="446">
        <v>97.36026261390908583163689417</v>
      </c>
      <c r="Y42" s="445">
        <v>87.21442418275061280970985203</v>
      </c>
      <c r="Z42" s="445">
        <v>88.58348729254492950960581849</v>
      </c>
      <c r="AA42" s="445">
        <v>87.78788076502920119425077388</v>
      </c>
      <c r="AB42" s="445">
        <v>92.70014405673735032409522685</v>
      </c>
      <c r="AC42" s="445">
        <v>106.29611981557148839553977409</v>
      </c>
      <c r="AD42" s="447">
        <v>108.26484678900781956475439439</v>
      </c>
      <c r="AE42" s="448"/>
      <c r="AF42" s="444">
        <v>98.30265952004267634632503883</v>
      </c>
      <c r="AG42" s="445">
        <v>100.79098425461659072690752118</v>
      </c>
      <c r="AH42" s="449">
        <v>104.37449446029747773987709061</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181</v>
      </c>
      <c r="C43" s="329">
        <v>93.47575186671168418662623810</v>
      </c>
      <c r="D43" s="330">
        <v>95.35535793112771953467436724</v>
      </c>
      <c r="E43" s="330">
        <v>95.98362409446099559731554152</v>
      </c>
      <c r="F43" s="330">
        <v>91.24474988693070876315394237</v>
      </c>
      <c r="G43" s="330">
        <v>98.36531428021332309087886930</v>
      </c>
      <c r="H43" s="330">
        <v>121.37248824618823441808009654</v>
      </c>
      <c r="I43" s="330">
        <v>125.37140981336516355165141234</v>
      </c>
      <c r="J43" s="330">
        <v>103.88386391719281429750866911</v>
      </c>
      <c r="K43" s="330">
        <v>105.92415660292226289903560731</v>
      </c>
      <c r="L43" s="330">
        <v>111.09280662502772135036631804</v>
      </c>
      <c r="M43" s="330">
        <v>100.69273436658892757927651921</v>
      </c>
      <c r="N43" s="663">
        <v>104.06115882196395018992135383</v>
      </c>
      <c r="O43" s="330">
        <v>128.30967263023416612315872534</v>
      </c>
      <c r="P43" s="330">
        <v>118.10862837834897098047971630</v>
      </c>
      <c r="Q43" s="330">
        <v>108.10624203184250694366058405</v>
      </c>
      <c r="R43" s="330">
        <v>92.10486598433233186973585624</v>
      </c>
      <c r="S43" s="330">
        <v>83.78238617859607978529238688</v>
      </c>
      <c r="T43" s="330">
        <v>86.50231004780367501850570920</v>
      </c>
      <c r="U43" s="330">
        <v>91.40790864945888423236818800</v>
      </c>
      <c r="V43" s="330">
        <v>120.84236608341957079332093385</v>
      </c>
      <c r="W43" s="330">
        <v>117.05150851126895375573323117</v>
      </c>
      <c r="X43" s="331">
        <v>88.80166000756385395960986245</v>
      </c>
      <c r="Y43" s="330">
        <v>76.234771633653980854592983740</v>
      </c>
      <c r="Z43" s="330">
        <v>79.217070715686206470615055330</v>
      </c>
      <c r="AA43" s="330">
        <v>74.973515428739963718994522730</v>
      </c>
      <c r="AB43" s="330">
        <v>81.46675630481734103534923239</v>
      </c>
      <c r="AC43" s="330">
        <v>113.18687110092785700264113414</v>
      </c>
      <c r="AD43" s="338">
        <v>125.88387868477885754954371264</v>
      </c>
      <c r="AE43" s="88"/>
      <c r="AF43" s="329">
        <v>95.06644727275502397505276873</v>
      </c>
      <c r="AG43" s="330">
        <v>104.10982178064547342810644798</v>
      </c>
      <c r="AH43" s="332">
        <v>104.39818711838822592422388095</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275" t="s">
        <v>182</v>
      </c>
      <c r="D46" s="276"/>
      <c r="E46" s="276"/>
      <c r="F46" s="276"/>
      <c r="G46" s="276"/>
      <c r="H46" s="276"/>
      <c r="I46" s="276"/>
      <c r="J46" s="276"/>
      <c r="K46" s="276"/>
      <c r="L46" s="276"/>
      <c r="M46" s="276"/>
      <c r="N46" s="658" t="s">
        <v>179</v>
      </c>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c r="BK46" s="253"/>
    </row>
    <row r="47" s="42" customFormat="1">
      <c r="C47" s="284">
        <v>20</v>
      </c>
      <c r="D47">
        <v>21</v>
      </c>
      <c r="E47">
        <v>22</v>
      </c>
      <c r="F47">
        <v>23</v>
      </c>
      <c r="G47">
        <v>24</v>
      </c>
      <c r="H47">
        <v>25</v>
      </c>
      <c r="I47">
        <v>26</v>
      </c>
      <c r="J47">
        <v>27</v>
      </c>
      <c r="K47">
        <v>28</v>
      </c>
      <c r="L47">
        <v>29</v>
      </c>
      <c r="M47">
        <v>30</v>
      </c>
      <c r="N47" s="717">
        <v>1</v>
      </c>
      <c r="O47">
        <v>2</v>
      </c>
      <c r="P47">
        <v>3</v>
      </c>
      <c r="Q47">
        <v>4</v>
      </c>
      <c r="R47">
        <v>5</v>
      </c>
      <c r="S47">
        <v>6</v>
      </c>
      <c r="T47">
        <v>7</v>
      </c>
      <c r="U47">
        <v>8</v>
      </c>
      <c r="V47">
        <v>9</v>
      </c>
      <c r="W47">
        <v>10</v>
      </c>
      <c r="X47" s="323">
        <v>11</v>
      </c>
      <c r="Y47">
        <v>12</v>
      </c>
      <c r="Z47">
        <v>13</v>
      </c>
      <c r="AA47">
        <v>14</v>
      </c>
      <c r="AB47">
        <v>15</v>
      </c>
      <c r="AC47">
        <v>16</v>
      </c>
      <c r="AD47" s="337">
        <v>17</v>
      </c>
      <c r="AE47" s="25"/>
      <c r="AF47" s="324" t="s">
        <v>60</v>
      </c>
      <c r="AG47" s="325">
        <v>28</v>
      </c>
      <c r="AH47" s="326"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c r="BK47" s="254"/>
    </row>
    <row r="48" ht="14.25" customHeight="1">
      <c r="A48" s="1"/>
      <c r="B48" s="46" t="s">
        <v>26</v>
      </c>
      <c r="C48" s="444">
        <v>-9.410639530405325347272888770</v>
      </c>
      <c r="D48" s="445">
        <v>-6.0659757237822854182784563400</v>
      </c>
      <c r="E48" s="445">
        <v>10.323260105808378257338657170</v>
      </c>
      <c r="F48" s="445">
        <v>9.915922622842629523769208890</v>
      </c>
      <c r="G48" s="445">
        <v>5.1443926085483365787611043700</v>
      </c>
      <c r="H48" s="445">
        <v>-9.755523137703826541218104340</v>
      </c>
      <c r="I48" s="445">
        <v>-6.7658913170503194649884246700</v>
      </c>
      <c r="J48" s="445">
        <v>-0.5003944874371497874871300600</v>
      </c>
      <c r="K48" s="445">
        <v>-11.461315052199619844404313840</v>
      </c>
      <c r="L48" s="445">
        <v>-9.797148315387357929973435510</v>
      </c>
      <c r="M48" s="445">
        <v>-11.128152911263704015758108800</v>
      </c>
      <c r="N48" s="660">
        <v>-18.347731126845261567033006610</v>
      </c>
      <c r="O48" s="445">
        <v>-7.4521025179724277993977648300</v>
      </c>
      <c r="P48" s="445">
        <v>-14.032155793930274454883816510</v>
      </c>
      <c r="Q48" s="445">
        <v>-13.950728799465709151809109830</v>
      </c>
      <c r="R48" s="445">
        <v>21.475658406815960830962953390</v>
      </c>
      <c r="S48" s="445">
        <v>-9.253616954026177373445469670</v>
      </c>
      <c r="T48" s="445">
        <v>-9.940617184795813680042409100</v>
      </c>
      <c r="U48" s="445">
        <v>-2.9325568717223783859447588200</v>
      </c>
      <c r="V48" s="445">
        <v>-3.9649218597849127076198451300</v>
      </c>
      <c r="W48" s="445">
        <v>-0.3790950760985757058637292600</v>
      </c>
      <c r="X48" s="446">
        <v>-7.8118262835042360306004098300</v>
      </c>
      <c r="Y48" s="445">
        <v>3.4287061857861990298953752500</v>
      </c>
      <c r="Z48" s="445">
        <v>14.520776551862534530895119860</v>
      </c>
      <c r="AA48" s="445">
        <v>3.1472227985950140629720996800</v>
      </c>
      <c r="AB48" s="445">
        <v>-5.5100878283441899037931065300</v>
      </c>
      <c r="AC48" s="445">
        <v>4.5252028816174635952593418900</v>
      </c>
      <c r="AD48" s="447">
        <v>2.478302200152886234888683900</v>
      </c>
      <c r="AE48" s="448"/>
      <c r="AF48" s="444">
        <v>4.3878946825528072334810019200</v>
      </c>
      <c r="AG48" s="445">
        <v>-4.5777235521051868716201572900</v>
      </c>
      <c r="AH48" s="449">
        <v>-2.6587289622074049780375529600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181</v>
      </c>
      <c r="C49" s="329">
        <v>-4.4510149698581869944279063900</v>
      </c>
      <c r="D49" s="330">
        <v>-1.7756527884379482896179915500</v>
      </c>
      <c r="E49" s="330">
        <v>10.534206859800724965036894630</v>
      </c>
      <c r="F49" s="330">
        <v>5.9450261501663149387306212800</v>
      </c>
      <c r="G49" s="330">
        <v>1.3763929768646814741250602300</v>
      </c>
      <c r="H49" s="330">
        <v>-7.3988643727477819138370219400</v>
      </c>
      <c r="I49" s="330">
        <v>0.1969293681913767141460916100</v>
      </c>
      <c r="J49" s="330">
        <v>11.398547454203641113681960410</v>
      </c>
      <c r="K49" s="330">
        <v>21.159890454235637133804481110</v>
      </c>
      <c r="L49" s="330">
        <v>31.031253084897902282805458980</v>
      </c>
      <c r="M49" s="330">
        <v>20.316995067097021158281117910</v>
      </c>
      <c r="N49" s="663">
        <v>-21.013726006850562369129990160</v>
      </c>
      <c r="O49" s="330">
        <v>-4.6116080164791423324322901800</v>
      </c>
      <c r="P49" s="330">
        <v>-13.523695385440340650986363190</v>
      </c>
      <c r="Q49" s="330">
        <v>-21.968810729212506444801661520</v>
      </c>
      <c r="R49" s="330">
        <v>14.451274469024903763930415270</v>
      </c>
      <c r="S49" s="330">
        <v>-6.9296311694367353057465880800</v>
      </c>
      <c r="T49" s="330">
        <v>-9.705734624125264977969854340</v>
      </c>
      <c r="U49" s="330">
        <v>-1.7565416816961899092713440900</v>
      </c>
      <c r="V49" s="330">
        <v>-1.2351138836397886445250884500</v>
      </c>
      <c r="W49" s="330">
        <v>-1.5665448432448178855697762900</v>
      </c>
      <c r="X49" s="331">
        <v>-11.877264737984605264665691280</v>
      </c>
      <c r="Y49" s="330">
        <v>-5.6638621406936411235419980800</v>
      </c>
      <c r="Z49" s="330">
        <v>3.046595453612849687820493500</v>
      </c>
      <c r="AA49" s="330">
        <v>-5.5996949673983711810190982100</v>
      </c>
      <c r="AB49" s="330">
        <v>-15.076155855656682620771894660</v>
      </c>
      <c r="AC49" s="330">
        <v>0.1251618872132519363369127900</v>
      </c>
      <c r="AD49" s="338">
        <v>3.7249896581995713489331153700</v>
      </c>
      <c r="AE49" s="88"/>
      <c r="AF49" s="329">
        <v>-1.0185207577684046280594761600</v>
      </c>
      <c r="AG49" s="330">
        <v>-1.1179414305312333104637476600</v>
      </c>
      <c r="AH49" s="332">
        <v>-3.66133871017795151728794800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275" t="s">
        <v>182</v>
      </c>
      <c r="D52" s="276"/>
      <c r="E52" s="276"/>
      <c r="F52" s="276"/>
      <c r="G52" s="276"/>
      <c r="H52" s="276"/>
      <c r="I52" s="276"/>
      <c r="J52" s="276"/>
      <c r="K52" s="276"/>
      <c r="L52" s="276"/>
      <c r="M52" s="276"/>
      <c r="N52" s="658" t="s">
        <v>179</v>
      </c>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284">
        <v>20</v>
      </c>
      <c r="D53" s="42">
        <v>21</v>
      </c>
      <c r="E53" s="42">
        <v>22</v>
      </c>
      <c r="F53" s="42">
        <v>23</v>
      </c>
      <c r="G53" s="42">
        <v>24</v>
      </c>
      <c r="H53" s="42">
        <v>25</v>
      </c>
      <c r="I53" s="42">
        <v>26</v>
      </c>
      <c r="J53" s="42">
        <v>27</v>
      </c>
      <c r="K53" s="42">
        <v>28</v>
      </c>
      <c r="L53" s="42">
        <v>29</v>
      </c>
      <c r="M53" s="42">
        <v>30</v>
      </c>
      <c r="N53" s="659">
        <v>1</v>
      </c>
      <c r="O53" s="42">
        <v>2</v>
      </c>
      <c r="P53" s="42">
        <v>3</v>
      </c>
      <c r="Q53" s="42">
        <v>4</v>
      </c>
      <c r="R53" s="42">
        <v>5</v>
      </c>
      <c r="S53" s="42">
        <v>6</v>
      </c>
      <c r="T53" s="42">
        <v>7</v>
      </c>
      <c r="U53" s="42">
        <v>8</v>
      </c>
      <c r="V53" s="42">
        <v>9</v>
      </c>
      <c r="W53" s="42">
        <v>10</v>
      </c>
      <c r="X53" s="323">
        <v>11</v>
      </c>
      <c r="Y53" s="42">
        <v>12</v>
      </c>
      <c r="Z53" s="42">
        <v>13</v>
      </c>
      <c r="AA53" s="42">
        <v>14</v>
      </c>
      <c r="AB53" s="42">
        <v>15</v>
      </c>
      <c r="AC53" s="42">
        <v>16</v>
      </c>
      <c r="AD53" s="337">
        <v>17</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236</v>
      </c>
      <c r="D54" s="456" t="s">
        <v>237</v>
      </c>
      <c r="E54" s="456" t="s">
        <v>236</v>
      </c>
      <c r="F54" s="456" t="s">
        <v>236</v>
      </c>
      <c r="G54" s="456" t="s">
        <v>237</v>
      </c>
      <c r="H54" s="456" t="s">
        <v>236</v>
      </c>
      <c r="I54" s="456" t="s">
        <v>231</v>
      </c>
      <c r="J54" s="456" t="s">
        <v>236</v>
      </c>
      <c r="K54" s="456" t="s">
        <v>238</v>
      </c>
      <c r="L54" s="456" t="s">
        <v>237</v>
      </c>
      <c r="M54" s="456" t="s">
        <v>233</v>
      </c>
      <c r="N54" s="664" t="s">
        <v>237</v>
      </c>
      <c r="O54" s="456" t="s">
        <v>236</v>
      </c>
      <c r="P54" s="456" t="s">
        <v>231</v>
      </c>
      <c r="Q54" s="456" t="s">
        <v>236</v>
      </c>
      <c r="R54" s="456" t="s">
        <v>231</v>
      </c>
      <c r="S54" s="456" t="s">
        <v>238</v>
      </c>
      <c r="T54" s="456" t="s">
        <v>236</v>
      </c>
      <c r="U54" s="456" t="s">
        <v>231</v>
      </c>
      <c r="V54" s="456" t="s">
        <v>230</v>
      </c>
      <c r="W54" s="456" t="s">
        <v>230</v>
      </c>
      <c r="X54" s="457" t="s">
        <v>237</v>
      </c>
      <c r="Y54" s="456" t="s">
        <v>233</v>
      </c>
      <c r="Z54" s="456" t="s">
        <v>233</v>
      </c>
      <c r="AA54" s="456" t="s">
        <v>233</v>
      </c>
      <c r="AB54" s="456" t="s">
        <v>233</v>
      </c>
      <c r="AC54" s="456" t="s">
        <v>237</v>
      </c>
      <c r="AD54" s="458" t="s">
        <v>231</v>
      </c>
      <c r="AE54" s="459"/>
      <c r="AF54" s="455" t="s">
        <v>237</v>
      </c>
      <c r="AG54" s="456" t="s">
        <v>236</v>
      </c>
      <c r="AH54" s="460" t="s">
        <v>231</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238</v>
      </c>
      <c r="D55" s="334" t="s">
        <v>233</v>
      </c>
      <c r="E55" s="334" t="s">
        <v>236</v>
      </c>
      <c r="F55" s="334" t="s">
        <v>236</v>
      </c>
      <c r="G55" s="334" t="s">
        <v>231</v>
      </c>
      <c r="H55" s="334" t="s">
        <v>238</v>
      </c>
      <c r="I55" s="334" t="s">
        <v>238</v>
      </c>
      <c r="J55" s="334" t="s">
        <v>238</v>
      </c>
      <c r="K55" s="334" t="s">
        <v>234</v>
      </c>
      <c r="L55" s="334" t="s">
        <v>234</v>
      </c>
      <c r="M55" s="334" t="s">
        <v>233</v>
      </c>
      <c r="N55" s="665" t="s">
        <v>235</v>
      </c>
      <c r="O55" s="334" t="s">
        <v>234</v>
      </c>
      <c r="P55" s="334" t="s">
        <v>235</v>
      </c>
      <c r="Q55" s="334" t="s">
        <v>234</v>
      </c>
      <c r="R55" s="334" t="s">
        <v>231</v>
      </c>
      <c r="S55" s="334" t="s">
        <v>238</v>
      </c>
      <c r="T55" s="334" t="s">
        <v>234</v>
      </c>
      <c r="U55" s="334" t="s">
        <v>237</v>
      </c>
      <c r="V55" s="334" t="s">
        <v>233</v>
      </c>
      <c r="W55" s="334" t="s">
        <v>237</v>
      </c>
      <c r="X55" s="60" t="s">
        <v>238</v>
      </c>
      <c r="Y55" s="61" t="s">
        <v>236</v>
      </c>
      <c r="Z55" s="61" t="s">
        <v>232</v>
      </c>
      <c r="AA55" s="61" t="s">
        <v>231</v>
      </c>
      <c r="AB55" s="61" t="s">
        <v>233</v>
      </c>
      <c r="AC55" s="61" t="s">
        <v>231</v>
      </c>
      <c r="AD55" s="62" t="s">
        <v>236</v>
      </c>
      <c r="AE55" s="59"/>
      <c r="AF55" s="333" t="s">
        <v>236</v>
      </c>
      <c r="AG55" s="334" t="s">
        <v>234</v>
      </c>
      <c r="AH55" s="335" t="s">
        <v>233</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53"/>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666"/>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666"/>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48"/>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666"/>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c r="BK68" s="248"/>
    </row>
    <row r="69" s="25" customFormat="1" ht="10.5" customHeight="1">
      <c r="A69" s="248"/>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666"/>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c r="BK69" s="248"/>
    </row>
    <row r="70" s="84" customFormat="1">
      <c r="A70" s="25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666"/>
      <c r="AI70" s="249"/>
      <c r="AJ70" s="249"/>
      <c r="AK70" s="249"/>
      <c r="AL70" s="249"/>
      <c r="AM70" s="249"/>
      <c r="AN70" s="249"/>
      <c r="AO70" s="249"/>
      <c r="AP70" s="249"/>
      <c r="AQ70" s="249"/>
      <c r="AR70" s="249"/>
      <c r="AS70" s="249"/>
      <c r="AT70" s="249"/>
      <c r="AU70" s="249"/>
      <c r="AV70" s="249"/>
      <c r="AW70" s="249"/>
      <c r="AX70" s="249"/>
      <c r="AY70" s="249"/>
      <c r="AZ70" s="249"/>
      <c r="BA70" s="249"/>
      <c r="BB70" s="249"/>
      <c r="BC70" s="249"/>
      <c r="BD70" s="249"/>
      <c r="BE70" s="249"/>
      <c r="BF70" s="249"/>
      <c r="BG70" s="249"/>
      <c r="BH70" s="249"/>
      <c r="BI70" s="249"/>
      <c r="BJ70" s="249"/>
      <c r="BK70" s="249"/>
    </row>
    <row r="71" s="84" customFormat="1">
      <c r="A71" s="25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666"/>
      <c r="AI71" s="249"/>
      <c r="AJ71" s="249"/>
      <c r="AK71" s="249"/>
      <c r="AL71" s="249"/>
      <c r="AM71" s="249"/>
      <c r="AN71" s="249"/>
      <c r="AO71" s="249"/>
      <c r="AP71" s="249"/>
      <c r="AQ71" s="249"/>
      <c r="AR71" s="249"/>
      <c r="AS71" s="249"/>
      <c r="AT71" s="249"/>
      <c r="AU71" s="249"/>
      <c r="AV71" s="249"/>
      <c r="AW71" s="249"/>
      <c r="AX71" s="249"/>
      <c r="AY71" s="249"/>
      <c r="AZ71" s="249"/>
      <c r="BA71" s="249"/>
      <c r="BB71" s="249"/>
      <c r="BC71" s="249"/>
      <c r="BD71" s="249"/>
      <c r="BE71" s="249"/>
      <c r="BF71" s="249"/>
      <c r="BG71" s="249"/>
      <c r="BH71" s="249"/>
      <c r="BI71" s="249"/>
      <c r="BJ71" s="249"/>
      <c r="BK71" s="249"/>
    </row>
    <row r="72" s="84" customFormat="1">
      <c r="A72" s="256"/>
      <c r="B72" s="666" t="n">
        <v>45717</v>
      </c>
      <c r="C72" s="666">
        <v>45724</v>
      </c>
      <c r="D72" s="666">
        <v>45731</v>
      </c>
      <c r="E72" s="666">
        <v>45738</v>
      </c>
      <c r="F72" s="666">
        <v>45745</v>
      </c>
      <c r="G72" s="666">
        <v>45752</v>
      </c>
      <c r="H72" s="666">
        <v>45759</v>
      </c>
      <c r="I72" s="666">
        <v>45766</v>
      </c>
      <c r="J72" s="666">
        <v>45773</v>
      </c>
      <c r="K72" s="666">
        <v>45780</v>
      </c>
      <c r="L72" s="666">
        <v>45787</v>
      </c>
      <c r="M72" s="666">
        <v>45794</v>
      </c>
      <c r="N72" s="666"/>
      <c r="O72" s="666"/>
      <c r="P72" s="666"/>
      <c r="Q72" s="666"/>
      <c r="R72" s="666"/>
      <c r="S72" s="666"/>
      <c r="T72" s="666"/>
      <c r="U72" s="666"/>
      <c r="V72" s="666"/>
      <c r="W72" s="666"/>
      <c r="X72" s="666"/>
      <c r="Y72" s="666"/>
      <c r="Z72" s="666"/>
      <c r="AA72" s="666"/>
      <c r="AB72" s="666"/>
      <c r="AC72" s="666"/>
      <c r="AD72" s="666"/>
      <c r="AE72" s="666"/>
      <c r="AF72" s="666"/>
      <c r="AG72" s="666"/>
      <c r="AH72" s="666"/>
      <c r="AI72" s="249"/>
      <c r="AJ72" s="249"/>
      <c r="AK72" s="249"/>
      <c r="AL72" s="249"/>
      <c r="AM72" s="249"/>
      <c r="AN72" s="249"/>
      <c r="AO72" s="249"/>
      <c r="AP72" s="249"/>
      <c r="AQ72" s="249"/>
      <c r="AR72" s="249"/>
      <c r="AS72" s="249"/>
      <c r="AT72" s="249"/>
      <c r="AU72" s="249"/>
      <c r="AV72" s="249"/>
      <c r="AW72" s="249"/>
      <c r="AX72" s="249"/>
      <c r="AY72" s="249"/>
      <c r="AZ72" s="249"/>
      <c r="BA72" s="249"/>
      <c r="BB72" s="249"/>
      <c r="BC72" s="249"/>
      <c r="BD72" s="249"/>
      <c r="BE72" s="249"/>
      <c r="BF72" s="249"/>
      <c r="BG72" s="249"/>
      <c r="BH72" s="249"/>
      <c r="BI72" s="249"/>
      <c r="BJ72" s="249"/>
      <c r="BK72" s="249"/>
    </row>
    <row r="73" s="84" customFormat="1" ht="14.25">
      <c r="A73" s="260" t="s">
        <v>32</v>
      </c>
      <c r="B73" s="666">
        <v>356.41073512252042007001166861</v>
      </c>
      <c r="C73" s="666">
        <v>294.28199052132701421800947867</v>
      </c>
      <c r="D73" s="666">
        <v>272.44761904761904761904761905</v>
      </c>
      <c r="E73" s="666">
        <v>292.02738095238095238095238095</v>
      </c>
      <c r="F73" s="666">
        <v>328.03836930455635491606714628</v>
      </c>
      <c r="G73" s="666">
        <v>264.93856655290102389078498294</v>
      </c>
      <c r="H73" s="666">
        <v>297.68166089965397923875432526</v>
      </c>
      <c r="I73" s="666">
        <v>261.60854893138357705286839145</v>
      </c>
      <c r="J73" s="666">
        <v>236.04422604422604422604422604</v>
      </c>
      <c r="K73" s="666">
        <v>322.13578826237054085155350978</v>
      </c>
      <c r="L73" s="666">
        <v>232.81440443213296398891966759</v>
      </c>
      <c r="M73" s="666">
        <v>199.37266187050359712230215827</v>
      </c>
      <c r="N73" s="666"/>
      <c r="O73" s="666"/>
      <c r="P73" s="666"/>
      <c r="Q73" s="666"/>
      <c r="R73" s="666"/>
      <c r="S73" s="666"/>
      <c r="T73" s="666"/>
      <c r="U73" s="666"/>
      <c r="V73" s="666"/>
      <c r="W73" s="666"/>
      <c r="X73" s="666"/>
      <c r="Y73" s="666"/>
      <c r="Z73" s="666"/>
      <c r="AA73" s="666"/>
      <c r="AB73" s="666"/>
      <c r="AC73" s="666"/>
      <c r="AD73" s="666"/>
      <c r="AE73" s="666"/>
      <c r="AF73" s="666"/>
      <c r="AG73" s="666"/>
      <c r="AH73" s="666"/>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row>
    <row r="74" s="84" customFormat="1" ht="14.25">
      <c r="A74" s="260" t="s">
        <v>26</v>
      </c>
      <c r="B74" s="666">
        <v>373.69390955506929248723559446</v>
      </c>
      <c r="C74" s="666">
        <v>317.11276923076923076923076924</v>
      </c>
      <c r="D74" s="666">
        <v>285.67296720789557465775230818</v>
      </c>
      <c r="E74" s="666">
        <v>300.09978864547979018821351435</v>
      </c>
      <c r="F74" s="666">
        <v>306.30572340086138140054235125</v>
      </c>
      <c r="G74" s="666">
        <v>252.22283348722976896495920952</v>
      </c>
      <c r="H74" s="666">
        <v>283.71227407847800237812128419</v>
      </c>
      <c r="I74" s="666">
        <v>258.67207137433561123766135156</v>
      </c>
      <c r="J74" s="666">
        <v>234.59271866012519032312637456</v>
      </c>
      <c r="K74" s="666">
        <v>332.01755887084978791867778265</v>
      </c>
      <c r="L74" s="666">
        <v>212.53505946313285762827047231</v>
      </c>
      <c r="M74" s="666">
        <v>202.81512508809020436927413671</v>
      </c>
      <c r="N74" s="666"/>
      <c r="O74" s="666"/>
      <c r="P74" s="666"/>
      <c r="Q74" s="666"/>
      <c r="R74" s="666"/>
      <c r="S74" s="666"/>
      <c r="T74" s="666"/>
      <c r="U74" s="666"/>
      <c r="V74" s="666"/>
      <c r="W74" s="666"/>
      <c r="X74" s="666"/>
      <c r="Y74" s="666"/>
      <c r="Z74" s="666"/>
      <c r="AA74" s="666"/>
      <c r="AB74" s="666"/>
      <c r="AC74" s="666"/>
      <c r="AD74" s="666"/>
      <c r="AE74" s="666"/>
      <c r="AF74" s="666"/>
      <c r="AG74" s="666"/>
      <c r="AH74" s="666"/>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row>
    <row r="75" s="84" customFormat="1" ht="14.25">
      <c r="A75" s="260" t="s">
        <v>181</v>
      </c>
      <c r="B75" s="666">
        <v>319.08957751109649843827059017</v>
      </c>
      <c r="C75" s="666">
        <v>289.62673644313855034163812438</v>
      </c>
      <c r="D75" s="666">
        <v>265.91052232316317279404962348</v>
      </c>
      <c r="E75" s="666">
        <v>286.60591050570634894072760133</v>
      </c>
      <c r="F75" s="666">
        <v>303.53818418460672576333192627</v>
      </c>
      <c r="G75" s="666">
        <v>260.3981971594780147790996279</v>
      </c>
      <c r="H75" s="666">
        <v>261.89942077443977236266612628</v>
      </c>
      <c r="I75" s="666">
        <v>255.10352979986804486474598636</v>
      </c>
      <c r="J75" s="666">
        <v>229.51864479846373914917798287</v>
      </c>
      <c r="K75" s="666">
        <v>288.92838980938294583949611952</v>
      </c>
      <c r="L75" s="666">
        <v>226.77635622326216634196308422</v>
      </c>
      <c r="M75" s="666">
        <v>209.71927277189251094114278703</v>
      </c>
      <c r="N75" s="666"/>
      <c r="O75" s="666"/>
      <c r="P75" s="666"/>
      <c r="Q75" s="666"/>
      <c r="R75" s="666"/>
      <c r="S75" s="666"/>
      <c r="T75" s="666"/>
      <c r="U75" s="666"/>
      <c r="V75" s="666"/>
      <c r="W75" s="666"/>
      <c r="X75" s="666"/>
      <c r="Y75" s="666"/>
      <c r="Z75" s="666"/>
      <c r="AA75" s="666"/>
      <c r="AB75" s="666"/>
      <c r="AC75" s="666"/>
      <c r="AD75" s="666"/>
      <c r="AE75" s="666"/>
      <c r="AF75" s="666"/>
      <c r="AG75" s="666"/>
      <c r="AH75" s="666"/>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row>
    <row r="76" s="84" customFormat="1">
      <c r="A76" s="25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666"/>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row>
    <row r="77">
      <c r="A77" s="25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666"/>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666"/>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666"/>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666"/>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666"/>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666"/>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666"/>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666"/>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666"/>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666"/>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666"/>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666"/>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666"/>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666"/>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666"/>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666"/>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666"/>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666"/>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6"/>
      <c r="C95" s="666"/>
      <c r="D95" s="666"/>
      <c r="E95" s="666"/>
      <c r="F95" s="666"/>
      <c r="G95" s="666"/>
      <c r="H95" s="666"/>
      <c r="I95" s="666"/>
      <c r="J95" s="666"/>
      <c r="K95" s="666"/>
      <c r="L95" s="666"/>
      <c r="M95" s="666"/>
      <c r="N95" s="666"/>
      <c r="O95" s="666"/>
      <c r="P95" s="666"/>
      <c r="Q95" s="666"/>
      <c r="R95" s="666"/>
      <c r="S95" s="666"/>
      <c r="T95" s="666"/>
      <c r="U95" s="666"/>
      <c r="V95" s="666"/>
      <c r="W95" s="666"/>
      <c r="X95" s="666"/>
      <c r="Y95" s="666"/>
      <c r="Z95" s="666"/>
      <c r="AA95" s="666"/>
      <c r="AB95" s="666"/>
      <c r="AC95" s="666"/>
      <c r="AD95" s="666"/>
      <c r="AE95" s="666"/>
      <c r="AF95" s="666"/>
      <c r="AG95" s="666"/>
      <c r="AH95" s="666"/>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77"/>
</worksheet>
</file>

<file path=xl/worksheets/sheet7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152</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178</v>
      </c>
      <c r="B4" s="442"/>
      <c r="C4" s="211"/>
      <c r="D4" s="212"/>
      <c r="E4" s="212"/>
      <c r="F4" s="212"/>
      <c r="G4" s="212"/>
      <c r="H4" s="212"/>
      <c r="I4" s="212"/>
      <c r="J4" s="212"/>
      <c r="K4" s="212"/>
      <c r="L4" s="212"/>
      <c r="M4" s="212"/>
      <c r="N4" s="212"/>
      <c r="O4" s="212"/>
      <c r="P4" s="212"/>
      <c r="Q4" s="212"/>
      <c r="R4" s="677" t="s">
        <v>180</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8" t="s">
        <v>21</v>
      </c>
      <c r="E8" s="678"/>
      <c r="F8" s="678"/>
      <c r="G8" s="678" t="s">
        <v>24</v>
      </c>
      <c r="H8" s="678"/>
      <c r="I8" s="678"/>
      <c r="J8" s="678" t="s">
        <v>25</v>
      </c>
      <c r="K8" s="678"/>
      <c r="L8" s="678"/>
      <c r="M8" s="678" t="s">
        <v>23</v>
      </c>
      <c r="N8" s="678"/>
      <c r="O8" s="678"/>
      <c r="Q8" s="678" t="s">
        <v>21</v>
      </c>
      <c r="R8" s="678"/>
      <c r="S8" s="678"/>
      <c r="T8" s="678" t="s">
        <v>24</v>
      </c>
      <c r="U8" s="678"/>
      <c r="V8" s="678"/>
      <c r="W8" s="678" t="s">
        <v>25</v>
      </c>
      <c r="X8" s="678"/>
      <c r="Y8" s="678"/>
      <c r="Z8" s="678" t="s">
        <v>23</v>
      </c>
      <c r="AA8" s="678"/>
      <c r="AB8" s="678"/>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182</v>
      </c>
      <c r="B10" s="342">
        <v>20</v>
      </c>
      <c r="C10" s="343" t="s">
        <v>49</v>
      </c>
      <c r="D10" s="374">
        <v>210.82786885245901639344262295</v>
      </c>
      <c r="E10" s="382">
        <v>211.0200188816379830970390401</v>
      </c>
      <c r="F10" s="375">
        <v>230.29440145277504041737557831</v>
      </c>
      <c r="G10" s="374">
        <v>0</v>
      </c>
      <c r="H10" s="382">
        <v>280.09951779141832688243535251</v>
      </c>
      <c r="I10" s="375">
        <v>235.71507041552473712168982871</v>
      </c>
      <c r="J10" s="374">
        <v>0</v>
      </c>
      <c r="K10" s="382">
        <v>0</v>
      </c>
      <c r="L10" s="375">
        <v>184.82804213647536062516092198</v>
      </c>
      <c r="M10" s="374">
        <v>210.82786885245901639344262295</v>
      </c>
      <c r="N10" s="382">
        <v>211.88894339622641509433962264</v>
      </c>
      <c r="O10" s="375">
        <v>225.54284361685340066277418337</v>
      </c>
      <c r="P10" s="4"/>
      <c r="Q10" s="354">
        <v>-6.0322343598409603525779938700</v>
      </c>
      <c r="R10" s="355">
        <v>5.2068747669950605313548832800</v>
      </c>
      <c r="S10" s="356">
        <v>8.487405719641491278822378670</v>
      </c>
      <c r="T10" s="354">
        <v>0</v>
      </c>
      <c r="U10" s="355">
        <v>1.0029893168050104837252046300</v>
      </c>
      <c r="V10" s="356">
        <v>-29.489684434253091924939133810</v>
      </c>
      <c r="W10" s="354">
        <v>0</v>
      </c>
      <c r="X10" s="355">
        <v>-100</v>
      </c>
      <c r="Y10" s="356">
        <v>17.449248123382309029284789090</v>
      </c>
      <c r="Z10" s="354">
        <v>-6.0322343598409603525779938700</v>
      </c>
      <c r="AA10" s="355">
        <v>3.7293619836332449195047100500</v>
      </c>
      <c r="AB10" s="356">
        <v>-1.6548782695141535982139488800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21</v>
      </c>
      <c r="C11" s="345" t="s">
        <v>47</v>
      </c>
      <c r="D11" s="370">
        <v>197.21929824561403508771929825</v>
      </c>
      <c r="E11" s="172">
        <v>199.25187367460649009094049573</v>
      </c>
      <c r="F11" s="371">
        <v>207.16036755207814988021031319</v>
      </c>
      <c r="G11" s="370">
        <v>0</v>
      </c>
      <c r="H11" s="172">
        <v>179.77740432511500893672452816</v>
      </c>
      <c r="I11" s="371">
        <v>242.90249001178916438350432359</v>
      </c>
      <c r="J11" s="370">
        <v>0</v>
      </c>
      <c r="K11" s="172">
        <v>0</v>
      </c>
      <c r="L11" s="371">
        <v>165.96895703582913531131175104</v>
      </c>
      <c r="M11" s="370">
        <v>197.21929824561403508771929825</v>
      </c>
      <c r="N11" s="172">
        <v>199.02542635658914728682170541</v>
      </c>
      <c r="O11" s="371">
        <v>206.82560741687979539641943734</v>
      </c>
      <c r="P11" s="4"/>
      <c r="Q11" s="327">
        <v>-14.053584794916632380076293960</v>
      </c>
      <c r="R11" s="171">
        <v>-3.1404926210589359220188254200</v>
      </c>
      <c r="S11" s="328">
        <v>-6.1717247586895627977063867700</v>
      </c>
      <c r="T11" s="327">
        <v>0</v>
      </c>
      <c r="U11" s="171">
        <v>-32.978117409314467476896118200</v>
      </c>
      <c r="V11" s="328">
        <v>-19.362576118977623870840600350</v>
      </c>
      <c r="W11" s="327">
        <v>0</v>
      </c>
      <c r="X11" s="171">
        <v>-100</v>
      </c>
      <c r="Y11" s="328">
        <v>10.663871875771679785356962170</v>
      </c>
      <c r="Z11" s="327">
        <v>-14.053584794916632380076293960</v>
      </c>
      <c r="AA11" s="171">
        <v>-8.503424752334699419904745550</v>
      </c>
      <c r="AB11" s="328">
        <v>-12.499886591310302047858731200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22</v>
      </c>
      <c r="C12" s="347" t="s">
        <v>48</v>
      </c>
      <c r="D12" s="378">
        <v>204.38983050847457627118644068</v>
      </c>
      <c r="E12" s="173">
        <v>191.61720035178430192064784977</v>
      </c>
      <c r="F12" s="379">
        <v>216.41248519941900183114020984</v>
      </c>
      <c r="G12" s="378">
        <v>0</v>
      </c>
      <c r="H12" s="173">
        <v>178.99908316380268074853193671</v>
      </c>
      <c r="I12" s="379">
        <v>242.80967851047337665374965598</v>
      </c>
      <c r="J12" s="378">
        <v>0</v>
      </c>
      <c r="K12" s="173">
        <v>0</v>
      </c>
      <c r="L12" s="379">
        <v>134.1076968645637056441112294</v>
      </c>
      <c r="M12" s="378">
        <v>204.38983050847457627118644068</v>
      </c>
      <c r="N12" s="173">
        <v>191.46034530386740331491712708</v>
      </c>
      <c r="O12" s="379">
        <v>212.94239766081871345029239766</v>
      </c>
      <c r="P12" s="4"/>
      <c r="Q12" s="359">
        <v>-2.8550181022758797849849739900</v>
      </c>
      <c r="R12" s="170">
        <v>-6.5827001032916315217582633900</v>
      </c>
      <c r="S12" s="360">
        <v>-6.5511130432656449532038116900</v>
      </c>
      <c r="T12" s="359">
        <v>0</v>
      </c>
      <c r="U12" s="170">
        <v>-32.752064348100999597924236410</v>
      </c>
      <c r="V12" s="360">
        <v>-15.337211138261572335075907210</v>
      </c>
      <c r="W12" s="359">
        <v>0</v>
      </c>
      <c r="X12" s="170">
        <v>-100</v>
      </c>
      <c r="Y12" s="360">
        <v>-14.733139034408796030575707750</v>
      </c>
      <c r="Z12" s="359">
        <v>-2.8550181022758797849849739900</v>
      </c>
      <c r="AA12" s="170">
        <v>-11.945149368758154822928041190</v>
      </c>
      <c r="AB12" s="360">
        <v>-12.113195853476655229613401600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23</v>
      </c>
      <c r="C13" s="345" t="s">
        <v>50</v>
      </c>
      <c r="D13" s="370">
        <v>198.14166666666666666666666667</v>
      </c>
      <c r="E13" s="172">
        <v>190.41330032708193518308410519</v>
      </c>
      <c r="F13" s="371">
        <v>216.40137490781246915300080794</v>
      </c>
      <c r="G13" s="370">
        <v>299</v>
      </c>
      <c r="H13" s="172">
        <v>195.66737092422061047274966272</v>
      </c>
      <c r="I13" s="371">
        <v>243.50544133157614452598643935</v>
      </c>
      <c r="J13" s="370">
        <v>0</v>
      </c>
      <c r="K13" s="172">
        <v>0</v>
      </c>
      <c r="L13" s="371">
        <v>156.07276291003669266792444957</v>
      </c>
      <c r="M13" s="370">
        <v>198.97520661157024793388429752</v>
      </c>
      <c r="N13" s="172">
        <v>190.49486416558861578266494178</v>
      </c>
      <c r="O13" s="371">
        <v>218.06756756756756756756756757</v>
      </c>
      <c r="P13" s="4"/>
      <c r="Q13" s="327">
        <v>-5.4116499795836010171382246800</v>
      </c>
      <c r="R13" s="171">
        <v>-10.217761043023197857585632850</v>
      </c>
      <c r="S13" s="328">
        <v>-12.493312185461344149011817660</v>
      </c>
      <c r="T13" s="327">
        <v>0</v>
      </c>
      <c r="U13" s="171">
        <v>-22.081515404357032908293503730</v>
      </c>
      <c r="V13" s="328">
        <v>-7.939951118890952673507026690</v>
      </c>
      <c r="W13" s="327">
        <v>0</v>
      </c>
      <c r="X13" s="171">
        <v>-100</v>
      </c>
      <c r="Y13" s="328">
        <v>3.187344878002706944838319900</v>
      </c>
      <c r="Z13" s="327">
        <v>-5.0137368632213759496848255300</v>
      </c>
      <c r="AA13" s="171">
        <v>-13.582799588782829558249414970</v>
      </c>
      <c r="AB13" s="328">
        <v>-10.343820197683318730464838590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24</v>
      </c>
      <c r="C14" s="347" t="s">
        <v>51</v>
      </c>
      <c r="D14" s="378">
        <v>213.69369369369369369369369369</v>
      </c>
      <c r="E14" s="173">
        <v>209.22901566981340486661889176</v>
      </c>
      <c r="F14" s="379">
        <v>215.93643006830706096011979085</v>
      </c>
      <c r="G14" s="378">
        <v>299</v>
      </c>
      <c r="H14" s="173">
        <v>286.04247923320152797250538487</v>
      </c>
      <c r="I14" s="379">
        <v>261.52366276858865100035002517</v>
      </c>
      <c r="J14" s="378">
        <v>0</v>
      </c>
      <c r="K14" s="173">
        <v>0</v>
      </c>
      <c r="L14" s="379">
        <v>162.23382043790618658402995891</v>
      </c>
      <c r="M14" s="378">
        <v>215.20353982300884955752212389</v>
      </c>
      <c r="N14" s="173">
        <v>213.20942668136714443219404631</v>
      </c>
      <c r="O14" s="379">
        <v>218.77990366604227990366604228</v>
      </c>
      <c r="P14" s="4"/>
      <c r="Q14" s="359">
        <v>-16.099079356930271816379520010</v>
      </c>
      <c r="R14" s="170">
        <v>-21.948046122277002070116669300</v>
      </c>
      <c r="S14" s="360">
        <v>-20.016835573090968643437527550</v>
      </c>
      <c r="T14" s="359">
        <v>20.080321285140562248995983940</v>
      </c>
      <c r="U14" s="170">
        <v>10.750147114335715398342190520</v>
      </c>
      <c r="V14" s="360">
        <v>-3.7726114489207176330604301500</v>
      </c>
      <c r="W14" s="359">
        <v>0</v>
      </c>
      <c r="X14" s="170">
        <v>-100</v>
      </c>
      <c r="Y14" s="360">
        <v>3.7294971531265428007302364700</v>
      </c>
      <c r="Z14" s="359">
        <v>-15.491737873444431541442472620</v>
      </c>
      <c r="AA14" s="170">
        <v>-19.626467917199805878095546920</v>
      </c>
      <c r="AB14" s="360">
        <v>-16.639111291085671417151347210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25</v>
      </c>
      <c r="C15" s="345" t="s">
        <v>52</v>
      </c>
      <c r="D15" s="370">
        <v>304.89719626168224299065420561</v>
      </c>
      <c r="E15" s="172">
        <v>290.78051113500509211188239476</v>
      </c>
      <c r="F15" s="371">
        <v>259.32815972517238594118356351</v>
      </c>
      <c r="G15" s="370">
        <v>359</v>
      </c>
      <c r="H15" s="172">
        <v>320.59224994735233716038298996</v>
      </c>
      <c r="I15" s="371">
        <v>268.63188549864971918185893259</v>
      </c>
      <c r="J15" s="370">
        <v>0</v>
      </c>
      <c r="K15" s="172">
        <v>0</v>
      </c>
      <c r="L15" s="371">
        <v>161.07349944267484577605215968</v>
      </c>
      <c r="M15" s="370">
        <v>306.37272727272727272727272727</v>
      </c>
      <c r="N15" s="172">
        <v>293.30376175548589341692789969</v>
      </c>
      <c r="O15" s="371">
        <v>252.42353658536585365853658537</v>
      </c>
      <c r="P15" s="4"/>
      <c r="Q15" s="327">
        <v>-13.578695358190078797455816690</v>
      </c>
      <c r="R15" s="171">
        <v>-4.5193727271692598246881783900</v>
      </c>
      <c r="S15" s="328">
        <v>-9.810832571334596377390879500</v>
      </c>
      <c r="T15" s="327">
        <v>44.176706827309236947791164660</v>
      </c>
      <c r="U15" s="171">
        <v>4.7726803888981657948718626800</v>
      </c>
      <c r="V15" s="328">
        <v>12.079677614933354598698147840</v>
      </c>
      <c r="W15" s="327">
        <v>0</v>
      </c>
      <c r="X15" s="171">
        <v>-100</v>
      </c>
      <c r="Y15" s="328">
        <v>-5.3087207403391629928057412900</v>
      </c>
      <c r="Z15" s="327">
        <v>-12.952240755480309286784036280</v>
      </c>
      <c r="AA15" s="171">
        <v>-3.5422861641212827363635716800</v>
      </c>
      <c r="AB15" s="328">
        <v>-5.9970931729215659365603103200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26</v>
      </c>
      <c r="C16" s="347" t="s">
        <v>53</v>
      </c>
      <c r="D16" s="378">
        <v>324.30088495575221238938053097</v>
      </c>
      <c r="E16" s="173">
        <v>309.623703749040070606342741</v>
      </c>
      <c r="F16" s="379">
        <v>267.14703879928149920791968639</v>
      </c>
      <c r="G16" s="378">
        <v>359</v>
      </c>
      <c r="H16" s="173">
        <v>314.69356724079201688366693585</v>
      </c>
      <c r="I16" s="379">
        <v>274.31581577468390767390967625</v>
      </c>
      <c r="J16" s="378">
        <v>0</v>
      </c>
      <c r="K16" s="173">
        <v>0</v>
      </c>
      <c r="L16" s="379">
        <v>161.39160696374483799451577476</v>
      </c>
      <c r="M16" s="378">
        <v>325.19827586206896551724137931</v>
      </c>
      <c r="N16" s="173">
        <v>310.13017329255861365953109073</v>
      </c>
      <c r="O16" s="379">
        <v>259.38790697674418604651162791</v>
      </c>
      <c r="P16" s="4"/>
      <c r="Q16" s="359">
        <v>-3.1345134909944429935400443900</v>
      </c>
      <c r="R16" s="170">
        <v>4.2960490853497781231279036700</v>
      </c>
      <c r="S16" s="360">
        <v>-3.6137671439647226133661291800</v>
      </c>
      <c r="T16" s="359">
        <v>44.176706827309236947791164660</v>
      </c>
      <c r="U16" s="170">
        <v>-0.1112737876025592495649425900</v>
      </c>
      <c r="V16" s="360">
        <v>7.2511823768934804482944002600</v>
      </c>
      <c r="W16" s="359">
        <v>0</v>
      </c>
      <c r="X16" s="170">
        <v>-100</v>
      </c>
      <c r="Y16" s="360">
        <v>-9.434463601809031328626426100</v>
      </c>
      <c r="Z16" s="359">
        <v>-2.6636785636938463170342986100</v>
      </c>
      <c r="AA16" s="170">
        <v>4.399905583178680758961877900</v>
      </c>
      <c r="AB16" s="360">
        <v>-2.8549856267529762926326431100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27</v>
      </c>
      <c r="C17" s="345" t="s">
        <v>49</v>
      </c>
      <c r="D17" s="370">
        <v>245.4077669902912621359223301</v>
      </c>
      <c r="E17" s="172">
        <v>250.61144323693437902203732677</v>
      </c>
      <c r="F17" s="371">
        <v>234.995784855727160445018738</v>
      </c>
      <c r="G17" s="370">
        <v>307</v>
      </c>
      <c r="H17" s="172">
        <v>274.24113818466113515375355097</v>
      </c>
      <c r="I17" s="371">
        <v>278.16967677006185376564652872</v>
      </c>
      <c r="J17" s="370">
        <v>0</v>
      </c>
      <c r="K17" s="172">
        <v>0</v>
      </c>
      <c r="L17" s="371">
        <v>170.00229574313269313956097592</v>
      </c>
      <c r="M17" s="370">
        <v>248.25925925925925925925925926</v>
      </c>
      <c r="N17" s="172">
        <v>252.23926666666666666666666667</v>
      </c>
      <c r="O17" s="371">
        <v>238.97769095034030753718174943</v>
      </c>
      <c r="P17" s="4"/>
      <c r="Q17" s="327">
        <v>17.155403581524624835740495200</v>
      </c>
      <c r="R17" s="171">
        <v>21.217671140214666541018314030</v>
      </c>
      <c r="S17" s="328">
        <v>16.012737872745144185434144960</v>
      </c>
      <c r="T17" s="327">
        <v>29.809725158562367864693446090</v>
      </c>
      <c r="U17" s="171">
        <v>13.621031703509949641764160380</v>
      </c>
      <c r="V17" s="328">
        <v>-22.452238607501781967428516030</v>
      </c>
      <c r="W17" s="327">
        <v>0</v>
      </c>
      <c r="X17" s="171">
        <v>-100</v>
      </c>
      <c r="Y17" s="328">
        <v>-1.9569704835240355431075674800</v>
      </c>
      <c r="Z17" s="327">
        <v>18.044395298346388832166190340</v>
      </c>
      <c r="AA17" s="171">
        <v>18.638053578422025263062124500</v>
      </c>
      <c r="AB17" s="328">
        <v>5.9658298927888029846474207600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28</v>
      </c>
      <c r="C18" s="347" t="s">
        <v>47</v>
      </c>
      <c r="D18" s="378">
        <v>290.85148514851485148514851485</v>
      </c>
      <c r="E18" s="173">
        <v>314.00316862602755325228930057</v>
      </c>
      <c r="F18" s="379">
        <v>270.05454251857947940088590076</v>
      </c>
      <c r="G18" s="378">
        <v>261.60869565217391304347826087</v>
      </c>
      <c r="H18" s="173">
        <v>276.48909437668222687958896682</v>
      </c>
      <c r="I18" s="379">
        <v>292.37700115467010649311947808</v>
      </c>
      <c r="J18" s="378">
        <v>0</v>
      </c>
      <c r="K18" s="173">
        <v>0</v>
      </c>
      <c r="L18" s="379">
        <v>182.09465331812984441421366685</v>
      </c>
      <c r="M18" s="378">
        <v>285.42741935483870967741935484</v>
      </c>
      <c r="N18" s="173">
        <v>308.74</v>
      </c>
      <c r="O18" s="379">
        <v>269.46395280235988200589970501</v>
      </c>
      <c r="P18" s="4"/>
      <c r="Q18" s="359">
        <v>43.349874114203348482731470470</v>
      </c>
      <c r="R18" s="170">
        <v>68.239600027114461038548059460</v>
      </c>
      <c r="S18" s="360">
        <v>30.017215450192671999135701380</v>
      </c>
      <c r="T18" s="359">
        <v>22.211361472548397334179625520</v>
      </c>
      <c r="U18" s="170">
        <v>20.244580745739593720534494810</v>
      </c>
      <c r="V18" s="360">
        <v>-9.11059789081282333835712100</v>
      </c>
      <c r="W18" s="359">
        <v>0</v>
      </c>
      <c r="X18" s="170">
        <v>-100</v>
      </c>
      <c r="Y18" s="360">
        <v>13.731464248641815624985270420</v>
      </c>
      <c r="Z18" s="359">
        <v>39.668478907793841615267961070</v>
      </c>
      <c r="AA18" s="170">
        <v>57.748535558296518762358440040</v>
      </c>
      <c r="AB18" s="360">
        <v>15.276168032289406711044783640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29</v>
      </c>
      <c r="C19" s="345" t="s">
        <v>48</v>
      </c>
      <c r="D19" s="370">
        <v>321.28846153846153846153846154</v>
      </c>
      <c r="E19" s="172">
        <v>332.98787278491512046821122171</v>
      </c>
      <c r="F19" s="371">
        <v>285.85712424495575532108601979</v>
      </c>
      <c r="G19" s="370">
        <v>269</v>
      </c>
      <c r="H19" s="172">
        <v>289.56476016209768166851899694</v>
      </c>
      <c r="I19" s="371">
        <v>298.66674273758086269555269833</v>
      </c>
      <c r="J19" s="370">
        <v>0</v>
      </c>
      <c r="K19" s="172">
        <v>0</v>
      </c>
      <c r="L19" s="371">
        <v>164.03871163353338702112055306</v>
      </c>
      <c r="M19" s="370">
        <v>311.484375000</v>
      </c>
      <c r="N19" s="172">
        <v>326.95688492063492063492063492</v>
      </c>
      <c r="O19" s="371">
        <v>280.38212775682779110958747572</v>
      </c>
      <c r="P19" s="4"/>
      <c r="Q19" s="327">
        <v>58.506573312646473477266207220</v>
      </c>
      <c r="R19" s="171">
        <v>89.59375469106964254247501931</v>
      </c>
      <c r="S19" s="328">
        <v>31.654865992023894901909847790</v>
      </c>
      <c r="T19" s="327">
        <v>34.053156146157134027218246320</v>
      </c>
      <c r="U19" s="171">
        <v>20.745175629979637283856825700</v>
      </c>
      <c r="V19" s="328">
        <v>-3.5337938587197017471659687200</v>
      </c>
      <c r="W19" s="327">
        <v>0</v>
      </c>
      <c r="X19" s="171">
        <v>-100</v>
      </c>
      <c r="Y19" s="328">
        <v>14.095623756682989473296922140</v>
      </c>
      <c r="Z19" s="327">
        <v>53.888258091494352817341186950</v>
      </c>
      <c r="AA19" s="171">
        <v>70.602431317376797184219190190</v>
      </c>
      <c r="AB19" s="328">
        <v>17.443933770330888165260761730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30</v>
      </c>
      <c r="C20" s="347" t="s">
        <v>50</v>
      </c>
      <c r="D20" s="378">
        <v>265.16831683168316831683168317</v>
      </c>
      <c r="E20" s="173">
        <v>340.63548170461799064557847484</v>
      </c>
      <c r="F20" s="379">
        <v>270.97507543314959946159568613</v>
      </c>
      <c r="G20" s="378">
        <v>275.8</v>
      </c>
      <c r="H20" s="173">
        <v>296.38415659916514756185222874</v>
      </c>
      <c r="I20" s="379">
        <v>280.58571078028909038352400715</v>
      </c>
      <c r="J20" s="378">
        <v>0</v>
      </c>
      <c r="K20" s="173">
        <v>0</v>
      </c>
      <c r="L20" s="379">
        <v>158.50999987250611728389647577</v>
      </c>
      <c r="M20" s="378">
        <v>267.27777777777777777777777778</v>
      </c>
      <c r="N20" s="173">
        <v>332.71536940686784599375650364</v>
      </c>
      <c r="O20" s="379">
        <v>265.43899066712754925682682337</v>
      </c>
      <c r="P20" s="4"/>
      <c r="Q20" s="359">
        <v>44.483610487083684448957858260</v>
      </c>
      <c r="R20" s="170">
        <v>69.569862999318703440475526120</v>
      </c>
      <c r="S20" s="360">
        <v>22.858003508841465035081860190</v>
      </c>
      <c r="T20" s="359">
        <v>1.0667752442955591703890759100</v>
      </c>
      <c r="U20" s="170">
        <v>8.450544437102340385398039350</v>
      </c>
      <c r="V20" s="360">
        <v>-10.220384439507148467838685340</v>
      </c>
      <c r="W20" s="359">
        <v>0</v>
      </c>
      <c r="X20" s="170">
        <v>-100</v>
      </c>
      <c r="Y20" s="360">
        <v>-6.7359004485049173526320836700</v>
      </c>
      <c r="Z20" s="359">
        <v>36.019225332202431439072660450</v>
      </c>
      <c r="AA20" s="170">
        <v>53.050971469503813601280777790</v>
      </c>
      <c r="AB20" s="360">
        <v>13.050716780563929720899643760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t="s">
        <v>179</v>
      </c>
      <c r="B21" s="668">
        <v>1</v>
      </c>
      <c r="C21" s="679" t="s">
        <v>51</v>
      </c>
      <c r="D21" s="680">
        <v>271.36190476190476190476190476</v>
      </c>
      <c r="E21" s="681">
        <v>298.44272101730538518120787633</v>
      </c>
      <c r="F21" s="682">
        <v>287.61067772488196313057946149</v>
      </c>
      <c r="G21" s="680">
        <v>439</v>
      </c>
      <c r="H21" s="681">
        <v>321.71901919657596388529700329</v>
      </c>
      <c r="I21" s="682">
        <v>315.83281662883884683339433985</v>
      </c>
      <c r="J21" s="680">
        <v>0</v>
      </c>
      <c r="K21" s="681">
        <v>0</v>
      </c>
      <c r="L21" s="682">
        <v>174.56831542144697997321428183</v>
      </c>
      <c r="M21" s="680">
        <v>297.04838709677419354838709677</v>
      </c>
      <c r="N21" s="681">
        <v>301.69745762711864406779661017</v>
      </c>
      <c r="O21" s="682">
        <v>285.45558252427184466019417476</v>
      </c>
      <c r="P21" s="4"/>
      <c r="Q21" s="670">
        <v>-11.583456445346171201054938020</v>
      </c>
      <c r="R21" s="671">
        <v>6.509714689427409418902580600</v>
      </c>
      <c r="S21" s="672">
        <v>7.1607550824925000133705870300</v>
      </c>
      <c r="T21" s="670">
        <v>-1.7179147439217901305598470400</v>
      </c>
      <c r="U21" s="671">
        <v>-20.871974336797077732662802110</v>
      </c>
      <c r="V21" s="672">
        <v>-9.987041005605724899774343350</v>
      </c>
      <c r="W21" s="670">
        <v>0</v>
      </c>
      <c r="X21" s="671">
        <v>-100</v>
      </c>
      <c r="Y21" s="672">
        <v>5.4662288473905528969546669600</v>
      </c>
      <c r="Z21" s="670">
        <v>-18.605541339827349489056864450</v>
      </c>
      <c r="AA21" s="671">
        <v>-0.3157416401472670514763234500</v>
      </c>
      <c r="AB21" s="672">
        <v>3.0488647524396100333251346100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2</v>
      </c>
      <c r="C22" s="347" t="s">
        <v>52</v>
      </c>
      <c r="D22" s="378">
        <v>413.84375</v>
      </c>
      <c r="E22" s="173">
        <v>398.9003285870755750273822563</v>
      </c>
      <c r="F22" s="379">
        <v>342.7646888750623369586230871</v>
      </c>
      <c r="G22" s="378">
        <v>439</v>
      </c>
      <c r="H22" s="173">
        <v>378.16470588235294117647058824</v>
      </c>
      <c r="I22" s="379">
        <v>325.02014386094768885367235244</v>
      </c>
      <c r="J22" s="378">
        <v>0</v>
      </c>
      <c r="K22" s="173">
        <v>0</v>
      </c>
      <c r="L22" s="379">
        <v>192.55637311659555968999431193</v>
      </c>
      <c r="M22" s="378">
        <v>420.132812500</v>
      </c>
      <c r="N22" s="173">
        <v>397.13426853707414829659318637</v>
      </c>
      <c r="O22" s="379">
        <v>327.43658672615727830451756832</v>
      </c>
      <c r="P22" s="4"/>
      <c r="Q22" s="359">
        <v>-11.449417872881595379617817390</v>
      </c>
      <c r="R22" s="170">
        <v>0.610976447751244476632627100</v>
      </c>
      <c r="S22" s="360">
        <v>0.6842894925388782462408029600</v>
      </c>
      <c r="T22" s="359">
        <v>-1.6665173371561688020786667900</v>
      </c>
      <c r="U22" s="170">
        <v>-9.609035138235826028747142070</v>
      </c>
      <c r="V22" s="360">
        <v>-17.413684488504970358120675140</v>
      </c>
      <c r="W22" s="359">
        <v>0</v>
      </c>
      <c r="X22" s="170">
        <v>-100</v>
      </c>
      <c r="Y22" s="360">
        <v>10.522474322216078889851686720</v>
      </c>
      <c r="Z22" s="359">
        <v>-7.643786637713167064868609800</v>
      </c>
      <c r="AA22" s="170">
        <v>-0.2071188270450100043163516500</v>
      </c>
      <c r="AB22" s="360">
        <v>-3.1787710833697164835347548700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3</v>
      </c>
      <c r="C23" s="345" t="s">
        <v>53</v>
      </c>
      <c r="D23" s="370">
        <v>399.64</v>
      </c>
      <c r="E23" s="172">
        <v>397.97516216862613083765900172</v>
      </c>
      <c r="F23" s="371">
        <v>367.31867601446806583499080709</v>
      </c>
      <c r="G23" s="370">
        <v>439</v>
      </c>
      <c r="H23" s="172">
        <v>346.94965499153513602203599246</v>
      </c>
      <c r="I23" s="371">
        <v>328.32634971813161790419995309</v>
      </c>
      <c r="J23" s="370">
        <v>0</v>
      </c>
      <c r="K23" s="172">
        <v>0</v>
      </c>
      <c r="L23" s="371">
        <v>193.63858031191453409363728067</v>
      </c>
      <c r="M23" s="370">
        <v>408.95419847328244274809160305</v>
      </c>
      <c r="N23" s="172">
        <v>393.97708129285014691478942214</v>
      </c>
      <c r="O23" s="371">
        <v>346.25260159929893745207580239</v>
      </c>
      <c r="P23" s="4"/>
      <c r="Q23" s="327">
        <v>-17.168007802975894074520812290</v>
      </c>
      <c r="R23" s="171">
        <v>5.3526872058779024057046902900</v>
      </c>
      <c r="S23" s="328">
        <v>8.609527924082240432172053140</v>
      </c>
      <c r="T23" s="327">
        <v>-2.1923179752250245076196417400</v>
      </c>
      <c r="U23" s="171">
        <v>-16.888636871077473303033467630</v>
      </c>
      <c r="V23" s="328">
        <v>-17.420989498981166940986183620</v>
      </c>
      <c r="W23" s="327">
        <v>0</v>
      </c>
      <c r="X23" s="171">
        <v>-100</v>
      </c>
      <c r="Y23" s="328">
        <v>23.525826024655691034969333520</v>
      </c>
      <c r="Z23" s="327">
        <v>-11.568365670199479265071261270</v>
      </c>
      <c r="AA23" s="171">
        <v>2.8659438264235232130815976600</v>
      </c>
      <c r="AB23" s="328">
        <v>2.261116179705005799017409300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4</v>
      </c>
      <c r="C24" s="347" t="s">
        <v>49</v>
      </c>
      <c r="D24" s="378">
        <v>248.6039603960396039603960396</v>
      </c>
      <c r="E24" s="173">
        <v>261.40926265104997883531252338</v>
      </c>
      <c r="F24" s="379">
        <v>267.98587657662484908561926877</v>
      </c>
      <c r="G24" s="378">
        <v>439</v>
      </c>
      <c r="H24" s="173">
        <v>302.79569923633559490917154881</v>
      </c>
      <c r="I24" s="379">
        <v>307.75891081915563345733828738</v>
      </c>
      <c r="J24" s="378">
        <v>0</v>
      </c>
      <c r="K24" s="173">
        <v>0</v>
      </c>
      <c r="L24" s="379">
        <v>177.40628189044187873778630321</v>
      </c>
      <c r="M24" s="378">
        <v>289.93023255813953488372093023</v>
      </c>
      <c r="N24" s="173">
        <v>266.29779816513761467889908257</v>
      </c>
      <c r="O24" s="379">
        <v>268.1900944006207164101900944</v>
      </c>
      <c r="P24" s="4"/>
      <c r="Q24" s="359">
        <v>-30.266746254267312421008593540</v>
      </c>
      <c r="R24" s="170">
        <v>-12.478551525335847927863244840</v>
      </c>
      <c r="S24" s="360">
        <v>-4.5083773865382344906369575500</v>
      </c>
      <c r="T24" s="359">
        <v>-4.2921378934459735658809102100</v>
      </c>
      <c r="U24" s="170">
        <v>-21.196368553545053856443316980</v>
      </c>
      <c r="V24" s="360">
        <v>-13.265110190931012626599577070</v>
      </c>
      <c r="W24" s="359">
        <v>0</v>
      </c>
      <c r="X24" s="170">
        <v>-100</v>
      </c>
      <c r="Y24" s="360">
        <v>6.1466181173553332287032839300</v>
      </c>
      <c r="Z24" s="359">
        <v>-27.102415697730294398365331180</v>
      </c>
      <c r="AA24" s="170">
        <v>-15.283902716147765786352564210</v>
      </c>
      <c r="AB24" s="360">
        <v>-6.5789141707016189159927414400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5</v>
      </c>
      <c r="C25" s="345" t="s">
        <v>47</v>
      </c>
      <c r="D25" s="370">
        <v>191.56470588235294117647058824</v>
      </c>
      <c r="E25" s="172">
        <v>170.91238702579651219654685534</v>
      </c>
      <c r="F25" s="371">
        <v>204.36043355944247882859579133</v>
      </c>
      <c r="G25" s="370">
        <v>0</v>
      </c>
      <c r="H25" s="172">
        <v>212.89108712890608004440472507</v>
      </c>
      <c r="I25" s="371">
        <v>235.97592317584102266589957522</v>
      </c>
      <c r="J25" s="370">
        <v>0</v>
      </c>
      <c r="K25" s="172">
        <v>0</v>
      </c>
      <c r="L25" s="371">
        <v>159.7648118154726102597893525</v>
      </c>
      <c r="M25" s="370">
        <v>191.56470588235294117647058824</v>
      </c>
      <c r="N25" s="172">
        <v>179.39512953367875647668393783</v>
      </c>
      <c r="O25" s="371">
        <v>207.9854346836595357305416477</v>
      </c>
      <c r="P25" s="4"/>
      <c r="Q25" s="327">
        <v>7.2720285479295284184869419500</v>
      </c>
      <c r="R25" s="171">
        <v>-17.143846947342385985799345460</v>
      </c>
      <c r="S25" s="328">
        <v>-4.9324414817187374309945664700</v>
      </c>
      <c r="T25" s="327">
        <v>0</v>
      </c>
      <c r="U25" s="171">
        <v>13.235017604226885622695362470</v>
      </c>
      <c r="V25" s="328">
        <v>-10.518032909167318195451736780</v>
      </c>
      <c r="W25" s="327">
        <v>0</v>
      </c>
      <c r="X25" s="171">
        <v>-100</v>
      </c>
      <c r="Y25" s="328">
        <v>2.6389039971968656733020377100</v>
      </c>
      <c r="Z25" s="327">
        <v>7.2720285479295284184869419500</v>
      </c>
      <c r="AA25" s="171">
        <v>-11.692572853850986173548967930</v>
      </c>
      <c r="AB25" s="328">
        <v>-6.2727531470473605343944598500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6</v>
      </c>
      <c r="C26" s="347" t="s">
        <v>48</v>
      </c>
      <c r="D26" s="378">
        <v>173.10294117647058823529411765</v>
      </c>
      <c r="E26" s="173">
        <v>179.50184915642830021325710033</v>
      </c>
      <c r="F26" s="379">
        <v>206.78136662622113498115123726</v>
      </c>
      <c r="G26" s="378">
        <v>0</v>
      </c>
      <c r="H26" s="173">
        <v>230.52445184696424115006303855</v>
      </c>
      <c r="I26" s="379">
        <v>231.76634845599134805947623898</v>
      </c>
      <c r="J26" s="378">
        <v>0</v>
      </c>
      <c r="K26" s="173">
        <v>0</v>
      </c>
      <c r="L26" s="379">
        <v>153.77178404155945853647182349</v>
      </c>
      <c r="M26" s="378">
        <v>173.10294117647058823529411765</v>
      </c>
      <c r="N26" s="173">
        <v>190.80512376237623762376237624</v>
      </c>
      <c r="O26" s="379">
        <v>206.61018272684679056692175543</v>
      </c>
      <c r="P26" s="4"/>
      <c r="Q26" s="359">
        <v>-10.146849984288731006602926470</v>
      </c>
      <c r="R26" s="170">
        <v>-8.824956191501587158342537410</v>
      </c>
      <c r="S26" s="360">
        <v>-1.5271835232108863842796894900</v>
      </c>
      <c r="T26" s="359">
        <v>-100</v>
      </c>
      <c r="U26" s="170">
        <v>27.976606341176895184246268040</v>
      </c>
      <c r="V26" s="360">
        <v>-8.679683249619497593735305770</v>
      </c>
      <c r="W26" s="359">
        <v>0</v>
      </c>
      <c r="X26" s="170">
        <v>-100</v>
      </c>
      <c r="Y26" s="360">
        <v>8.431412422175032495582554190</v>
      </c>
      <c r="Z26" s="359">
        <v>-10.759358288763481092656750470</v>
      </c>
      <c r="AA26" s="170">
        <v>-1.6592852345732348134825579200</v>
      </c>
      <c r="AB26" s="360">
        <v>-4.1148726145950780202884622800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7</v>
      </c>
      <c r="C27" s="345" t="s">
        <v>50</v>
      </c>
      <c r="D27" s="370">
        <v>173.47368421052631578947368421</v>
      </c>
      <c r="E27" s="172">
        <v>182.51331360946745562130177515</v>
      </c>
      <c r="F27" s="371">
        <v>216.09848507816169058799964395</v>
      </c>
      <c r="G27" s="370">
        <v>269.42857142857142857142857143</v>
      </c>
      <c r="H27" s="172">
        <v>204.99315068493150684931506849</v>
      </c>
      <c r="I27" s="371">
        <v>237.7385478014236947143204737</v>
      </c>
      <c r="J27" s="370">
        <v>0</v>
      </c>
      <c r="K27" s="172">
        <v>0</v>
      </c>
      <c r="L27" s="371">
        <v>157.02557296809858154633538918</v>
      </c>
      <c r="M27" s="370">
        <v>185.79816513761467889908256881</v>
      </c>
      <c r="N27" s="172">
        <v>186.50608272506082725060827251</v>
      </c>
      <c r="O27" s="371">
        <v>214.78983050847457627118644068</v>
      </c>
      <c r="P27" s="4"/>
      <c r="Q27" s="327">
        <v>-15.652989849028427818756875030</v>
      </c>
      <c r="R27" s="171">
        <v>-2.6243621881582539511424857100</v>
      </c>
      <c r="S27" s="328">
        <v>2.9790390150988596482063973400</v>
      </c>
      <c r="T27" s="327">
        <v>26.492287055667337357478202550</v>
      </c>
      <c r="U27" s="171">
        <v>10.775656426918530235016873940</v>
      </c>
      <c r="V27" s="328">
        <v>-6.0804400364298701392249092700</v>
      </c>
      <c r="W27" s="327">
        <v>0</v>
      </c>
      <c r="X27" s="171">
        <v>-100</v>
      </c>
      <c r="Y27" s="328">
        <v>11.311527889844739427616864840</v>
      </c>
      <c r="Z27" s="327">
        <v>-10.130151130147710847990950290</v>
      </c>
      <c r="AA27" s="171">
        <v>-0.2104544128855724531502003100</v>
      </c>
      <c r="AB27" s="328">
        <v>-0.4700370553185834951649993700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8</v>
      </c>
      <c r="C28" s="347" t="s">
        <v>51</v>
      </c>
      <c r="D28" s="378">
        <v>198.64646464646464646464646465</v>
      </c>
      <c r="E28" s="173">
        <v>197.48680648963005756803336564</v>
      </c>
      <c r="F28" s="379">
        <v>237.63680463590365211911536562</v>
      </c>
      <c r="G28" s="378">
        <v>278.07142857142857142857142857</v>
      </c>
      <c r="H28" s="173">
        <v>196.45893740802217151554911189</v>
      </c>
      <c r="I28" s="379">
        <v>235.23765522955526634054500534</v>
      </c>
      <c r="J28" s="378">
        <v>0</v>
      </c>
      <c r="K28" s="173">
        <v>0</v>
      </c>
      <c r="L28" s="379">
        <v>145.61124461224107174396161608</v>
      </c>
      <c r="M28" s="378">
        <v>208.4867256637168141592920354</v>
      </c>
      <c r="N28" s="173">
        <v>197.38684210526315789473684211</v>
      </c>
      <c r="O28" s="379">
        <v>228.08390296206942769065808873</v>
      </c>
      <c r="P28" s="4"/>
      <c r="Q28" s="359">
        <v>1.2778957104438903154106580200</v>
      </c>
      <c r="R28" s="170">
        <v>9.088780282720465803281894680</v>
      </c>
      <c r="S28" s="360">
        <v>9.751805979496211118976343120</v>
      </c>
      <c r="T28" s="359">
        <v>33.327625326426644976240421250</v>
      </c>
      <c r="U28" s="170">
        <v>-10.970244882427350362509855560</v>
      </c>
      <c r="V28" s="360">
        <v>4.724917545408130602321763700</v>
      </c>
      <c r="W28" s="359">
        <v>0</v>
      </c>
      <c r="X28" s="170">
        <v>-100</v>
      </c>
      <c r="Y28" s="360">
        <v>3.2867264136515885467880194700</v>
      </c>
      <c r="Z28" s="359">
        <v>5.3743199729271664520023846900</v>
      </c>
      <c r="AA28" s="170">
        <v>8.557840380773868048909108630</v>
      </c>
      <c r="AB28" s="360">
        <v>7.2583577335922920890111126900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c r="B29" s="344">
        <v>9</v>
      </c>
      <c r="C29" s="345" t="s">
        <v>52</v>
      </c>
      <c r="D29" s="370">
        <v>263.2967032967032967032967033</v>
      </c>
      <c r="E29" s="172">
        <v>240.84935064935064935064935065</v>
      </c>
      <c r="F29" s="371">
        <v>238.35865329929219841680014177</v>
      </c>
      <c r="G29" s="370">
        <v>368.92857142857142857142857143</v>
      </c>
      <c r="H29" s="172">
        <v>198.26548672566371681415929204</v>
      </c>
      <c r="I29" s="371">
        <v>235.28046526472130880710422786</v>
      </c>
      <c r="J29" s="370">
        <v>0</v>
      </c>
      <c r="K29" s="172">
        <v>0</v>
      </c>
      <c r="L29" s="371">
        <v>149.77614238515478413616448574</v>
      </c>
      <c r="M29" s="370">
        <v>277.38095238095238095238095238</v>
      </c>
      <c r="N29" s="172">
        <v>235.39977349943374858437146092</v>
      </c>
      <c r="O29" s="371">
        <v>229.53949129852744310575635877</v>
      </c>
      <c r="P29" s="4"/>
      <c r="Q29" s="327">
        <v>-9.910113153800281700096933110</v>
      </c>
      <c r="R29" s="171">
        <v>4.5115542453182156449676132400</v>
      </c>
      <c r="S29" s="328">
        <v>0.9333981454778491459141629900</v>
      </c>
      <c r="T29" s="327">
        <v>52.404839185618460293795882970</v>
      </c>
      <c r="U29" s="171">
        <v>-8.157322161037961071022350270</v>
      </c>
      <c r="V29" s="328">
        <v>-3.8365588157447589314710925700</v>
      </c>
      <c r="W29" s="327">
        <v>0</v>
      </c>
      <c r="X29" s="171">
        <v>-100</v>
      </c>
      <c r="Y29" s="328">
        <v>0.4608092567066733663980114500</v>
      </c>
      <c r="Z29" s="327">
        <v>-1.3866184180593690648129043900</v>
      </c>
      <c r="AA29" s="171">
        <v>2.6847517508045040951763238400</v>
      </c>
      <c r="AB29" s="328">
        <v>-0.1533991890990098200190237400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10</v>
      </c>
      <c r="C30" s="347" t="s">
        <v>53</v>
      </c>
      <c r="D30" s="378">
        <v>248.42424242424242424242424242</v>
      </c>
      <c r="E30" s="173">
        <v>228.01589403973509933774834437</v>
      </c>
      <c r="F30" s="379">
        <v>231.80279202669823250145026396</v>
      </c>
      <c r="G30" s="378">
        <v>364.78571428571428571428571429</v>
      </c>
      <c r="H30" s="173">
        <v>202.72</v>
      </c>
      <c r="I30" s="379">
        <v>250.11430412452578543842979315</v>
      </c>
      <c r="J30" s="378">
        <v>0</v>
      </c>
      <c r="K30" s="173">
        <v>0</v>
      </c>
      <c r="L30" s="379">
        <v>154.24919923031529511301786162</v>
      </c>
      <c r="M30" s="378">
        <v>262.84070796460176991150442478</v>
      </c>
      <c r="N30" s="173">
        <v>225.05730994152046783625730994</v>
      </c>
      <c r="O30" s="379">
        <v>224.55132044650149741355839913</v>
      </c>
      <c r="P30" s="4"/>
      <c r="Q30" s="359">
        <v>-5.9398997118881305422630634700</v>
      </c>
      <c r="R30" s="170">
        <v>-0.0141661636901428114526464500</v>
      </c>
      <c r="S30" s="360">
        <v>0.1014242676445579675700400300</v>
      </c>
      <c r="T30" s="359">
        <v>28.769541099350921308174450380</v>
      </c>
      <c r="U30" s="170">
        <v>-2.0673947952863307773569553600</v>
      </c>
      <c r="V30" s="360">
        <v>12.204477078246008580817710750</v>
      </c>
      <c r="W30" s="359">
        <v>0</v>
      </c>
      <c r="X30" s="170">
        <v>-100</v>
      </c>
      <c r="Y30" s="360">
        <v>4.0292300497948138822972516400</v>
      </c>
      <c r="Z30" s="359">
        <v>-1.3763968908889604831385067200</v>
      </c>
      <c r="AA30" s="170">
        <v>-1.0010969239710437369633416300</v>
      </c>
      <c r="AB30" s="360">
        <v>0.1931741114286224534999589500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11</v>
      </c>
      <c r="C31" s="345" t="s">
        <v>49</v>
      </c>
      <c r="D31" s="370">
        <v>164.05263157894736842105263158</v>
      </c>
      <c r="E31" s="172">
        <v>167.36383015423438659122189201</v>
      </c>
      <c r="F31" s="371">
        <v>187.84199950082201487085507164</v>
      </c>
      <c r="G31" s="370">
        <v>293</v>
      </c>
      <c r="H31" s="172">
        <v>187.07006296788290357422190218</v>
      </c>
      <c r="I31" s="371">
        <v>224.93190994914845541733450971</v>
      </c>
      <c r="J31" s="370">
        <v>0</v>
      </c>
      <c r="K31" s="172">
        <v>0</v>
      </c>
      <c r="L31" s="371">
        <v>153.61752639338226641721168602</v>
      </c>
      <c r="M31" s="370">
        <v>165.72727272727272727272727273</v>
      </c>
      <c r="N31" s="172">
        <v>170.22065088757396449704142011</v>
      </c>
      <c r="O31" s="371">
        <v>186.62632287858379834519915336</v>
      </c>
      <c r="P31" s="4"/>
      <c r="Q31" s="327">
        <v>-12.525547089018728352525010840</v>
      </c>
      <c r="R31" s="171">
        <v>-5.1164007574948286197119811100</v>
      </c>
      <c r="S31" s="328">
        <v>-0.1053485405718306240675690300</v>
      </c>
      <c r="T31" s="327">
        <v>0</v>
      </c>
      <c r="U31" s="171">
        <v>-8.885874630813663888119104790</v>
      </c>
      <c r="V31" s="328">
        <v>7.7163165638728646033716266800</v>
      </c>
      <c r="W31" s="327">
        <v>0</v>
      </c>
      <c r="X31" s="171">
        <v>-100</v>
      </c>
      <c r="Y31" s="328">
        <v>4.6413666160859727306090781300</v>
      </c>
      <c r="Z31" s="327">
        <v>-11.632612200610776502651407250</v>
      </c>
      <c r="AA31" s="171">
        <v>-4.1445510449607536468854687700</v>
      </c>
      <c r="AB31" s="328">
        <v>0.2776270353172040724995801600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12</v>
      </c>
      <c r="C32" s="347" t="s">
        <v>47</v>
      </c>
      <c r="D32" s="378">
        <v>145.3013698630136986301369863</v>
      </c>
      <c r="E32" s="173">
        <v>166.63152545681387378497228134</v>
      </c>
      <c r="F32" s="379">
        <v>188.29412935937616598524445278</v>
      </c>
      <c r="G32" s="378">
        <v>169</v>
      </c>
      <c r="H32" s="173">
        <v>188.48712469214080218078613545</v>
      </c>
      <c r="I32" s="379">
        <v>243.78174995805283614572669117</v>
      </c>
      <c r="J32" s="378">
        <v>0</v>
      </c>
      <c r="K32" s="173">
        <v>0</v>
      </c>
      <c r="L32" s="379">
        <v>150.93674362939968452908601989</v>
      </c>
      <c r="M32" s="378">
        <v>148.4047619047619047619047619</v>
      </c>
      <c r="N32" s="173">
        <v>170.1608</v>
      </c>
      <c r="O32" s="379">
        <v>194.66807432432432432432432432</v>
      </c>
      <c r="P32" s="4"/>
      <c r="Q32" s="359">
        <v>-5.560855242211772716320123600</v>
      </c>
      <c r="R32" s="170">
        <v>-7.4053902012356767760544268300</v>
      </c>
      <c r="S32" s="360">
        <v>-0.7676609573388607532176676700</v>
      </c>
      <c r="T32" s="359">
        <v>0</v>
      </c>
      <c r="U32" s="170">
        <v>-6.0030182033483986523532914400</v>
      </c>
      <c r="V32" s="360">
        <v>16.534738798026677893531158910</v>
      </c>
      <c r="W32" s="359">
        <v>0</v>
      </c>
      <c r="X32" s="170">
        <v>-100</v>
      </c>
      <c r="Y32" s="360">
        <v>-2.2814660714009168289460777200</v>
      </c>
      <c r="Z32" s="359">
        <v>-3.5437944908428317595301016900</v>
      </c>
      <c r="AA32" s="170">
        <v>-6.741359274196227923298471800</v>
      </c>
      <c r="AB32" s="360">
        <v>2.2473547231426979414761881100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13</v>
      </c>
      <c r="C33" s="345" t="s">
        <v>48</v>
      </c>
      <c r="D33" s="370">
        <v>157.91358024691358024691358025</v>
      </c>
      <c r="E33" s="172">
        <v>177.67033037852608504535651449</v>
      </c>
      <c r="F33" s="371">
        <v>195.53782121262259731330335693</v>
      </c>
      <c r="G33" s="370">
        <v>169</v>
      </c>
      <c r="H33" s="172">
        <v>190.72010881652331436233186416</v>
      </c>
      <c r="I33" s="371">
        <v>253.56526060452115768018314084</v>
      </c>
      <c r="J33" s="370">
        <v>0</v>
      </c>
      <c r="K33" s="172">
        <v>0</v>
      </c>
      <c r="L33" s="371">
        <v>127.56970187377334621236559438</v>
      </c>
      <c r="M33" s="370">
        <v>159.23913043478260869565217391</v>
      </c>
      <c r="N33" s="172">
        <v>179.76164102564102564102564104</v>
      </c>
      <c r="O33" s="371">
        <v>201.01618122977346278317152104</v>
      </c>
      <c r="P33" s="4"/>
      <c r="Q33" s="327">
        <v>3.6153397959924425477974264900</v>
      </c>
      <c r="R33" s="171">
        <v>-8.53958571368253598513033700</v>
      </c>
      <c r="S33" s="328">
        <v>-1.3249762375691910914188197200</v>
      </c>
      <c r="T33" s="327">
        <v>0</v>
      </c>
      <c r="U33" s="171">
        <v>-9.341453451356624849654834740</v>
      </c>
      <c r="V33" s="328">
        <v>17.156488033770611470219989380</v>
      </c>
      <c r="W33" s="327">
        <v>0</v>
      </c>
      <c r="X33" s="171">
        <v>-100</v>
      </c>
      <c r="Y33" s="328">
        <v>-14.728116711976848148601564630</v>
      </c>
      <c r="Z33" s="327">
        <v>4.4851024403320540846857472300</v>
      </c>
      <c r="AA33" s="171">
        <v>-8.763190762120056311346296820</v>
      </c>
      <c r="AB33" s="328">
        <v>1.395977208577111881501912100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14</v>
      </c>
      <c r="C34" s="347" t="s">
        <v>50</v>
      </c>
      <c r="D34" s="378">
        <v>150.6265060240963855421686747</v>
      </c>
      <c r="E34" s="173">
        <v>171.66194773283825058499413966</v>
      </c>
      <c r="F34" s="379">
        <v>194.08592859769922991815368303</v>
      </c>
      <c r="G34" s="378">
        <v>169</v>
      </c>
      <c r="H34" s="173">
        <v>187.04945140381585129072895316</v>
      </c>
      <c r="I34" s="379">
        <v>245.48863914186411944646507124</v>
      </c>
      <c r="J34" s="378">
        <v>0</v>
      </c>
      <c r="K34" s="173">
        <v>0</v>
      </c>
      <c r="L34" s="379">
        <v>154.66229371191856300941142268</v>
      </c>
      <c r="M34" s="378">
        <v>152.77659574468085106382978723</v>
      </c>
      <c r="N34" s="173">
        <v>174.02925598991172761664564943</v>
      </c>
      <c r="O34" s="379">
        <v>203.77408591686361740581120534</v>
      </c>
      <c r="P34" s="4"/>
      <c r="Q34" s="359">
        <v>-3.256795965889883560230957600</v>
      </c>
      <c r="R34" s="170">
        <v>-3.78650072488124381092706300</v>
      </c>
      <c r="S34" s="360">
        <v>-0.6899809412968256808778088100</v>
      </c>
      <c r="T34" s="359">
        <v>0</v>
      </c>
      <c r="U34" s="170">
        <v>-11.063183672160071180910990270</v>
      </c>
      <c r="V34" s="360">
        <v>14.855738293127205590110725590</v>
      </c>
      <c r="W34" s="359">
        <v>0</v>
      </c>
      <c r="X34" s="170">
        <v>-100</v>
      </c>
      <c r="Y34" s="360">
        <v>1.8749076267440263919760388100</v>
      </c>
      <c r="Z34" s="359">
        <v>-1.8758533016759899506322162300</v>
      </c>
      <c r="AA34" s="170">
        <v>-4.8698122586749518512821301900</v>
      </c>
      <c r="AB34" s="360">
        <v>3.9447347807056942555150137500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15</v>
      </c>
      <c r="C35" s="345" t="s">
        <v>51</v>
      </c>
      <c r="D35" s="370">
        <v>168.40625</v>
      </c>
      <c r="E35" s="172">
        <v>180.94498631395079428455467856</v>
      </c>
      <c r="F35" s="371">
        <v>206.90633595383518263474554081</v>
      </c>
      <c r="G35" s="370">
        <v>169</v>
      </c>
      <c r="H35" s="172">
        <v>192.18923318227308957202503783</v>
      </c>
      <c r="I35" s="371">
        <v>230.8407882175455888474312724</v>
      </c>
      <c r="J35" s="370">
        <v>0</v>
      </c>
      <c r="K35" s="172">
        <v>0</v>
      </c>
      <c r="L35" s="371">
        <v>152.46176715690011820396294684</v>
      </c>
      <c r="M35" s="370">
        <v>168.46728971962616822429906542</v>
      </c>
      <c r="N35" s="172">
        <v>181.7335792019347037484885127</v>
      </c>
      <c r="O35" s="371">
        <v>206.79268128615632988026368895</v>
      </c>
      <c r="P35" s="4"/>
      <c r="Q35" s="327">
        <v>-13.556046297226931083258496540</v>
      </c>
      <c r="R35" s="171">
        <v>-8.209656503896694929842355230</v>
      </c>
      <c r="S35" s="328">
        <v>0.3095889149940553027652515500</v>
      </c>
      <c r="T35" s="327">
        <v>0</v>
      </c>
      <c r="U35" s="171">
        <v>-12.380895903716818322674585800</v>
      </c>
      <c r="V35" s="328">
        <v>8.266871869092370643362700460</v>
      </c>
      <c r="W35" s="327">
        <v>0</v>
      </c>
      <c r="X35" s="171">
        <v>-100</v>
      </c>
      <c r="Y35" s="328">
        <v>4.3653141186387974402190978600</v>
      </c>
      <c r="Z35" s="327">
        <v>-13.524714237416830599227164150</v>
      </c>
      <c r="AA35" s="171">
        <v>-8.481991595548638033047871470</v>
      </c>
      <c r="AB35" s="328">
        <v>1.8268622126800468047064104900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16</v>
      </c>
      <c r="C36" s="347" t="s">
        <v>52</v>
      </c>
      <c r="D36" s="378">
        <v>260.22807017543859649122807018</v>
      </c>
      <c r="E36" s="173">
        <v>237.575355999202069757268792</v>
      </c>
      <c r="F36" s="379">
        <v>238.63996693920914965042968482</v>
      </c>
      <c r="G36" s="378">
        <v>0</v>
      </c>
      <c r="H36" s="173">
        <v>295.23918684316506963953790181</v>
      </c>
      <c r="I36" s="379">
        <v>231.02468580661487536167465698</v>
      </c>
      <c r="J36" s="378">
        <v>0</v>
      </c>
      <c r="K36" s="173">
        <v>0</v>
      </c>
      <c r="L36" s="379">
        <v>157.93331944788394944882588137</v>
      </c>
      <c r="M36" s="378">
        <v>260.22807017543859649122807018</v>
      </c>
      <c r="N36" s="173">
        <v>244.81427038626609442060085837</v>
      </c>
      <c r="O36" s="379">
        <v>229.9101191192395620262302972</v>
      </c>
      <c r="P36" s="4"/>
      <c r="Q36" s="359">
        <v>0.8741602565764204145926959900</v>
      </c>
      <c r="R36" s="170">
        <v>-6.6183302687853155557822183800</v>
      </c>
      <c r="S36" s="360">
        <v>0.967614451781131414953475500</v>
      </c>
      <c r="T36" s="359">
        <v>0</v>
      </c>
      <c r="U36" s="170">
        <v>13.174623453769581597294732480</v>
      </c>
      <c r="V36" s="360">
        <v>2.5277246371256674983829694600</v>
      </c>
      <c r="W36" s="359">
        <v>0</v>
      </c>
      <c r="X36" s="170">
        <v>-100</v>
      </c>
      <c r="Y36" s="360">
        <v>6.6953429234027516028711637600</v>
      </c>
      <c r="Z36" s="359">
        <v>0.8741602565764204145926959900</v>
      </c>
      <c r="AA36" s="170">
        <v>-3.492978271615887123815432900</v>
      </c>
      <c r="AB36" s="360">
        <v>0.7480620807771837737768740800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17</v>
      </c>
      <c r="C37" s="349" t="s">
        <v>53</v>
      </c>
      <c r="D37" s="380">
        <v>288.45669291338582677165354331</v>
      </c>
      <c r="E37" s="383">
        <v>265.30956910129023809977515297</v>
      </c>
      <c r="F37" s="381">
        <v>238.63774704610429851243739988</v>
      </c>
      <c r="G37" s="380">
        <v>0</v>
      </c>
      <c r="H37" s="383">
        <v>274.11821384474530555586391718</v>
      </c>
      <c r="I37" s="381">
        <v>224.23800745849587065960218957</v>
      </c>
      <c r="J37" s="380">
        <v>0</v>
      </c>
      <c r="K37" s="383">
        <v>0</v>
      </c>
      <c r="L37" s="381">
        <v>154.71154687597736985928439999</v>
      </c>
      <c r="M37" s="380">
        <v>288.45669291338582677165354331</v>
      </c>
      <c r="N37" s="383">
        <v>266.43615307150050352467270894</v>
      </c>
      <c r="O37" s="381">
        <v>229.14506283662477558348294434</v>
      </c>
      <c r="P37" s="4"/>
      <c r="Q37" s="329">
        <v>3.7990806759759846514002311900</v>
      </c>
      <c r="R37" s="330">
        <v>0.7065305934804539674901158900</v>
      </c>
      <c r="S37" s="332">
        <v>-0.0665930014353564477341817100</v>
      </c>
      <c r="T37" s="329">
        <v>0</v>
      </c>
      <c r="U37" s="330">
        <v>-2.638197500487987463079931400</v>
      </c>
      <c r="V37" s="332">
        <v>3.9367820873343560411492620500</v>
      </c>
      <c r="W37" s="329">
        <v>0</v>
      </c>
      <c r="X37" s="330">
        <v>-100</v>
      </c>
      <c r="Y37" s="332">
        <v>4.6102511237796176681128170900</v>
      </c>
      <c r="Z37" s="329">
        <v>3.7990806759759846514002311900</v>
      </c>
      <c r="AA37" s="330">
        <v>1.2888371952153550600570189300</v>
      </c>
      <c r="AB37" s="332">
        <v>0.0714302484551832053282807700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220.33582089552238805970149254</v>
      </c>
      <c r="E39" s="382">
        <v>226.74179160351573586724730988</v>
      </c>
      <c r="F39" s="375">
        <v>232.99629115542304068181960975</v>
      </c>
      <c r="G39" s="374">
        <v>415.29411764705882352941176471</v>
      </c>
      <c r="H39" s="382">
        <v>253.93688255515847792774904625</v>
      </c>
      <c r="I39" s="375">
        <v>281.92185049510955709222019707</v>
      </c>
      <c r="J39" s="374">
        <v>0</v>
      </c>
      <c r="K39" s="382">
        <v>0</v>
      </c>
      <c r="L39" s="375">
        <v>171.37058322944876952143665255</v>
      </c>
      <c r="M39" s="374">
        <v>235.53899082568807339449541284</v>
      </c>
      <c r="N39" s="382">
        <v>229.03111008325624421831637373</v>
      </c>
      <c r="O39" s="375">
        <v>234.15039888239402963126355649</v>
      </c>
      <c r="P39" s="4"/>
      <c r="Q39" s="354">
        <v>-6.1923369459487388272025729900</v>
      </c>
      <c r="R39" s="355">
        <v>3.0487168252883841632912342100</v>
      </c>
      <c r="S39" s="356">
        <v>4.4576709194705898663547063900</v>
      </c>
      <c r="T39" s="354">
        <v>-5.9561289132743902337528617800</v>
      </c>
      <c r="U39" s="355">
        <v>-17.374816723081827252127938710</v>
      </c>
      <c r="V39" s="356">
        <v>-14.182434513205301880981615860</v>
      </c>
      <c r="W39" s="354">
        <v>0</v>
      </c>
      <c r="X39" s="355">
        <v>-100</v>
      </c>
      <c r="Y39" s="356">
        <v>6.3711039882725524970191891100</v>
      </c>
      <c r="Z39" s="354">
        <v>-9.070927711720199318089967530</v>
      </c>
      <c r="AA39" s="355">
        <v>-0.651603791443751771831517800</v>
      </c>
      <c r="AB39" s="356">
        <v>-0.6290777017011705567998582300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211.12332439678284182305630027</v>
      </c>
      <c r="E40" s="172">
        <v>221.74382599445360192277289543</v>
      </c>
      <c r="F40" s="371">
        <v>220.21551110300770306876889459</v>
      </c>
      <c r="G40" s="370">
        <v>231.64705882352941176470588235</v>
      </c>
      <c r="H40" s="172">
        <v>227.37124127612271083153106253</v>
      </c>
      <c r="I40" s="371">
        <v>262.00801282431353425869980783</v>
      </c>
      <c r="J40" s="370">
        <v>0</v>
      </c>
      <c r="K40" s="172">
        <v>0</v>
      </c>
      <c r="L40" s="371">
        <v>164.74624315632503702606281748</v>
      </c>
      <c r="M40" s="370">
        <v>212.83783783783783783783783784</v>
      </c>
      <c r="N40" s="172">
        <v>222.46774953502789832610043397</v>
      </c>
      <c r="O40" s="371">
        <v>223.95106820350928713016665443</v>
      </c>
      <c r="P40" s="4"/>
      <c r="Q40" s="327">
        <v>9.403295065156025134004300870</v>
      </c>
      <c r="R40" s="171">
        <v>13.794891502192052158952692190</v>
      </c>
      <c r="S40" s="328">
        <v>5.5844006343618737340829787600</v>
      </c>
      <c r="T40" s="327">
        <v>8.214684413911550021468441390</v>
      </c>
      <c r="U40" s="171">
        <v>0.2544654817248762614475899400</v>
      </c>
      <c r="V40" s="328">
        <v>-6.4359101003761281188253141100</v>
      </c>
      <c r="W40" s="327">
        <v>0</v>
      </c>
      <c r="X40" s="171">
        <v>-100</v>
      </c>
      <c r="Y40" s="328">
        <v>6.3178737356830629004832759400</v>
      </c>
      <c r="Z40" s="327">
        <v>9.867747550661309899771807820</v>
      </c>
      <c r="AA40" s="171">
        <v>11.300681262368541155370272440</v>
      </c>
      <c r="AB40" s="328">
        <v>1.1298098122509896489360724100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221.27762803234501347708894879</v>
      </c>
      <c r="E41" s="173">
        <v>228.57359656301363340722629444</v>
      </c>
      <c r="F41" s="379">
        <v>229.03974939671497188271680007</v>
      </c>
      <c r="G41" s="378">
        <v>237.57142857142857142857142857</v>
      </c>
      <c r="H41" s="173">
        <v>236.76368356256051439620797775</v>
      </c>
      <c r="I41" s="379">
        <v>264.93363100670260464932559514</v>
      </c>
      <c r="J41" s="378">
        <v>0</v>
      </c>
      <c r="K41" s="173">
        <v>0</v>
      </c>
      <c r="L41" s="379">
        <v>145.09229652617858954187439278</v>
      </c>
      <c r="M41" s="378">
        <v>222.68226600985221674876847291</v>
      </c>
      <c r="N41" s="173">
        <v>229.69109939759036144578313253</v>
      </c>
      <c r="O41" s="379">
        <v>229.52178492434083488396587438</v>
      </c>
      <c r="P41" s="4"/>
      <c r="Q41" s="359">
        <v>16.413719305302404191908048870</v>
      </c>
      <c r="R41" s="170">
        <v>17.823398196814322593635059210</v>
      </c>
      <c r="S41" s="360">
        <v>7.0370776598569387635270639100</v>
      </c>
      <c r="T41" s="359">
        <v>15.982796698844865269717352410</v>
      </c>
      <c r="U41" s="170">
        <v>3.5917572099629467518101877800</v>
      </c>
      <c r="V41" s="360">
        <v>-2.2763771258863469178547477100</v>
      </c>
      <c r="W41" s="359">
        <v>0</v>
      </c>
      <c r="X41" s="170">
        <v>-100</v>
      </c>
      <c r="Y41" s="360">
        <v>-2.1097383267062531244258203500</v>
      </c>
      <c r="Z41" s="359">
        <v>16.689179739443118476599007130</v>
      </c>
      <c r="AA41" s="170">
        <v>14.653076242319866592247570730</v>
      </c>
      <c r="AB41" s="360">
        <v>2.4460993634088108866603721300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199.35087719298245614035087719</v>
      </c>
      <c r="E42" s="172">
        <v>225.13982863050998047504987518</v>
      </c>
      <c r="F42" s="371">
        <v>225.5529236816700421176257524</v>
      </c>
      <c r="G42" s="370">
        <v>251.47058823529411764705882353</v>
      </c>
      <c r="H42" s="172">
        <v>234.67946118896589947739051235</v>
      </c>
      <c r="I42" s="371">
        <v>256.24384814922144879446037413</v>
      </c>
      <c r="J42" s="370">
        <v>0</v>
      </c>
      <c r="K42" s="172">
        <v>0</v>
      </c>
      <c r="L42" s="371">
        <v>156.57191135356840459037680099</v>
      </c>
      <c r="M42" s="370">
        <v>205.25777777777777777777777778</v>
      </c>
      <c r="N42" s="172">
        <v>226.42735144819349059420722604</v>
      </c>
      <c r="O42" s="371">
        <v>227.60911183003702097855451422</v>
      </c>
      <c r="P42" s="4"/>
      <c r="Q42" s="327">
        <v>5.7991530400256707213984948100</v>
      </c>
      <c r="R42" s="171">
        <v>16.049717553648801309211530330</v>
      </c>
      <c r="S42" s="328">
        <v>3.4723838478789574319174379300</v>
      </c>
      <c r="T42" s="327">
        <v>3.1462626067654297157747430400</v>
      </c>
      <c r="U42" s="171">
        <v>-0.8911919812639918276119129300</v>
      </c>
      <c r="V42" s="328">
        <v>-0.8643446536479317701666223900</v>
      </c>
      <c r="W42" s="327">
        <v>0</v>
      </c>
      <c r="X42" s="171">
        <v>-100</v>
      </c>
      <c r="Y42" s="328">
        <v>1.6613629803278008957684618600</v>
      </c>
      <c r="Z42" s="327">
        <v>6.5615162752632620147363650400</v>
      </c>
      <c r="AA42" s="171">
        <v>12.335509409291316741579635770</v>
      </c>
      <c r="AB42" s="328">
        <v>2.4059364424222226924336415800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214.22384428223844282238442822</v>
      </c>
      <c r="E43" s="173">
        <v>222.054559671157206556790686</v>
      </c>
      <c r="F43" s="379">
        <v>237.30338490184050606205313905</v>
      </c>
      <c r="G43" s="378">
        <v>319.36956521739130434782608696</v>
      </c>
      <c r="H43" s="173">
        <v>260.11457224273982242722386407</v>
      </c>
      <c r="I43" s="379">
        <v>267.9389579649243471494945179</v>
      </c>
      <c r="J43" s="378">
        <v>0</v>
      </c>
      <c r="K43" s="173">
        <v>0</v>
      </c>
      <c r="L43" s="379">
        <v>158.44453421434649757462788041</v>
      </c>
      <c r="M43" s="378">
        <v>224.80743982494529540481400438</v>
      </c>
      <c r="N43" s="173">
        <v>225.50481981981981981981981982</v>
      </c>
      <c r="O43" s="379">
        <v>236.08661134343962362780972295</v>
      </c>
      <c r="P43" s="4"/>
      <c r="Q43" s="359">
        <v>-8.333143152845541994552066010</v>
      </c>
      <c r="R43" s="170">
        <v>-3.4480736626642067185278349800</v>
      </c>
      <c r="S43" s="360">
        <v>-0.9059406894127802508658209400</v>
      </c>
      <c r="T43" s="359">
        <v>-17.252026442310255854578367560</v>
      </c>
      <c r="U43" s="170">
        <v>-13.992575662976389029166224800</v>
      </c>
      <c r="V43" s="360">
        <v>0.244913739015516945188536200</v>
      </c>
      <c r="W43" s="359">
        <v>0</v>
      </c>
      <c r="X43" s="170">
        <v>-100</v>
      </c>
      <c r="Y43" s="360">
        <v>3.9477286879814604354580146800</v>
      </c>
      <c r="Z43" s="359">
        <v>-11.914927593623275249492385890</v>
      </c>
      <c r="AA43" s="170">
        <v>-5.6349344835160527416568320800</v>
      </c>
      <c r="AB43" s="360">
        <v>-1.5184727818508474501361927100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308.77205882352941176470588235</v>
      </c>
      <c r="E44" s="172">
        <v>295.79064697498937390106195711</v>
      </c>
      <c r="F44" s="371">
        <v>270.03261133504071784390629307</v>
      </c>
      <c r="G44" s="370">
        <v>414.08163265306122448979591837</v>
      </c>
      <c r="H44" s="172">
        <v>290.55292198582285974196201187</v>
      </c>
      <c r="I44" s="371">
        <v>276.36199443909870215827345982</v>
      </c>
      <c r="J44" s="370">
        <v>0</v>
      </c>
      <c r="K44" s="172">
        <v>0</v>
      </c>
      <c r="L44" s="371">
        <v>164.80699963551868278787622858</v>
      </c>
      <c r="M44" s="370">
        <v>320.06345733041575492341356674</v>
      </c>
      <c r="N44" s="172">
        <v>295.24047745358090185676392573</v>
      </c>
      <c r="O44" s="371">
        <v>261.96761367085533903964062405</v>
      </c>
      <c r="P44" s="4"/>
      <c r="Q44" s="327">
        <v>-4.9459903251429979601976325400</v>
      </c>
      <c r="R44" s="171">
        <v>0.8243175138942641629246272600</v>
      </c>
      <c r="S44" s="328">
        <v>-1.8772181191654232535126916400</v>
      </c>
      <c r="T44" s="327">
        <v>6.3058252182714616967310792300</v>
      </c>
      <c r="U44" s="171">
        <v>-19.686600752081522019435374120</v>
      </c>
      <c r="V44" s="328">
        <v>-3.5668686492089940424716581400</v>
      </c>
      <c r="W44" s="327">
        <v>0</v>
      </c>
      <c r="X44" s="171">
        <v>-100</v>
      </c>
      <c r="Y44" s="328">
        <v>2.4986351664793890871773971600</v>
      </c>
      <c r="Z44" s="327">
        <v>-5.4808728836475879881523548600</v>
      </c>
      <c r="AA44" s="171">
        <v>-1.1263879777399480527072619300</v>
      </c>
      <c r="AB44" s="328">
        <v>-2.3049763671723722170220695700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313.98177676537585421412300683</v>
      </c>
      <c r="E45" s="385">
        <v>304.73220460168270469028825642</v>
      </c>
      <c r="F45" s="386">
        <v>276.77402304072679744496759242</v>
      </c>
      <c r="G45" s="384">
        <v>412.35416666666666666666666667</v>
      </c>
      <c r="H45" s="385">
        <v>280.69371641284711689372088049</v>
      </c>
      <c r="I45" s="386">
        <v>283.53923697057867212923421256</v>
      </c>
      <c r="J45" s="384">
        <v>0</v>
      </c>
      <c r="K45" s="385">
        <v>0</v>
      </c>
      <c r="L45" s="386">
        <v>165.10338506591228829859579285</v>
      </c>
      <c r="M45" s="384">
        <v>323.67761806981519507186858316</v>
      </c>
      <c r="N45" s="385">
        <v>302.20348051948051948051948051</v>
      </c>
      <c r="O45" s="386">
        <v>267.89521387974872868680825606</v>
      </c>
      <c r="P45" s="4"/>
      <c r="Q45" s="364">
        <v>-1.900863168890492371505137900</v>
      </c>
      <c r="R45" s="365">
        <v>6.0786320832434777324787836500</v>
      </c>
      <c r="S45" s="366">
        <v>1.7942613942242250728213041200</v>
      </c>
      <c r="T45" s="364">
        <v>-2.0226120703388228566394472600</v>
      </c>
      <c r="U45" s="365">
        <v>-25.590161270426244727936185180</v>
      </c>
      <c r="V45" s="366">
        <v>-6.7986011347554580339519668700</v>
      </c>
      <c r="W45" s="364">
        <v>0</v>
      </c>
      <c r="X45" s="365">
        <v>-100</v>
      </c>
      <c r="Y45" s="366">
        <v>4.2675243397454948089079334800</v>
      </c>
      <c r="Z45" s="364">
        <v>-4.6234362408196011619358258800</v>
      </c>
      <c r="AA45" s="365">
        <v>3.0566761967557206542636882500</v>
      </c>
      <c r="AB45" s="366">
        <v>0.2759862828216716497166950100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201.28461538461538461538461538</v>
      </c>
      <c r="E47" s="382">
        <v>200.23123313432284018509391164</v>
      </c>
      <c r="F47" s="375">
        <v>210.90030114791231846184446278</v>
      </c>
      <c r="G47" s="374">
        <v>171.75555555555555555555555556</v>
      </c>
      <c r="H47" s="382">
        <v>219.63092986657622525044702997</v>
      </c>
      <c r="I47" s="375">
        <v>237.90095637927333235109226396</v>
      </c>
      <c r="J47" s="374">
        <v>0</v>
      </c>
      <c r="K47" s="382">
        <v>0</v>
      </c>
      <c r="L47" s="375">
        <v>150.62581585356429459574614648</v>
      </c>
      <c r="M47" s="374">
        <v>199.37266187050359712230215827</v>
      </c>
      <c r="N47" s="382">
        <v>202.81512508809020436927413671</v>
      </c>
      <c r="O47" s="375">
        <v>209.71927277189251094114278703</v>
      </c>
      <c r="P47" s="4"/>
      <c r="Q47" s="354">
        <v>1.7563884767042333076002216400</v>
      </c>
      <c r="R47" s="355">
        <v>-4.5918585175003041983843174500</v>
      </c>
      <c r="S47" s="356">
        <v>0.249648661853123671857153600</v>
      </c>
      <c r="T47" s="354">
        <v>0</v>
      </c>
      <c r="U47" s="355">
        <v>1.4941112037692098043174410600</v>
      </c>
      <c r="V47" s="356">
        <v>10.769442362150788405213647190</v>
      </c>
      <c r="W47" s="354">
        <v>0</v>
      </c>
      <c r="X47" s="355">
        <v>-100</v>
      </c>
      <c r="Y47" s="356">
        <v>0.9416115286391144210186334100</v>
      </c>
      <c r="Z47" s="354">
        <v>0.7898293377476600861407470200</v>
      </c>
      <c r="AA47" s="355">
        <v>-3.4468224076363886382154264400</v>
      </c>
      <c r="AB47" s="356">
        <v>1.826958042453743485899482500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242.89047449161612557973599715</v>
      </c>
      <c r="E48" s="172">
        <v>248.64925054671886419023971457</v>
      </c>
      <c r="F48" s="371">
        <v>244.25328905258763618565798015</v>
      </c>
      <c r="G48" s="370">
        <v>329.66329966329966329966329966</v>
      </c>
      <c r="H48" s="172">
        <v>253.86955217015936917377157716</v>
      </c>
      <c r="I48" s="371">
        <v>268.64933123317099360580418782</v>
      </c>
      <c r="J48" s="370">
        <v>0</v>
      </c>
      <c r="K48" s="172">
        <v>0</v>
      </c>
      <c r="L48" s="371">
        <v>160.99947368430652368579721333</v>
      </c>
      <c r="M48" s="370">
        <v>251.20387096774193548387096774</v>
      </c>
      <c r="N48" s="172">
        <v>249.23248128342245989304812834</v>
      </c>
      <c r="O48" s="371">
        <v>241.28738928882811718351731597</v>
      </c>
      <c r="P48" s="4"/>
      <c r="Q48" s="327">
        <v>2.1429908849587508079493238100</v>
      </c>
      <c r="R48" s="171">
        <v>5.8429547754987170509758403300</v>
      </c>
      <c r="S48" s="328">
        <v>2.0989439540654444592522987500</v>
      </c>
      <c r="T48" s="327">
        <v>-11.216790094712715572605909010</v>
      </c>
      <c r="U48" s="171">
        <v>-8.788458567806069483909715340</v>
      </c>
      <c r="V48" s="328">
        <v>-4.426324739641562392222954600</v>
      </c>
      <c r="W48" s="327">
        <v>0</v>
      </c>
      <c r="X48" s="171">
        <v>-100</v>
      </c>
      <c r="Y48" s="328">
        <v>3.3383722748552068018433271100</v>
      </c>
      <c r="Z48" s="327">
        <v>-0.9737179944193990723259742400</v>
      </c>
      <c r="AA48" s="171">
        <v>3.7769016752324633760778791900</v>
      </c>
      <c r="AB48" s="328">
        <v>0.1458539983512841807353667900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237.18313404657016991818753933</v>
      </c>
      <c r="E49" s="385">
        <v>240.04593255868603154001470981</v>
      </c>
      <c r="F49" s="386">
        <v>244.23797787188679994189598218</v>
      </c>
      <c r="G49" s="384">
        <v>350.50236966824644549763033175</v>
      </c>
      <c r="H49" s="385">
        <v>239.47013906260613070347018271</v>
      </c>
      <c r="I49" s="386">
        <v>264.85040630761034835400599818</v>
      </c>
      <c r="J49" s="384">
        <v>0</v>
      </c>
      <c r="K49" s="385">
        <v>0</v>
      </c>
      <c r="L49" s="386">
        <v>159.28195665967934259525149251</v>
      </c>
      <c r="M49" s="384">
        <v>250.46666666666666666666666667</v>
      </c>
      <c r="N49" s="385">
        <v>239.96922616179001721170395869</v>
      </c>
      <c r="O49" s="386">
        <v>239.91476631925836459474808232</v>
      </c>
      <c r="P49" s="4"/>
      <c r="Q49" s="364">
        <v>3.1409599478811387389048146100</v>
      </c>
      <c r="R49" s="365">
        <v>2.3589698781222443485400579800</v>
      </c>
      <c r="S49" s="366">
        <v>2.4172331220922498242400514600</v>
      </c>
      <c r="T49" s="364">
        <v>-10.146242142425927235015435090</v>
      </c>
      <c r="U49" s="365">
        <v>-18.396796839982420461620117560</v>
      </c>
      <c r="V49" s="366">
        <v>-3.8472347820961571025430073400</v>
      </c>
      <c r="W49" s="364">
        <v>0</v>
      </c>
      <c r="X49" s="365">
        <v>-100</v>
      </c>
      <c r="Y49" s="366">
        <v>3.6377258465940218250294954400</v>
      </c>
      <c r="Z49" s="364">
        <v>-3.1809101814864069854423742700</v>
      </c>
      <c r="AA49" s="365">
        <v>-0.5364438061622410506078557500</v>
      </c>
      <c r="AB49" s="366">
        <v>0.4986871544944252874733249100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45"/>
</worksheet>
</file>

<file path=xl/worksheets/sheet8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154</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168</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177</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178</v>
      </c>
      <c r="R4" s="715" t="s">
        <v>183</v>
      </c>
      <c r="S4" s="715"/>
      <c r="T4" s="715"/>
      <c r="U4" s="715"/>
      <c r="V4" s="715"/>
      <c r="W4" s="715"/>
      <c r="X4" s="715"/>
      <c r="Y4" s="715"/>
      <c r="Z4" s="715"/>
      <c r="AA4" s="715"/>
      <c r="AB4" s="715"/>
      <c r="AC4" s="715"/>
      <c r="AD4" s="715"/>
      <c r="AE4" s="715"/>
      <c r="AF4" s="715"/>
      <c r="AG4" s="715"/>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716" t="s">
        <v>72</v>
      </c>
      <c r="Y22" s="716"/>
      <c r="Z22" s="716"/>
      <c r="AA22" s="716"/>
      <c r="AB22" s="716"/>
      <c r="AC22" s="716"/>
      <c r="AD22" s="716"/>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275" t="s">
        <v>182</v>
      </c>
      <c r="D24" s="276"/>
      <c r="E24" s="276"/>
      <c r="F24" s="276"/>
      <c r="G24" s="276"/>
      <c r="H24" s="276"/>
      <c r="I24" s="276"/>
      <c r="J24" s="276"/>
      <c r="K24" s="276"/>
      <c r="L24" s="276"/>
      <c r="M24" s="276"/>
      <c r="N24" s="658" t="s">
        <v>179</v>
      </c>
      <c r="O24" s="276"/>
      <c r="P24" s="276"/>
      <c r="Q24" s="276"/>
      <c r="R24" s="276"/>
      <c r="S24" s="277"/>
      <c r="T24" s="277"/>
      <c r="U24" s="277"/>
      <c r="V24" s="277"/>
      <c r="W24" s="277"/>
      <c r="X24" s="312"/>
      <c r="Y24" s="277"/>
      <c r="Z24" s="277"/>
      <c r="AA24" s="277"/>
      <c r="AB24" s="277"/>
      <c r="AC24" s="277"/>
      <c r="AD24" s="336"/>
      <c r="AE24" s="25"/>
      <c r="AF24" s="316" t="s">
        <v>58</v>
      </c>
      <c r="AG24" s="317" t="s">
        <v>59</v>
      </c>
      <c r="AH24" s="318" t="s">
        <v>59</v>
      </c>
      <c r="AI24" s="25"/>
      <c r="AJ24" s="248"/>
      <c r="AK24" s="248"/>
      <c r="AL24" s="248"/>
      <c r="AM24" s="248"/>
      <c r="AN24" s="253"/>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row>
    <row r="25" s="42" customFormat="1">
      <c r="C25" s="279">
        <v>20</v>
      </c>
      <c r="D25" s="280">
        <v>21</v>
      </c>
      <c r="E25" s="280">
        <v>22</v>
      </c>
      <c r="F25" s="280">
        <v>23</v>
      </c>
      <c r="G25" s="280">
        <v>24</v>
      </c>
      <c r="H25" s="280">
        <v>25</v>
      </c>
      <c r="I25" s="280">
        <v>26</v>
      </c>
      <c r="J25" s="280">
        <v>27</v>
      </c>
      <c r="K25" s="280">
        <v>28</v>
      </c>
      <c r="L25" s="280">
        <v>29</v>
      </c>
      <c r="M25" s="280">
        <v>30</v>
      </c>
      <c r="N25" s="676">
        <v>1</v>
      </c>
      <c r="O25" s="280">
        <v>2</v>
      </c>
      <c r="P25" s="280">
        <v>3</v>
      </c>
      <c r="Q25" s="280">
        <v>4</v>
      </c>
      <c r="R25" s="280">
        <v>5</v>
      </c>
      <c r="S25" s="280">
        <v>6</v>
      </c>
      <c r="T25" s="280">
        <v>7</v>
      </c>
      <c r="U25" s="280">
        <v>8</v>
      </c>
      <c r="V25" s="280">
        <v>9</v>
      </c>
      <c r="W25" s="280">
        <v>10</v>
      </c>
      <c r="X25" s="315">
        <v>11</v>
      </c>
      <c r="Y25" s="280">
        <v>12</v>
      </c>
      <c r="Z25" s="280">
        <v>13</v>
      </c>
      <c r="AA25" s="280">
        <v>14</v>
      </c>
      <c r="AB25" s="280">
        <v>15</v>
      </c>
      <c r="AC25" s="280">
        <v>16</v>
      </c>
      <c r="AD25" s="373">
        <v>17</v>
      </c>
      <c r="AE25" s="25"/>
      <c r="AF25" s="319" t="s">
        <v>60</v>
      </c>
      <c r="AG25" s="320">
        <v>28</v>
      </c>
      <c r="AH25" s="321" t="s">
        <v>31</v>
      </c>
      <c r="AI25" s="25"/>
      <c r="AJ25" s="248"/>
      <c r="AK25" s="248"/>
      <c r="AL25" s="248"/>
      <c r="AM25" s="248"/>
      <c r="AN25" s="254"/>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row>
    <row r="26" ht="14.25" customHeight="1">
      <c r="B26" s="46" t="s">
        <v>32</v>
      </c>
      <c r="C26" s="461">
        <v>194.85606060606060606060606061</v>
      </c>
      <c r="D26" s="462">
        <v>170.32575757575757575757575758</v>
      </c>
      <c r="E26" s="462">
        <v>182.71212121212121212121212121</v>
      </c>
      <c r="F26" s="462">
        <v>182.39393939393939393939393939</v>
      </c>
      <c r="G26" s="462">
        <v>184.22727272727272727272727273</v>
      </c>
      <c r="H26" s="462">
        <v>255.31060606060606060606060606</v>
      </c>
      <c r="I26" s="462">
        <v>285.78030303030303030303030303</v>
      </c>
      <c r="J26" s="462">
        <v>203.12121212121212121212121212</v>
      </c>
      <c r="K26" s="462">
        <v>268.12878787878787878787878788</v>
      </c>
      <c r="L26" s="462">
        <v>302.04545454545454545454545455</v>
      </c>
      <c r="M26" s="462">
        <v>255.12878787878787878787878788</v>
      </c>
      <c r="N26" s="673">
        <v>279.04545454545454545454545455</v>
      </c>
      <c r="O26" s="462">
        <v>407.40151515151515151515151515</v>
      </c>
      <c r="P26" s="462">
        <v>405.85606060606060606060606061</v>
      </c>
      <c r="Q26" s="462">
        <v>283.34090909090909090909090909</v>
      </c>
      <c r="R26" s="462">
        <v>123.35606060606060606060606061</v>
      </c>
      <c r="S26" s="462">
        <v>89.17424242424242424242424242</v>
      </c>
      <c r="T26" s="462">
        <v>153.42424242424242424242424242</v>
      </c>
      <c r="U26" s="462">
        <v>178.47727272727272727272727273</v>
      </c>
      <c r="V26" s="462">
        <v>220.64393939393939393939393939</v>
      </c>
      <c r="W26" s="462">
        <v>225.00757575757575757575757576</v>
      </c>
      <c r="X26" s="463">
        <v>96.67424242424242424242424242</v>
      </c>
      <c r="Y26" s="462">
        <v>94.43939393939393939393939394</v>
      </c>
      <c r="Z26" s="462">
        <v>110.98484848484848484848484848</v>
      </c>
      <c r="AA26" s="462">
        <v>108.79545454545454545454545455</v>
      </c>
      <c r="AB26" s="462">
        <v>136.56060606060606060606060606</v>
      </c>
      <c r="AC26" s="462">
        <v>224.74242424242424242424242424</v>
      </c>
      <c r="AD26" s="464">
        <v>277.53030303030303030303030303</v>
      </c>
      <c r="AE26" s="465"/>
      <c r="AF26" s="461">
        <v>149.96103896103896103896103896</v>
      </c>
      <c r="AG26" s="462">
        <v>210.69588744588744588744588745</v>
      </c>
      <c r="AH26" s="466">
        <v>200.90909090909090909090909091</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163.07038722168441432720232333</v>
      </c>
      <c r="D27" s="85">
        <v>149.1245692158760890609874153</v>
      </c>
      <c r="E27" s="85">
        <v>134.18905130687318489835430784</v>
      </c>
      <c r="F27" s="85">
        <v>142.54843175217812197483059051</v>
      </c>
      <c r="G27" s="85">
        <v>187.20324298160696999031945789</v>
      </c>
      <c r="H27" s="85">
        <v>271.72478218780251694094869313</v>
      </c>
      <c r="I27" s="85">
        <v>294.51858664085188770571151985</v>
      </c>
      <c r="J27" s="85">
        <v>219.76315585672797676669893514</v>
      </c>
      <c r="K27" s="85">
        <v>300.3714424007744433688286544</v>
      </c>
      <c r="L27" s="85">
        <v>319.04408518877057115198451113</v>
      </c>
      <c r="M27" s="85">
        <v>309.52514036786060019361084221</v>
      </c>
      <c r="N27" s="674">
        <v>275.7041626331074540174249758</v>
      </c>
      <c r="O27" s="85">
        <v>383.67860600193610842207163601</v>
      </c>
      <c r="P27" s="85">
        <v>389.40038722168441432720232333</v>
      </c>
      <c r="Q27" s="85">
        <v>224.79349467570183930300096805</v>
      </c>
      <c r="R27" s="85">
        <v>134.06877057115198451113262343</v>
      </c>
      <c r="S27" s="85">
        <v>149.24544046466602129719264279</v>
      </c>
      <c r="T27" s="85">
        <v>148.41045498547918683446272991</v>
      </c>
      <c r="U27" s="85">
        <v>167.00493707647628267182962246</v>
      </c>
      <c r="V27" s="85">
        <v>201.21781219748305905130687318</v>
      </c>
      <c r="W27" s="85">
        <v>186.27686350435624394966118103</v>
      </c>
      <c r="X27" s="86">
        <v>111.39318489835430784123910939</v>
      </c>
      <c r="Y27" s="85">
        <v>111.18929332042594385285575992</v>
      </c>
      <c r="Z27" s="85">
        <v>135.73483059051306873184898354</v>
      </c>
      <c r="AA27" s="85">
        <v>133.59651500484027105517909003</v>
      </c>
      <c r="AB27" s="85">
        <v>145.49242013552758954501452081</v>
      </c>
      <c r="AC27" s="85">
        <v>220.87792836398838334946757018</v>
      </c>
      <c r="AD27" s="87">
        <v>256.11916747337850919651500484</v>
      </c>
      <c r="AE27" s="169"/>
      <c r="AF27" s="370">
        <v>159.20047711243258193887429125</v>
      </c>
      <c r="AG27" s="85">
        <v>209.47454086571705158346010234</v>
      </c>
      <c r="AH27" s="371">
        <v>198.48260406582768635043562439</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181</v>
      </c>
      <c r="C28" s="467">
        <v>149.02147846939839432801584819</v>
      </c>
      <c r="D28" s="468">
        <v>134.90783025753310395162131165</v>
      </c>
      <c r="E28" s="468">
        <v>151.86383067459076217287039933</v>
      </c>
      <c r="F28" s="468">
        <v>166.56897091022833906787613388</v>
      </c>
      <c r="G28" s="468">
        <v>170.48910436867896986758419351</v>
      </c>
      <c r="H28" s="468">
        <v>215.8140965488478782191637994</v>
      </c>
      <c r="I28" s="468">
        <v>232.58638306745907621728703993</v>
      </c>
      <c r="J28" s="468">
        <v>197.69043895318527786466478991</v>
      </c>
      <c r="K28" s="468">
        <v>238.10937337086852257324575123</v>
      </c>
      <c r="L28" s="468">
        <v>255.82566989886351788134709624</v>
      </c>
      <c r="M28" s="468">
        <v>240.19862370972786987801063497</v>
      </c>
      <c r="N28" s="675">
        <v>245.24595975393598164946303827</v>
      </c>
      <c r="O28" s="468">
        <v>306.06495673026795954540715254</v>
      </c>
      <c r="P28" s="468">
        <v>329.57355854446877280784068397</v>
      </c>
      <c r="Q28" s="468">
        <v>216.23542904806589510999895736</v>
      </c>
      <c r="R28" s="468">
        <v>142.92899593368783234282139506</v>
      </c>
      <c r="S28" s="468">
        <v>137.93400062558648733187363153</v>
      </c>
      <c r="T28" s="468">
        <v>151.9496402877697841726618705</v>
      </c>
      <c r="U28" s="468">
        <v>177.43029923886977374622041497</v>
      </c>
      <c r="V28" s="468">
        <v>178.77802106141174017307892816</v>
      </c>
      <c r="W28" s="468">
        <v>171.98978208737357939735168387</v>
      </c>
      <c r="X28" s="469">
        <v>101.12574288395370659993744135</v>
      </c>
      <c r="Y28" s="468">
        <v>120.15796058805129809196121364</v>
      </c>
      <c r="Z28" s="468">
        <v>136.00187675946199562089458868</v>
      </c>
      <c r="AA28" s="468">
        <v>152.82525284120529663225940986</v>
      </c>
      <c r="AB28" s="468">
        <v>160.2637889688249400479616307</v>
      </c>
      <c r="AC28" s="468">
        <v>199.22667083724324887915754353</v>
      </c>
      <c r="AD28" s="470">
        <v>199.61495151704723177979355646</v>
      </c>
      <c r="AE28" s="465"/>
      <c r="AF28" s="467">
        <v>152.74517777082681680742362632</v>
      </c>
      <c r="AG28" s="468">
        <v>188.58652456916454414108464781</v>
      </c>
      <c r="AH28" s="471">
        <v>183.96158162983679552521665532</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275" t="s">
        <v>182</v>
      </c>
      <c r="D33" s="276"/>
      <c r="E33" s="276"/>
      <c r="F33" s="276"/>
      <c r="G33" s="276"/>
      <c r="H33" s="276"/>
      <c r="I33" s="276"/>
      <c r="J33" s="276"/>
      <c r="K33" s="276"/>
      <c r="L33" s="276"/>
      <c r="M33" s="276"/>
      <c r="N33" s="658" t="s">
        <v>179</v>
      </c>
      <c r="O33" s="276"/>
      <c r="P33" s="276"/>
      <c r="Q33" s="276"/>
      <c r="R33" s="276"/>
      <c r="S33" s="277"/>
      <c r="T33" s="277"/>
      <c r="U33" s="277"/>
      <c r="V33" s="277"/>
      <c r="W33" s="277"/>
      <c r="X33" s="312"/>
      <c r="Y33" s="277"/>
      <c r="Z33" s="277"/>
      <c r="AA33" s="277"/>
      <c r="AB33" s="277"/>
      <c r="AC33" s="277"/>
      <c r="AD33" s="336"/>
      <c r="AE33" s="25"/>
      <c r="AF33" s="316" t="s">
        <v>58</v>
      </c>
      <c r="AG33" s="317" t="s">
        <v>59</v>
      </c>
      <c r="AH33" s="318" t="s">
        <v>59</v>
      </c>
      <c r="AI33" s="25"/>
      <c r="AJ33" s="248"/>
      <c r="AK33" s="248"/>
      <c r="AL33" s="248"/>
      <c r="AM33" s="248"/>
      <c r="AN33" s="253"/>
      <c r="AO33" s="253"/>
      <c r="AP33" s="253"/>
      <c r="AQ33" s="253"/>
      <c r="AR33" s="253"/>
      <c r="AS33" s="253"/>
      <c r="AT33" s="253"/>
      <c r="AU33" s="253"/>
      <c r="AV33" s="253"/>
      <c r="AW33" s="253"/>
      <c r="AX33" s="253"/>
      <c r="AY33" s="253"/>
      <c r="AZ33" s="253"/>
      <c r="BA33" s="253"/>
      <c r="BB33" s="253"/>
      <c r="BC33" s="253"/>
      <c r="BD33" s="253"/>
      <c r="BE33" s="253"/>
      <c r="BF33" s="253"/>
      <c r="BG33" s="253"/>
      <c r="BH33" s="253"/>
      <c r="BI33" s="253"/>
      <c r="BJ33" s="253"/>
    </row>
    <row r="34" s="42" customFormat="1">
      <c r="C34" s="279">
        <v>20</v>
      </c>
      <c r="D34" s="280">
        <v>21</v>
      </c>
      <c r="E34" s="280">
        <v>22</v>
      </c>
      <c r="F34" s="280">
        <v>23</v>
      </c>
      <c r="G34" s="280">
        <v>24</v>
      </c>
      <c r="H34" s="280">
        <v>25</v>
      </c>
      <c r="I34" s="280">
        <v>26</v>
      </c>
      <c r="J34" s="280">
        <v>27</v>
      </c>
      <c r="K34" s="280">
        <v>28</v>
      </c>
      <c r="L34" s="280">
        <v>29</v>
      </c>
      <c r="M34" s="280">
        <v>30</v>
      </c>
      <c r="N34" s="676">
        <v>1</v>
      </c>
      <c r="O34" s="280">
        <v>2</v>
      </c>
      <c r="P34" s="280">
        <v>3</v>
      </c>
      <c r="Q34" s="280">
        <v>4</v>
      </c>
      <c r="R34" s="280">
        <v>5</v>
      </c>
      <c r="S34" s="280">
        <v>6</v>
      </c>
      <c r="T34" s="280">
        <v>7</v>
      </c>
      <c r="U34" s="280">
        <v>8</v>
      </c>
      <c r="V34" s="280">
        <v>9</v>
      </c>
      <c r="W34" s="280">
        <v>10</v>
      </c>
      <c r="X34" s="315">
        <v>11</v>
      </c>
      <c r="Y34" s="280">
        <v>12</v>
      </c>
      <c r="Z34" s="280">
        <v>13</v>
      </c>
      <c r="AA34" s="280">
        <v>14</v>
      </c>
      <c r="AB34" s="280">
        <v>15</v>
      </c>
      <c r="AC34" s="280">
        <v>16</v>
      </c>
      <c r="AD34" s="373">
        <v>17</v>
      </c>
      <c r="AE34" s="25"/>
      <c r="AF34" s="319" t="s">
        <v>60</v>
      </c>
      <c r="AG34" s="320">
        <v>28</v>
      </c>
      <c r="AH34" s="321" t="s">
        <v>31</v>
      </c>
      <c r="AI34" s="25"/>
      <c r="AJ34" s="248"/>
      <c r="AK34" s="248"/>
      <c r="AL34" s="248"/>
      <c r="AM34" s="248"/>
      <c r="AN34" s="254"/>
      <c r="AO34" s="254"/>
      <c r="AP34" s="254"/>
      <c r="AQ34" s="254"/>
      <c r="AR34" s="254"/>
      <c r="AS34" s="254"/>
      <c r="AT34" s="254"/>
      <c r="AU34" s="254"/>
      <c r="AV34" s="254"/>
      <c r="AW34" s="254"/>
      <c r="AX34" s="254"/>
      <c r="AY34" s="254"/>
      <c r="AZ34" s="254"/>
      <c r="BA34" s="254"/>
      <c r="BB34" s="254"/>
      <c r="BC34" s="254"/>
      <c r="BD34" s="254"/>
      <c r="BE34" s="254"/>
      <c r="BF34" s="254"/>
      <c r="BG34" s="254"/>
      <c r="BH34" s="254"/>
      <c r="BI34" s="254"/>
      <c r="BJ34" s="254"/>
    </row>
    <row r="35" ht="14.25" customHeight="1">
      <c r="B35" s="46" t="s">
        <v>32</v>
      </c>
      <c r="C35" s="444">
        <v>9.181594362847284462274168480</v>
      </c>
      <c r="D35" s="445">
        <v>-20.984747311447838187876894570</v>
      </c>
      <c r="E35" s="445">
        <v>-5.263571372438733016835089400</v>
      </c>
      <c r="F35" s="445">
        <v>1.7109543322812901295145631700</v>
      </c>
      <c r="G35" s="445">
        <v>-26.542818305405248243170746670</v>
      </c>
      <c r="H35" s="445">
        <v>-22.152410431724423708142773980</v>
      </c>
      <c r="I35" s="445">
        <v>-8.203144011296547244229641510</v>
      </c>
      <c r="J35" s="445">
        <v>-1.172134168815350860806027500</v>
      </c>
      <c r="K35" s="445">
        <v>41.958126102991050336845628680</v>
      </c>
      <c r="L35" s="445">
        <v>55.099976659165032285276173970</v>
      </c>
      <c r="M35" s="445">
        <v>38.213083805309277505563751590</v>
      </c>
      <c r="N35" s="660">
        <v>-14.466840052009248882782984150</v>
      </c>
      <c r="O35" s="445">
        <v>-6.1778149970399832489970106400</v>
      </c>
      <c r="P35" s="445">
        <v>-8.059173831707757847520913330</v>
      </c>
      <c r="Q35" s="445">
        <v>-20.976568277370827743521086090</v>
      </c>
      <c r="R35" s="445">
        <v>-10.606642876734226805226766370</v>
      </c>
      <c r="S35" s="445">
        <v>-45.818181818170844649021861990</v>
      </c>
      <c r="T35" s="445">
        <v>-15.553331665407277457926652390</v>
      </c>
      <c r="U35" s="445">
        <v>2.6491220426196783841779526600</v>
      </c>
      <c r="V35" s="445">
        <v>-19.106210421071515946190772450</v>
      </c>
      <c r="W35" s="445">
        <v>-0.4958290060021845513615329300</v>
      </c>
      <c r="X35" s="446">
        <v>-26.040338472226319285251085760</v>
      </c>
      <c r="Y35" s="445">
        <v>-22.835035592718687207004329950</v>
      </c>
      <c r="Z35" s="445">
        <v>-11.810739224667492085332931920</v>
      </c>
      <c r="AA35" s="445">
        <v>-15.379176241836255375465181360</v>
      </c>
      <c r="AB35" s="445">
        <v>-10.166450712676912923125628810</v>
      </c>
      <c r="AC35" s="445">
        <v>3.6004889121791039348136626400</v>
      </c>
      <c r="AD35" s="447">
        <v>20.940213264651699027177949020</v>
      </c>
      <c r="AE35" s="448"/>
      <c r="AF35" s="444">
        <v>-5.0827487943631987796828508100</v>
      </c>
      <c r="AG35" s="445">
        <v>-5.6602722135099647197299783700</v>
      </c>
      <c r="AH35" s="449">
        <v>-9.608733571902858608174294090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2.060448981464547078302940300</v>
      </c>
      <c r="D36" s="81">
        <v>-12.677744461562774828645874410</v>
      </c>
      <c r="E36" s="81">
        <v>-24.105104932130179868493331810</v>
      </c>
      <c r="F36" s="81">
        <v>-20.664494159310432852235780310</v>
      </c>
      <c r="G36" s="81">
        <v>-21.614200431064325433698749830</v>
      </c>
      <c r="H36" s="81">
        <v>0.7751442586795650216878400600</v>
      </c>
      <c r="I36" s="81">
        <v>7.4672690210558963255034272300</v>
      </c>
      <c r="J36" s="81">
        <v>23.153688835775432043620138900</v>
      </c>
      <c r="K36" s="81">
        <v>111.66525799209540399844879030</v>
      </c>
      <c r="L36" s="81">
        <v>142.89159712983014186870517819</v>
      </c>
      <c r="M36" s="81">
        <v>93.78390458787800367600108762</v>
      </c>
      <c r="N36" s="661">
        <v>7.4223058124319666968106507100</v>
      </c>
      <c r="O36" s="81">
        <v>-0.1070256663974167284025876200</v>
      </c>
      <c r="P36" s="81">
        <v>7.6087383676183974453436476200</v>
      </c>
      <c r="Q36" s="81">
        <v>-21.328608273146758349319679810</v>
      </c>
      <c r="R36" s="81">
        <v>-18.841269337124650907674679260</v>
      </c>
      <c r="S36" s="81">
        <v>-5.9653283662901272666959499400</v>
      </c>
      <c r="T36" s="81">
        <v>-3.0413635075644994566142662900</v>
      </c>
      <c r="U36" s="81">
        <v>21.953152304325845663617603780</v>
      </c>
      <c r="V36" s="81">
        <v>0.9695276124487347809447863200</v>
      </c>
      <c r="W36" s="81">
        <v>-10.048818140271918685603664400</v>
      </c>
      <c r="X36" s="82">
        <v>-18.183985487866004799484816470</v>
      </c>
      <c r="Y36" s="81">
        <v>-21.313021887607218123277778530</v>
      </c>
      <c r="Z36" s="81">
        <v>-18.201481372916564430714004410</v>
      </c>
      <c r="AA36" s="81">
        <v>-9.329039809016858545765043770</v>
      </c>
      <c r="AB36" s="81">
        <v>-14.576305924960378166613468900</v>
      </c>
      <c r="AC36" s="81">
        <v>-3.285436289392706795533159900</v>
      </c>
      <c r="AD36" s="83">
        <v>3.9047679079163923529746577500</v>
      </c>
      <c r="AE36" s="88"/>
      <c r="AF36" s="327">
        <v>-9.832866730149401832521249210</v>
      </c>
      <c r="AG36" s="81">
        <v>4.2615398489218388330326020200</v>
      </c>
      <c r="AH36" s="328">
        <v>-2.4175512518974708306977353600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181</v>
      </c>
      <c r="C37" s="450">
        <v>-8.918902972556678654692991470</v>
      </c>
      <c r="D37" s="451">
        <v>-25.002973387932683611308997990</v>
      </c>
      <c r="E37" s="451">
        <v>-21.474657702845476934163586290</v>
      </c>
      <c r="F37" s="451">
        <v>-12.054694319205497748941542700</v>
      </c>
      <c r="G37" s="451">
        <v>-25.457392620864090132834050100</v>
      </c>
      <c r="H37" s="451">
        <v>-9.196298003923361016525213980</v>
      </c>
      <c r="I37" s="451">
        <v>3.733485752373644169583648900</v>
      </c>
      <c r="J37" s="451">
        <v>27.713503683576703737326731090</v>
      </c>
      <c r="K37" s="451">
        <v>45.297146233265573960991248430</v>
      </c>
      <c r="L37" s="451">
        <v>46.528777805027615288280111940</v>
      </c>
      <c r="M37" s="451">
        <v>44.887587629909773282147040240</v>
      </c>
      <c r="N37" s="662">
        <v>10.007603173137288004010262340</v>
      </c>
      <c r="O37" s="451">
        <v>-1.7218151039373928131228459600</v>
      </c>
      <c r="P37" s="451">
        <v>6.8229731232574810400620509200</v>
      </c>
      <c r="Q37" s="451">
        <v>-6.7275109875757559529966191900</v>
      </c>
      <c r="R37" s="451">
        <v>-10.768681830547460904920805670</v>
      </c>
      <c r="S37" s="451">
        <v>-17.648201360369589279459656310</v>
      </c>
      <c r="T37" s="451">
        <v>-11.206256959020344157826096150</v>
      </c>
      <c r="U37" s="451">
        <v>6.8580951107555178857711238500</v>
      </c>
      <c r="V37" s="451">
        <v>-4.0694779780098420630609922800</v>
      </c>
      <c r="W37" s="451">
        <v>-2.1729300556385082744836692600</v>
      </c>
      <c r="X37" s="452">
        <v>-10.644280090254273576497679370</v>
      </c>
      <c r="Y37" s="451">
        <v>-3.497982782703307709840912300</v>
      </c>
      <c r="Z37" s="451">
        <v>-5.1576026252317397708569974200</v>
      </c>
      <c r="AA37" s="451">
        <v>1.9222156928138443400115799800</v>
      </c>
      <c r="AB37" s="451">
        <v>0.8872757952417300817462336800</v>
      </c>
      <c r="AC37" s="451">
        <v>3.1156434225318643549898641900</v>
      </c>
      <c r="AD37" s="453">
        <v>6.6407759139716841416275817500</v>
      </c>
      <c r="AE37" s="448"/>
      <c r="AF37" s="450">
        <v>-0.0986528176440484155189469300</v>
      </c>
      <c r="AG37" s="451">
        <v>0.6189680845215315862874395300</v>
      </c>
      <c r="AH37" s="454">
        <v>-0.73809036710605204855776200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275" t="s">
        <v>182</v>
      </c>
      <c r="D40" s="276"/>
      <c r="E40" s="276"/>
      <c r="F40" s="276"/>
      <c r="G40" s="276"/>
      <c r="H40" s="276"/>
      <c r="I40" s="276"/>
      <c r="J40" s="276"/>
      <c r="K40" s="276"/>
      <c r="L40" s="276"/>
      <c r="M40" s="276"/>
      <c r="N40" s="658" t="s">
        <v>179</v>
      </c>
      <c r="O40" s="276"/>
      <c r="P40" s="276"/>
      <c r="Q40" s="276"/>
      <c r="R40" s="276"/>
      <c r="S40" s="277"/>
      <c r="T40" s="277"/>
      <c r="U40" s="277"/>
      <c r="V40" s="277"/>
      <c r="W40" s="277"/>
      <c r="X40" s="312"/>
      <c r="Y40" s="277"/>
      <c r="Z40" s="277"/>
      <c r="AA40" s="277"/>
      <c r="AB40" s="277"/>
      <c r="AC40" s="277"/>
      <c r="AD40" s="336"/>
      <c r="AE40" s="25"/>
      <c r="AF40" s="316" t="s">
        <v>58</v>
      </c>
      <c r="AG40" s="317" t="s">
        <v>59</v>
      </c>
      <c r="AH40" s="318" t="s">
        <v>59</v>
      </c>
      <c r="AI40" s="25"/>
      <c r="AJ40" s="248"/>
      <c r="AK40" s="248"/>
      <c r="AL40" s="248"/>
      <c r="AM40" s="248"/>
      <c r="AN40" s="253"/>
      <c r="AO40" s="253"/>
      <c r="AP40" s="253"/>
      <c r="AQ40" s="253"/>
      <c r="AR40" s="253"/>
      <c r="AS40" s="253"/>
      <c r="AT40" s="253"/>
      <c r="AU40" s="253"/>
      <c r="AV40" s="253"/>
      <c r="AW40" s="253"/>
      <c r="AX40" s="253"/>
      <c r="AY40" s="253"/>
      <c r="AZ40" s="253"/>
      <c r="BA40" s="253"/>
      <c r="BB40" s="253"/>
      <c r="BC40" s="253"/>
      <c r="BD40" s="253"/>
      <c r="BE40" s="253"/>
      <c r="BF40" s="253"/>
      <c r="BG40" s="253"/>
      <c r="BH40" s="253"/>
      <c r="BI40" s="253"/>
      <c r="BJ40" s="253"/>
    </row>
    <row r="41" s="42" customFormat="1">
      <c r="C41" s="279">
        <v>20</v>
      </c>
      <c r="D41" s="280">
        <v>21</v>
      </c>
      <c r="E41" s="280">
        <v>22</v>
      </c>
      <c r="F41" s="280">
        <v>23</v>
      </c>
      <c r="G41" s="280">
        <v>24</v>
      </c>
      <c r="H41" s="280">
        <v>25</v>
      </c>
      <c r="I41" s="280">
        <v>26</v>
      </c>
      <c r="J41" s="280">
        <v>27</v>
      </c>
      <c r="K41" s="280">
        <v>28</v>
      </c>
      <c r="L41" s="280">
        <v>29</v>
      </c>
      <c r="M41" s="280">
        <v>30</v>
      </c>
      <c r="N41" s="676">
        <v>1</v>
      </c>
      <c r="O41" s="280">
        <v>2</v>
      </c>
      <c r="P41" s="280">
        <v>3</v>
      </c>
      <c r="Q41" s="280">
        <v>4</v>
      </c>
      <c r="R41" s="280">
        <v>5</v>
      </c>
      <c r="S41" s="280">
        <v>6</v>
      </c>
      <c r="T41" s="280">
        <v>7</v>
      </c>
      <c r="U41" s="280">
        <v>8</v>
      </c>
      <c r="V41" s="280">
        <v>9</v>
      </c>
      <c r="W41" s="280">
        <v>10</v>
      </c>
      <c r="X41" s="315">
        <v>11</v>
      </c>
      <c r="Y41" s="280">
        <v>12</v>
      </c>
      <c r="Z41" s="280">
        <v>13</v>
      </c>
      <c r="AA41" s="280">
        <v>14</v>
      </c>
      <c r="AB41" s="280">
        <v>15</v>
      </c>
      <c r="AC41" s="280">
        <v>16</v>
      </c>
      <c r="AD41" s="373">
        <v>17</v>
      </c>
      <c r="AE41" s="25"/>
      <c r="AF41" s="319" t="s">
        <v>60</v>
      </c>
      <c r="AG41" s="320">
        <v>28</v>
      </c>
      <c r="AH41" s="321" t="s">
        <v>31</v>
      </c>
      <c r="AI41" s="25"/>
      <c r="AJ41" s="248"/>
      <c r="AK41" s="248"/>
      <c r="AL41" s="248"/>
      <c r="AM41" s="248"/>
      <c r="AN41" s="254"/>
      <c r="AO41" s="254"/>
      <c r="AP41" s="254"/>
      <c r="AQ41" s="254"/>
      <c r="AR41" s="254"/>
      <c r="AS41" s="254"/>
      <c r="AT41" s="254"/>
      <c r="AU41" s="254"/>
      <c r="AV41" s="254"/>
      <c r="AW41" s="254"/>
      <c r="AX41" s="254"/>
      <c r="AY41" s="254"/>
      <c r="AZ41" s="254"/>
      <c r="BA41" s="254"/>
      <c r="BB41" s="254"/>
      <c r="BC41" s="254"/>
      <c r="BD41" s="254"/>
      <c r="BE41" s="254"/>
      <c r="BF41" s="254"/>
      <c r="BG41" s="254"/>
      <c r="BH41" s="254"/>
      <c r="BI41" s="254"/>
      <c r="BJ41" s="254"/>
    </row>
    <row r="42" ht="14.25" customHeight="1">
      <c r="A42" s="1"/>
      <c r="B42" s="46" t="s">
        <v>26</v>
      </c>
      <c r="C42" s="444">
        <v>119.49199601834933456552450929</v>
      </c>
      <c r="D42" s="445">
        <v>114.21709948356186563232627997</v>
      </c>
      <c r="E42" s="445">
        <v>136.16023023685104198576996670</v>
      </c>
      <c r="F42" s="445">
        <v>127.95225955975797273482053863</v>
      </c>
      <c r="G42" s="445">
        <v>98.41029983939980272840510377</v>
      </c>
      <c r="H42" s="445">
        <v>93.95926422498723815023046842</v>
      </c>
      <c r="I42" s="445">
        <v>97.03302813236321629043623407</v>
      </c>
      <c r="J42" s="445">
        <v>92.42732765161985648626763736</v>
      </c>
      <c r="K42" s="445">
        <v>89.26573902488732493288439503</v>
      </c>
      <c r="L42" s="445">
        <v>94.67201197812953869363755341</v>
      </c>
      <c r="M42" s="445">
        <v>82.42586937382311025255769701</v>
      </c>
      <c r="N42" s="660">
        <v>101.21191202934467503496168364</v>
      </c>
      <c r="O42" s="445">
        <v>106.18301588322015385277185151</v>
      </c>
      <c r="P42" s="445">
        <v>104.22590062166316860449828362</v>
      </c>
      <c r="Q42" s="445">
        <v>126.04497719103168529836980581</v>
      </c>
      <c r="R42" s="445">
        <v>92.00954113363023104136047560</v>
      </c>
      <c r="S42" s="445">
        <v>59.750061473626188226912223070</v>
      </c>
      <c r="T42" s="445">
        <v>103.37832495644075840957980514</v>
      </c>
      <c r="U42" s="445">
        <v>106.86945898223211877342266946</v>
      </c>
      <c r="V42" s="445">
        <v>109.65427811001751409169947095</v>
      </c>
      <c r="W42" s="445">
        <v>120.79201438361179457097668858</v>
      </c>
      <c r="X42" s="446">
        <v>86.78649642024106286698702644</v>
      </c>
      <c r="Y42" s="445">
        <v>84.93569040614368087820743712</v>
      </c>
      <c r="Z42" s="445">
        <v>81.76593141349251319783695758</v>
      </c>
      <c r="AA42" s="445">
        <v>81.43584774014922826618515580</v>
      </c>
      <c r="AB42" s="445">
        <v>93.86097635424885890691309021</v>
      </c>
      <c r="AC42" s="445">
        <v>101.74960708254003208677179706</v>
      </c>
      <c r="AD42" s="447">
        <v>108.35983334169112742095733344</v>
      </c>
      <c r="AE42" s="448"/>
      <c r="AF42" s="444">
        <v>94.19635021267069658335205616</v>
      </c>
      <c r="AG42" s="445">
        <v>100.58305251566131151755526645</v>
      </c>
      <c r="AH42" s="449">
        <v>101.22251864575824076854622911</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181</v>
      </c>
      <c r="C43" s="329">
        <v>130.75703087060182234536762984</v>
      </c>
      <c r="D43" s="330">
        <v>126.25342595063237169754891207</v>
      </c>
      <c r="E43" s="330">
        <v>120.31312551546267955569202023</v>
      </c>
      <c r="F43" s="330">
        <v>109.50055007079973370488798917</v>
      </c>
      <c r="G43" s="330">
        <v>108.05809169415456790504299962</v>
      </c>
      <c r="H43" s="330">
        <v>118.30117223268364611044347919</v>
      </c>
      <c r="I43" s="330">
        <v>122.87060801292282441758742022</v>
      </c>
      <c r="J43" s="330">
        <v>102.74710967144838427839145825</v>
      </c>
      <c r="K43" s="330">
        <v>112.60740561486716919889434899</v>
      </c>
      <c r="L43" s="330">
        <v>118.06690652459551379301049773</v>
      </c>
      <c r="M43" s="330">
        <v>106.21575758366218744585735763</v>
      </c>
      <c r="N43" s="663">
        <v>113.78187629491296941907881879</v>
      </c>
      <c r="O43" s="330">
        <v>133.10949397925076956039460625</v>
      </c>
      <c r="P43" s="330">
        <v>123.14581982803718042724277449</v>
      </c>
      <c r="Q43" s="330">
        <v>131.03352690084933513359754700</v>
      </c>
      <c r="R43" s="330">
        <v>86.30583304683772729408906910</v>
      </c>
      <c r="S43" s="330">
        <v>64.649935490736459330097693720</v>
      </c>
      <c r="T43" s="330">
        <v>100.97045450956610108710557227</v>
      </c>
      <c r="U43" s="330">
        <v>100.59007593002085617626527661</v>
      </c>
      <c r="V43" s="330">
        <v>123.41782176801299941329698339</v>
      </c>
      <c r="W43" s="330">
        <v>130.82612991697013723078367285</v>
      </c>
      <c r="X43" s="331">
        <v>95.59805413260218719603650236</v>
      </c>
      <c r="Y43" s="330">
        <v>78.596035982277538485311493390</v>
      </c>
      <c r="Z43" s="330">
        <v>81.60538010891527916958535424</v>
      </c>
      <c r="AA43" s="330">
        <v>71.189448420872818412341506280</v>
      </c>
      <c r="AB43" s="330">
        <v>85.20989484854345219480999738</v>
      </c>
      <c r="AC43" s="330">
        <v>112.80739837593064383445804423</v>
      </c>
      <c r="AD43" s="338">
        <v>139.03282340384580376704723764</v>
      </c>
      <c r="AE43" s="88"/>
      <c r="AF43" s="329">
        <v>98.17726565879628221646520180</v>
      </c>
      <c r="AG43" s="330">
        <v>111.72372359435184837936520134</v>
      </c>
      <c r="AH43" s="332">
        <v>109.21252640314632749535541355</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275" t="s">
        <v>182</v>
      </c>
      <c r="D46" s="276"/>
      <c r="E46" s="276"/>
      <c r="F46" s="276"/>
      <c r="G46" s="276"/>
      <c r="H46" s="276"/>
      <c r="I46" s="276"/>
      <c r="J46" s="276"/>
      <c r="K46" s="276"/>
      <c r="L46" s="276"/>
      <c r="M46" s="276"/>
      <c r="N46" s="658" t="s">
        <v>179</v>
      </c>
      <c r="O46" s="276"/>
      <c r="P46" s="276"/>
      <c r="Q46" s="276"/>
      <c r="R46" s="276"/>
      <c r="S46" s="277"/>
      <c r="T46" s="277"/>
      <c r="U46" s="277"/>
      <c r="V46" s="277"/>
      <c r="W46" s="277"/>
      <c r="X46" s="312"/>
      <c r="Y46" s="277"/>
      <c r="Z46" s="277"/>
      <c r="AA46" s="277"/>
      <c r="AB46" s="277"/>
      <c r="AC46" s="277"/>
      <c r="AD46" s="336"/>
      <c r="AE46" s="25"/>
      <c r="AF46" s="316" t="s">
        <v>58</v>
      </c>
      <c r="AG46" s="317" t="s">
        <v>59</v>
      </c>
      <c r="AH46" s="318" t="s">
        <v>59</v>
      </c>
      <c r="AI46" s="25"/>
      <c r="AJ46" s="248"/>
      <c r="AK46" s="248"/>
      <c r="AL46" s="248"/>
      <c r="AM46" s="248"/>
      <c r="AN46" s="253"/>
      <c r="AO46" s="253"/>
      <c r="AP46" s="253"/>
      <c r="AQ46" s="253"/>
      <c r="AR46" s="253"/>
      <c r="AS46" s="253"/>
      <c r="AT46" s="253"/>
      <c r="AU46" s="253"/>
      <c r="AV46" s="253"/>
      <c r="AW46" s="253"/>
      <c r="AX46" s="253"/>
      <c r="AY46" s="253"/>
      <c r="AZ46" s="253"/>
      <c r="BA46" s="253"/>
      <c r="BB46" s="253"/>
      <c r="BC46" s="253"/>
      <c r="BD46" s="253"/>
      <c r="BE46" s="253"/>
      <c r="BF46" s="253"/>
      <c r="BG46" s="253"/>
      <c r="BH46" s="253"/>
      <c r="BI46" s="253"/>
      <c r="BJ46" s="253"/>
    </row>
    <row r="47" s="42" customFormat="1">
      <c r="C47" s="279">
        <v>20</v>
      </c>
      <c r="D47" s="280">
        <v>21</v>
      </c>
      <c r="E47" s="280">
        <v>22</v>
      </c>
      <c r="F47" s="280">
        <v>23</v>
      </c>
      <c r="G47" s="280">
        <v>24</v>
      </c>
      <c r="H47" s="280">
        <v>25</v>
      </c>
      <c r="I47" s="280">
        <v>26</v>
      </c>
      <c r="J47" s="280">
        <v>27</v>
      </c>
      <c r="K47" s="280">
        <v>28</v>
      </c>
      <c r="L47" s="280">
        <v>29</v>
      </c>
      <c r="M47" s="280">
        <v>30</v>
      </c>
      <c r="N47" s="676">
        <v>1</v>
      </c>
      <c r="O47" s="280">
        <v>2</v>
      </c>
      <c r="P47" s="280">
        <v>3</v>
      </c>
      <c r="Q47" s="280">
        <v>4</v>
      </c>
      <c r="R47" s="280">
        <v>5</v>
      </c>
      <c r="S47" s="280">
        <v>6</v>
      </c>
      <c r="T47" s="280">
        <v>7</v>
      </c>
      <c r="U47" s="280">
        <v>8</v>
      </c>
      <c r="V47" s="280">
        <v>9</v>
      </c>
      <c r="W47" s="280">
        <v>10</v>
      </c>
      <c r="X47" s="315">
        <v>11</v>
      </c>
      <c r="Y47" s="280">
        <v>12</v>
      </c>
      <c r="Z47" s="280">
        <v>13</v>
      </c>
      <c r="AA47" s="280">
        <v>14</v>
      </c>
      <c r="AB47" s="280">
        <v>15</v>
      </c>
      <c r="AC47" s="280">
        <v>16</v>
      </c>
      <c r="AD47" s="373">
        <v>17</v>
      </c>
      <c r="AE47" s="25"/>
      <c r="AF47" s="319" t="s">
        <v>60</v>
      </c>
      <c r="AG47" s="320">
        <v>28</v>
      </c>
      <c r="AH47" s="321" t="s">
        <v>31</v>
      </c>
      <c r="AI47" s="25"/>
      <c r="AJ47" s="248"/>
      <c r="AK47" s="248"/>
      <c r="AL47" s="248"/>
      <c r="AM47" s="248"/>
      <c r="AN47" s="254"/>
      <c r="AO47" s="254"/>
      <c r="AP47" s="254"/>
      <c r="AQ47" s="254"/>
      <c r="AR47" s="254"/>
      <c r="AS47" s="254"/>
      <c r="AT47" s="254"/>
      <c r="AU47" s="254"/>
      <c r="AV47" s="254"/>
      <c r="AW47" s="254"/>
      <c r="AX47" s="254"/>
      <c r="AY47" s="254"/>
      <c r="AZ47" s="254"/>
      <c r="BA47" s="254"/>
      <c r="BB47" s="254"/>
      <c r="BC47" s="254"/>
      <c r="BD47" s="254"/>
      <c r="BE47" s="254"/>
      <c r="BF47" s="254"/>
      <c r="BG47" s="254"/>
      <c r="BH47" s="254"/>
      <c r="BI47" s="254"/>
      <c r="BJ47" s="254"/>
    </row>
    <row r="48" ht="14.25" customHeight="1">
      <c r="A48" s="1"/>
      <c r="B48" s="46" t="s">
        <v>26</v>
      </c>
      <c r="C48" s="444">
        <v>6.9773800256809398225970757100</v>
      </c>
      <c r="D48" s="445">
        <v>-9.513042005962872460549035750</v>
      </c>
      <c r="E48" s="445">
        <v>24.825824639216737859804942310</v>
      </c>
      <c r="F48" s="445">
        <v>28.203574496104125098155022480</v>
      </c>
      <c r="G48" s="445">
        <v>-6.2876412582434383768898205800</v>
      </c>
      <c r="H48" s="445">
        <v>-22.751200069286889599595158060</v>
      </c>
      <c r="I48" s="445">
        <v>-14.581568113818262413120169420</v>
      </c>
      <c r="J48" s="445">
        <v>-19.752411181941688624527806490</v>
      </c>
      <c r="K48" s="445">
        <v>-32.932722427108409531131225020</v>
      </c>
      <c r="L48" s="445">
        <v>-36.144362961949294610168271440</v>
      </c>
      <c r="M48" s="445">
        <v>-28.676695776535852964420404750</v>
      </c>
      <c r="N48" s="660">
        <v>-20.376723157186988538572270760</v>
      </c>
      <c r="O48" s="445">
        <v>-6.0772935946137951425771863100</v>
      </c>
      <c r="P48" s="445">
        <v>-14.560074243947783370735080360</v>
      </c>
      <c r="Q48" s="445">
        <v>0.447481591503010823609054200</v>
      </c>
      <c r="R48" s="445">
        <v>10.146322389592204086498654750</v>
      </c>
      <c r="S48" s="445">
        <v>-42.381020489044944366422200970</v>
      </c>
      <c r="T48" s="445">
        <v>-12.904439058260043270776037870</v>
      </c>
      <c r="U48" s="445">
        <v>-15.829053941577806251516247640</v>
      </c>
      <c r="V48" s="445">
        <v>-19.882967176580014299220443520</v>
      </c>
      <c r="W48" s="445">
        <v>10.620193016656024344830318280</v>
      </c>
      <c r="X48" s="446">
        <v>-9.602463565665925221888635100</v>
      </c>
      <c r="Y48" s="445">
        <v>-1.9342637645554650481233910500</v>
      </c>
      <c r="Z48" s="445">
        <v>7.8127847002138315483244104900</v>
      </c>
      <c r="AA48" s="445">
        <v>-6.6726286123289350728078544700</v>
      </c>
      <c r="AB48" s="445">
        <v>5.1623326058492896642388661400</v>
      </c>
      <c r="AC48" s="445">
        <v>7.1198431109139732582133209600</v>
      </c>
      <c r="AD48" s="447">
        <v>16.395248937851318176289540370</v>
      </c>
      <c r="AE48" s="448"/>
      <c r="AF48" s="444">
        <v>5.2681257166964702222232208100</v>
      </c>
      <c r="AG48" s="445">
        <v>-9.516272325155527722367379810</v>
      </c>
      <c r="AH48" s="449">
        <v>-7.3693398887422453444009024300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181</v>
      </c>
      <c r="C49" s="329">
        <v>19.872946117416974941035551670</v>
      </c>
      <c r="D49" s="330">
        <v>5.3578471814217311399735886800</v>
      </c>
      <c r="E49" s="330">
        <v>20.644400719710572560457204500</v>
      </c>
      <c r="F49" s="330">
        <v>15.652511006699797961112197670</v>
      </c>
      <c r="G49" s="330">
        <v>-1.4561144595266912219384346400</v>
      </c>
      <c r="H49" s="330">
        <v>-14.268264556383983261540998010</v>
      </c>
      <c r="I49" s="330">
        <v>-11.507016926239115188230049210</v>
      </c>
      <c r="J49" s="330">
        <v>-22.617528310834301909851294610</v>
      </c>
      <c r="K49" s="330">
        <v>-2.2980631188173610520114515600</v>
      </c>
      <c r="L49" s="330">
        <v>5.849498632627447036381672500</v>
      </c>
      <c r="M49" s="330">
        <v>-4.6066774481655084585452590200</v>
      </c>
      <c r="N49" s="663">
        <v>-22.247956067726400792670995040</v>
      </c>
      <c r="O49" s="330">
        <v>-4.5340681635623130396520172500</v>
      </c>
      <c r="P49" s="330">
        <v>-13.931597782642147875815774500</v>
      </c>
      <c r="Q49" s="330">
        <v>-15.276806098631948992873761440</v>
      </c>
      <c r="R49" s="330">
        <v>0.1815942620985746487264700</v>
      </c>
      <c r="S49" s="330">
        <v>-34.206879416295476729790449110</v>
      </c>
      <c r="T49" s="330">
        <v>-4.8956993561928813075814397400</v>
      </c>
      <c r="U49" s="330">
        <v>-3.9388434388900727122350969400</v>
      </c>
      <c r="V49" s="330">
        <v>-15.674607128274977875806880930</v>
      </c>
      <c r="W49" s="330">
        <v>1.7143527354410083939116012100</v>
      </c>
      <c r="X49" s="331">
        <v>-17.230075923049122593216721800</v>
      </c>
      <c r="Y49" s="330">
        <v>-20.037977824346087078929013680</v>
      </c>
      <c r="Z49" s="330">
        <v>-7.0149392925626190391842642800</v>
      </c>
      <c r="AA49" s="330">
        <v>-16.975094013634197440531607330</v>
      </c>
      <c r="AB49" s="330">
        <v>-10.956512028633223564577322220</v>
      </c>
      <c r="AC49" s="330">
        <v>0.4701958631897738897943901600</v>
      </c>
      <c r="AD49" s="338">
        <v>13.408977221146289801447044910</v>
      </c>
      <c r="AE49" s="88"/>
      <c r="AF49" s="329">
        <v>-4.989017783317536635047926600</v>
      </c>
      <c r="AG49" s="330">
        <v>-6.2406128959548377189566746800</v>
      </c>
      <c r="AH49" s="332">
        <v>-8.936603413716705488919916760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275" t="s">
        <v>182</v>
      </c>
      <c r="D52" s="276"/>
      <c r="E52" s="276"/>
      <c r="F52" s="276"/>
      <c r="G52" s="276"/>
      <c r="H52" s="276"/>
      <c r="I52" s="276"/>
      <c r="J52" s="276"/>
      <c r="K52" s="276"/>
      <c r="L52" s="276"/>
      <c r="M52" s="276"/>
      <c r="N52" s="658" t="s">
        <v>179</v>
      </c>
      <c r="O52" s="276"/>
      <c r="P52" s="276"/>
      <c r="Q52" s="276"/>
      <c r="R52" s="276"/>
      <c r="S52" s="277"/>
      <c r="T52" s="277"/>
      <c r="U52" s="277"/>
      <c r="V52" s="277"/>
      <c r="W52" s="277"/>
      <c r="X52" s="312"/>
      <c r="Y52" s="277"/>
      <c r="Z52" s="277"/>
      <c r="AA52" s="277"/>
      <c r="AB52" s="277"/>
      <c r="AC52" s="277"/>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279">
        <v>20</v>
      </c>
      <c r="D53" s="280">
        <v>21</v>
      </c>
      <c r="E53" s="280">
        <v>22</v>
      </c>
      <c r="F53" s="280">
        <v>23</v>
      </c>
      <c r="G53" s="280">
        <v>24</v>
      </c>
      <c r="H53" s="280">
        <v>25</v>
      </c>
      <c r="I53" s="280">
        <v>26</v>
      </c>
      <c r="J53" s="280">
        <v>27</v>
      </c>
      <c r="K53" s="280">
        <v>28</v>
      </c>
      <c r="L53" s="280">
        <v>29</v>
      </c>
      <c r="M53" s="280">
        <v>30</v>
      </c>
      <c r="N53" s="676">
        <v>1</v>
      </c>
      <c r="O53" s="280">
        <v>2</v>
      </c>
      <c r="P53" s="280">
        <v>3</v>
      </c>
      <c r="Q53" s="280">
        <v>4</v>
      </c>
      <c r="R53" s="280">
        <v>5</v>
      </c>
      <c r="S53" s="280">
        <v>6</v>
      </c>
      <c r="T53" s="280">
        <v>7</v>
      </c>
      <c r="U53" s="280">
        <v>8</v>
      </c>
      <c r="V53" s="280">
        <v>9</v>
      </c>
      <c r="W53" s="280">
        <v>10</v>
      </c>
      <c r="X53" s="315">
        <v>11</v>
      </c>
      <c r="Y53" s="280">
        <v>12</v>
      </c>
      <c r="Z53" s="280">
        <v>13</v>
      </c>
      <c r="AA53" s="280">
        <v>14</v>
      </c>
      <c r="AB53" s="280">
        <v>15</v>
      </c>
      <c r="AC53" s="280">
        <v>16</v>
      </c>
      <c r="AD53" s="373">
        <v>17</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231</v>
      </c>
      <c r="D54" s="445" t="s">
        <v>232</v>
      </c>
      <c r="E54" s="445" t="s">
        <v>232</v>
      </c>
      <c r="F54" s="445" t="s">
        <v>232</v>
      </c>
      <c r="G54" s="445" t="s">
        <v>237</v>
      </c>
      <c r="H54" s="445" t="s">
        <v>237</v>
      </c>
      <c r="I54" s="445" t="s">
        <v>238</v>
      </c>
      <c r="J54" s="445" t="s">
        <v>233</v>
      </c>
      <c r="K54" s="445" t="s">
        <v>233</v>
      </c>
      <c r="L54" s="445" t="s">
        <v>233</v>
      </c>
      <c r="M54" s="445" t="s">
        <v>233</v>
      </c>
      <c r="N54" s="660" t="s">
        <v>237</v>
      </c>
      <c r="O54" s="445" t="s">
        <v>231</v>
      </c>
      <c r="P54" s="445" t="s">
        <v>231</v>
      </c>
      <c r="Q54" s="445" t="s">
        <v>232</v>
      </c>
      <c r="R54" s="445" t="s">
        <v>238</v>
      </c>
      <c r="S54" s="445" t="s">
        <v>234</v>
      </c>
      <c r="T54" s="445" t="s">
        <v>236</v>
      </c>
      <c r="U54" s="445" t="s">
        <v>237</v>
      </c>
      <c r="V54" s="445" t="s">
        <v>236</v>
      </c>
      <c r="W54" s="445" t="s">
        <v>232</v>
      </c>
      <c r="X54" s="446" t="s">
        <v>237</v>
      </c>
      <c r="Y54" s="445" t="s">
        <v>237</v>
      </c>
      <c r="Z54" s="445" t="s">
        <v>238</v>
      </c>
      <c r="AA54" s="445" t="s">
        <v>238</v>
      </c>
      <c r="AB54" s="445" t="s">
        <v>238</v>
      </c>
      <c r="AC54" s="445" t="s">
        <v>237</v>
      </c>
      <c r="AD54" s="447" t="s">
        <v>231</v>
      </c>
      <c r="AE54" s="448"/>
      <c r="AF54" s="444" t="s">
        <v>238</v>
      </c>
      <c r="AG54" s="445" t="s">
        <v>237</v>
      </c>
      <c r="AH54" s="449" t="s">
        <v>236</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231</v>
      </c>
      <c r="D55" s="330" t="s">
        <v>233</v>
      </c>
      <c r="E55" s="330" t="s">
        <v>232</v>
      </c>
      <c r="F55" s="330" t="s">
        <v>231</v>
      </c>
      <c r="G55" s="330" t="s">
        <v>233</v>
      </c>
      <c r="H55" s="330" t="s">
        <v>238</v>
      </c>
      <c r="I55" s="330" t="s">
        <v>235</v>
      </c>
      <c r="J55" s="330" t="s">
        <v>234</v>
      </c>
      <c r="K55" s="330" t="s">
        <v>235</v>
      </c>
      <c r="L55" s="330" t="s">
        <v>235</v>
      </c>
      <c r="M55" s="330" t="s">
        <v>235</v>
      </c>
      <c r="N55" s="663" t="s">
        <v>234</v>
      </c>
      <c r="O55" s="330" t="s">
        <v>234</v>
      </c>
      <c r="P55" s="330" t="s">
        <v>235</v>
      </c>
      <c r="Q55" s="330" t="s">
        <v>237</v>
      </c>
      <c r="R55" s="330" t="s">
        <v>236</v>
      </c>
      <c r="S55" s="330" t="s">
        <v>235</v>
      </c>
      <c r="T55" s="330" t="s">
        <v>234</v>
      </c>
      <c r="U55" s="330" t="s">
        <v>233</v>
      </c>
      <c r="V55" s="330" t="s">
        <v>234</v>
      </c>
      <c r="W55" s="330" t="s">
        <v>236</v>
      </c>
      <c r="X55" s="89" t="s">
        <v>236</v>
      </c>
      <c r="Y55" s="90" t="s">
        <v>237</v>
      </c>
      <c r="Z55" s="90" t="s">
        <v>231</v>
      </c>
      <c r="AA55" s="90" t="s">
        <v>237</v>
      </c>
      <c r="AB55" s="90" t="s">
        <v>231</v>
      </c>
      <c r="AC55" s="90" t="s">
        <v>236</v>
      </c>
      <c r="AD55" s="91" t="s">
        <v>232</v>
      </c>
      <c r="AE55" s="88"/>
      <c r="AF55" s="329" t="s">
        <v>231</v>
      </c>
      <c r="AG55" s="330" t="s">
        <v>234</v>
      </c>
      <c r="AH55" s="332" t="s">
        <v>237</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50" t="s">
        <v>114</v>
      </c>
      <c r="C58" s="650"/>
      <c r="D58" s="650"/>
      <c r="E58" s="650"/>
      <c r="F58" s="650"/>
      <c r="G58" s="650"/>
      <c r="H58" s="650"/>
      <c r="I58" s="650"/>
      <c r="J58" s="650"/>
      <c r="K58" s="650"/>
      <c r="L58" s="650"/>
      <c r="M58" s="650"/>
      <c r="N58" s="650"/>
      <c r="O58" s="650"/>
      <c r="P58" s="650"/>
      <c r="Q58" s="650"/>
      <c r="R58" s="650"/>
      <c r="S58" s="650"/>
      <c r="T58" s="650"/>
      <c r="U58" s="650"/>
      <c r="V58" s="650"/>
      <c r="W58" s="650"/>
      <c r="X58" s="650"/>
      <c r="Y58" s="650"/>
      <c r="Z58" s="650"/>
      <c r="AA58" s="650"/>
      <c r="AB58" s="650"/>
      <c r="AC58" s="650"/>
      <c r="AD58" s="650"/>
      <c r="AE58" s="650"/>
      <c r="AF58" s="650"/>
      <c r="AG58" s="650"/>
      <c r="AH58" s="650"/>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53"/>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6"/>
      <c r="B65" s="666"/>
      <c r="C65" s="666"/>
      <c r="D65" s="666"/>
      <c r="E65" s="666"/>
      <c r="F65" s="666"/>
      <c r="G65" s="666"/>
      <c r="H65" s="666"/>
      <c r="I65" s="666"/>
      <c r="J65" s="666"/>
      <c r="K65" s="666"/>
      <c r="L65" s="666"/>
      <c r="M65" s="666"/>
      <c r="N65" s="666"/>
      <c r="O65" s="666"/>
      <c r="P65" s="666"/>
      <c r="Q65" s="666"/>
      <c r="R65" s="666"/>
      <c r="S65" s="666"/>
      <c r="T65" s="666"/>
      <c r="U65" s="666"/>
      <c r="V65" s="666"/>
      <c r="W65" s="666"/>
      <c r="X65" s="666"/>
      <c r="Y65" s="666"/>
      <c r="Z65" s="666"/>
      <c r="AA65" s="666"/>
      <c r="AB65" s="666"/>
      <c r="AC65" s="666"/>
      <c r="AD65" s="666"/>
      <c r="AE65" s="666"/>
      <c r="AF65" s="666"/>
      <c r="AG65" s="666"/>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6"/>
      <c r="B66" s="666"/>
      <c r="C66" s="666"/>
      <c r="D66" s="666"/>
      <c r="E66" s="666"/>
      <c r="F66" s="666"/>
      <c r="G66" s="666"/>
      <c r="H66" s="666"/>
      <c r="I66" s="666"/>
      <c r="J66" s="666"/>
      <c r="K66" s="666"/>
      <c r="L66" s="666"/>
      <c r="M66" s="666"/>
      <c r="N66" s="666"/>
      <c r="O66" s="666"/>
      <c r="P66" s="666"/>
      <c r="Q66" s="666"/>
      <c r="R66" s="666"/>
      <c r="S66" s="666"/>
      <c r="T66" s="666"/>
      <c r="U66" s="666"/>
      <c r="V66" s="666"/>
      <c r="W66" s="666"/>
      <c r="X66" s="666"/>
      <c r="Y66" s="666"/>
      <c r="Z66" s="666"/>
      <c r="AA66" s="666"/>
      <c r="AB66" s="666"/>
      <c r="AC66" s="666"/>
      <c r="AD66" s="666"/>
      <c r="AE66" s="666"/>
      <c r="AF66" s="666"/>
      <c r="AG66" s="666"/>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6"/>
      <c r="B67" s="666"/>
      <c r="C67" s="666"/>
      <c r="D67" s="666"/>
      <c r="E67" s="666"/>
      <c r="F67" s="666"/>
      <c r="G67" s="666"/>
      <c r="H67" s="666"/>
      <c r="I67" s="666"/>
      <c r="J67" s="666"/>
      <c r="K67" s="666"/>
      <c r="L67" s="666"/>
      <c r="M67" s="666"/>
      <c r="N67" s="666"/>
      <c r="O67" s="666"/>
      <c r="P67" s="666"/>
      <c r="Q67" s="666"/>
      <c r="R67" s="666"/>
      <c r="S67" s="666"/>
      <c r="T67" s="666"/>
      <c r="U67" s="666"/>
      <c r="V67" s="666"/>
      <c r="W67" s="666"/>
      <c r="X67" s="666"/>
      <c r="Y67" s="666"/>
      <c r="Z67" s="666"/>
      <c r="AA67" s="666"/>
      <c r="AB67" s="666"/>
      <c r="AC67" s="666"/>
      <c r="AD67" s="666"/>
      <c r="AE67" s="666"/>
      <c r="AF67" s="666"/>
      <c r="AG67" s="666"/>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6"/>
      <c r="B68" s="666"/>
      <c r="C68" s="666"/>
      <c r="D68" s="666"/>
      <c r="E68" s="666"/>
      <c r="F68" s="666"/>
      <c r="G68" s="666"/>
      <c r="H68" s="666"/>
      <c r="I68" s="666"/>
      <c r="J68" s="666"/>
      <c r="K68" s="666"/>
      <c r="L68" s="666"/>
      <c r="M68" s="666"/>
      <c r="N68" s="666"/>
      <c r="O68" s="666"/>
      <c r="P68" s="666"/>
      <c r="Q68" s="666"/>
      <c r="R68" s="666"/>
      <c r="S68" s="666"/>
      <c r="T68" s="666"/>
      <c r="U68" s="666"/>
      <c r="V68" s="666"/>
      <c r="W68" s="666"/>
      <c r="X68" s="666"/>
      <c r="Y68" s="666"/>
      <c r="Z68" s="666"/>
      <c r="AA68" s="666"/>
      <c r="AB68" s="666"/>
      <c r="AC68" s="666"/>
      <c r="AD68" s="666"/>
      <c r="AE68" s="666"/>
      <c r="AF68" s="666"/>
      <c r="AG68" s="666"/>
      <c r="AH68" s="248"/>
      <c r="AI68" s="248"/>
      <c r="AJ68" s="248"/>
      <c r="AK68" s="248"/>
      <c r="AL68" s="248"/>
      <c r="AM68" s="248"/>
      <c r="AN68" s="248"/>
      <c r="AO68" s="248"/>
      <c r="AP68" s="248"/>
      <c r="AQ68" s="248"/>
      <c r="AR68" s="248"/>
      <c r="AS68" s="248"/>
      <c r="AT68" s="248"/>
      <c r="AU68" s="248"/>
      <c r="AV68" s="248"/>
      <c r="AW68" s="248"/>
      <c r="AX68" s="248"/>
      <c r="AY68" s="248"/>
      <c r="AZ68" s="248"/>
      <c r="BA68" s="248"/>
      <c r="BB68" s="248"/>
      <c r="BC68" s="248"/>
      <c r="BD68" s="248"/>
      <c r="BE68" s="248"/>
      <c r="BF68" s="248"/>
      <c r="BG68" s="248"/>
      <c r="BH68" s="248"/>
      <c r="BI68" s="248"/>
      <c r="BJ68" s="248"/>
    </row>
    <row r="69" s="25" customFormat="1" ht="10.5" customHeight="1">
      <c r="A69" s="666"/>
      <c r="B69" s="666"/>
      <c r="C69" s="666"/>
      <c r="D69" s="666"/>
      <c r="E69" s="666"/>
      <c r="F69" s="666"/>
      <c r="G69" s="666"/>
      <c r="H69" s="666"/>
      <c r="I69" s="666"/>
      <c r="J69" s="666"/>
      <c r="K69" s="666"/>
      <c r="L69" s="666"/>
      <c r="M69" s="666"/>
      <c r="N69" s="666"/>
      <c r="O69" s="666"/>
      <c r="P69" s="666"/>
      <c r="Q69" s="666"/>
      <c r="R69" s="666"/>
      <c r="S69" s="666"/>
      <c r="T69" s="666"/>
      <c r="U69" s="666"/>
      <c r="V69" s="666"/>
      <c r="W69" s="666"/>
      <c r="X69" s="666"/>
      <c r="Y69" s="666"/>
      <c r="Z69" s="666"/>
      <c r="AA69" s="666"/>
      <c r="AB69" s="666"/>
      <c r="AC69" s="666"/>
      <c r="AD69" s="666"/>
      <c r="AE69" s="666"/>
      <c r="AF69" s="666"/>
      <c r="AG69" s="666"/>
      <c r="AH69" s="248"/>
      <c r="AI69" s="248"/>
      <c r="AJ69" s="248"/>
      <c r="AK69" s="248"/>
      <c r="AL69" s="248"/>
      <c r="AM69" s="248"/>
      <c r="AN69" s="248"/>
      <c r="AO69" s="248"/>
      <c r="AP69" s="248"/>
      <c r="AQ69" s="248"/>
      <c r="AR69" s="248"/>
      <c r="AS69" s="248"/>
      <c r="AT69" s="248"/>
      <c r="AU69" s="248"/>
      <c r="AV69" s="248"/>
      <c r="AW69" s="248"/>
      <c r="AX69" s="248"/>
      <c r="AY69" s="248"/>
      <c r="AZ69" s="248"/>
      <c r="BA69" s="248"/>
      <c r="BB69" s="248"/>
      <c r="BC69" s="248"/>
      <c r="BD69" s="248"/>
      <c r="BE69" s="248"/>
      <c r="BF69" s="248"/>
      <c r="BG69" s="248"/>
      <c r="BH69" s="248"/>
      <c r="BI69" s="248"/>
      <c r="BJ69" s="248"/>
    </row>
    <row r="70" s="25" customFormat="1">
      <c r="A70" s="666"/>
      <c r="B70" s="666"/>
      <c r="C70" s="666"/>
      <c r="D70" s="666"/>
      <c r="E70" s="666"/>
      <c r="F70" s="666"/>
      <c r="G70" s="666"/>
      <c r="H70" s="666"/>
      <c r="I70" s="666"/>
      <c r="J70" s="666"/>
      <c r="K70" s="666"/>
      <c r="L70" s="666"/>
      <c r="M70" s="666"/>
      <c r="N70" s="666"/>
      <c r="O70" s="666"/>
      <c r="P70" s="666"/>
      <c r="Q70" s="666"/>
      <c r="R70" s="666"/>
      <c r="S70" s="666"/>
      <c r="T70" s="666"/>
      <c r="U70" s="666"/>
      <c r="V70" s="666"/>
      <c r="W70" s="666"/>
      <c r="X70" s="666"/>
      <c r="Y70" s="666"/>
      <c r="Z70" s="666"/>
      <c r="AA70" s="666"/>
      <c r="AB70" s="666"/>
      <c r="AC70" s="666"/>
      <c r="AD70" s="666"/>
      <c r="AE70" s="666"/>
      <c r="AF70" s="666"/>
      <c r="AG70" s="666"/>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row>
    <row r="71" s="25" customFormat="1">
      <c r="A71" s="666"/>
      <c r="B71" s="666">
        <v>1</v>
      </c>
      <c r="C71" s="666">
        <v>2</v>
      </c>
      <c r="D71" s="666">
        <v>3</v>
      </c>
      <c r="E71" s="666">
        <v>4</v>
      </c>
      <c r="F71" s="666">
        <v>5</v>
      </c>
      <c r="G71" s="666">
        <v>6</v>
      </c>
      <c r="H71" s="666">
        <v>7</v>
      </c>
      <c r="I71" s="666">
        <v>8</v>
      </c>
      <c r="J71" s="666">
        <v>9</v>
      </c>
      <c r="K71" s="666">
        <v>10</v>
      </c>
      <c r="L71" s="666">
        <v>11</v>
      </c>
      <c r="M71" s="666">
        <v>12</v>
      </c>
      <c r="N71" s="666"/>
      <c r="O71" s="666"/>
      <c r="P71" s="666"/>
      <c r="Q71" s="666"/>
      <c r="R71" s="666"/>
      <c r="S71" s="666"/>
      <c r="T71" s="666"/>
      <c r="U71" s="666"/>
      <c r="V71" s="666"/>
      <c r="W71" s="666"/>
      <c r="X71" s="666"/>
      <c r="Y71" s="666"/>
      <c r="Z71" s="666"/>
      <c r="AA71" s="666"/>
      <c r="AB71" s="666"/>
      <c r="AC71" s="666"/>
      <c r="AD71" s="666"/>
      <c r="AE71" s="666"/>
      <c r="AF71" s="666"/>
      <c r="AG71" s="666"/>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row>
    <row r="72" s="25" customFormat="1">
      <c r="A72" s="666"/>
      <c r="B72" s="666" t="n">
        <v>45717</v>
      </c>
      <c r="C72" s="666">
        <v>45724</v>
      </c>
      <c r="D72" s="666">
        <v>45731</v>
      </c>
      <c r="E72" s="666">
        <v>45738</v>
      </c>
      <c r="F72" s="666">
        <v>45745</v>
      </c>
      <c r="G72" s="666">
        <v>45752</v>
      </c>
      <c r="H72" s="666">
        <v>45759</v>
      </c>
      <c r="I72" s="666">
        <v>45766</v>
      </c>
      <c r="J72" s="666">
        <v>45773</v>
      </c>
      <c r="K72" s="666">
        <v>45780</v>
      </c>
      <c r="L72" s="666">
        <v>45787</v>
      </c>
      <c r="M72" s="666">
        <v>45794</v>
      </c>
      <c r="N72" s="666"/>
      <c r="O72" s="666"/>
      <c r="P72" s="666"/>
      <c r="Q72" s="666"/>
      <c r="R72" s="666"/>
      <c r="S72" s="666"/>
      <c r="T72" s="666"/>
      <c r="U72" s="666"/>
      <c r="V72" s="666"/>
      <c r="W72" s="666"/>
      <c r="X72" s="666"/>
      <c r="Y72" s="666"/>
      <c r="Z72" s="666"/>
      <c r="AA72" s="666"/>
      <c r="AB72" s="666"/>
      <c r="AC72" s="666"/>
      <c r="AD72" s="666"/>
      <c r="AE72" s="666"/>
      <c r="AF72" s="666"/>
      <c r="AG72" s="666"/>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row>
    <row r="73" s="25" customFormat="1" ht="14.25">
      <c r="A73" s="666" t="s">
        <v>32</v>
      </c>
      <c r="B73" s="666">
        <v>330.56709956709956709956709957</v>
      </c>
      <c r="C73" s="666">
        <v>268.8030303030303030303030303</v>
      </c>
      <c r="D73" s="666">
        <v>247.67965367965367965367965368</v>
      </c>
      <c r="E73" s="666">
        <v>265.47943722943722943722943723</v>
      </c>
      <c r="F73" s="666">
        <v>296.08658008658008658008658009</v>
      </c>
      <c r="G73" s="666">
        <v>252.03571428571428571428571429</v>
      </c>
      <c r="H73" s="666">
        <v>279.31818181818181818181818182</v>
      </c>
      <c r="I73" s="666">
        <v>251.6991341991341991341991342</v>
      </c>
      <c r="J73" s="666">
        <v>207.94372294372294372294372294</v>
      </c>
      <c r="K73" s="666">
        <v>302.96103896103896103896103896</v>
      </c>
      <c r="L73" s="666">
        <v>181.91774891774891774891774892</v>
      </c>
      <c r="M73" s="666">
        <v>149.96103896103896103896103896</v>
      </c>
      <c r="N73" s="666"/>
      <c r="O73" s="666"/>
      <c r="P73" s="666"/>
      <c r="Q73" s="666"/>
      <c r="R73" s="666"/>
      <c r="S73" s="666"/>
      <c r="T73" s="666"/>
      <c r="U73" s="666"/>
      <c r="V73" s="666"/>
      <c r="W73" s="666"/>
      <c r="X73" s="666"/>
      <c r="Y73" s="666"/>
      <c r="Z73" s="666"/>
      <c r="AA73" s="666"/>
      <c r="AB73" s="666"/>
      <c r="AC73" s="666"/>
      <c r="AD73" s="666"/>
      <c r="AE73" s="666"/>
      <c r="AF73" s="666"/>
      <c r="AG73" s="666"/>
      <c r="AH73" s="248"/>
      <c r="AI73" s="248"/>
      <c r="AJ73" s="248"/>
      <c r="AK73" s="248"/>
      <c r="AL73" s="248"/>
      <c r="AM73" s="248"/>
      <c r="AN73" s="248"/>
      <c r="AO73" s="248"/>
      <c r="AP73" s="248"/>
      <c r="AQ73" s="248"/>
      <c r="AR73" s="248"/>
      <c r="AS73" s="248"/>
      <c r="AT73" s="248"/>
      <c r="AU73" s="248"/>
      <c r="AV73" s="248"/>
      <c r="AW73" s="248"/>
      <c r="AX73" s="248"/>
      <c r="AY73" s="248"/>
      <c r="AZ73" s="248"/>
      <c r="BA73" s="248"/>
      <c r="BB73" s="248"/>
      <c r="BC73" s="248"/>
      <c r="BD73" s="248"/>
      <c r="BE73" s="248"/>
      <c r="BF73" s="248"/>
      <c r="BG73" s="248"/>
      <c r="BH73" s="248"/>
      <c r="BI73" s="248"/>
      <c r="BJ73" s="248"/>
    </row>
    <row r="74" s="25" customFormat="1" ht="14.25">
      <c r="A74" s="666" t="s">
        <v>26</v>
      </c>
      <c r="B74" s="666">
        <v>354.2624464112847462315032499</v>
      </c>
      <c r="C74" s="666">
        <v>287.90559120453602544599640437</v>
      </c>
      <c r="D74" s="666">
        <v>248.18110634766975522057806666</v>
      </c>
      <c r="E74" s="666">
        <v>269.01491218365371317936661596</v>
      </c>
      <c r="F74" s="666">
        <v>265.55532844696445858110911354</v>
      </c>
      <c r="G74" s="666">
        <v>213.21794087746007372471971731</v>
      </c>
      <c r="H74" s="666">
        <v>263.97679159175770986032360669</v>
      </c>
      <c r="I74" s="666">
        <v>235.56293597012861291660904439</v>
      </c>
      <c r="J74" s="666">
        <v>191.76843590098188355690775826</v>
      </c>
      <c r="K74" s="666">
        <v>313.92671138155165260683169686</v>
      </c>
      <c r="L74" s="666">
        <v>173.00253906790208823122666298</v>
      </c>
      <c r="M74" s="666">
        <v>159.20047711243258193887429125</v>
      </c>
      <c r="N74" s="666"/>
      <c r="O74" s="666"/>
      <c r="P74" s="666"/>
      <c r="Q74" s="666"/>
      <c r="R74" s="666"/>
      <c r="S74" s="666"/>
      <c r="T74" s="666"/>
      <c r="U74" s="666"/>
      <c r="V74" s="666"/>
      <c r="W74" s="666"/>
      <c r="X74" s="666"/>
      <c r="Y74" s="666"/>
      <c r="Z74" s="666"/>
      <c r="AA74" s="666"/>
      <c r="AB74" s="666"/>
      <c r="AC74" s="666"/>
      <c r="AD74" s="666"/>
      <c r="AE74" s="666"/>
      <c r="AF74" s="666"/>
      <c r="AG74" s="666"/>
      <c r="AH74" s="248"/>
      <c r="AI74" s="248"/>
      <c r="AJ74" s="248"/>
      <c r="AK74" s="248"/>
      <c r="AL74" s="248"/>
      <c r="AM74" s="248"/>
      <c r="AN74" s="248"/>
      <c r="AO74" s="248"/>
      <c r="AP74" s="248"/>
      <c r="AQ74" s="248"/>
      <c r="AR74" s="248"/>
      <c r="AS74" s="248"/>
      <c r="AT74" s="248"/>
      <c r="AU74" s="248"/>
      <c r="AV74" s="248"/>
      <c r="AW74" s="248"/>
      <c r="AX74" s="248"/>
      <c r="AY74" s="248"/>
      <c r="AZ74" s="248"/>
      <c r="BA74" s="248"/>
      <c r="BB74" s="248"/>
      <c r="BC74" s="248"/>
      <c r="BD74" s="248"/>
      <c r="BE74" s="248"/>
      <c r="BF74" s="248"/>
      <c r="BG74" s="248"/>
      <c r="BH74" s="248"/>
      <c r="BI74" s="248"/>
      <c r="BJ74" s="248"/>
    </row>
    <row r="75" s="25" customFormat="1" ht="14.25">
      <c r="A75" s="666" t="s">
        <v>181</v>
      </c>
      <c r="B75" s="666">
        <v>288.75230954612397911366983532</v>
      </c>
      <c r="C75" s="666">
        <v>247.81632228023980601300188929</v>
      </c>
      <c r="D75" s="666">
        <v>213.79726573541006530697252347</v>
      </c>
      <c r="E75" s="666">
        <v>254.78639115752517814373484477</v>
      </c>
      <c r="F75" s="666">
        <v>256.73475550795138424004403386</v>
      </c>
      <c r="G75" s="666">
        <v>221.94389601107785768526376915</v>
      </c>
      <c r="H75" s="666">
        <v>231.00373862400762619717890284</v>
      </c>
      <c r="I75" s="666">
        <v>207.32932660083113633316948925</v>
      </c>
      <c r="J75" s="666">
        <v>174.46452775667664626063124656</v>
      </c>
      <c r="K75" s="666">
        <v>258.9583687087597003142827353</v>
      </c>
      <c r="L75" s="666">
        <v>168.17802404039501318200098306</v>
      </c>
      <c r="M75" s="666">
        <v>152.74517777082681680742362632</v>
      </c>
      <c r="N75" s="666"/>
      <c r="O75" s="666"/>
      <c r="P75" s="666"/>
      <c r="Q75" s="666"/>
      <c r="R75" s="666"/>
      <c r="S75" s="666"/>
      <c r="T75" s="666"/>
      <c r="U75" s="666"/>
      <c r="V75" s="666"/>
      <c r="W75" s="666"/>
      <c r="X75" s="666"/>
      <c r="Y75" s="666"/>
      <c r="Z75" s="666"/>
      <c r="AA75" s="666"/>
      <c r="AB75" s="666"/>
      <c r="AC75" s="666"/>
      <c r="AD75" s="666"/>
      <c r="AE75" s="666"/>
      <c r="AF75" s="666"/>
      <c r="AG75" s="666"/>
      <c r="AH75" s="248"/>
      <c r="AI75" s="248"/>
      <c r="AJ75" s="248"/>
      <c r="AK75" s="248"/>
      <c r="AL75" s="248"/>
      <c r="AM75" s="248"/>
      <c r="AN75" s="248"/>
      <c r="AO75" s="248"/>
      <c r="AP75" s="248"/>
      <c r="AQ75" s="248"/>
      <c r="AR75" s="248"/>
      <c r="AS75" s="248"/>
      <c r="AT75" s="248"/>
      <c r="AU75" s="248"/>
      <c r="AV75" s="248"/>
      <c r="AW75" s="248"/>
      <c r="AX75" s="248"/>
      <c r="AY75" s="248"/>
      <c r="AZ75" s="248"/>
      <c r="BA75" s="248"/>
      <c r="BB75" s="248"/>
      <c r="BC75" s="248"/>
      <c r="BD75" s="248"/>
      <c r="BE75" s="248"/>
      <c r="BF75" s="248"/>
      <c r="BG75" s="248"/>
      <c r="BH75" s="248"/>
      <c r="BI75" s="248"/>
      <c r="BJ75" s="248"/>
    </row>
    <row r="76" s="25" customFormat="1">
      <c r="A76" s="666"/>
      <c r="B76" s="666"/>
      <c r="C76" s="666"/>
      <c r="D76" s="666"/>
      <c r="E76" s="666"/>
      <c r="F76" s="666"/>
      <c r="G76" s="666"/>
      <c r="H76" s="666"/>
      <c r="I76" s="666"/>
      <c r="J76" s="666"/>
      <c r="K76" s="666"/>
      <c r="L76" s="666"/>
      <c r="M76" s="666"/>
      <c r="N76" s="666"/>
      <c r="O76" s="666"/>
      <c r="P76" s="666"/>
      <c r="Q76" s="666"/>
      <c r="R76" s="666"/>
      <c r="S76" s="666"/>
      <c r="T76" s="666"/>
      <c r="U76" s="666"/>
      <c r="V76" s="666"/>
      <c r="W76" s="666"/>
      <c r="X76" s="666"/>
      <c r="Y76" s="666"/>
      <c r="Z76" s="666"/>
      <c r="AA76" s="666"/>
      <c r="AB76" s="666"/>
      <c r="AC76" s="666"/>
      <c r="AD76" s="666"/>
      <c r="AE76" s="666"/>
      <c r="AF76" s="666"/>
      <c r="AG76" s="666"/>
      <c r="AH76" s="248"/>
      <c r="AI76" s="248"/>
      <c r="AJ76" s="248"/>
      <c r="AK76" s="248"/>
      <c r="AL76" s="248"/>
      <c r="AM76" s="248"/>
      <c r="AN76" s="248"/>
      <c r="AO76" s="248"/>
      <c r="AP76" s="248"/>
      <c r="AQ76" s="248"/>
      <c r="AR76" s="248"/>
      <c r="AS76" s="248"/>
      <c r="AT76" s="248"/>
      <c r="AU76" s="248"/>
      <c r="AV76" s="248"/>
      <c r="AW76" s="248"/>
      <c r="AX76" s="248"/>
      <c r="AY76" s="248"/>
      <c r="AZ76" s="248"/>
      <c r="BA76" s="248"/>
      <c r="BB76" s="248"/>
      <c r="BC76" s="248"/>
      <c r="BD76" s="248"/>
      <c r="BE76" s="248"/>
      <c r="BF76" s="248"/>
      <c r="BG76" s="248"/>
      <c r="BH76" s="248"/>
      <c r="BI76" s="248"/>
      <c r="BJ76" s="248"/>
    </row>
    <row r="77" s="25" customFormat="1">
      <c r="A77" s="666"/>
      <c r="B77" s="666"/>
      <c r="C77" s="666"/>
      <c r="D77" s="666"/>
      <c r="E77" s="666"/>
      <c r="F77" s="666"/>
      <c r="G77" s="666"/>
      <c r="H77" s="666"/>
      <c r="I77" s="666"/>
      <c r="J77" s="666"/>
      <c r="K77" s="666"/>
      <c r="L77" s="666"/>
      <c r="M77" s="666"/>
      <c r="N77" s="666"/>
      <c r="O77" s="666"/>
      <c r="P77" s="666"/>
      <c r="Q77" s="666"/>
      <c r="R77" s="666"/>
      <c r="S77" s="666"/>
      <c r="T77" s="666"/>
      <c r="U77" s="666"/>
      <c r="V77" s="666"/>
      <c r="W77" s="666"/>
      <c r="X77" s="666"/>
      <c r="Y77" s="666"/>
      <c r="Z77" s="666"/>
      <c r="AA77" s="666"/>
      <c r="AB77" s="666"/>
      <c r="AC77" s="666"/>
      <c r="AD77" s="666"/>
      <c r="AE77" s="666"/>
      <c r="AF77" s="666"/>
      <c r="AG77" s="666"/>
      <c r="AH77" s="248"/>
      <c r="AI77" s="248"/>
      <c r="AJ77" s="248"/>
      <c r="AK77" s="248"/>
      <c r="AL77" s="248"/>
      <c r="AM77" s="248"/>
      <c r="AN77" s="248"/>
      <c r="AO77" s="248"/>
      <c r="AP77" s="248"/>
      <c r="AQ77" s="248"/>
      <c r="AR77" s="248"/>
      <c r="AS77" s="248"/>
      <c r="AT77" s="248"/>
      <c r="AU77" s="248"/>
      <c r="AV77" s="248"/>
      <c r="AW77" s="248"/>
      <c r="AX77" s="248"/>
      <c r="AY77" s="248"/>
      <c r="AZ77" s="248"/>
      <c r="BA77" s="248"/>
      <c r="BB77" s="248"/>
      <c r="BC77" s="248"/>
      <c r="BD77" s="248"/>
      <c r="BE77" s="248"/>
      <c r="BF77" s="248"/>
      <c r="BG77" s="248"/>
      <c r="BH77" s="248"/>
      <c r="BI77" s="248"/>
      <c r="BJ77" s="248"/>
    </row>
    <row r="78">
      <c r="A78" s="666"/>
      <c r="B78" s="666"/>
      <c r="C78" s="666"/>
      <c r="D78" s="666"/>
      <c r="E78" s="666"/>
      <c r="F78" s="666"/>
      <c r="G78" s="666"/>
      <c r="H78" s="666"/>
      <c r="I78" s="666"/>
      <c r="J78" s="666"/>
      <c r="K78" s="666"/>
      <c r="L78" s="666"/>
      <c r="M78" s="666"/>
      <c r="N78" s="666"/>
      <c r="O78" s="666"/>
      <c r="P78" s="666"/>
      <c r="Q78" s="666"/>
      <c r="R78" s="666"/>
      <c r="S78" s="666"/>
      <c r="T78" s="666"/>
      <c r="U78" s="666"/>
      <c r="V78" s="666"/>
      <c r="W78" s="666"/>
      <c r="X78" s="666"/>
      <c r="Y78" s="666"/>
      <c r="Z78" s="666"/>
      <c r="AA78" s="666"/>
      <c r="AB78" s="666"/>
      <c r="AC78" s="666"/>
      <c r="AD78" s="666"/>
      <c r="AE78" s="666"/>
      <c r="AF78" s="666"/>
      <c r="AG78" s="666"/>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6"/>
      <c r="B79" s="666"/>
      <c r="C79" s="666"/>
      <c r="D79" s="666"/>
      <c r="E79" s="666"/>
      <c r="F79" s="666"/>
      <c r="G79" s="666"/>
      <c r="H79" s="666"/>
      <c r="I79" s="666"/>
      <c r="J79" s="666"/>
      <c r="K79" s="666"/>
      <c r="L79" s="666"/>
      <c r="M79" s="666"/>
      <c r="N79" s="666"/>
      <c r="O79" s="666"/>
      <c r="P79" s="666"/>
      <c r="Q79" s="666"/>
      <c r="R79" s="666"/>
      <c r="S79" s="666"/>
      <c r="T79" s="666"/>
      <c r="U79" s="666"/>
      <c r="V79" s="666"/>
      <c r="W79" s="666"/>
      <c r="X79" s="666"/>
      <c r="Y79" s="666"/>
      <c r="Z79" s="666"/>
      <c r="AA79" s="666"/>
      <c r="AB79" s="666"/>
      <c r="AC79" s="666"/>
      <c r="AD79" s="666"/>
      <c r="AE79" s="666"/>
      <c r="AF79" s="666"/>
      <c r="AG79" s="666"/>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6"/>
      <c r="B80" s="666"/>
      <c r="C80" s="666"/>
      <c r="D80" s="666"/>
      <c r="E80" s="666"/>
      <c r="F80" s="666"/>
      <c r="G80" s="666"/>
      <c r="H80" s="666"/>
      <c r="I80" s="666"/>
      <c r="J80" s="666"/>
      <c r="K80" s="666"/>
      <c r="L80" s="666"/>
      <c r="M80" s="666"/>
      <c r="N80" s="666"/>
      <c r="O80" s="666"/>
      <c r="P80" s="666"/>
      <c r="Q80" s="666"/>
      <c r="R80" s="666"/>
      <c r="S80" s="666"/>
      <c r="T80" s="666"/>
      <c r="U80" s="666"/>
      <c r="V80" s="666"/>
      <c r="W80" s="666"/>
      <c r="X80" s="666"/>
      <c r="Y80" s="666"/>
      <c r="Z80" s="666"/>
      <c r="AA80" s="666"/>
      <c r="AB80" s="666"/>
      <c r="AC80" s="666"/>
      <c r="AD80" s="666"/>
      <c r="AE80" s="666"/>
      <c r="AF80" s="666"/>
      <c r="AG80" s="666"/>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6"/>
      <c r="B81" s="666"/>
      <c r="C81" s="666"/>
      <c r="D81" s="666"/>
      <c r="E81" s="666"/>
      <c r="F81" s="666"/>
      <c r="G81" s="666"/>
      <c r="H81" s="666"/>
      <c r="I81" s="666"/>
      <c r="J81" s="666"/>
      <c r="K81" s="666"/>
      <c r="L81" s="666"/>
      <c r="M81" s="666"/>
      <c r="N81" s="666"/>
      <c r="O81" s="666"/>
      <c r="P81" s="666"/>
      <c r="Q81" s="666"/>
      <c r="R81" s="666"/>
      <c r="S81" s="666"/>
      <c r="T81" s="666"/>
      <c r="U81" s="666"/>
      <c r="V81" s="666"/>
      <c r="W81" s="666"/>
      <c r="X81" s="666"/>
      <c r="Y81" s="666"/>
      <c r="Z81" s="666"/>
      <c r="AA81" s="666"/>
      <c r="AB81" s="666"/>
      <c r="AC81" s="666"/>
      <c r="AD81" s="666"/>
      <c r="AE81" s="666"/>
      <c r="AF81" s="666"/>
      <c r="AG81" s="666"/>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6"/>
      <c r="B82" s="666"/>
      <c r="C82" s="666"/>
      <c r="D82" s="666"/>
      <c r="E82" s="666"/>
      <c r="F82" s="666"/>
      <c r="G82" s="666"/>
      <c r="H82" s="666"/>
      <c r="I82" s="666"/>
      <c r="J82" s="666"/>
      <c r="K82" s="666"/>
      <c r="L82" s="666"/>
      <c r="M82" s="666"/>
      <c r="N82" s="666"/>
      <c r="O82" s="666"/>
      <c r="P82" s="666"/>
      <c r="Q82" s="666"/>
      <c r="R82" s="666"/>
      <c r="S82" s="666"/>
      <c r="T82" s="666"/>
      <c r="U82" s="666"/>
      <c r="V82" s="666"/>
      <c r="W82" s="666"/>
      <c r="X82" s="666"/>
      <c r="Y82" s="666"/>
      <c r="Z82" s="666"/>
      <c r="AA82" s="666"/>
      <c r="AB82" s="666"/>
      <c r="AC82" s="666"/>
      <c r="AD82" s="666"/>
      <c r="AE82" s="666"/>
      <c r="AF82" s="666"/>
      <c r="AG82" s="666"/>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6"/>
      <c r="B83" s="666"/>
      <c r="C83" s="666"/>
      <c r="D83" s="666"/>
      <c r="E83" s="666"/>
      <c r="F83" s="666"/>
      <c r="G83" s="666"/>
      <c r="H83" s="666"/>
      <c r="I83" s="666"/>
      <c r="J83" s="666"/>
      <c r="K83" s="666"/>
      <c r="L83" s="666"/>
      <c r="M83" s="666"/>
      <c r="N83" s="666"/>
      <c r="O83" s="666"/>
      <c r="P83" s="666"/>
      <c r="Q83" s="666"/>
      <c r="R83" s="666"/>
      <c r="S83" s="666"/>
      <c r="T83" s="666"/>
      <c r="U83" s="666"/>
      <c r="V83" s="666"/>
      <c r="W83" s="666"/>
      <c r="X83" s="666"/>
      <c r="Y83" s="666"/>
      <c r="Z83" s="666"/>
      <c r="AA83" s="666"/>
      <c r="AB83" s="666"/>
      <c r="AC83" s="666"/>
      <c r="AD83" s="666"/>
      <c r="AE83" s="666"/>
      <c r="AF83" s="666"/>
      <c r="AG83" s="666"/>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6"/>
      <c r="B84" s="666"/>
      <c r="C84" s="666"/>
      <c r="D84" s="666"/>
      <c r="E84" s="666"/>
      <c r="F84" s="666"/>
      <c r="G84" s="666"/>
      <c r="H84" s="666"/>
      <c r="I84" s="666"/>
      <c r="J84" s="666"/>
      <c r="K84" s="666"/>
      <c r="L84" s="666"/>
      <c r="M84" s="666"/>
      <c r="N84" s="666"/>
      <c r="O84" s="666"/>
      <c r="P84" s="666"/>
      <c r="Q84" s="666"/>
      <c r="R84" s="666"/>
      <c r="S84" s="666"/>
      <c r="T84" s="666"/>
      <c r="U84" s="666"/>
      <c r="V84" s="666"/>
      <c r="W84" s="666"/>
      <c r="X84" s="666"/>
      <c r="Y84" s="666"/>
      <c r="Z84" s="666"/>
      <c r="AA84" s="666"/>
      <c r="AB84" s="666"/>
      <c r="AC84" s="666"/>
      <c r="AD84" s="666"/>
      <c r="AE84" s="666"/>
      <c r="AF84" s="666"/>
      <c r="AG84" s="666"/>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6"/>
      <c r="B85" s="666"/>
      <c r="C85" s="666"/>
      <c r="D85" s="666"/>
      <c r="E85" s="666"/>
      <c r="F85" s="666"/>
      <c r="G85" s="666"/>
      <c r="H85" s="666"/>
      <c r="I85" s="666"/>
      <c r="J85" s="666"/>
      <c r="K85" s="666"/>
      <c r="L85" s="666"/>
      <c r="M85" s="666"/>
      <c r="N85" s="666"/>
      <c r="O85" s="666"/>
      <c r="P85" s="666"/>
      <c r="Q85" s="666"/>
      <c r="R85" s="666"/>
      <c r="S85" s="666"/>
      <c r="T85" s="666"/>
      <c r="U85" s="666"/>
      <c r="V85" s="666"/>
      <c r="W85" s="666"/>
      <c r="X85" s="666"/>
      <c r="Y85" s="666"/>
      <c r="Z85" s="666"/>
      <c r="AA85" s="666"/>
      <c r="AB85" s="666"/>
      <c r="AC85" s="666"/>
      <c r="AD85" s="666"/>
      <c r="AE85" s="666"/>
      <c r="AF85" s="666"/>
      <c r="AG85" s="666"/>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6"/>
      <c r="B86" s="666"/>
      <c r="C86" s="666"/>
      <c r="D86" s="666"/>
      <c r="E86" s="666"/>
      <c r="F86" s="666"/>
      <c r="G86" s="666"/>
      <c r="H86" s="666"/>
      <c r="I86" s="666"/>
      <c r="J86" s="666"/>
      <c r="K86" s="666"/>
      <c r="L86" s="666"/>
      <c r="M86" s="666"/>
      <c r="N86" s="666"/>
      <c r="O86" s="666"/>
      <c r="P86" s="666"/>
      <c r="Q86" s="666"/>
      <c r="R86" s="666"/>
      <c r="S86" s="666"/>
      <c r="T86" s="666"/>
      <c r="U86" s="666"/>
      <c r="V86" s="666"/>
      <c r="W86" s="666"/>
      <c r="X86" s="666"/>
      <c r="Y86" s="666"/>
      <c r="Z86" s="666"/>
      <c r="AA86" s="666"/>
      <c r="AB86" s="666"/>
      <c r="AC86" s="666"/>
      <c r="AD86" s="666"/>
      <c r="AE86" s="666"/>
      <c r="AF86" s="666"/>
      <c r="AG86" s="666"/>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6"/>
      <c r="B87" s="666"/>
      <c r="C87" s="666"/>
      <c r="D87" s="666"/>
      <c r="E87" s="666"/>
      <c r="F87" s="666"/>
      <c r="G87" s="666"/>
      <c r="H87" s="666"/>
      <c r="I87" s="666"/>
      <c r="J87" s="666"/>
      <c r="K87" s="666"/>
      <c r="L87" s="666"/>
      <c r="M87" s="666"/>
      <c r="N87" s="666"/>
      <c r="O87" s="666"/>
      <c r="P87" s="666"/>
      <c r="Q87" s="666"/>
      <c r="R87" s="666"/>
      <c r="S87" s="666"/>
      <c r="T87" s="666"/>
      <c r="U87" s="666"/>
      <c r="V87" s="666"/>
      <c r="W87" s="666"/>
      <c r="X87" s="666"/>
      <c r="Y87" s="666"/>
      <c r="Z87" s="666"/>
      <c r="AA87" s="666"/>
      <c r="AB87" s="666"/>
      <c r="AC87" s="666"/>
      <c r="AD87" s="666"/>
      <c r="AE87" s="666"/>
      <c r="AF87" s="666"/>
      <c r="AG87" s="666"/>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6"/>
      <c r="B88" s="666"/>
      <c r="C88" s="666"/>
      <c r="D88" s="666"/>
      <c r="E88" s="666"/>
      <c r="F88" s="666"/>
      <c r="G88" s="666"/>
      <c r="H88" s="666"/>
      <c r="I88" s="666"/>
      <c r="J88" s="666"/>
      <c r="K88" s="666"/>
      <c r="L88" s="666"/>
      <c r="M88" s="666"/>
      <c r="N88" s="666"/>
      <c r="O88" s="666"/>
      <c r="P88" s="666"/>
      <c r="Q88" s="666"/>
      <c r="R88" s="666"/>
      <c r="S88" s="666"/>
      <c r="T88" s="666"/>
      <c r="U88" s="666"/>
      <c r="V88" s="666"/>
      <c r="W88" s="666"/>
      <c r="X88" s="666"/>
      <c r="Y88" s="666"/>
      <c r="Z88" s="666"/>
      <c r="AA88" s="666"/>
      <c r="AB88" s="666"/>
      <c r="AC88" s="666"/>
      <c r="AD88" s="666"/>
      <c r="AE88" s="666"/>
      <c r="AF88" s="666"/>
      <c r="AG88" s="666"/>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6"/>
      <c r="B89" s="666"/>
      <c r="C89" s="666"/>
      <c r="D89" s="666"/>
      <c r="E89" s="666"/>
      <c r="F89" s="666"/>
      <c r="G89" s="666"/>
      <c r="H89" s="666"/>
      <c r="I89" s="666"/>
      <c r="J89" s="666"/>
      <c r="K89" s="666"/>
      <c r="L89" s="666"/>
      <c r="M89" s="666"/>
      <c r="N89" s="666"/>
      <c r="O89" s="666"/>
      <c r="P89" s="666"/>
      <c r="Q89" s="666"/>
      <c r="R89" s="666"/>
      <c r="S89" s="666"/>
      <c r="T89" s="666"/>
      <c r="U89" s="666"/>
      <c r="V89" s="666"/>
      <c r="W89" s="666"/>
      <c r="X89" s="666"/>
      <c r="Y89" s="666"/>
      <c r="Z89" s="666"/>
      <c r="AA89" s="666"/>
      <c r="AB89" s="666"/>
      <c r="AC89" s="666"/>
      <c r="AD89" s="666"/>
      <c r="AE89" s="666"/>
      <c r="AF89" s="666"/>
      <c r="AG89" s="666"/>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6"/>
      <c r="B90" s="666"/>
      <c r="C90" s="666"/>
      <c r="D90" s="666"/>
      <c r="E90" s="666"/>
      <c r="F90" s="666"/>
      <c r="G90" s="666"/>
      <c r="H90" s="666"/>
      <c r="I90" s="666"/>
      <c r="J90" s="666"/>
      <c r="K90" s="666"/>
      <c r="L90" s="666"/>
      <c r="M90" s="666"/>
      <c r="N90" s="666"/>
      <c r="O90" s="666"/>
      <c r="P90" s="666"/>
      <c r="Q90" s="666"/>
      <c r="R90" s="666"/>
      <c r="S90" s="666"/>
      <c r="T90" s="666"/>
      <c r="U90" s="666"/>
      <c r="V90" s="666"/>
      <c r="W90" s="666"/>
      <c r="X90" s="666"/>
      <c r="Y90" s="666"/>
      <c r="Z90" s="666"/>
      <c r="AA90" s="666"/>
      <c r="AB90" s="666"/>
      <c r="AC90" s="666"/>
      <c r="AD90" s="666"/>
      <c r="AE90" s="666"/>
      <c r="AF90" s="666"/>
      <c r="AG90" s="666"/>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6"/>
      <c r="B91" s="666"/>
      <c r="C91" s="666"/>
      <c r="D91" s="666"/>
      <c r="E91" s="666"/>
      <c r="F91" s="666"/>
      <c r="G91" s="666"/>
      <c r="H91" s="666"/>
      <c r="I91" s="666"/>
      <c r="J91" s="666"/>
      <c r="K91" s="666"/>
      <c r="L91" s="666"/>
      <c r="M91" s="666"/>
      <c r="N91" s="666"/>
      <c r="O91" s="666"/>
      <c r="P91" s="666"/>
      <c r="Q91" s="666"/>
      <c r="R91" s="666"/>
      <c r="S91" s="666"/>
      <c r="T91" s="666"/>
      <c r="U91" s="666"/>
      <c r="V91" s="666"/>
      <c r="W91" s="666"/>
      <c r="X91" s="666"/>
      <c r="Y91" s="666"/>
      <c r="Z91" s="666"/>
      <c r="AA91" s="666"/>
      <c r="AB91" s="666"/>
      <c r="AC91" s="666"/>
      <c r="AD91" s="666"/>
      <c r="AE91" s="666"/>
      <c r="AF91" s="666"/>
      <c r="AG91" s="666"/>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6"/>
      <c r="B92" s="666"/>
      <c r="C92" s="666"/>
      <c r="D92" s="666"/>
      <c r="E92" s="666"/>
      <c r="F92" s="666"/>
      <c r="G92" s="666"/>
      <c r="H92" s="666"/>
      <c r="I92" s="666"/>
      <c r="J92" s="666"/>
      <c r="K92" s="666"/>
      <c r="L92" s="666"/>
      <c r="M92" s="666"/>
      <c r="N92" s="666"/>
      <c r="O92" s="666"/>
      <c r="P92" s="666"/>
      <c r="Q92" s="666"/>
      <c r="R92" s="666"/>
      <c r="S92" s="666"/>
      <c r="T92" s="666"/>
      <c r="U92" s="666"/>
      <c r="V92" s="666"/>
      <c r="W92" s="666"/>
      <c r="X92" s="666"/>
      <c r="Y92" s="666"/>
      <c r="Z92" s="666"/>
      <c r="AA92" s="666"/>
      <c r="AB92" s="666"/>
      <c r="AC92" s="666"/>
      <c r="AD92" s="666"/>
      <c r="AE92" s="666"/>
      <c r="AF92" s="666"/>
      <c r="AG92" s="666"/>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6"/>
      <c r="B93" s="666"/>
      <c r="C93" s="666"/>
      <c r="D93" s="666"/>
      <c r="E93" s="666"/>
      <c r="F93" s="666"/>
      <c r="G93" s="666"/>
      <c r="H93" s="666"/>
      <c r="I93" s="666"/>
      <c r="J93" s="666"/>
      <c r="K93" s="666"/>
      <c r="L93" s="666"/>
      <c r="M93" s="666"/>
      <c r="N93" s="666"/>
      <c r="O93" s="666"/>
      <c r="P93" s="666"/>
      <c r="Q93" s="666"/>
      <c r="R93" s="666"/>
      <c r="S93" s="666"/>
      <c r="T93" s="666"/>
      <c r="U93" s="666"/>
      <c r="V93" s="666"/>
      <c r="W93" s="666"/>
      <c r="X93" s="666"/>
      <c r="Y93" s="666"/>
      <c r="Z93" s="666"/>
      <c r="AA93" s="666"/>
      <c r="AB93" s="666"/>
      <c r="AC93" s="666"/>
      <c r="AD93" s="666"/>
      <c r="AE93" s="666"/>
      <c r="AF93" s="666"/>
      <c r="AG93" s="666"/>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6"/>
      <c r="B94" s="666"/>
      <c r="C94" s="666"/>
      <c r="D94" s="666"/>
      <c r="E94" s="666"/>
      <c r="F94" s="666"/>
      <c r="G94" s="666"/>
      <c r="H94" s="666"/>
      <c r="I94" s="666"/>
      <c r="J94" s="666"/>
      <c r="K94" s="666"/>
      <c r="L94" s="666"/>
      <c r="M94" s="666"/>
      <c r="N94" s="666"/>
      <c r="O94" s="666"/>
      <c r="P94" s="666"/>
      <c r="Q94" s="666"/>
      <c r="R94" s="666"/>
      <c r="S94" s="666"/>
      <c r="T94" s="666"/>
      <c r="U94" s="666"/>
      <c r="V94" s="666"/>
      <c r="W94" s="666"/>
      <c r="X94" s="666"/>
      <c r="Y94" s="666"/>
      <c r="Z94" s="666"/>
      <c r="AA94" s="666"/>
      <c r="AB94" s="666"/>
      <c r="AC94" s="666"/>
      <c r="AD94" s="666"/>
      <c r="AE94" s="666"/>
      <c r="AF94" s="666"/>
      <c r="AG94" s="666"/>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84"/>
</worksheet>
</file>

<file path=xl/worksheets/sheet8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156</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178</v>
      </c>
      <c r="B4" s="442"/>
      <c r="C4" s="211"/>
      <c r="D4" s="212"/>
      <c r="E4" s="212"/>
      <c r="F4" s="212"/>
      <c r="G4" s="212"/>
      <c r="H4" s="212"/>
      <c r="I4" s="212"/>
      <c r="J4" s="212"/>
      <c r="K4" s="212"/>
      <c r="L4" s="212"/>
      <c r="M4" s="212"/>
      <c r="N4" s="212"/>
      <c r="O4" s="212"/>
      <c r="P4" s="212"/>
      <c r="Q4" s="212"/>
      <c r="R4" s="677" t="s">
        <v>180</v>
      </c>
      <c r="S4" s="677"/>
      <c r="T4" s="677"/>
      <c r="U4" s="677"/>
      <c r="V4" s="677"/>
      <c r="W4" s="677"/>
      <c r="X4" s="677"/>
      <c r="Y4" s="677"/>
      <c r="Z4" s="677"/>
      <c r="AA4" s="67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339" t="s">
        <v>63</v>
      </c>
      <c r="AA9" s="340" t="s">
        <v>26</v>
      </c>
      <c r="AB9" s="341" t="s">
        <v>181</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182</v>
      </c>
      <c r="B10" s="342">
        <v>20</v>
      </c>
      <c r="C10" s="343" t="s">
        <v>49</v>
      </c>
      <c r="D10" s="374">
        <v>194.85606060606060606060606061</v>
      </c>
      <c r="E10" s="382">
        <v>160.35887204461356895563954161</v>
      </c>
      <c r="F10" s="375">
        <v>130.37840458849525063008327852</v>
      </c>
      <c r="G10" s="374">
        <v>0</v>
      </c>
      <c r="H10" s="382">
        <v>2.7115151770708453715627817281</v>
      </c>
      <c r="I10" s="375">
        <v>5.3778863850668621397183598065</v>
      </c>
      <c r="J10" s="374">
        <v>0</v>
      </c>
      <c r="K10" s="382">
        <v>0</v>
      </c>
      <c r="L10" s="375">
        <v>13.265187495836281558214209862</v>
      </c>
      <c r="M10" s="374">
        <v>194.85606060606060606060606061</v>
      </c>
      <c r="N10" s="382">
        <v>163.07038722168441432720232333</v>
      </c>
      <c r="O10" s="375">
        <v>149.02147846939839432801584819</v>
      </c>
      <c r="P10" s="4"/>
      <c r="Q10" s="354">
        <v>9.181594362847284462274168480</v>
      </c>
      <c r="R10" s="355">
        <v>9.677817652208855864041827510</v>
      </c>
      <c r="S10" s="356">
        <v>20.463425738576849167806437540</v>
      </c>
      <c r="T10" s="354">
        <v>0</v>
      </c>
      <c r="U10" s="355">
        <v>-77.044775155268766623954637730</v>
      </c>
      <c r="V10" s="356">
        <v>-87.80971480648330947480161693</v>
      </c>
      <c r="W10" s="354">
        <v>0</v>
      </c>
      <c r="X10" s="355">
        <v>-100</v>
      </c>
      <c r="Y10" s="356">
        <v>17.732822836409692200678139760</v>
      </c>
      <c r="Z10" s="354">
        <v>9.181594362847284462274168480</v>
      </c>
      <c r="AA10" s="355">
        <v>2.060448981464547078302940300</v>
      </c>
      <c r="AB10" s="356">
        <v>-8.918902972556678654692991470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21</v>
      </c>
      <c r="C11" s="345" t="s">
        <v>47</v>
      </c>
      <c r="D11" s="370">
        <v>170.32575757575757575757575758</v>
      </c>
      <c r="E11" s="172">
        <v>147.55826075612194087083202251</v>
      </c>
      <c r="F11" s="371">
        <v>107.9034791713262077446372638</v>
      </c>
      <c r="G11" s="370">
        <v>0</v>
      </c>
      <c r="H11" s="172">
        <v>1.5663084597541481901553927915</v>
      </c>
      <c r="I11" s="371">
        <v>16.400799603952728574479180634</v>
      </c>
      <c r="J11" s="370">
        <v>0</v>
      </c>
      <c r="K11" s="172">
        <v>0</v>
      </c>
      <c r="L11" s="371">
        <v>10.603551482254167632504867215</v>
      </c>
      <c r="M11" s="370">
        <v>170.32575757575757575757575758</v>
      </c>
      <c r="N11" s="172">
        <v>149.1245692158760890609874153</v>
      </c>
      <c r="O11" s="371">
        <v>134.90783025753310395162131165</v>
      </c>
      <c r="P11" s="4"/>
      <c r="Q11" s="327">
        <v>-20.984747311447838187876894570</v>
      </c>
      <c r="R11" s="171">
        <v>16.140318408945792936460141600</v>
      </c>
      <c r="S11" s="328">
        <v>0.7775009937105724913241823100</v>
      </c>
      <c r="T11" s="327">
        <v>0</v>
      </c>
      <c r="U11" s="171">
        <v>-96.25343513468509013087019121</v>
      </c>
      <c r="V11" s="328">
        <v>-73.781262338233619759971572980</v>
      </c>
      <c r="W11" s="327">
        <v>0</v>
      </c>
      <c r="X11" s="171">
        <v>-100</v>
      </c>
      <c r="Y11" s="328">
        <v>3.3534639357581415453543582500</v>
      </c>
      <c r="Z11" s="327">
        <v>-20.984747311447838187876894570</v>
      </c>
      <c r="AA11" s="171">
        <v>-12.677744461562774828645874410</v>
      </c>
      <c r="AB11" s="328">
        <v>-25.002973387932683611308997990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22</v>
      </c>
      <c r="C12" s="347" t="s">
        <v>48</v>
      </c>
      <c r="D12" s="378">
        <v>182.71212121212121212121212121</v>
      </c>
      <c r="E12" s="173">
        <v>132.62952396081875689570494924</v>
      </c>
      <c r="F12" s="379">
        <v>111.92422799482050410689363842</v>
      </c>
      <c r="G12" s="378">
        <v>0</v>
      </c>
      <c r="H12" s="173">
        <v>1.5595273460544280026493585965</v>
      </c>
      <c r="I12" s="379">
        <v>30.503744950840431680165373597</v>
      </c>
      <c r="J12" s="378">
        <v>0</v>
      </c>
      <c r="K12" s="173">
        <v>0</v>
      </c>
      <c r="L12" s="379">
        <v>9.435857728929826385811387315</v>
      </c>
      <c r="M12" s="378">
        <v>182.71212121212121212121212121</v>
      </c>
      <c r="N12" s="173">
        <v>134.18905130687318489835430784</v>
      </c>
      <c r="O12" s="379">
        <v>151.86383067459076217287039933</v>
      </c>
      <c r="P12" s="4"/>
      <c r="Q12" s="359">
        <v>-5.263571372438733016835089400</v>
      </c>
      <c r="R12" s="170">
        <v>1.3556440457648472693803296900</v>
      </c>
      <c r="S12" s="360">
        <v>-0.1412503367282644271029791800</v>
      </c>
      <c r="T12" s="359">
        <v>0</v>
      </c>
      <c r="U12" s="170">
        <v>-96.52165850076021738338043988</v>
      </c>
      <c r="V12" s="360">
        <v>-56.808389770761853106948161210</v>
      </c>
      <c r="W12" s="359">
        <v>0</v>
      </c>
      <c r="X12" s="170">
        <v>-100</v>
      </c>
      <c r="Y12" s="360">
        <v>-11.714525189136821719215662180</v>
      </c>
      <c r="Z12" s="359">
        <v>-5.263571372438733016835089400</v>
      </c>
      <c r="AA12" s="170">
        <v>-24.105104932130179868493331810</v>
      </c>
      <c r="AB12" s="360">
        <v>-21.474657702845476934163586290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23</v>
      </c>
      <c r="C13" s="345" t="s">
        <v>50</v>
      </c>
      <c r="D13" s="370">
        <v>180.12878787878787878787878788</v>
      </c>
      <c r="E13" s="172">
        <v>140.27543228355213230815779676</v>
      </c>
      <c r="F13" s="371">
        <v>113.39094959191529401742360717</v>
      </c>
      <c r="G13" s="370">
        <v>2.2651515151515151515151515152</v>
      </c>
      <c r="H13" s="172">
        <v>2.2729994686259896666727937586</v>
      </c>
      <c r="I13" s="371">
        <v>43.845029457463551873917006464</v>
      </c>
      <c r="J13" s="370">
        <v>0</v>
      </c>
      <c r="K13" s="172">
        <v>0</v>
      </c>
      <c r="L13" s="371">
        <v>9.332991860849493176535520238</v>
      </c>
      <c r="M13" s="370">
        <v>182.39393939393939393939393939</v>
      </c>
      <c r="N13" s="172">
        <v>142.54843175217812197483059051</v>
      </c>
      <c r="O13" s="371">
        <v>166.56897091022833906787613388</v>
      </c>
      <c r="P13" s="4"/>
      <c r="Q13" s="327">
        <v>0.4478053313944274551199438600</v>
      </c>
      <c r="R13" s="171">
        <v>4.6313688303988006078261982900</v>
      </c>
      <c r="S13" s="328">
        <v>-9.683713314099791265901956680</v>
      </c>
      <c r="T13" s="327">
        <v>0</v>
      </c>
      <c r="U13" s="171">
        <v>-94.94582802622588799251649606</v>
      </c>
      <c r="V13" s="328">
        <v>-17.877401970737159563505572950</v>
      </c>
      <c r="W13" s="327">
        <v>0</v>
      </c>
      <c r="X13" s="171">
        <v>-100</v>
      </c>
      <c r="Y13" s="328">
        <v>-10.793092567063752852107332250</v>
      </c>
      <c r="Z13" s="327">
        <v>1.7109543322812901295145631700</v>
      </c>
      <c r="AA13" s="171">
        <v>-20.664494159310432852235780310</v>
      </c>
      <c r="AB13" s="328">
        <v>-12.054694319205497748941542700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24</v>
      </c>
      <c r="C14" s="347" t="s">
        <v>51</v>
      </c>
      <c r="D14" s="378">
        <v>179.6969696969696969696969697</v>
      </c>
      <c r="E14" s="173">
        <v>174.18872553343613570696248491</v>
      </c>
      <c r="F14" s="379">
        <v>123.61993745759335377741099659</v>
      </c>
      <c r="G14" s="378">
        <v>4.5303030303030303030303030303</v>
      </c>
      <c r="H14" s="173">
        <v>13.014517448170834283356972981</v>
      </c>
      <c r="I14" s="379">
        <v>35.08663559880769745904872126</v>
      </c>
      <c r="J14" s="378">
        <v>0</v>
      </c>
      <c r="K14" s="173">
        <v>0</v>
      </c>
      <c r="L14" s="379">
        <v>11.782531312277918631124475668</v>
      </c>
      <c r="M14" s="378">
        <v>184.22727272727272727272727273</v>
      </c>
      <c r="N14" s="173">
        <v>187.20324298160696999031945789</v>
      </c>
      <c r="O14" s="379">
        <v>170.48910436867896986758419351</v>
      </c>
      <c r="P14" s="4"/>
      <c r="Q14" s="359">
        <v>-27.806184562943956433483213640</v>
      </c>
      <c r="R14" s="170">
        <v>-7.0295286220726334426089189800</v>
      </c>
      <c r="S14" s="360">
        <v>-7.5315247955479975779289509200</v>
      </c>
      <c r="T14" s="359">
        <v>140.16064256565152174973844456</v>
      </c>
      <c r="U14" s="170">
        <v>-74.231401413996726792721579850</v>
      </c>
      <c r="V14" s="360">
        <v>-58.825141627936107056678500550</v>
      </c>
      <c r="W14" s="359">
        <v>0</v>
      </c>
      <c r="X14" s="170">
        <v>-100</v>
      </c>
      <c r="Y14" s="360">
        <v>20.093195809644867382395678280</v>
      </c>
      <c r="Z14" s="359">
        <v>-26.542818305405248243170746670</v>
      </c>
      <c r="AA14" s="170">
        <v>-21.614200431064325433698749830</v>
      </c>
      <c r="AB14" s="360">
        <v>-25.457392620864090132834050100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25</v>
      </c>
      <c r="C15" s="345" t="s">
        <v>52</v>
      </c>
      <c r="D15" s="370">
        <v>247.15151515151515151515151515</v>
      </c>
      <c r="E15" s="172">
        <v>246.58637730325698033882766487</v>
      </c>
      <c r="F15" s="371">
        <v>171.22149811455875179439140429</v>
      </c>
      <c r="G15" s="370">
        <v>8.159090909090909090909090909</v>
      </c>
      <c r="H15" s="172">
        <v>25.138404884545536602121028255</v>
      </c>
      <c r="I15" s="371">
        <v>33.039287487724659629378799421</v>
      </c>
      <c r="J15" s="370">
        <v>0</v>
      </c>
      <c r="K15" s="172">
        <v>0</v>
      </c>
      <c r="L15" s="371">
        <v>11.553310946564466795393595675</v>
      </c>
      <c r="M15" s="370">
        <v>255.31060606060606060606060606</v>
      </c>
      <c r="N15" s="172">
        <v>271.72478218780251694094869313</v>
      </c>
      <c r="O15" s="371">
        <v>215.8140965488478782191637994</v>
      </c>
      <c r="P15" s="4"/>
      <c r="Q15" s="327">
        <v>-24.204265601050705267242091820</v>
      </c>
      <c r="R15" s="171">
        <v>1.6294404508270108865040880500</v>
      </c>
      <c r="S15" s="328">
        <v>-6.4579154752144120465528216900</v>
      </c>
      <c r="T15" s="327">
        <v>332.53012047358978081014766687</v>
      </c>
      <c r="U15" s="171">
        <v>-4.6450886348695869501846065900</v>
      </c>
      <c r="V15" s="328">
        <v>-22.385169488659835451670637980</v>
      </c>
      <c r="W15" s="327">
        <v>0</v>
      </c>
      <c r="X15" s="171">
        <v>-100</v>
      </c>
      <c r="Y15" s="328">
        <v>-4.2058321785540975999866068300</v>
      </c>
      <c r="Z15" s="327">
        <v>-22.152410431724423708142773980</v>
      </c>
      <c r="AA15" s="171">
        <v>0.7751442586795650216878400600</v>
      </c>
      <c r="AB15" s="328">
        <v>-9.196298003923361016525213980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26</v>
      </c>
      <c r="C16" s="347" t="s">
        <v>53</v>
      </c>
      <c r="D16" s="378">
        <v>277.62121212121212121212121212</v>
      </c>
      <c r="E16" s="173">
        <v>264.66382421142534592971988412</v>
      </c>
      <c r="F16" s="379">
        <v>184.62996590247035298399443111</v>
      </c>
      <c r="G16" s="378">
        <v>8.159090909090909090909090909</v>
      </c>
      <c r="H16" s="173">
        <v>29.854762429426541775991635734</v>
      </c>
      <c r="I16" s="379">
        <v>35.906806502707922256031529591</v>
      </c>
      <c r="J16" s="378">
        <v>0</v>
      </c>
      <c r="K16" s="173">
        <v>0</v>
      </c>
      <c r="L16" s="379">
        <v>12.049610662280800977261079218</v>
      </c>
      <c r="M16" s="378">
        <v>285.78030303030303030303030303</v>
      </c>
      <c r="N16" s="173">
        <v>294.51858664085188770571151985</v>
      </c>
      <c r="O16" s="379">
        <v>232.58638306745907621728703993</v>
      </c>
      <c r="P16" s="4"/>
      <c r="Q16" s="359">
        <v>-10.280328069525882550798552140</v>
      </c>
      <c r="R16" s="170">
        <v>5.00959104031910720530610200</v>
      </c>
      <c r="S16" s="360">
        <v>-4.6552410415023481573057001400</v>
      </c>
      <c r="T16" s="359">
        <v>332.53012047358978081014766687</v>
      </c>
      <c r="U16" s="170">
        <v>43.957281894197717269883829450</v>
      </c>
      <c r="V16" s="360">
        <v>100.39396702008393205121034590</v>
      </c>
      <c r="W16" s="359">
        <v>0</v>
      </c>
      <c r="X16" s="170">
        <v>-100</v>
      </c>
      <c r="Y16" s="360">
        <v>-4.766033275939279119396677700</v>
      </c>
      <c r="Z16" s="359">
        <v>-8.203144011296547244229641510</v>
      </c>
      <c r="AA16" s="170">
        <v>7.4672690210558963255034272300</v>
      </c>
      <c r="AB16" s="360">
        <v>3.733485752373644169583648900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27</v>
      </c>
      <c r="C17" s="345" t="s">
        <v>49</v>
      </c>
      <c r="D17" s="370">
        <v>191.49242424242424242424242424</v>
      </c>
      <c r="E17" s="172">
        <v>203.30337795987513031991024185</v>
      </c>
      <c r="F17" s="371">
        <v>133.95260909591175546003296682</v>
      </c>
      <c r="G17" s="370">
        <v>11.628787878787878787878787879</v>
      </c>
      <c r="H17" s="172">
        <v>16.459777896852846446788693282</v>
      </c>
      <c r="I17" s="371">
        <v>51.461756355239667924592234302</v>
      </c>
      <c r="J17" s="370">
        <v>0</v>
      </c>
      <c r="K17" s="172">
        <v>0</v>
      </c>
      <c r="L17" s="371">
        <v>12.276073502033854480039588781</v>
      </c>
      <c r="M17" s="370">
        <v>203.12121212121212121212121212</v>
      </c>
      <c r="N17" s="172">
        <v>219.76315585672797676669893514</v>
      </c>
      <c r="O17" s="371">
        <v>197.69043895318527786466478991</v>
      </c>
      <c r="P17" s="4"/>
      <c r="Q17" s="327">
        <v>-3.4639474488060123337822436900</v>
      </c>
      <c r="R17" s="171">
        <v>45.530671082328349002528529400</v>
      </c>
      <c r="S17" s="328">
        <v>29.808571396972960551124652690</v>
      </c>
      <c r="T17" s="327">
        <v>62.262156447448252126460071560</v>
      </c>
      <c r="U17" s="171">
        <v>-55.694943612451540365056404670</v>
      </c>
      <c r="V17" s="328">
        <v>27.075522140449157322048773940</v>
      </c>
      <c r="W17" s="327">
        <v>0</v>
      </c>
      <c r="X17" s="171">
        <v>-100</v>
      </c>
      <c r="Y17" s="328">
        <v>10.568251402073019145787195620</v>
      </c>
      <c r="Z17" s="327">
        <v>-1.172134168815350860806027500</v>
      </c>
      <c r="AA17" s="171">
        <v>23.153688835775432043620138900</v>
      </c>
      <c r="AB17" s="328">
        <v>27.713503683576703737326731090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28</v>
      </c>
      <c r="C18" s="347" t="s">
        <v>47</v>
      </c>
      <c r="D18" s="378">
        <v>222.54545454545454545454545455</v>
      </c>
      <c r="E18" s="173">
        <v>262.63188547230184512098543629</v>
      </c>
      <c r="F18" s="379">
        <v>149.42520922875742026463859114</v>
      </c>
      <c r="G18" s="378">
        <v>45.583333333333333333333333333</v>
      </c>
      <c r="H18" s="173">
        <v>37.739556928472598247843218124</v>
      </c>
      <c r="I18" s="379">
        <v>75.64727455772382959002594396</v>
      </c>
      <c r="J18" s="378">
        <v>0</v>
      </c>
      <c r="K18" s="173">
        <v>0</v>
      </c>
      <c r="L18" s="379">
        <v>13.036889584387272718581216124</v>
      </c>
      <c r="M18" s="378">
        <v>268.12878787878787878787878788</v>
      </c>
      <c r="N18" s="173">
        <v>300.3714424007744433688286544</v>
      </c>
      <c r="O18" s="379">
        <v>238.10937337086852257324575123</v>
      </c>
      <c r="P18" s="4"/>
      <c r="Q18" s="359">
        <v>36.588087599401488418200519070</v>
      </c>
      <c r="R18" s="170">
        <v>155.91375778769950680076172547</v>
      </c>
      <c r="S18" s="360">
        <v>59.865695476560695738922028450</v>
      </c>
      <c r="T18" s="359">
        <v>75.678832116583148809206910190</v>
      </c>
      <c r="U18" s="170">
        <v>2.754459910091799120210189600</v>
      </c>
      <c r="V18" s="360">
        <v>25.767103482630151124688042900</v>
      </c>
      <c r="W18" s="359">
        <v>0</v>
      </c>
      <c r="X18" s="170">
        <v>-100</v>
      </c>
      <c r="Y18" s="360">
        <v>27.069935276876150214731883740</v>
      </c>
      <c r="Z18" s="359">
        <v>41.958126102991050336845628680</v>
      </c>
      <c r="AA18" s="170">
        <v>111.66525799209540399844879030</v>
      </c>
      <c r="AB18" s="360">
        <v>45.297146233265573960991248430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29</v>
      </c>
      <c r="C19" s="345" t="s">
        <v>48</v>
      </c>
      <c r="D19" s="370">
        <v>253.13636363636363636363636364</v>
      </c>
      <c r="E19" s="172">
        <v>279.80007122682122416883576035</v>
      </c>
      <c r="F19" s="371">
        <v>160.36538897567106852378239214</v>
      </c>
      <c r="G19" s="370">
        <v>48.909090909090909090909090909</v>
      </c>
      <c r="H19" s="172">
        <v>39.244013961949346983148750795</v>
      </c>
      <c r="I19" s="371">
        <v>83.88853562748409742219180181</v>
      </c>
      <c r="J19" s="370">
        <v>0</v>
      </c>
      <c r="K19" s="172">
        <v>0</v>
      </c>
      <c r="L19" s="371">
        <v>11.571745295708351935372902285</v>
      </c>
      <c r="M19" s="370">
        <v>302.04545454545454545454545455</v>
      </c>
      <c r="N19" s="172">
        <v>319.04408518877057115198451113</v>
      </c>
      <c r="O19" s="371">
        <v>255.82566989886351788134709624</v>
      </c>
      <c r="P19" s="4"/>
      <c r="Q19" s="327">
        <v>51.235629582681181451646044630</v>
      </c>
      <c r="R19" s="171">
        <v>215.26317829836939888114420520</v>
      </c>
      <c r="S19" s="328">
        <v>68.162842496326167826142216360</v>
      </c>
      <c r="T19" s="327">
        <v>78.737541528476727629938175050</v>
      </c>
      <c r="U19" s="171">
        <v>-5.0318843359971014151686732600</v>
      </c>
      <c r="V19" s="328">
        <v>20.687406936934949287245064270</v>
      </c>
      <c r="W19" s="327">
        <v>0</v>
      </c>
      <c r="X19" s="171">
        <v>-100</v>
      </c>
      <c r="Y19" s="328">
        <v>19.067499539445447988320046800</v>
      </c>
      <c r="Z19" s="327">
        <v>55.099976659165032285276173970</v>
      </c>
      <c r="AA19" s="171">
        <v>142.89159712983014186870517819</v>
      </c>
      <c r="AB19" s="328">
        <v>46.528777805027615288280111940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30</v>
      </c>
      <c r="C20" s="347" t="s">
        <v>50</v>
      </c>
      <c r="D20" s="378">
        <v>202.89393939393939393939393939</v>
      </c>
      <c r="E20" s="173">
        <v>260.17560025647976245823951273</v>
      </c>
      <c r="F20" s="379">
        <v>146.58207556548342736129259076</v>
      </c>
      <c r="G20" s="378">
        <v>52.234848484848484848484848485</v>
      </c>
      <c r="H20" s="173">
        <v>49.34954011138083773537132947</v>
      </c>
      <c r="I20" s="379">
        <v>82.56976677140563224897558409</v>
      </c>
      <c r="J20" s="378">
        <v>0</v>
      </c>
      <c r="K20" s="173">
        <v>0</v>
      </c>
      <c r="L20" s="379">
        <v>11.046781372838810267742460107</v>
      </c>
      <c r="M20" s="378">
        <v>255.12878787878787878787878788</v>
      </c>
      <c r="N20" s="173">
        <v>309.52514036786060019361084221</v>
      </c>
      <c r="O20" s="379">
        <v>240.19862370972786987801063497</v>
      </c>
      <c r="P20" s="4"/>
      <c r="Q20" s="359">
        <v>37.668345841460868235152342070</v>
      </c>
      <c r="R20" s="170">
        <v>131.87282826071241036589694345</v>
      </c>
      <c r="S20" s="360">
        <v>34.153842367169828520614152920</v>
      </c>
      <c r="T20" s="359">
        <v>40.370521172718452251482819970</v>
      </c>
      <c r="U20" s="170">
        <v>5.9857593362886321777258754700</v>
      </c>
      <c r="V20" s="360">
        <v>81.85404452764313349064229845</v>
      </c>
      <c r="W20" s="359">
        <v>0</v>
      </c>
      <c r="X20" s="170">
        <v>-100</v>
      </c>
      <c r="Y20" s="360">
        <v>-0.6063016828824075673864626300</v>
      </c>
      <c r="Z20" s="359">
        <v>38.213083805309277505563751590</v>
      </c>
      <c r="AA20" s="170">
        <v>93.78390458787800367600108762</v>
      </c>
      <c r="AB20" s="360">
        <v>44.887587629909773282147040240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t="s">
        <v>179</v>
      </c>
      <c r="B21" s="668">
        <v>1</v>
      </c>
      <c r="C21" s="679" t="s">
        <v>51</v>
      </c>
      <c r="D21" s="680">
        <v>215.85606060606060606060606061</v>
      </c>
      <c r="E21" s="681">
        <v>234.59389106103772775134636552</v>
      </c>
      <c r="F21" s="682">
        <v>159.39876623164241542697408547</v>
      </c>
      <c r="G21" s="680">
        <v>63.189393939393939393939393939</v>
      </c>
      <c r="H21" s="681">
        <v>41.110271572069726266078610294</v>
      </c>
      <c r="I21" s="682">
        <v>72.924820914415531129375365373</v>
      </c>
      <c r="J21" s="680">
        <v>0</v>
      </c>
      <c r="K21" s="681">
        <v>0</v>
      </c>
      <c r="L21" s="682">
        <v>12.922372607878035093113587422</v>
      </c>
      <c r="M21" s="680">
        <v>279.04545454545454545454545455</v>
      </c>
      <c r="N21" s="681">
        <v>275.7041626331074540174249758</v>
      </c>
      <c r="O21" s="682">
        <v>245.24595975393598164946303827</v>
      </c>
      <c r="P21" s="4"/>
      <c r="Q21" s="670">
        <v>34.546914104940402917970055110</v>
      </c>
      <c r="R21" s="671">
        <v>22.327989148289324111202797470</v>
      </c>
      <c r="S21" s="672">
        <v>0.3635190429523231722759920300</v>
      </c>
      <c r="T21" s="670">
        <v>-61.890620002739960364417334120</v>
      </c>
      <c r="U21" s="671">
        <v>-35.525312422526354967099960310</v>
      </c>
      <c r="V21" s="672">
        <v>33.523347706032949891391556120</v>
      </c>
      <c r="W21" s="670">
        <v>0</v>
      </c>
      <c r="X21" s="671">
        <v>-100</v>
      </c>
      <c r="Y21" s="672">
        <v>36.049881616238781005782984520</v>
      </c>
      <c r="Z21" s="670">
        <v>-14.466840052009248882782984150</v>
      </c>
      <c r="AA21" s="671">
        <v>7.4223058124319666968106507100</v>
      </c>
      <c r="AB21" s="672">
        <v>10.007603173137288004010262340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v>
      </c>
      <c r="C22" s="347" t="s">
        <v>52</v>
      </c>
      <c r="D22" s="378">
        <v>300.97727272727272727272727273</v>
      </c>
      <c r="E22" s="173">
        <v>352.56147144240077444336882865</v>
      </c>
      <c r="F22" s="379">
        <v>223.08763349463664102146035157</v>
      </c>
      <c r="G22" s="378">
        <v>106.42424242424242424242424242</v>
      </c>
      <c r="H22" s="173">
        <v>31.117134559535333978702807357</v>
      </c>
      <c r="I22" s="379">
        <v>69.472486371242932518145865532</v>
      </c>
      <c r="J22" s="378">
        <v>0</v>
      </c>
      <c r="K22" s="173">
        <v>0</v>
      </c>
      <c r="L22" s="379">
        <v>13.504836864388386005800935441</v>
      </c>
      <c r="M22" s="378">
        <v>407.40151515151515151515151515</v>
      </c>
      <c r="N22" s="173">
        <v>383.67860600193610842207163601</v>
      </c>
      <c r="O22" s="379">
        <v>306.06495673026795954540715254</v>
      </c>
      <c r="P22" s="4"/>
      <c r="Q22" s="359">
        <v>66.683448709863644209066344760</v>
      </c>
      <c r="R22" s="170">
        <v>19.141143316208711098631624170</v>
      </c>
      <c r="S22" s="360">
        <v>-3.6924058192744684689746622400</v>
      </c>
      <c r="T22" s="359">
        <v>-58.044380730521469006454719540</v>
      </c>
      <c r="U22" s="170">
        <v>-63.586578136251848456361691820</v>
      </c>
      <c r="V22" s="360">
        <v>2.1708165998125189855459625600</v>
      </c>
      <c r="W22" s="359">
        <v>0</v>
      </c>
      <c r="X22" s="170">
        <v>-100</v>
      </c>
      <c r="Y22" s="360">
        <v>14.544866377260768381448896050</v>
      </c>
      <c r="Z22" s="359">
        <v>-6.1778149970399832489970106400</v>
      </c>
      <c r="AA22" s="170">
        <v>-0.1070256663974167284025876200</v>
      </c>
      <c r="AB22" s="360">
        <v>-1.7218151039373928131228459600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3</v>
      </c>
      <c r="C23" s="345" t="s">
        <v>53</v>
      </c>
      <c r="D23" s="370">
        <v>302.75757575757575757575757576</v>
      </c>
      <c r="E23" s="172">
        <v>362.53110125912603012414048463</v>
      </c>
      <c r="F23" s="371">
        <v>249.53369738311861217306500905</v>
      </c>
      <c r="G23" s="370">
        <v>103.09848484848484848484848485</v>
      </c>
      <c r="H23" s="172">
        <v>26.869285962558384203061838719</v>
      </c>
      <c r="I23" s="371">
        <v>66.487890845078568048099205446</v>
      </c>
      <c r="J23" s="370">
        <v>0</v>
      </c>
      <c r="K23" s="172">
        <v>0</v>
      </c>
      <c r="L23" s="371">
        <v>13.551970316271592586676469491</v>
      </c>
      <c r="M23" s="370">
        <v>405.85606060606060606060606061</v>
      </c>
      <c r="N23" s="172">
        <v>389.40038722168441432720232333</v>
      </c>
      <c r="O23" s="371">
        <v>329.57355854446877280784068397</v>
      </c>
      <c r="P23" s="4"/>
      <c r="Q23" s="327">
        <v>62.415670974551129854296941340</v>
      </c>
      <c r="R23" s="171">
        <v>30.787438866398779985500707330</v>
      </c>
      <c r="S23" s="328">
        <v>9.876557019952131025462208140</v>
      </c>
      <c r="T23" s="327">
        <v>-59.572824763088686753086389190</v>
      </c>
      <c r="U23" s="171">
        <v>-67.407308576914061706638428250</v>
      </c>
      <c r="V23" s="328">
        <v>-8.151529702983414510697947220</v>
      </c>
      <c r="W23" s="327">
        <v>0</v>
      </c>
      <c r="X23" s="171">
        <v>-100</v>
      </c>
      <c r="Y23" s="328">
        <v>50.064545411794389158880112280</v>
      </c>
      <c r="Z23" s="327">
        <v>-8.059173831707757847520913330</v>
      </c>
      <c r="AA23" s="171">
        <v>7.6087383676183974453436476200</v>
      </c>
      <c r="AB23" s="328">
        <v>6.8229731232574810400620509200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4</v>
      </c>
      <c r="C24" s="347" t="s">
        <v>49</v>
      </c>
      <c r="D24" s="378">
        <v>190.21969696969696969696969697</v>
      </c>
      <c r="E24" s="173">
        <v>194.60186154758706072057631218</v>
      </c>
      <c r="F24" s="379">
        <v>146.40168327891196713096529528</v>
      </c>
      <c r="G24" s="378">
        <v>93.12121212121212121212121212</v>
      </c>
      <c r="H24" s="173">
        <v>30.191633128114778582424655883</v>
      </c>
      <c r="I24" s="379">
        <v>55.985503468557444278825113919</v>
      </c>
      <c r="J24" s="378">
        <v>0</v>
      </c>
      <c r="K24" s="173">
        <v>0</v>
      </c>
      <c r="L24" s="379">
        <v>13.848242300596483700208548166</v>
      </c>
      <c r="M24" s="378">
        <v>283.34090909090909090909090909</v>
      </c>
      <c r="N24" s="173">
        <v>224.79349467570183930300096805</v>
      </c>
      <c r="O24" s="379">
        <v>216.23542904806589510999895736</v>
      </c>
      <c r="P24" s="4"/>
      <c r="Q24" s="359">
        <v>-0.8019911504550187116118261700</v>
      </c>
      <c r="R24" s="170">
        <v>-6.651880891783656362335109600</v>
      </c>
      <c r="S24" s="360">
        <v>-7.1449335130798358902718252700</v>
      </c>
      <c r="T24" s="359">
        <v>-44.170413771192032407565646900</v>
      </c>
      <c r="U24" s="170">
        <v>-59.416129805066408094187103120</v>
      </c>
      <c r="V24" s="360">
        <v>-10.509863668396168681956858280</v>
      </c>
      <c r="W24" s="359">
        <v>0</v>
      </c>
      <c r="X24" s="170">
        <v>-100</v>
      </c>
      <c r="Y24" s="360">
        <v>19.334671228825166308687491540</v>
      </c>
      <c r="Z24" s="359">
        <v>-20.976568277370827743521086090</v>
      </c>
      <c r="AA24" s="170">
        <v>-21.328608273146758349319679810</v>
      </c>
      <c r="AB24" s="360">
        <v>-6.7275109875757559529966191900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5</v>
      </c>
      <c r="C25" s="345" t="s">
        <v>47</v>
      </c>
      <c r="D25" s="370">
        <v>123.35606060606060606060606061</v>
      </c>
      <c r="E25" s="172">
        <v>101.91871288275958520142581112</v>
      </c>
      <c r="F25" s="371">
        <v>93.05056528922706787310713393</v>
      </c>
      <c r="G25" s="370">
        <v>0</v>
      </c>
      <c r="H25" s="172">
        <v>32.150057688392399309706812305</v>
      </c>
      <c r="I25" s="371">
        <v>39.732314652579118072770280111</v>
      </c>
      <c r="J25" s="370">
        <v>0</v>
      </c>
      <c r="K25" s="172">
        <v>0</v>
      </c>
      <c r="L25" s="371">
        <v>10.14611599188164639694398102</v>
      </c>
      <c r="M25" s="370">
        <v>123.35606060606060606060606061</v>
      </c>
      <c r="N25" s="172">
        <v>134.06877057115198451113262343</v>
      </c>
      <c r="O25" s="371">
        <v>142.92899593368783234282139506</v>
      </c>
      <c r="P25" s="4"/>
      <c r="Q25" s="327">
        <v>-10.606642876734226805226766370</v>
      </c>
      <c r="R25" s="171">
        <v>-28.012143469071810517797610790</v>
      </c>
      <c r="S25" s="328">
        <v>-11.707887430946107994092906140</v>
      </c>
      <c r="T25" s="327">
        <v>0</v>
      </c>
      <c r="U25" s="171">
        <v>50.980023471960016632924422660</v>
      </c>
      <c r="V25" s="328">
        <v>-13.143681171415708818025840140</v>
      </c>
      <c r="W25" s="327">
        <v>0</v>
      </c>
      <c r="X25" s="171">
        <v>-100</v>
      </c>
      <c r="Y25" s="328">
        <v>12.189332432341364010204499850</v>
      </c>
      <c r="Z25" s="327">
        <v>-10.606642876734226805226766370</v>
      </c>
      <c r="AA25" s="171">
        <v>-18.841269337124650907674679260</v>
      </c>
      <c r="AB25" s="328">
        <v>-10.768681830547460904920805670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6</v>
      </c>
      <c r="C26" s="347" t="s">
        <v>48</v>
      </c>
      <c r="D26" s="378">
        <v>89.17424242424242424242424242</v>
      </c>
      <c r="E26" s="173">
        <v>109.29977068673126895850795364</v>
      </c>
      <c r="F26" s="379">
        <v>91.25026749668811000570701483</v>
      </c>
      <c r="G26" s="378">
        <v>0</v>
      </c>
      <c r="H26" s="173">
        <v>39.945669777934752338684689159</v>
      </c>
      <c r="I26" s="379">
        <v>35.310147742176975847988007712</v>
      </c>
      <c r="J26" s="378">
        <v>0</v>
      </c>
      <c r="K26" s="173">
        <v>0</v>
      </c>
      <c r="L26" s="379">
        <v>11.373585386721401478178608998</v>
      </c>
      <c r="M26" s="378">
        <v>89.17424242424242424242424242</v>
      </c>
      <c r="N26" s="173">
        <v>149.24544046466602129719264279</v>
      </c>
      <c r="O26" s="379">
        <v>137.93400062558648733187363153</v>
      </c>
      <c r="P26" s="4"/>
      <c r="Q26" s="359">
        <v>-42.358356593685625098651491790</v>
      </c>
      <c r="R26" s="170">
        <v>-20.348468672846839325091830660</v>
      </c>
      <c r="S26" s="360">
        <v>-16.449229123794272086769483510</v>
      </c>
      <c r="T26" s="359">
        <v>-100</v>
      </c>
      <c r="U26" s="170">
        <v>99.19836986994697803409309754</v>
      </c>
      <c r="V26" s="360">
        <v>-28.538605184255225037969385810</v>
      </c>
      <c r="W26" s="359">
        <v>0</v>
      </c>
      <c r="X26" s="170">
        <v>-100</v>
      </c>
      <c r="Y26" s="360">
        <v>28.272190311635899284073876290</v>
      </c>
      <c r="Z26" s="359">
        <v>-45.818181818170844649021861990</v>
      </c>
      <c r="AA26" s="170">
        <v>-5.9653283662901272666959499400</v>
      </c>
      <c r="AB26" s="360">
        <v>-17.648201360369589279459656310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7</v>
      </c>
      <c r="C27" s="345" t="s">
        <v>50</v>
      </c>
      <c r="D27" s="370">
        <v>124.84848484848484848484848485</v>
      </c>
      <c r="E27" s="172">
        <v>119.43756050338818973862536302</v>
      </c>
      <c r="F27" s="371">
        <v>105.49707796438322702882589446</v>
      </c>
      <c r="G27" s="370">
        <v>28.575757575757575757575757576</v>
      </c>
      <c r="H27" s="172">
        <v>28.972894482090997095837366893</v>
      </c>
      <c r="I27" s="371">
        <v>35.421205460498390014578751654</v>
      </c>
      <c r="J27" s="370">
        <v>0</v>
      </c>
      <c r="K27" s="172">
        <v>0</v>
      </c>
      <c r="L27" s="371">
        <v>11.031356862888167129257224396</v>
      </c>
      <c r="M27" s="370">
        <v>153.42424242424242424242424242</v>
      </c>
      <c r="N27" s="172">
        <v>148.41045498547918683446272991</v>
      </c>
      <c r="O27" s="371">
        <v>151.9496402877697841726618705</v>
      </c>
      <c r="P27" s="4"/>
      <c r="Q27" s="327">
        <v>-19.060949855115171160552035750</v>
      </c>
      <c r="R27" s="171">
        <v>-9.080205579054669814425539440</v>
      </c>
      <c r="S27" s="328">
        <v>-7.2218036423256350296026614200</v>
      </c>
      <c r="T27" s="327">
        <v>4.1701187517950865189186159100</v>
      </c>
      <c r="U27" s="171">
        <v>41.870577529153615978981749180</v>
      </c>
      <c r="V27" s="328">
        <v>-28.704560406265792248341108880</v>
      </c>
      <c r="W27" s="327">
        <v>0</v>
      </c>
      <c r="X27" s="171">
        <v>-100</v>
      </c>
      <c r="Y27" s="328">
        <v>42.610266515030846767903189460</v>
      </c>
      <c r="Z27" s="327">
        <v>-15.553331665407277457926652390</v>
      </c>
      <c r="AA27" s="171">
        <v>-3.0413635075644994566142662900</v>
      </c>
      <c r="AB27" s="328">
        <v>-11.206256959020344157826096150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8</v>
      </c>
      <c r="C28" s="347" t="s">
        <v>51</v>
      </c>
      <c r="D28" s="378">
        <v>148.98484848484848484848484848</v>
      </c>
      <c r="E28" s="173">
        <v>150.83939043593234793918521345</v>
      </c>
      <c r="F28" s="379">
        <v>139.4799781311516103472950414</v>
      </c>
      <c r="G28" s="378">
        <v>29.492424242424242424242424242</v>
      </c>
      <c r="H28" s="173">
        <v>16.165546640543934732644409014</v>
      </c>
      <c r="I28" s="379">
        <v>26.621343032994391027490229068</v>
      </c>
      <c r="J28" s="378">
        <v>0</v>
      </c>
      <c r="K28" s="173">
        <v>0</v>
      </c>
      <c r="L28" s="379">
        <v>11.328978074723772371435144502</v>
      </c>
      <c r="M28" s="378">
        <v>178.47727272727272727272727273</v>
      </c>
      <c r="N28" s="173">
        <v>167.00493707647628267182962246</v>
      </c>
      <c r="O28" s="379">
        <v>177.43029923886977374622041497</v>
      </c>
      <c r="P28" s="4"/>
      <c r="Q28" s="359">
        <v>0.2651167533455857112319779100</v>
      </c>
      <c r="R28" s="170">
        <v>14.152583080946078272959478770</v>
      </c>
      <c r="S28" s="360">
        <v>7.9134386195221202026307383400</v>
      </c>
      <c r="T28" s="359">
        <v>16.661672160637298372449581930</v>
      </c>
      <c r="U28" s="170">
        <v>320.41828805272739366691559279</v>
      </c>
      <c r="V28" s="360">
        <v>-8.778883650892762458142384120</v>
      </c>
      <c r="W28" s="359">
        <v>0</v>
      </c>
      <c r="X28" s="170">
        <v>-100</v>
      </c>
      <c r="Y28" s="360">
        <v>48.911034356387818116103335830</v>
      </c>
      <c r="Z28" s="359">
        <v>2.6491220426196783841779526600</v>
      </c>
      <c r="AA28" s="170">
        <v>21.953152304325845663617603780</v>
      </c>
      <c r="AB28" s="360">
        <v>6.8580951107555178857711238500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9</v>
      </c>
      <c r="C29" s="345" t="s">
        <v>52</v>
      </c>
      <c r="D29" s="370">
        <v>181.51515151515151515151515152</v>
      </c>
      <c r="E29" s="172">
        <v>179.52952565343659244917715392</v>
      </c>
      <c r="F29" s="371">
        <v>153.86516356807570118355962128</v>
      </c>
      <c r="G29" s="370">
        <v>39.128787878787878787878787879</v>
      </c>
      <c r="H29" s="172">
        <v>21.688286544046466602129719264</v>
      </c>
      <c r="I29" s="371">
        <v>13.59978155794853550984791616</v>
      </c>
      <c r="J29" s="370">
        <v>0</v>
      </c>
      <c r="K29" s="172">
        <v>0</v>
      </c>
      <c r="L29" s="371">
        <v>11.313075935387503479671390731</v>
      </c>
      <c r="M29" s="370">
        <v>220.64393939393939393939393939</v>
      </c>
      <c r="N29" s="172">
        <v>201.21781219748305905130687318</v>
      </c>
      <c r="O29" s="371">
        <v>178.77802106141174017307892816</v>
      </c>
      <c r="P29" s="4"/>
      <c r="Q29" s="327">
        <v>-18.018202969961622464806543690</v>
      </c>
      <c r="R29" s="171">
        <v>-7.39482535222485051764150900</v>
      </c>
      <c r="S29" s="328">
        <v>-3.7109600876185630853517764100</v>
      </c>
      <c r="T29" s="327">
        <v>-23.797580407222249164825251620</v>
      </c>
      <c r="U29" s="171">
        <v>548.63891223053324895320466383</v>
      </c>
      <c r="V29" s="328">
        <v>-19.379725350219364184303316830</v>
      </c>
      <c r="W29" s="327">
        <v>0</v>
      </c>
      <c r="X29" s="171">
        <v>-100</v>
      </c>
      <c r="Y29" s="328">
        <v>16.654299602506428244145111310</v>
      </c>
      <c r="Z29" s="327">
        <v>-19.106210421071515946190772450</v>
      </c>
      <c r="AA29" s="171">
        <v>0.9695276124487347809447863200</v>
      </c>
      <c r="AB29" s="328">
        <v>-4.0694779780098420630609922800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10</v>
      </c>
      <c r="C30" s="347" t="s">
        <v>53</v>
      </c>
      <c r="D30" s="378">
        <v>186.31818181818181818181818182</v>
      </c>
      <c r="E30" s="173">
        <v>166.65246853823814133591481123</v>
      </c>
      <c r="F30" s="379">
        <v>148.48876583993888062565971698</v>
      </c>
      <c r="G30" s="378">
        <v>38.689393939393939393939393939</v>
      </c>
      <c r="H30" s="173">
        <v>19.624394966118102613746369797</v>
      </c>
      <c r="I30" s="379">
        <v>10.871255210766733244570429754</v>
      </c>
      <c r="J30" s="378">
        <v>0</v>
      </c>
      <c r="K30" s="173">
        <v>0</v>
      </c>
      <c r="L30" s="379">
        <v>12.629761036667965527121537132</v>
      </c>
      <c r="M30" s="378">
        <v>225.00757575757575757575757576</v>
      </c>
      <c r="N30" s="173">
        <v>186.27686350435624394966118103</v>
      </c>
      <c r="O30" s="379">
        <v>171.98978208737357939735168387</v>
      </c>
      <c r="P30" s="4"/>
      <c r="Q30" s="359">
        <v>-4.9801027701418657980986989200</v>
      </c>
      <c r="R30" s="170">
        <v>-18.213104500091488568559707320</v>
      </c>
      <c r="S30" s="360">
        <v>-1.6127118572907976736037587800</v>
      </c>
      <c r="T30" s="359">
        <v>28.769541099149617436562053020</v>
      </c>
      <c r="U30" s="170">
        <v>790.29641095444482379856094003</v>
      </c>
      <c r="V30" s="360">
        <v>-30.134893857468505839296058750</v>
      </c>
      <c r="W30" s="359">
        <v>0</v>
      </c>
      <c r="X30" s="170">
        <v>-100</v>
      </c>
      <c r="Y30" s="360">
        <v>35.411537219174844162752277510</v>
      </c>
      <c r="Z30" s="359">
        <v>-0.4958290060021845513615329300</v>
      </c>
      <c r="AA30" s="170">
        <v>-10.048818140271918685603664400</v>
      </c>
      <c r="AB30" s="360">
        <v>-2.1729300556385082744836692600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11</v>
      </c>
      <c r="C31" s="345" t="s">
        <v>49</v>
      </c>
      <c r="D31" s="370">
        <v>94.45454545454545454545454545</v>
      </c>
      <c r="E31" s="172">
        <v>93.64597660130442928337488247</v>
      </c>
      <c r="F31" s="371">
        <v>77.896279628045106962828178144</v>
      </c>
      <c r="G31" s="370">
        <v>2.2196969696969696969696969697</v>
      </c>
      <c r="H31" s="172">
        <v>17.747208297049878557864226927</v>
      </c>
      <c r="I31" s="371">
        <v>11.650120747107890479177804484</v>
      </c>
      <c r="J31" s="370">
        <v>0</v>
      </c>
      <c r="K31" s="172">
        <v>0</v>
      </c>
      <c r="L31" s="371">
        <v>11.579342508800709157931458726</v>
      </c>
      <c r="M31" s="370">
        <v>96.67424242424242424242424242</v>
      </c>
      <c r="N31" s="172">
        <v>111.39318489835430784123910939</v>
      </c>
      <c r="O31" s="371">
        <v>101.12574288395370659993744135</v>
      </c>
      <c r="P31" s="4"/>
      <c r="Q31" s="327">
        <v>-27.738495421339843965873406260</v>
      </c>
      <c r="R31" s="171">
        <v>-26.973741195476021546073805370</v>
      </c>
      <c r="S31" s="328">
        <v>-11.655885695107062040090068400</v>
      </c>
      <c r="T31" s="327">
        <v>0</v>
      </c>
      <c r="U31" s="171">
        <v>155.11955103193952308332299025</v>
      </c>
      <c r="V31" s="328">
        <v>-24.218361954635522175959891980</v>
      </c>
      <c r="W31" s="327">
        <v>0</v>
      </c>
      <c r="X31" s="171">
        <v>-100</v>
      </c>
      <c r="Y31" s="328">
        <v>20.303413967047251890936654640</v>
      </c>
      <c r="Z31" s="327">
        <v>-26.040338472226319285251085760</v>
      </c>
      <c r="AA31" s="171">
        <v>-18.183985487866004799484816470</v>
      </c>
      <c r="AB31" s="328">
        <v>-10.644280090254273576497679370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12</v>
      </c>
      <c r="C32" s="347" t="s">
        <v>47</v>
      </c>
      <c r="D32" s="378">
        <v>80.35606060606060606060606061</v>
      </c>
      <c r="E32" s="173">
        <v>91.30052604894158040880378629</v>
      </c>
      <c r="F32" s="379">
        <v>79.97099750512843706777964592</v>
      </c>
      <c r="G32" s="378">
        <v>14.083333333333333333333333333</v>
      </c>
      <c r="H32" s="173">
        <v>19.888767271484363444051973634</v>
      </c>
      <c r="I32" s="379">
        <v>29.215436047352312659474392558</v>
      </c>
      <c r="J32" s="378">
        <v>0</v>
      </c>
      <c r="K32" s="173">
        <v>0</v>
      </c>
      <c r="L32" s="379">
        <v>10.971527035570548364707175166</v>
      </c>
      <c r="M32" s="378">
        <v>94.43939393939393939393939394</v>
      </c>
      <c r="N32" s="173">
        <v>111.18929332042594385285575992</v>
      </c>
      <c r="O32" s="379">
        <v>120.15796058805129809196121364</v>
      </c>
      <c r="P32" s="4"/>
      <c r="Q32" s="359">
        <v>-34.342308882718363164182169720</v>
      </c>
      <c r="R32" s="170">
        <v>-24.483358579111921220900855530</v>
      </c>
      <c r="S32" s="360">
        <v>-8.559620870746251657506034250</v>
      </c>
      <c r="T32" s="359">
        <v>0</v>
      </c>
      <c r="U32" s="170">
        <v>1.4422872853490368673419675100</v>
      </c>
      <c r="V32" s="360">
        <v>5.6966974472342123996177680700</v>
      </c>
      <c r="W32" s="359">
        <v>0</v>
      </c>
      <c r="X32" s="170">
        <v>-100</v>
      </c>
      <c r="Y32" s="360">
        <v>16.524833046069105033574608690</v>
      </c>
      <c r="Z32" s="359">
        <v>-22.835035592718687207004329950</v>
      </c>
      <c r="AA32" s="170">
        <v>-21.313021887607218123277778530</v>
      </c>
      <c r="AB32" s="360">
        <v>-3.497982782703307709840912300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13</v>
      </c>
      <c r="C33" s="345" t="s">
        <v>48</v>
      </c>
      <c r="D33" s="370">
        <v>96.90151515151515151515151515</v>
      </c>
      <c r="E33" s="172">
        <v>112.65640503188246438016313357</v>
      </c>
      <c r="F33" s="371">
        <v>90.5930927015035560605915721</v>
      </c>
      <c r="G33" s="370">
        <v>14.083333333333333333333333333</v>
      </c>
      <c r="H33" s="172">
        <v>23.078425558630604351685849969</v>
      </c>
      <c r="I33" s="371">
        <v>36.631489714650197791568129088</v>
      </c>
      <c r="J33" s="370">
        <v>0</v>
      </c>
      <c r="K33" s="172">
        <v>0</v>
      </c>
      <c r="L33" s="371">
        <v>8.777294343308241768734887495</v>
      </c>
      <c r="M33" s="370">
        <v>110.98484848484848484848484848</v>
      </c>
      <c r="N33" s="172">
        <v>135.73483059051306873184898354</v>
      </c>
      <c r="O33" s="371">
        <v>136.00187675946199562089458868</v>
      </c>
      <c r="P33" s="4"/>
      <c r="Q33" s="327">
        <v>-23.001444738752347526518329840</v>
      </c>
      <c r="R33" s="171">
        <v>-14.173966536460178148026607510</v>
      </c>
      <c r="S33" s="328">
        <v>-7.5629373694703395928551780700</v>
      </c>
      <c r="T33" s="327">
        <v>0</v>
      </c>
      <c r="U33" s="171">
        <v>-30.900498057374764810030539630</v>
      </c>
      <c r="V33" s="328">
        <v>1.2618739033498355511312264400</v>
      </c>
      <c r="W33" s="327">
        <v>0</v>
      </c>
      <c r="X33" s="171">
        <v>-100</v>
      </c>
      <c r="Y33" s="328">
        <v>-4.7767425658214551987546465200</v>
      </c>
      <c r="Z33" s="327">
        <v>-11.810739224667492085332931920</v>
      </c>
      <c r="AA33" s="171">
        <v>-18.201481372916564430714004410</v>
      </c>
      <c r="AB33" s="328">
        <v>-5.1576026252317397708569974200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14</v>
      </c>
      <c r="C34" s="347" t="s">
        <v>50</v>
      </c>
      <c r="D34" s="378">
        <v>94.71212121212121212121212121</v>
      </c>
      <c r="E34" s="173">
        <v>111.50548589422503982820045277</v>
      </c>
      <c r="F34" s="379">
        <v>93.50546946092741993856688303</v>
      </c>
      <c r="G34" s="378">
        <v>14.083333333333333333333333333</v>
      </c>
      <c r="H34" s="173">
        <v>22.091029110615231226978637256</v>
      </c>
      <c r="I34" s="379">
        <v>48.216684239093358977036957597</v>
      </c>
      <c r="J34" s="378">
        <v>0</v>
      </c>
      <c r="K34" s="173">
        <v>0</v>
      </c>
      <c r="L34" s="379">
        <v>11.103099141184517716655569236</v>
      </c>
      <c r="M34" s="378">
        <v>108.79545454545454545454545455</v>
      </c>
      <c r="N34" s="173">
        <v>133.59651500484027105517909003</v>
      </c>
      <c r="O34" s="379">
        <v>152.82525284120529663225940986</v>
      </c>
      <c r="P34" s="4"/>
      <c r="Q34" s="359">
        <v>-26.333156561203040505818933050</v>
      </c>
      <c r="R34" s="170">
        <v>-8.685632229647262365583576740</v>
      </c>
      <c r="S34" s="360">
        <v>-8.173355272465339316531642660</v>
      </c>
      <c r="T34" s="359">
        <v>0</v>
      </c>
      <c r="U34" s="170">
        <v>-9.580903399934823811374279390</v>
      </c>
      <c r="V34" s="360">
        <v>25.855903938639646435457630660</v>
      </c>
      <c r="W34" s="359">
        <v>0</v>
      </c>
      <c r="X34" s="170">
        <v>-100</v>
      </c>
      <c r="Y34" s="360">
        <v>13.253626908858037265346416900</v>
      </c>
      <c r="Z34" s="359">
        <v>-15.379176241836255375465181360</v>
      </c>
      <c r="AA34" s="170">
        <v>-9.329039809016858545765043770</v>
      </c>
      <c r="AB34" s="360">
        <v>1.9222156928138443400115799800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15</v>
      </c>
      <c r="C35" s="345" t="s">
        <v>51</v>
      </c>
      <c r="D35" s="370">
        <v>122.47727272727272727272727273</v>
      </c>
      <c r="E35" s="172">
        <v>134.70154353865262420602376361</v>
      </c>
      <c r="F35" s="371">
        <v>107.85117175138062110646969627</v>
      </c>
      <c r="G35" s="370">
        <v>14.083333333333333333333333333</v>
      </c>
      <c r="H35" s="172">
        <v>10.790876596874965338990757206</v>
      </c>
      <c r="I35" s="371">
        <v>40.427854113702228545521121739</v>
      </c>
      <c r="J35" s="370">
        <v>0</v>
      </c>
      <c r="K35" s="172">
        <v>0</v>
      </c>
      <c r="L35" s="371">
        <v>11.984763103742090395970812681</v>
      </c>
      <c r="M35" s="370">
        <v>136.56060606060606060606060606</v>
      </c>
      <c r="N35" s="172">
        <v>145.49242013552758954501452081</v>
      </c>
      <c r="O35" s="371">
        <v>160.2637889688249400479616307</v>
      </c>
      <c r="P35" s="4"/>
      <c r="Q35" s="327">
        <v>-19.430878102288230956849663870</v>
      </c>
      <c r="R35" s="171">
        <v>-11.099780669395959314439644840</v>
      </c>
      <c r="S35" s="328">
        <v>-6.2418239517992551152095593800</v>
      </c>
      <c r="T35" s="327">
        <v>0</v>
      </c>
      <c r="U35" s="171">
        <v>-34.847332851567037946292870220</v>
      </c>
      <c r="V35" s="328">
        <v>15.485250761970600751892085580</v>
      </c>
      <c r="W35" s="327">
        <v>0</v>
      </c>
      <c r="X35" s="171">
        <v>-100</v>
      </c>
      <c r="Y35" s="328">
        <v>35.940948691273065121947163630</v>
      </c>
      <c r="Z35" s="327">
        <v>-10.166450712676912923125628810</v>
      </c>
      <c r="AA35" s="171">
        <v>-14.576305924960378166613468900</v>
      </c>
      <c r="AB35" s="328">
        <v>0.8872757952417300817462336800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16</v>
      </c>
      <c r="C36" s="347" t="s">
        <v>52</v>
      </c>
      <c r="D36" s="378">
        <v>224.74242424242424242424242424</v>
      </c>
      <c r="E36" s="173">
        <v>187.43844640788933867587034412</v>
      </c>
      <c r="F36" s="379">
        <v>150.69566473666986281599937259</v>
      </c>
      <c r="G36" s="378">
        <v>0</v>
      </c>
      <c r="H36" s="173">
        <v>33.439481956099044673597226052</v>
      </c>
      <c r="I36" s="379">
        <v>36.053245895043847343483187611</v>
      </c>
      <c r="J36" s="378">
        <v>0</v>
      </c>
      <c r="K36" s="173">
        <v>0</v>
      </c>
      <c r="L36" s="379">
        <v>12.477760205529538719674983332</v>
      </c>
      <c r="M36" s="378">
        <v>224.74242424242424242424242424</v>
      </c>
      <c r="N36" s="173">
        <v>220.87792836398838334946757018</v>
      </c>
      <c r="O36" s="379">
        <v>199.22667083724324887915754353</v>
      </c>
      <c r="P36" s="4"/>
      <c r="Q36" s="359">
        <v>3.6004889121791039348136626400</v>
      </c>
      <c r="R36" s="170">
        <v>-12.822381636943495118687873030</v>
      </c>
      <c r="S36" s="360">
        <v>-4.0911874256928978045647186600</v>
      </c>
      <c r="T36" s="359">
        <v>0</v>
      </c>
      <c r="U36" s="170">
        <v>187.85719443611888308296498597</v>
      </c>
      <c r="V36" s="360">
        <v>34.981207059991698526920842180</v>
      </c>
      <c r="W36" s="359">
        <v>0</v>
      </c>
      <c r="X36" s="170">
        <v>-100</v>
      </c>
      <c r="Y36" s="360">
        <v>33.120182667802545536341402280</v>
      </c>
      <c r="Z36" s="359">
        <v>3.6004889121791039348136626400</v>
      </c>
      <c r="AA36" s="170">
        <v>-3.285436289392706795533159900</v>
      </c>
      <c r="AB36" s="360">
        <v>3.1156434225318643549898641900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17</v>
      </c>
      <c r="C37" s="349" t="s">
        <v>53</v>
      </c>
      <c r="D37" s="380">
        <v>277.53030303030303030303030303</v>
      </c>
      <c r="E37" s="383">
        <v>222.41828348665764394424519119</v>
      </c>
      <c r="F37" s="381">
        <v>163.00357386440498079660152351</v>
      </c>
      <c r="G37" s="380">
        <v>0</v>
      </c>
      <c r="H37" s="383">
        <v>33.700883986720865252269813635</v>
      </c>
      <c r="I37" s="381">
        <v>24.236522284104342594429386301</v>
      </c>
      <c r="J37" s="380">
        <v>0</v>
      </c>
      <c r="K37" s="383">
        <v>0</v>
      </c>
      <c r="L37" s="381">
        <v>12.374855368537908388762646641</v>
      </c>
      <c r="M37" s="380">
        <v>277.53030303030303030303030303</v>
      </c>
      <c r="N37" s="383">
        <v>256.11916747337850919651500484</v>
      </c>
      <c r="O37" s="381">
        <v>199.61495151704723177979355646</v>
      </c>
      <c r="P37" s="4"/>
      <c r="Q37" s="329">
        <v>20.940213264651699027177949020</v>
      </c>
      <c r="R37" s="330">
        <v>-7.0236082153655956905135923700</v>
      </c>
      <c r="S37" s="332">
        <v>3.0641354361446775516019319300</v>
      </c>
      <c r="T37" s="329">
        <v>0</v>
      </c>
      <c r="U37" s="330">
        <v>462.04313261230747733793651432</v>
      </c>
      <c r="V37" s="332">
        <v>25.356202397668270964363647070</v>
      </c>
      <c r="W37" s="329">
        <v>0</v>
      </c>
      <c r="X37" s="330">
        <v>-100</v>
      </c>
      <c r="Y37" s="332">
        <v>27.669116739023240804171556910</v>
      </c>
      <c r="Z37" s="329">
        <v>20.940213264651699027177949020</v>
      </c>
      <c r="AA37" s="330">
        <v>3.9047679079163923529746577500</v>
      </c>
      <c r="AB37" s="332">
        <v>6.6407759139716841416275817500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167.75568181818181818181818182</v>
      </c>
      <c r="E39" s="382">
        <v>162.97752203834504731987524453</v>
      </c>
      <c r="F39" s="375">
        <v>122.15724414784102004597742969</v>
      </c>
      <c r="G39" s="374">
        <v>26.742424242424242424242424242</v>
      </c>
      <c r="H39" s="382">
        <v>16.777533624772087239660089455</v>
      </c>
      <c r="I39" s="375">
        <v>31.118816738992966205578378128</v>
      </c>
      <c r="J39" s="374">
        <v>0</v>
      </c>
      <c r="K39" s="382">
        <v>0</v>
      </c>
      <c r="L39" s="375">
        <v>12.742211451816832224098451384</v>
      </c>
      <c r="M39" s="374">
        <v>194.49810606060606060606060606</v>
      </c>
      <c r="N39" s="382">
        <v>179.75505566311713455953533398</v>
      </c>
      <c r="O39" s="375">
        <v>166.0182723386508184756542592</v>
      </c>
      <c r="P39" s="4"/>
      <c r="Q39" s="354">
        <v>-4.0440698531237748931326648500</v>
      </c>
      <c r="R39" s="355">
        <v>4.7056753236876667607221103100</v>
      </c>
      <c r="S39" s="356">
        <v>6.8593406908276649261251422400</v>
      </c>
      <c r="T39" s="354">
        <v>-38.509776597091676019054717020</v>
      </c>
      <c r="U39" s="355">
        <v>-48.500741930109131172034327120</v>
      </c>
      <c r="V39" s="356">
        <v>-23.421964542073877014026488980</v>
      </c>
      <c r="W39" s="354">
        <v>0</v>
      </c>
      <c r="X39" s="355">
        <v>-100</v>
      </c>
      <c r="Y39" s="356">
        <v>16.902190389514283354837712240</v>
      </c>
      <c r="Z39" s="354">
        <v>-10.909942656874410531417234200</v>
      </c>
      <c r="AA39" s="355">
        <v>-5.4060925119236756110584826400</v>
      </c>
      <c r="AB39" s="356">
        <v>0.0999179224227602595540521100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149.14583333333333333333333333</v>
      </c>
      <c r="E40" s="172">
        <v>150.85234629003123790051176405</v>
      </c>
      <c r="F40" s="371">
        <v>107.5875627986097832375406587</v>
      </c>
      <c r="G40" s="370">
        <v>14.916666666666666666666666667</v>
      </c>
      <c r="H40" s="172">
        <v>22.836172587025877297939349213</v>
      </c>
      <c r="I40" s="371">
        <v>40.248956215401997224187449314</v>
      </c>
      <c r="J40" s="370">
        <v>0</v>
      </c>
      <c r="K40" s="172">
        <v>0</v>
      </c>
      <c r="L40" s="371">
        <v>11.189521023523408778184309881</v>
      </c>
      <c r="M40" s="370">
        <v>164.062500000</v>
      </c>
      <c r="N40" s="172">
        <v>173.68851887705711519845111326</v>
      </c>
      <c r="O40" s="371">
        <v>159.02604003753518923991241789</v>
      </c>
      <c r="P40" s="4"/>
      <c r="Q40" s="327">
        <v>-6.6191554707029513541728797800</v>
      </c>
      <c r="R40" s="171">
        <v>22.605381376977485318196785680</v>
      </c>
      <c r="S40" s="328">
        <v>9.396254411210473541747569570</v>
      </c>
      <c r="T40" s="327">
        <v>129.95620438106599094252142430</v>
      </c>
      <c r="U40" s="171">
        <v>-23.519111810741616626142835350</v>
      </c>
      <c r="V40" s="328">
        <v>-17.896190173940004757497432840</v>
      </c>
      <c r="W40" s="327">
        <v>0</v>
      </c>
      <c r="X40" s="171">
        <v>-100</v>
      </c>
      <c r="Y40" s="328">
        <v>14.827687789194780647270592250</v>
      </c>
      <c r="Z40" s="327">
        <v>-1.2888007657326100918270839900</v>
      </c>
      <c r="AA40" s="171">
        <v>12.204999297653213309032580090</v>
      </c>
      <c r="AB40" s="328">
        <v>1.2174194399390226150239969300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155.48106060606060606060606061</v>
      </c>
      <c r="E41" s="173">
        <v>158.5964427265634286008029492</v>
      </c>
      <c r="F41" s="379">
        <v>113.53324429217080967424365437</v>
      </c>
      <c r="G41" s="378">
        <v>15.748106060606060606060606061</v>
      </c>
      <c r="H41" s="173">
        <v>25.95690916114228291904216213</v>
      </c>
      <c r="I41" s="379">
        <v>46.583479508787925685478328055</v>
      </c>
      <c r="J41" s="378">
        <v>0</v>
      </c>
      <c r="K41" s="173">
        <v>0</v>
      </c>
      <c r="L41" s="379">
        <v>10.289620688666955392024446523</v>
      </c>
      <c r="M41" s="378">
        <v>171.22916666666666666666666667</v>
      </c>
      <c r="N41" s="173">
        <v>184.55335188770571151984511133</v>
      </c>
      <c r="O41" s="379">
        <v>170.40634448962569075174642894</v>
      </c>
      <c r="P41" s="4"/>
      <c r="Q41" s="359">
        <v>-2.9449666016653479534343917400</v>
      </c>
      <c r="R41" s="170">
        <v>29.972944451880842789065029660</v>
      </c>
      <c r="S41" s="360">
        <v>9.517719455576162976484819720</v>
      </c>
      <c r="T41" s="359">
        <v>69.141578519231337073080052950</v>
      </c>
      <c r="U41" s="170">
        <v>-25.630640228009246594039304530</v>
      </c>
      <c r="V41" s="360">
        <v>-17.448972215541739991923681450</v>
      </c>
      <c r="W41" s="359">
        <v>0</v>
      </c>
      <c r="X41" s="170">
        <v>-100</v>
      </c>
      <c r="Y41" s="360">
        <v>6.9304509322165102529181975400</v>
      </c>
      <c r="Z41" s="359">
        <v>1.0145138042969773273944564700</v>
      </c>
      <c r="AA41" s="170">
        <v>16.655903501269134382376778440</v>
      </c>
      <c r="AB41" s="360">
        <v>0.4048737873561318061019183500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150.64583333333333333333333333</v>
      </c>
      <c r="E42" s="172">
        <v>157.84851973441128108330578132</v>
      </c>
      <c r="F42" s="371">
        <v>114.74389314567734208652724386</v>
      </c>
      <c r="G42" s="370">
        <v>24.289772727272727272727272727</v>
      </c>
      <c r="H42" s="172">
        <v>25.671615793178263931215031844</v>
      </c>
      <c r="I42" s="371">
        <v>52.51317148211523327862707495</v>
      </c>
      <c r="J42" s="370">
        <v>0</v>
      </c>
      <c r="K42" s="172">
        <v>0</v>
      </c>
      <c r="L42" s="371">
        <v>10.628557309440247072547693494</v>
      </c>
      <c r="M42" s="370">
        <v>174.93560606060606060606060606</v>
      </c>
      <c r="N42" s="172">
        <v>183.52013552758954501452081317</v>
      </c>
      <c r="O42" s="371">
        <v>177.8856219372328224377020123</v>
      </c>
      <c r="P42" s="4"/>
      <c r="Q42" s="327">
        <v>-1.1384963396714899938493748700</v>
      </c>
      <c r="R42" s="171">
        <v>26.341988633210594799659226630</v>
      </c>
      <c r="S42" s="328">
        <v>1.9152905910310828107163229300</v>
      </c>
      <c r="T42" s="327">
        <v>50.298839798288715490637957370</v>
      </c>
      <c r="U42" s="171">
        <v>-24.710619790766304523219389470</v>
      </c>
      <c r="V42" s="328">
        <v>12.455458755610075215490330380</v>
      </c>
      <c r="W42" s="327">
        <v>0</v>
      </c>
      <c r="X42" s="171">
        <v>-100</v>
      </c>
      <c r="Y42" s="328">
        <v>8.689189693442887324265328030</v>
      </c>
      <c r="Z42" s="327">
        <v>3.7936846836517949336955582500</v>
      </c>
      <c r="AA42" s="171">
        <v>14.733644712304945136194796050</v>
      </c>
      <c r="AB42" s="328">
        <v>5.2183964913697133852110708100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166.75378787878787878787878788</v>
      </c>
      <c r="E43" s="173">
        <v>173.58088764226470890087945687</v>
      </c>
      <c r="F43" s="379">
        <v>132.58746339294200016453745493</v>
      </c>
      <c r="G43" s="378">
        <v>27.823863636363636363636363636</v>
      </c>
      <c r="H43" s="173">
        <v>20.270303064414865155267687374</v>
      </c>
      <c r="I43" s="379">
        <v>43.76516341497996204035885936</v>
      </c>
      <c r="J43" s="378">
        <v>0</v>
      </c>
      <c r="K43" s="173">
        <v>0</v>
      </c>
      <c r="L43" s="379">
        <v>12.004661274655454122911005068</v>
      </c>
      <c r="M43" s="378">
        <v>194.57765151515151515151515152</v>
      </c>
      <c r="N43" s="173">
        <v>193.85119070667957405614714424</v>
      </c>
      <c r="O43" s="379">
        <v>188.35728808257741632780731936</v>
      </c>
      <c r="P43" s="4"/>
      <c r="Q43" s="359">
        <v>-6.0471866229647482951175867800</v>
      </c>
      <c r="R43" s="170">
        <v>4.7573806078870642620803180200</v>
      </c>
      <c r="S43" s="360">
        <v>-1.2003218276534237142687533500</v>
      </c>
      <c r="T43" s="359">
        <v>-42.327169944625538445863008090</v>
      </c>
      <c r="U43" s="170">
        <v>-39.794802964049543913196906770</v>
      </c>
      <c r="V43" s="360">
        <v>-14.194270927010539164326244870</v>
      </c>
      <c r="W43" s="359">
        <v>0</v>
      </c>
      <c r="X43" s="170">
        <v>-100</v>
      </c>
      <c r="Y43" s="360">
        <v>34.380080627257513325362140180</v>
      </c>
      <c r="Z43" s="359">
        <v>-13.801117580938977201637075400</v>
      </c>
      <c r="AA43" s="170">
        <v>-3.4049819266383615029919166800</v>
      </c>
      <c r="AB43" s="360">
        <v>-2.9769213732279342570240800600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238.59659090909090909090909091</v>
      </c>
      <c r="E44" s="172">
        <v>241.52895520174592147681099789</v>
      </c>
      <c r="F44" s="371">
        <v>174.71748997848523920385268743</v>
      </c>
      <c r="G44" s="370">
        <v>38.428030303030303030303030303</v>
      </c>
      <c r="H44" s="172">
        <v>27.845826986056595464137695232</v>
      </c>
      <c r="I44" s="371">
        <v>38.041200327989993750213942183</v>
      </c>
      <c r="J44" s="370">
        <v>0</v>
      </c>
      <c r="K44" s="172">
        <v>0</v>
      </c>
      <c r="L44" s="371">
        <v>12.212245987967473750135226295</v>
      </c>
      <c r="M44" s="370">
        <v>277.02462121212121212121212121</v>
      </c>
      <c r="N44" s="172">
        <v>269.37478218780251694094869313</v>
      </c>
      <c r="O44" s="371">
        <v>224.97093629444270670420185591</v>
      </c>
      <c r="P44" s="4"/>
      <c r="Q44" s="327">
        <v>0.9948852795511100648221803100</v>
      </c>
      <c r="R44" s="171">
        <v>1.9727959507927540433231620700</v>
      </c>
      <c r="S44" s="328">
        <v>-4.4740166342133334053996723400</v>
      </c>
      <c r="T44" s="327">
        <v>-49.913601579866716642492250460</v>
      </c>
      <c r="U44" s="171">
        <v>-12.143353309011511758321410990</v>
      </c>
      <c r="V44" s="328">
        <v>-1.2836321826952341614843200500</v>
      </c>
      <c r="W44" s="327">
        <v>0</v>
      </c>
      <c r="X44" s="171">
        <v>-100</v>
      </c>
      <c r="Y44" s="328">
        <v>13.809235542857563409432673160</v>
      </c>
      <c r="Z44" s="327">
        <v>-11.485161696360268346614094110</v>
      </c>
      <c r="AA44" s="171">
        <v>-0.3599258690469653509997459400</v>
      </c>
      <c r="AB44" s="328">
        <v>-3.0994369130982956739281903700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261.05681818181818181818181818</v>
      </c>
      <c r="E45" s="385">
        <v>254.06641937386179033350509279</v>
      </c>
      <c r="F45" s="386">
        <v>186.41400074748320664483017016</v>
      </c>
      <c r="G45" s="384">
        <v>37.486742424242424242424242424</v>
      </c>
      <c r="H45" s="385">
        <v>27.512331836205973461267414472</v>
      </c>
      <c r="I45" s="386">
        <v>34.375618710664391535782637772</v>
      </c>
      <c r="J45" s="384">
        <v>0</v>
      </c>
      <c r="K45" s="385">
        <v>0</v>
      </c>
      <c r="L45" s="386">
        <v>12.65154934593956686995543312</v>
      </c>
      <c r="M45" s="384">
        <v>298.54356060606060606060606061</v>
      </c>
      <c r="N45" s="385">
        <v>281.57875121006776379477250726</v>
      </c>
      <c r="O45" s="386">
        <v>233.44116880408716505056824106</v>
      </c>
      <c r="P45" s="4"/>
      <c r="Q45" s="364">
        <v>13.330318602250612130989967470</v>
      </c>
      <c r="R45" s="365">
        <v>4.5311463177275119707207396100</v>
      </c>
      <c r="S45" s="366">
        <v>2.1686756174770692853144117700</v>
      </c>
      <c r="T45" s="364">
        <v>-47.745393104150079506510367010</v>
      </c>
      <c r="U45" s="365">
        <v>-1.1934928346191071219075290200</v>
      </c>
      <c r="V45" s="366">
        <v>9.825156172072500878238099940</v>
      </c>
      <c r="W45" s="364">
        <v>0</v>
      </c>
      <c r="X45" s="365">
        <v>-100</v>
      </c>
      <c r="Y45" s="366">
        <v>24.329596273052472425056990940</v>
      </c>
      <c r="Z45" s="364">
        <v>-1.1736456367542264983423135200</v>
      </c>
      <c r="AA45" s="365">
        <v>3.3788961327251823778840551900</v>
      </c>
      <c r="AB45" s="366">
        <v>4.2458826237089450975446857800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141.59632034632034632034632035</v>
      </c>
      <c r="E47" s="382">
        <v>136.23809528707901724666879343</v>
      </c>
      <c r="F47" s="375">
        <v>109.07374994972285496411955308</v>
      </c>
      <c r="G47" s="374">
        <v>8.364718614718614718614718615</v>
      </c>
      <c r="H47" s="382">
        <v>22.962381825353564692205497809</v>
      </c>
      <c r="I47" s="375">
        <v>32.347336148722025484384425625</v>
      </c>
      <c r="J47" s="374">
        <v>0</v>
      </c>
      <c r="K47" s="382">
        <v>0</v>
      </c>
      <c r="L47" s="375">
        <v>11.324091672381936358919647611</v>
      </c>
      <c r="M47" s="374">
        <v>149.96103896103896103896103896</v>
      </c>
      <c r="N47" s="382">
        <v>159.20047711243258193887429125</v>
      </c>
      <c r="O47" s="375">
        <v>152.74517777082681680742362632</v>
      </c>
      <c r="P47" s="4"/>
      <c r="Q47" s="354">
        <v>-10.377164620756539305590238340</v>
      </c>
      <c r="R47" s="355">
        <v>-13.949027297153679765039735270</v>
      </c>
      <c r="S47" s="356">
        <v>-5.2446777984239105145656746900</v>
      </c>
      <c r="T47" s="354">
        <v>0</v>
      </c>
      <c r="U47" s="355">
        <v>35.564572561833196207179665170</v>
      </c>
      <c r="V47" s="356">
        <v>14.041899315799868579989418750</v>
      </c>
      <c r="W47" s="354">
        <v>0</v>
      </c>
      <c r="X47" s="355">
        <v>-100</v>
      </c>
      <c r="Y47" s="356">
        <v>20.205191668635445789852444580</v>
      </c>
      <c r="Z47" s="354">
        <v>-5.0827487943631987796828508100</v>
      </c>
      <c r="AA47" s="355">
        <v>-9.832866730149401832521249210</v>
      </c>
      <c r="AB47" s="356">
        <v>-0.0986528176440484155189469300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184.20508658008658008658008658</v>
      </c>
      <c r="E48" s="172">
        <v>185.6358704296033450879558981</v>
      </c>
      <c r="F48" s="371">
        <v>135.96298550045848586535847131</v>
      </c>
      <c r="G48" s="370">
        <v>26.490800865800865800865800866</v>
      </c>
      <c r="H48" s="172">
        <v>23.838670436113706495504204245</v>
      </c>
      <c r="I48" s="371">
        <v>40.94948662841892424574666711</v>
      </c>
      <c r="J48" s="370">
        <v>0</v>
      </c>
      <c r="K48" s="172">
        <v>0</v>
      </c>
      <c r="L48" s="371">
        <v>11.674052440287134029979509395</v>
      </c>
      <c r="M48" s="370">
        <v>210.69588744588744588744588745</v>
      </c>
      <c r="N48" s="172">
        <v>209.47454086571705158346010234</v>
      </c>
      <c r="O48" s="371">
        <v>188.58652456916454414108464781</v>
      </c>
      <c r="P48" s="4"/>
      <c r="Q48" s="327">
        <v>-0.1371456398889063533780383400</v>
      </c>
      <c r="R48" s="171">
        <v>10.944748576422582339323744390</v>
      </c>
      <c r="S48" s="328">
        <v>2.5060929343500409714321900</v>
      </c>
      <c r="T48" s="327">
        <v>-31.864048212172026235357101990</v>
      </c>
      <c r="U48" s="171">
        <v>-25.717977052577549844392153800</v>
      </c>
      <c r="V48" s="328">
        <v>-8.602669268010882922052558710</v>
      </c>
      <c r="W48" s="327">
        <v>0</v>
      </c>
      <c r="X48" s="171">
        <v>-100</v>
      </c>
      <c r="Y48" s="328">
        <v>16.931426600828653987947782830</v>
      </c>
      <c r="Z48" s="327">
        <v>-5.6602722135099647197299783700</v>
      </c>
      <c r="AA48" s="171">
        <v>4.2615398489218388330326020200</v>
      </c>
      <c r="AB48" s="328">
        <v>0.6189680845215315862874395300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167.95187165775401069518716578</v>
      </c>
      <c r="E49" s="385">
        <v>172.09602476589357878758528538</v>
      </c>
      <c r="F49" s="386">
        <v>133.73940284269613044502682564</v>
      </c>
      <c r="G49" s="384">
        <v>32.957219251336898395721925134</v>
      </c>
      <c r="H49" s="385">
        <v>26.386579299934107562850339021</v>
      </c>
      <c r="I49" s="386">
        <v>38.403417782194870475434243771</v>
      </c>
      <c r="J49" s="384">
        <v>0</v>
      </c>
      <c r="K49" s="385">
        <v>0</v>
      </c>
      <c r="L49" s="386">
        <v>11.818761004945794604755585915</v>
      </c>
      <c r="M49" s="384">
        <v>200.90909090909090909090909091</v>
      </c>
      <c r="N49" s="385">
        <v>198.48260406582768635043562439</v>
      </c>
      <c r="O49" s="386">
        <v>183.96158162983679552521665532</v>
      </c>
      <c r="P49" s="4"/>
      <c r="Q49" s="364">
        <v>3.5973358768868692758881173800</v>
      </c>
      <c r="R49" s="365">
        <v>1.074465158116106251961498100</v>
      </c>
      <c r="S49" s="366">
        <v>-1.1662973694233297895969955700</v>
      </c>
      <c r="T49" s="364">
        <v>-45.204789283356297987257090540</v>
      </c>
      <c r="U49" s="365">
        <v>-16.365361168091951614362553460</v>
      </c>
      <c r="V49" s="366">
        <v>-5.1951934598908267498038845900</v>
      </c>
      <c r="W49" s="364">
        <v>0</v>
      </c>
      <c r="X49" s="365">
        <v>-100</v>
      </c>
      <c r="Y49" s="366">
        <v>24.355760481883945931306493210</v>
      </c>
      <c r="Z49" s="364">
        <v>-9.608733571902858608174294090</v>
      </c>
      <c r="AA49" s="365">
        <v>-2.4175512518974708306977353600</v>
      </c>
      <c r="AB49" s="366">
        <v>-0.73809036710605204855776200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0" t="s">
        <v>114</v>
      </c>
      <c r="E52" s="650"/>
      <c r="F52" s="650"/>
      <c r="G52" s="650"/>
      <c r="H52" s="650"/>
      <c r="I52" s="650"/>
      <c r="J52" s="650"/>
      <c r="K52" s="650"/>
      <c r="L52" s="650"/>
      <c r="M52" s="650"/>
      <c r="N52" s="650"/>
      <c r="O52" s="650"/>
      <c r="P52" s="650"/>
      <c r="Q52" s="650"/>
      <c r="R52" s="650"/>
      <c r="S52" s="650"/>
      <c r="T52" s="650"/>
      <c r="U52" s="650"/>
      <c r="V52" s="650"/>
      <c r="W52" s="650"/>
      <c r="X52" s="650"/>
      <c r="Y52" s="650"/>
      <c r="Z52" s="650"/>
      <c r="AA52" s="650"/>
      <c r="AB52" s="650"/>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9"/>
</worksheet>
</file>

<file path=xl/worksheets/sheet8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158</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168</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177</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178</v>
      </c>
      <c r="B4" s="443"/>
      <c r="C4" s="211"/>
      <c r="D4" s="212"/>
      <c r="E4" s="212"/>
      <c r="F4" s="212"/>
      <c r="G4" s="212"/>
      <c r="H4" s="212"/>
      <c r="I4" s="212"/>
      <c r="J4" s="212"/>
      <c r="K4" s="212"/>
      <c r="L4" s="212"/>
      <c r="M4" s="212"/>
      <c r="N4" s="212"/>
      <c r="O4" s="212"/>
      <c r="P4" s="212"/>
      <c r="Q4" s="667" t="s">
        <v>180</v>
      </c>
      <c r="R4" s="667"/>
      <c r="S4" s="667"/>
      <c r="T4" s="667"/>
      <c r="U4" s="667"/>
      <c r="V4" s="667"/>
      <c r="W4" s="667"/>
      <c r="X4" s="667"/>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3" t="s">
        <v>33</v>
      </c>
      <c r="E8" s="683"/>
      <c r="F8" s="683"/>
      <c r="G8" s="683" t="s">
        <v>30</v>
      </c>
      <c r="H8" s="683"/>
      <c r="I8" s="683"/>
      <c r="J8" s="683" t="s">
        <v>29</v>
      </c>
      <c r="K8" s="683"/>
      <c r="L8" s="683"/>
      <c r="M8" s="683" t="s">
        <v>94</v>
      </c>
      <c r="N8" s="683"/>
      <c r="O8" s="683"/>
      <c r="Q8" s="683" t="s">
        <v>33</v>
      </c>
      <c r="R8" s="683"/>
      <c r="S8" s="683"/>
      <c r="T8" s="683" t="s">
        <v>30</v>
      </c>
      <c r="U8" s="683"/>
      <c r="V8" s="683"/>
      <c r="W8" s="683" t="s">
        <v>29</v>
      </c>
      <c r="X8" s="683"/>
      <c r="Y8" s="683"/>
      <c r="Z8" s="684" t="s">
        <v>23</v>
      </c>
      <c r="AA8" s="684"/>
      <c r="AB8" s="684"/>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181</v>
      </c>
      <c r="G9" s="339" t="s">
        <v>63</v>
      </c>
      <c r="H9" s="340" t="s">
        <v>26</v>
      </c>
      <c r="I9" s="341" t="s">
        <v>181</v>
      </c>
      <c r="J9" s="339" t="s">
        <v>63</v>
      </c>
      <c r="K9" s="340" t="s">
        <v>26</v>
      </c>
      <c r="L9" s="341" t="s">
        <v>181</v>
      </c>
      <c r="M9" s="339" t="s">
        <v>63</v>
      </c>
      <c r="N9" s="340" t="s">
        <v>26</v>
      </c>
      <c r="O9" s="341" t="s">
        <v>181</v>
      </c>
      <c r="P9" s="96"/>
      <c r="Q9" s="339" t="s">
        <v>63</v>
      </c>
      <c r="R9" s="340" t="s">
        <v>26</v>
      </c>
      <c r="S9" s="341" t="s">
        <v>181</v>
      </c>
      <c r="T9" s="339" t="s">
        <v>63</v>
      </c>
      <c r="U9" s="340" t="s">
        <v>26</v>
      </c>
      <c r="V9" s="341" t="s">
        <v>181</v>
      </c>
      <c r="W9" s="339" t="s">
        <v>63</v>
      </c>
      <c r="X9" s="340" t="s">
        <v>26</v>
      </c>
      <c r="Y9" s="341" t="s">
        <v>181</v>
      </c>
      <c r="Z9" s="94" t="s">
        <v>63</v>
      </c>
      <c r="AA9" s="94" t="s">
        <v>26</v>
      </c>
      <c r="AB9" s="95" t="s">
        <v>181</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182</v>
      </c>
      <c r="B10" s="342">
        <v>20</v>
      </c>
      <c r="C10" s="343" t="s">
        <v>49</v>
      </c>
      <c r="D10" s="374">
        <v>210.82786885245901639344262295</v>
      </c>
      <c r="E10" s="382">
        <v>211.88894339622641509433962264</v>
      </c>
      <c r="F10" s="375">
        <v>225.54284361685340066277418337</v>
      </c>
      <c r="G10" s="374">
        <v>1.0819672131147540983606557377</v>
      </c>
      <c r="H10" s="382">
        <v>86.65008050366818289000340214</v>
      </c>
      <c r="I10" s="375">
        <v>52.658776504101860878521820899</v>
      </c>
      <c r="J10" s="374">
        <v>30.901639344262295081967213115</v>
      </c>
      <c r="K10" s="382">
        <v>34.789793056613198054346814055</v>
      </c>
      <c r="L10" s="375">
        <v>17.876301100275937605516339945</v>
      </c>
      <c r="M10" s="374">
        <v>242.8114754098360655737704918</v>
      </c>
      <c r="N10" s="382">
        <v>333.32881695650779603868983883</v>
      </c>
      <c r="O10" s="375">
        <v>296.0779212212311991468123442</v>
      </c>
      <c r="P10" s="4"/>
      <c r="Q10" s="354">
        <v>86.82780272085879215474462411</v>
      </c>
      <c r="R10" s="355">
        <v>63.567544303819774788974551350</v>
      </c>
      <c r="S10" s="356">
        <v>76.176853271111166272606732330</v>
      </c>
      <c r="T10" s="354">
        <v>0.4455997029335313776457482400</v>
      </c>
      <c r="U10" s="355">
        <v>25.995376365846624355777686370</v>
      </c>
      <c r="V10" s="356">
        <v>17.785445225669126179852677440</v>
      </c>
      <c r="W10" s="354">
        <v>12.726597576207676467609627650</v>
      </c>
      <c r="X10" s="355">
        <v>10.437079330333600855247762290</v>
      </c>
      <c r="Y10" s="356">
        <v>6.0377015032197075475405902400</v>
      </c>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21</v>
      </c>
      <c r="C11" s="345" t="s">
        <v>47</v>
      </c>
      <c r="D11" s="370">
        <v>197.21929824561403508771929825</v>
      </c>
      <c r="E11" s="172">
        <v>199.02542635658914728682170541</v>
      </c>
      <c r="F11" s="371">
        <v>206.82560741687979539641943734</v>
      </c>
      <c r="G11" s="370">
        <v>1.6052631578947368421052631579</v>
      </c>
      <c r="H11" s="172">
        <v>83.83972916777921475542014807</v>
      </c>
      <c r="I11" s="371">
        <v>68.608749520024611524841084994</v>
      </c>
      <c r="J11" s="370">
        <v>33.99122807017543859649122807</v>
      </c>
      <c r="K11" s="172">
        <v>34.800383489834065947557426874</v>
      </c>
      <c r="L11" s="371">
        <v>23.257550923138723060140086739</v>
      </c>
      <c r="M11" s="370">
        <v>232.81578947368421052631578947</v>
      </c>
      <c r="N11" s="172">
        <v>317.66553901420242798979928035</v>
      </c>
      <c r="O11" s="371">
        <v>298.69190786004312998140060906</v>
      </c>
      <c r="P11" s="4"/>
      <c r="Q11" s="327">
        <v>84.71044798613465958328623639</v>
      </c>
      <c r="R11" s="171">
        <v>62.652507720609559097941277880</v>
      </c>
      <c r="S11" s="328">
        <v>69.243793345011288770583119400</v>
      </c>
      <c r="T11" s="327">
        <v>0.6894992652876681360913303900</v>
      </c>
      <c r="U11" s="171">
        <v>26.392453341950587084231457140</v>
      </c>
      <c r="V11" s="328">
        <v>22.969738287042024011862065180</v>
      </c>
      <c r="W11" s="327">
        <v>14.600052748577672280622433220</v>
      </c>
      <c r="X11" s="171">
        <v>10.955038937439853817827264980</v>
      </c>
      <c r="Y11" s="328">
        <v>7.7864683679466872175548154200</v>
      </c>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22</v>
      </c>
      <c r="C12" s="347" t="s">
        <v>48</v>
      </c>
      <c r="D12" s="378">
        <v>204.38983050847457627118644068</v>
      </c>
      <c r="E12" s="173">
        <v>191.46034530386740331491712708</v>
      </c>
      <c r="F12" s="379">
        <v>212.94239766081871345029239766</v>
      </c>
      <c r="G12" s="378">
        <v>0.8135593220338983050847457627</v>
      </c>
      <c r="H12" s="173">
        <v>46.323747064551806748645170668</v>
      </c>
      <c r="I12" s="379">
        <v>63.013410410175994895830487221</v>
      </c>
      <c r="J12" s="378">
        <v>32.389830508474576271186440678</v>
      </c>
      <c r="K12" s="173">
        <v>35.670417633915491688256408601</v>
      </c>
      <c r="L12" s="379">
        <v>20.611774215513317830796879111</v>
      </c>
      <c r="M12" s="378">
        <v>237.59322033898305084745762712</v>
      </c>
      <c r="N12" s="173">
        <v>273.45451000233470175181870635</v>
      </c>
      <c r="O12" s="379">
        <v>296.56758228650802617691976399</v>
      </c>
      <c r="P12" s="4"/>
      <c r="Q12" s="359">
        <v>86.02511057212155799686117848</v>
      </c>
      <c r="R12" s="170">
        <v>70.015427905077430206974432770</v>
      </c>
      <c r="S12" s="360">
        <v>71.802317710874855575948948660</v>
      </c>
      <c r="T12" s="359">
        <v>0.3424168925666999571978884300</v>
      </c>
      <c r="U12" s="170">
        <v>16.940202253075403126421644050</v>
      </c>
      <c r="V12" s="360">
        <v>21.247571944427828901180892890</v>
      </c>
      <c r="W12" s="359">
        <v>13.632472535311742045940933090</v>
      </c>
      <c r="X12" s="170">
        <v>13.044369841847166666603923180</v>
      </c>
      <c r="Y12" s="360">
        <v>6.9501103446973155228701584500</v>
      </c>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23</v>
      </c>
      <c r="C13" s="345" t="s">
        <v>50</v>
      </c>
      <c r="D13" s="370">
        <v>198.97520661157024793388429752</v>
      </c>
      <c r="E13" s="172">
        <v>190.49486416558861578266494178</v>
      </c>
      <c r="F13" s="371">
        <v>218.06756756756756756756756757</v>
      </c>
      <c r="G13" s="370">
        <v>2.5289256198347107438016528926</v>
      </c>
      <c r="H13" s="172">
        <v>47.796532301644020921741433172</v>
      </c>
      <c r="I13" s="371">
        <v>93.27423391522402548799121768</v>
      </c>
      <c r="J13" s="370">
        <v>32.074380165289256198347107438</v>
      </c>
      <c r="K13" s="172">
        <v>36.261088811962552639198114465</v>
      </c>
      <c r="L13" s="371">
        <v>23.446150664311737003546496082</v>
      </c>
      <c r="M13" s="370">
        <v>233.57851239669421487603305785</v>
      </c>
      <c r="N13" s="172">
        <v>274.55248527919518934360448941</v>
      </c>
      <c r="O13" s="371">
        <v>334.78795214710333005910528133</v>
      </c>
      <c r="P13" s="4"/>
      <c r="Q13" s="327">
        <v>85.18557831794218589675547536</v>
      </c>
      <c r="R13" s="171">
        <v>69.383769726896650933582082010</v>
      </c>
      <c r="S13" s="328">
        <v>65.136026003632981466447364700</v>
      </c>
      <c r="T13" s="327">
        <v>1.0826876127799596645791317300</v>
      </c>
      <c r="U13" s="171">
        <v>17.408887139753714306862543460</v>
      </c>
      <c r="V13" s="328">
        <v>27.860690122516721432174148660</v>
      </c>
      <c r="W13" s="327">
        <v>13.731734069277854438665392920</v>
      </c>
      <c r="X13" s="171">
        <v>13.207343133349634759555374530</v>
      </c>
      <c r="Y13" s="328">
        <v>7.0032838738502971013784866400</v>
      </c>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24</v>
      </c>
      <c r="C14" s="347" t="s">
        <v>51</v>
      </c>
      <c r="D14" s="378">
        <v>215.20353982300884955752212389</v>
      </c>
      <c r="E14" s="173">
        <v>213.20942668136714443219404631</v>
      </c>
      <c r="F14" s="379">
        <v>218.77990366604227990366604228</v>
      </c>
      <c r="G14" s="378">
        <v>0.672566371681415929203539823</v>
      </c>
      <c r="H14" s="173">
        <v>67.37958960597288018387526224</v>
      </c>
      <c r="I14" s="379">
        <v>82.08076284290214482729975179</v>
      </c>
      <c r="J14" s="378">
        <v>29.592920353982300884955752212</v>
      </c>
      <c r="K14" s="173">
        <v>38.868370319289436989025287965</v>
      </c>
      <c r="L14" s="379">
        <v>25.820622974253091273083787962</v>
      </c>
      <c r="M14" s="378">
        <v>245.46902654867256637168141593</v>
      </c>
      <c r="N14" s="173">
        <v>319.4573866066294616050945965</v>
      </c>
      <c r="O14" s="379">
        <v>326.68128948319751600404958203</v>
      </c>
      <c r="P14" s="4"/>
      <c r="Q14" s="359">
        <v>87.67034393251135626216742375</v>
      </c>
      <c r="R14" s="170">
        <v>66.741116537056954605587578280</v>
      </c>
      <c r="S14" s="360">
        <v>66.970442051378941220741764480</v>
      </c>
      <c r="T14" s="359">
        <v>0.2739923570553031941740572500</v>
      </c>
      <c r="U14" s="170">
        <v>21.091886564808766786008371930</v>
      </c>
      <c r="V14" s="360">
        <v>25.125639418392180789238407740</v>
      </c>
      <c r="W14" s="359">
        <v>12.05566371043334054365851900</v>
      </c>
      <c r="X14" s="170">
        <v>12.166996898134278608404049800</v>
      </c>
      <c r="Y14" s="360">
        <v>7.9039185302288779900198277800</v>
      </c>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25</v>
      </c>
      <c r="C15" s="345" t="s">
        <v>52</v>
      </c>
      <c r="D15" s="370">
        <v>306.37272727272727272727272727</v>
      </c>
      <c r="E15" s="172">
        <v>293.30376175548589341692789969</v>
      </c>
      <c r="F15" s="371">
        <v>252.42353658536585365853658537</v>
      </c>
      <c r="G15" s="370">
        <v>0.9636363636363636363636363636</v>
      </c>
      <c r="H15" s="172">
        <v>74.35223422803474792157939203</v>
      </c>
      <c r="I15" s="371">
        <v>98.92762093364949630244640706</v>
      </c>
      <c r="J15" s="370">
        <v>30.763636363636363636363636364</v>
      </c>
      <c r="K15" s="172">
        <v>38.012513630781044426649293457</v>
      </c>
      <c r="L15" s="371">
        <v>30.490770637502351800032842099</v>
      </c>
      <c r="M15" s="370">
        <v>338.100000000</v>
      </c>
      <c r="N15" s="172">
        <v>405.66850961430168576515658517</v>
      </c>
      <c r="O15" s="371">
        <v>381.84192815651770176101583452</v>
      </c>
      <c r="P15" s="4"/>
      <c r="Q15" s="327">
        <v>90.61600924954962222042967385</v>
      </c>
      <c r="R15" s="171">
        <v>72.301338359822638597211797910</v>
      </c>
      <c r="S15" s="328">
        <v>66.106814881234568430897674890</v>
      </c>
      <c r="T15" s="327">
        <v>0.2850151918474899841359468700</v>
      </c>
      <c r="U15" s="171">
        <v>18.328322870988132715181632990</v>
      </c>
      <c r="V15" s="328">
        <v>25.908003715374830266146971820</v>
      </c>
      <c r="W15" s="327">
        <v>9.098975558602887795434379290</v>
      </c>
      <c r="X15" s="171">
        <v>9.370338769189228687606569100</v>
      </c>
      <c r="Y15" s="328">
        <v>7.985181403390601302955353290</v>
      </c>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26</v>
      </c>
      <c r="C16" s="347" t="s">
        <v>53</v>
      </c>
      <c r="D16" s="378">
        <v>325.19827586206896551724137931</v>
      </c>
      <c r="E16" s="173">
        <v>310.13017329255861365953109073</v>
      </c>
      <c r="F16" s="379">
        <v>259.38790697674418604651162791</v>
      </c>
      <c r="G16" s="378">
        <v>0.7068965517241379310344827586</v>
      </c>
      <c r="H16" s="173">
        <v>88.12990693963070246220231549</v>
      </c>
      <c r="I16" s="379">
        <v>79.41626178678097385534024289</v>
      </c>
      <c r="J16" s="378">
        <v>31.327586206896551724137931034</v>
      </c>
      <c r="K16" s="173">
        <v>38.519883637433290274166160817</v>
      </c>
      <c r="L16" s="379">
        <v>23.446116154196718809338611812</v>
      </c>
      <c r="M16" s="378">
        <v>357.2327586206896551724137931</v>
      </c>
      <c r="N16" s="173">
        <v>436.77996386962260639589956704</v>
      </c>
      <c r="O16" s="379">
        <v>362.2502849177218787111904826</v>
      </c>
      <c r="P16" s="4"/>
      <c r="Q16" s="359">
        <v>91.03260213808248268539298728</v>
      </c>
      <c r="R16" s="170">
        <v>71.003754509474582526875701160</v>
      </c>
      <c r="S16" s="360">
        <v>71.604610893724794349307586260</v>
      </c>
      <c r="T16" s="359">
        <v>0.1978812230024855812157629300</v>
      </c>
      <c r="U16" s="170">
        <v>20.177186279070528069254258260</v>
      </c>
      <c r="V16" s="360">
        <v>21.923036390383747062285963490</v>
      </c>
      <c r="W16" s="359">
        <v>8.769516638915031733391249790</v>
      </c>
      <c r="X16" s="170">
        <v>8.819059211454889403870040580</v>
      </c>
      <c r="Y16" s="360">
        <v>6.4723527158914585884064502500</v>
      </c>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27</v>
      </c>
      <c r="C17" s="345" t="s">
        <v>49</v>
      </c>
      <c r="D17" s="370">
        <v>248.25925925925925925925925926</v>
      </c>
      <c r="E17" s="172">
        <v>252.23926666666666666666666667</v>
      </c>
      <c r="F17" s="371">
        <v>238.97769095034030753718174943</v>
      </c>
      <c r="G17" s="370">
        <v>3.4074074074074074074074074074</v>
      </c>
      <c r="H17" s="172">
        <v>67.083420517252402575442987888</v>
      </c>
      <c r="I17" s="371">
        <v>65.059573762031912344141953576</v>
      </c>
      <c r="J17" s="370">
        <v>33.259259259259259259259259259</v>
      </c>
      <c r="K17" s="172">
        <v>33.32879666245001287759645075</v>
      </c>
      <c r="L17" s="371">
        <v>21.355368669435481260798999173</v>
      </c>
      <c r="M17" s="370">
        <v>284.92592592592592592592592593</v>
      </c>
      <c r="N17" s="172">
        <v>352.65148384636908211970610531</v>
      </c>
      <c r="O17" s="371">
        <v>325.39263338180770114212270218</v>
      </c>
      <c r="P17" s="4"/>
      <c r="Q17" s="327">
        <v>87.13115819576238138567528922</v>
      </c>
      <c r="R17" s="171">
        <v>71.526500871481796028166029680</v>
      </c>
      <c r="S17" s="328">
        <v>73.442870684146611065180326280</v>
      </c>
      <c r="T17" s="327">
        <v>1.1958923696867281944624983800</v>
      </c>
      <c r="U17" s="171">
        <v>19.022582802026992501961507720</v>
      </c>
      <c r="V17" s="328">
        <v>19.994175370802759077386810900</v>
      </c>
      <c r="W17" s="327">
        <v>11.672949434550890419862212400</v>
      </c>
      <c r="X17" s="171">
        <v>9.450916326491211469872462600</v>
      </c>
      <c r="Y17" s="328">
        <v>6.5629539450506298574328628200</v>
      </c>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28</v>
      </c>
      <c r="C18" s="347" t="s">
        <v>47</v>
      </c>
      <c r="D18" s="378">
        <v>285.42741935483870967741935484</v>
      </c>
      <c r="E18" s="173">
        <v>308.74</v>
      </c>
      <c r="F18" s="379">
        <v>269.46395280235988200589970501</v>
      </c>
      <c r="G18" s="378">
        <v>1.3225806451612903225806451613</v>
      </c>
      <c r="H18" s="173">
        <v>35.897578997951104013512898018</v>
      </c>
      <c r="I18" s="379">
        <v>88.04103998104315316963765044</v>
      </c>
      <c r="J18" s="378">
        <v>26.806451612903225806451612903</v>
      </c>
      <c r="K18" s="173">
        <v>25.583197640609591573081115167</v>
      </c>
      <c r="L18" s="379">
        <v>25.589176499412044049593774998</v>
      </c>
      <c r="M18" s="378">
        <v>313.5564516129032258064516129</v>
      </c>
      <c r="N18" s="173">
        <v>370.22077663856069558659401318</v>
      </c>
      <c r="O18" s="379">
        <v>383.09416928281507922513113044</v>
      </c>
      <c r="P18" s="4"/>
      <c r="Q18" s="359">
        <v>91.02903731899899693937913120</v>
      </c>
      <c r="R18" s="170">
        <v>83.39348288424580354195810270</v>
      </c>
      <c r="S18" s="360">
        <v>70.338829042169803144212730620</v>
      </c>
      <c r="T18" s="359">
        <v>0.4217998508268820246392839700</v>
      </c>
      <c r="U18" s="170">
        <v>9.696262679767756091485420570</v>
      </c>
      <c r="V18" s="360">
        <v>22.981566163187364675875130960</v>
      </c>
      <c r="W18" s="359">
        <v>8.549162830174121035981584840</v>
      </c>
      <c r="X18" s="170">
        <v>6.9102544359864403665564767300</v>
      </c>
      <c r="Y18" s="360">
        <v>6.6796047946428321799121384200</v>
      </c>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29</v>
      </c>
      <c r="C19" s="345" t="s">
        <v>48</v>
      </c>
      <c r="D19" s="370">
        <v>311.484375000</v>
      </c>
      <c r="E19" s="172">
        <v>326.95688492063492063492063492</v>
      </c>
      <c r="F19" s="371">
        <v>280.38212775682779110958747572</v>
      </c>
      <c r="G19" s="370">
        <v>1.6484375</v>
      </c>
      <c r="H19" s="172">
        <v>53.433950728001219642982708925</v>
      </c>
      <c r="I19" s="371">
        <v>72.674467240220920740112650431</v>
      </c>
      <c r="J19" s="370">
        <v>26.6484375</v>
      </c>
      <c r="K19" s="172">
        <v>31.444439519832582572218423812</v>
      </c>
      <c r="L19" s="371">
        <v>22.814482815043850138841107523</v>
      </c>
      <c r="M19" s="370">
        <v>339.781250000</v>
      </c>
      <c r="N19" s="172">
        <v>411.83527516846872285012176766</v>
      </c>
      <c r="O19" s="371">
        <v>375.87107781209256198854123366</v>
      </c>
      <c r="P19" s="4"/>
      <c r="Q19" s="327">
        <v>91.67203163800239124436678010</v>
      </c>
      <c r="R19" s="171">
        <v>79.39020881270727714621042722</v>
      </c>
      <c r="S19" s="328">
        <v>74.595291925333476454299094670</v>
      </c>
      <c r="T19" s="327">
        <v>0.4851466936448082405959716700</v>
      </c>
      <c r="U19" s="171">
        <v>12.974592986514593375616040150</v>
      </c>
      <c r="V19" s="328">
        <v>19.334945285828222481015095970</v>
      </c>
      <c r="W19" s="327">
        <v>7.8428216683528005150372482300</v>
      </c>
      <c r="X19" s="171">
        <v>7.6351982007781294781735326400</v>
      </c>
      <c r="Y19" s="328">
        <v>6.0697627888383010646858093600</v>
      </c>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30</v>
      </c>
      <c r="C20" s="347" t="s">
        <v>50</v>
      </c>
      <c r="D20" s="378">
        <v>267.27777777777777777777777778</v>
      </c>
      <c r="E20" s="173">
        <v>332.71536940686784599375650364</v>
      </c>
      <c r="F20" s="379">
        <v>265.43899066712754925682682337</v>
      </c>
      <c r="G20" s="378">
        <v>0.9603174603174603174603174603</v>
      </c>
      <c r="H20" s="173">
        <v>38.858682866873949583199808337</v>
      </c>
      <c r="I20" s="379">
        <v>190.3116635700098664933349971</v>
      </c>
      <c r="J20" s="378">
        <v>243.07142857142857142857142857</v>
      </c>
      <c r="K20" s="173">
        <v>29.437035270121199528241620669</v>
      </c>
      <c r="L20" s="379">
        <v>88.39804944379737909093327513</v>
      </c>
      <c r="M20" s="378">
        <v>511.30952380952380952380952381</v>
      </c>
      <c r="N20" s="173">
        <v>401.01108754386299510519793264</v>
      </c>
      <c r="O20" s="379">
        <v>544.14870368093479484109509559</v>
      </c>
      <c r="P20" s="4"/>
      <c r="Q20" s="359">
        <v>52.273185875048506014745828480</v>
      </c>
      <c r="R20" s="170">
        <v>82.96911974297346705209746607</v>
      </c>
      <c r="S20" s="360">
        <v>48.780597816652975756838506950</v>
      </c>
      <c r="T20" s="359">
        <v>0.1878152890958478851377570800</v>
      </c>
      <c r="U20" s="170">
        <v>9.690176674385230773158904930</v>
      </c>
      <c r="V20" s="360">
        <v>34.974201405357086720181950140</v>
      </c>
      <c r="W20" s="359">
        <v>47.538998835855646100116414440</v>
      </c>
      <c r="X20" s="170">
        <v>7.3407035826413021747436290100</v>
      </c>
      <c r="Y20" s="360">
        <v>16.245200777989937522979542910</v>
      </c>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t="s">
        <v>179</v>
      </c>
      <c r="B21" s="668">
        <v>1</v>
      </c>
      <c r="C21" s="679" t="s">
        <v>51</v>
      </c>
      <c r="D21" s="680">
        <v>297.04838709677419354838709677</v>
      </c>
      <c r="E21" s="681">
        <v>301.69745762711864406779661017</v>
      </c>
      <c r="F21" s="682">
        <v>285.45558252427184466019417476</v>
      </c>
      <c r="G21" s="680">
        <v>0.9193548387096774193548387097</v>
      </c>
      <c r="H21" s="681">
        <v>52.170810094874700727804874961</v>
      </c>
      <c r="I21" s="682">
        <v>70.498365914944211568331005688</v>
      </c>
      <c r="J21" s="680">
        <v>31.879032258064516129032258065</v>
      </c>
      <c r="K21" s="681">
        <v>32.586037388544817317103697742</v>
      </c>
      <c r="L21" s="682">
        <v>20.691920439051783790153069314</v>
      </c>
      <c r="M21" s="680">
        <v>329.84677419354838709677419355</v>
      </c>
      <c r="N21" s="681">
        <v>386.45430511053816211270518287</v>
      </c>
      <c r="O21" s="682">
        <v>376.64586887826784001867824976</v>
      </c>
      <c r="P21" s="4"/>
      <c r="Q21" s="670">
        <v>90.05647783672770836898853329</v>
      </c>
      <c r="R21" s="671">
        <v>78.068080401077075023339954890</v>
      </c>
      <c r="S21" s="672">
        <v>75.788852636143276537365207320</v>
      </c>
      <c r="T21" s="670">
        <v>0.2787217916432361066966577800</v>
      </c>
      <c r="U21" s="671">
        <v>13.499865159983713441170094070</v>
      </c>
      <c r="V21" s="672">
        <v>18.717413820282553982930685340</v>
      </c>
      <c r="W21" s="670">
        <v>9.664800371629055524314808930</v>
      </c>
      <c r="X21" s="671">
        <v>8.432054438939211535489951040</v>
      </c>
      <c r="Y21" s="672">
        <v>5.4937335435741694797041073500</v>
      </c>
      <c r="Z21" s="685"/>
      <c r="AA21" s="685"/>
      <c r="AB21" s="686"/>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v>
      </c>
      <c r="C22" s="347" t="s">
        <v>52</v>
      </c>
      <c r="D22" s="378">
        <v>420.132812500</v>
      </c>
      <c r="E22" s="173">
        <v>397.13426853707414829659318637</v>
      </c>
      <c r="F22" s="379">
        <v>327.43658672615727830451756832</v>
      </c>
      <c r="G22" s="378">
        <v>1.3203125</v>
      </c>
      <c r="H22" s="173">
        <v>93.12352144415946001064497786</v>
      </c>
      <c r="I22" s="379">
        <v>79.138310073622224092110450463</v>
      </c>
      <c r="J22" s="378">
        <v>26.5234375</v>
      </c>
      <c r="K22" s="173">
        <v>33.485320682666441289068860751</v>
      </c>
      <c r="L22" s="379">
        <v>22.668223911075787416829430142</v>
      </c>
      <c r="M22" s="378">
        <v>447.976562500</v>
      </c>
      <c r="N22" s="173">
        <v>523.74311066390004959630702498</v>
      </c>
      <c r="O22" s="379">
        <v>429.24312071085528981345744892</v>
      </c>
      <c r="P22" s="4"/>
      <c r="Q22" s="359">
        <v>93.78455206571214314364939572</v>
      </c>
      <c r="R22" s="170">
        <v>75.826156077483150182387960940</v>
      </c>
      <c r="S22" s="360">
        <v>76.282314363920477387373845070</v>
      </c>
      <c r="T22" s="359">
        <v>0.2947280305540538183847508800</v>
      </c>
      <c r="U22" s="170">
        <v>17.780381173150993925950279770</v>
      </c>
      <c r="V22" s="360">
        <v>18.436710166155696242357292430</v>
      </c>
      <c r="W22" s="359">
        <v>5.920719903733803037965853400</v>
      </c>
      <c r="X22" s="170">
        <v>6.3934627493658558916617592900</v>
      </c>
      <c r="Y22" s="360">
        <v>5.280975469923826370268862500</v>
      </c>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3</v>
      </c>
      <c r="C23" s="345" t="s">
        <v>53</v>
      </c>
      <c r="D23" s="370">
        <v>408.95419847328244274809160305</v>
      </c>
      <c r="E23" s="172">
        <v>393.97708129285014691478942214</v>
      </c>
      <c r="F23" s="371">
        <v>346.25260159929893745207580239</v>
      </c>
      <c r="G23" s="370">
        <v>1.6030534351145038167938931298</v>
      </c>
      <c r="H23" s="172">
        <v>100.63267729549071204162991246</v>
      </c>
      <c r="I23" s="371">
        <v>69.472410894865533583878020811</v>
      </c>
      <c r="J23" s="370">
        <v>25.549618320610687022900763359</v>
      </c>
      <c r="K23" s="172">
        <v>33.662188651656592034239065423</v>
      </c>
      <c r="L23" s="371">
        <v>22.110877059534220586833620318</v>
      </c>
      <c r="M23" s="370">
        <v>436.10687022900763358778625954</v>
      </c>
      <c r="N23" s="172">
        <v>528.27194723999745099065840002</v>
      </c>
      <c r="O23" s="371">
        <v>437.83588955369869162278744352</v>
      </c>
      <c r="P23" s="4"/>
      <c r="Q23" s="327">
        <v>93.77384911605111150008751969</v>
      </c>
      <c r="R23" s="171">
        <v>74.578459702662148864835502440</v>
      </c>
      <c r="S23" s="328">
        <v>79.082736217043838934547413530</v>
      </c>
      <c r="T23" s="327">
        <v>0.367582706108874496761771400</v>
      </c>
      <c r="U23" s="171">
        <v>19.049407756981011712904514550</v>
      </c>
      <c r="V23" s="328">
        <v>15.867226180494516251419374790</v>
      </c>
      <c r="W23" s="327">
        <v>5.8585681778400140031507089100</v>
      </c>
      <c r="X23" s="171">
        <v>6.3721325403568394222599830100</v>
      </c>
      <c r="Y23" s="328">
        <v>5.0500376024616448140332116800</v>
      </c>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4</v>
      </c>
      <c r="C24" s="347" t="s">
        <v>49</v>
      </c>
      <c r="D24" s="378">
        <v>289.93023255813953488372093023</v>
      </c>
      <c r="E24" s="173">
        <v>266.29779816513761467889908257</v>
      </c>
      <c r="F24" s="379">
        <v>268.1900944006207164101900944</v>
      </c>
      <c r="G24" s="378">
        <v>3.0232558139534883720930232558</v>
      </c>
      <c r="H24" s="173">
        <v>42.54610334480172201926399762</v>
      </c>
      <c r="I24" s="379">
        <v>63.352845549722615667483743617</v>
      </c>
      <c r="J24" s="378">
        <v>25.031007751937984496124031008</v>
      </c>
      <c r="K24" s="173">
        <v>33.742399076090215971547772222</v>
      </c>
      <c r="L24" s="379">
        <v>20.660362131530622662716822423</v>
      </c>
      <c r="M24" s="378">
        <v>317.9844961240310077519379845</v>
      </c>
      <c r="N24" s="173">
        <v>342.58630058602955266971085241</v>
      </c>
      <c r="O24" s="379">
        <v>352.20330208187395474039066044</v>
      </c>
      <c r="P24" s="4"/>
      <c r="Q24" s="359">
        <v>91.17747440273037542662116041</v>
      </c>
      <c r="R24" s="170">
        <v>77.731595720438176306345914370</v>
      </c>
      <c r="S24" s="360">
        <v>76.146388411280896175668419650</v>
      </c>
      <c r="T24" s="359">
        <v>0.9507557289127254997562164800</v>
      </c>
      <c r="U24" s="170">
        <v>12.419090685185654076425350510</v>
      </c>
      <c r="V24" s="360">
        <v>17.987578530707663201397221450</v>
      </c>
      <c r="W24" s="359">
        <v>7.8717698683568990736226231100</v>
      </c>
      <c r="X24" s="170">
        <v>9.849313594376169617228735120</v>
      </c>
      <c r="Y24" s="360">
        <v>5.8660330580114406229343588900</v>
      </c>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5</v>
      </c>
      <c r="C25" s="345" t="s">
        <v>47</v>
      </c>
      <c r="D25" s="370">
        <v>191.56470588235294117647058824</v>
      </c>
      <c r="E25" s="172">
        <v>179.39512953367875647668393783</v>
      </c>
      <c r="F25" s="371">
        <v>207.9854346836595357305416477</v>
      </c>
      <c r="G25" s="370">
        <v>4.9647058823529411764705882353</v>
      </c>
      <c r="H25" s="172">
        <v>40.880029364010480833916785973</v>
      </c>
      <c r="I25" s="371">
        <v>63.160634302784884298861038302</v>
      </c>
      <c r="J25" s="370">
        <v>32.564705882352941176470588235</v>
      </c>
      <c r="K25" s="172">
        <v>33.493470502940486467947385748</v>
      </c>
      <c r="L25" s="371">
        <v>25.198126265551177105028100502</v>
      </c>
      <c r="M25" s="370">
        <v>229.09411764705882352941176471</v>
      </c>
      <c r="N25" s="172">
        <v>253.76862940062972377854810955</v>
      </c>
      <c r="O25" s="371">
        <v>296.3441952519955971344307865</v>
      </c>
      <c r="P25" s="4"/>
      <c r="Q25" s="327">
        <v>83.61834334719868535921532378</v>
      </c>
      <c r="R25" s="171">
        <v>70.692398015226695958486420970</v>
      </c>
      <c r="S25" s="328">
        <v>70.183738374493755520491792070</v>
      </c>
      <c r="T25" s="327">
        <v>2.1671031684897036922918913400</v>
      </c>
      <c r="U25" s="171">
        <v>16.109173722758435458711963390</v>
      </c>
      <c r="V25" s="328">
        <v>21.313268596024425527027507430</v>
      </c>
      <c r="W25" s="327">
        <v>14.214553484311610948492784880</v>
      </c>
      <c r="X25" s="171">
        <v>13.198428262014868582801615640</v>
      </c>
      <c r="Y25" s="328">
        <v>8.502993029481818952480700500</v>
      </c>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6</v>
      </c>
      <c r="C26" s="347" t="s">
        <v>48</v>
      </c>
      <c r="D26" s="378">
        <v>173.10294117647058823529411765</v>
      </c>
      <c r="E26" s="173">
        <v>190.80512376237623762376237624</v>
      </c>
      <c r="F26" s="379">
        <v>206.61018272684679056692175543</v>
      </c>
      <c r="G26" s="378">
        <v>1.9411764705882352941176470588</v>
      </c>
      <c r="H26" s="173">
        <v>73.112356885405520345763207938</v>
      </c>
      <c r="I26" s="379">
        <v>98.5301891474959729840346149</v>
      </c>
      <c r="J26" s="378">
        <v>23.397058823529411764705882353</v>
      </c>
      <c r="K26" s="173">
        <v>31.33386723660236586246994626</v>
      </c>
      <c r="L26" s="379">
        <v>20.365767836399473897266243747</v>
      </c>
      <c r="M26" s="378">
        <v>198.44117647058823529411764706</v>
      </c>
      <c r="N26" s="173">
        <v>295.25134788438412383199553043</v>
      </c>
      <c r="O26" s="379">
        <v>325.50613971074223744822261407</v>
      </c>
      <c r="P26" s="4"/>
      <c r="Q26" s="359">
        <v>87.23136208685341633318511931</v>
      </c>
      <c r="R26" s="170">
        <v>64.624641048918287273288631350</v>
      </c>
      <c r="S26" s="360">
        <v>63.473513252453196371034283260</v>
      </c>
      <c r="T26" s="359">
        <v>0.978212538906180524677634500</v>
      </c>
      <c r="U26" s="170">
        <v>24.762751265757198908697958050</v>
      </c>
      <c r="V26" s="360">
        <v>30.269840450645212468054767080</v>
      </c>
      <c r="W26" s="359">
        <v>11.790425374240403142137246180</v>
      </c>
      <c r="X26" s="170">
        <v>10.612607685324513818013410590</v>
      </c>
      <c r="Y26" s="360">
        <v>6.2566462969015911609109496600</v>
      </c>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7</v>
      </c>
      <c r="C27" s="345" t="s">
        <v>50</v>
      </c>
      <c r="D27" s="370">
        <v>185.79816513761467889908256881</v>
      </c>
      <c r="E27" s="172">
        <v>186.50608272506082725060827251</v>
      </c>
      <c r="F27" s="371">
        <v>214.78983050847457627118644068</v>
      </c>
      <c r="G27" s="370">
        <v>0.8990825688073394495412844037</v>
      </c>
      <c r="H27" s="172">
        <v>42.193816211317270951741007544</v>
      </c>
      <c r="I27" s="371">
        <v>130.69474924288533766913920018</v>
      </c>
      <c r="J27" s="370">
        <v>24.954128440366972477064220183</v>
      </c>
      <c r="K27" s="172">
        <v>34.390637707354149169962236768</v>
      </c>
      <c r="L27" s="371">
        <v>30.619892625417020786882299981</v>
      </c>
      <c r="M27" s="370">
        <v>211.65137614678899082568807339</v>
      </c>
      <c r="N27" s="172">
        <v>263.09053664373224737231151681</v>
      </c>
      <c r="O27" s="371">
        <v>376.10447237677693472720794084</v>
      </c>
      <c r="P27" s="4"/>
      <c r="Q27" s="327">
        <v>87.78500216731686172518422193</v>
      </c>
      <c r="R27" s="171">
        <v>70.890456610235534181680219030</v>
      </c>
      <c r="S27" s="328">
        <v>57.109087044649846294213093760</v>
      </c>
      <c r="T27" s="327">
        <v>0.4247941048981361074989163400</v>
      </c>
      <c r="U27" s="171">
        <v>16.037755196210124791074925910</v>
      </c>
      <c r="V27" s="328">
        <v>34.749586575497275804687378500</v>
      </c>
      <c r="W27" s="327">
        <v>11.790203727785002167316861730</v>
      </c>
      <c r="X27" s="171">
        <v>13.071788193554341027244855060</v>
      </c>
      <c r="Y27" s="328">
        <v>8.141326379852877901099527740</v>
      </c>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8</v>
      </c>
      <c r="C28" s="347" t="s">
        <v>51</v>
      </c>
      <c r="D28" s="378">
        <v>208.4867256637168141592920354</v>
      </c>
      <c r="E28" s="173">
        <v>197.38684210526315789473684211</v>
      </c>
      <c r="F28" s="379">
        <v>228.08390296206942769065808873</v>
      </c>
      <c r="G28" s="378">
        <v>0.8938053097345132743362831858</v>
      </c>
      <c r="H28" s="173">
        <v>36.124484963173324940073683245</v>
      </c>
      <c r="I28" s="379">
        <v>76.505890462987573642540061583</v>
      </c>
      <c r="J28" s="378">
        <v>28.486725663716814159292035398</v>
      </c>
      <c r="K28" s="173">
        <v>32.850969170835017093623160534</v>
      </c>
      <c r="L28" s="379">
        <v>33.538582811374167374298757502</v>
      </c>
      <c r="M28" s="378">
        <v>237.86725663716814159292035398</v>
      </c>
      <c r="N28" s="173">
        <v>266.36229623927149992843368589</v>
      </c>
      <c r="O28" s="379">
        <v>338.12837623643116870749690781</v>
      </c>
      <c r="P28" s="4"/>
      <c r="Q28" s="359">
        <v>87.64835001302131775735704453</v>
      </c>
      <c r="R28" s="170">
        <v>74.104648027193704263378185920</v>
      </c>
      <c r="S28" s="360">
        <v>67.454824555329599916482818790</v>
      </c>
      <c r="T28" s="359">
        <v>0.3757580267123032850924513600</v>
      </c>
      <c r="U28" s="170">
        <v>13.562161564609331022479024930</v>
      </c>
      <c r="V28" s="360">
        <v>22.626285115299516686924554370</v>
      </c>
      <c r="W28" s="359">
        <v>11.975891960266378957550504110</v>
      </c>
      <c r="X28" s="170">
        <v>12.333190408196964714142789150</v>
      </c>
      <c r="Y28" s="360">
        <v>9.918890329370883396592626840</v>
      </c>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c r="B29" s="344">
        <v>9</v>
      </c>
      <c r="C29" s="345" t="s">
        <v>52</v>
      </c>
      <c r="D29" s="370">
        <v>277.38095238095238095238095238</v>
      </c>
      <c r="E29" s="172">
        <v>235.39977349943374858437146092</v>
      </c>
      <c r="F29" s="371">
        <v>229.53949129852744310575635877</v>
      </c>
      <c r="G29" s="370">
        <v>1.2</v>
      </c>
      <c r="H29" s="172">
        <v>70.526303080609226210380830327</v>
      </c>
      <c r="I29" s="371">
        <v>104.80694903344646575481070794</v>
      </c>
      <c r="J29" s="370">
        <v>31.266666666666666666666666667</v>
      </c>
      <c r="K29" s="172">
        <v>35.156612552569989798375131689</v>
      </c>
      <c r="L29" s="371">
        <v>23.818449534698574834754675198</v>
      </c>
      <c r="M29" s="370">
        <v>309.84761904761904761904761905</v>
      </c>
      <c r="N29" s="172">
        <v>341.08268913261296459312742293</v>
      </c>
      <c r="O29" s="371">
        <v>358.1648898666724836953217419</v>
      </c>
      <c r="P29" s="4"/>
      <c r="Q29" s="327">
        <v>89.52173111206737566853138255</v>
      </c>
      <c r="R29" s="171">
        <v>69.015456075494440075553236370</v>
      </c>
      <c r="S29" s="328">
        <v>64.087658448033230273448739480</v>
      </c>
      <c r="T29" s="327">
        <v>0.3872871457552099342226593700</v>
      </c>
      <c r="U29" s="171">
        <v>20.677186303403570404885971940</v>
      </c>
      <c r="V29" s="328">
        <v>29.262206318564904185696125050</v>
      </c>
      <c r="W29" s="327">
        <v>10.090981742177414397245958070</v>
      </c>
      <c r="X29" s="171">
        <v>10.307357621101989519560791690</v>
      </c>
      <c r="Y29" s="328">
        <v>6.6501352334018655408551354700</v>
      </c>
      <c r="Z29" s="36"/>
      <c r="AA29" s="36"/>
      <c r="AB29" s="32"/>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10</v>
      </c>
      <c r="C30" s="347" t="s">
        <v>53</v>
      </c>
      <c r="D30" s="378">
        <v>262.84070796460176991150442478</v>
      </c>
      <c r="E30" s="173">
        <v>225.05730994152046783625730994</v>
      </c>
      <c r="F30" s="379">
        <v>224.55132044650149741355839913</v>
      </c>
      <c r="G30" s="378">
        <v>1.0619469026548672566371681416</v>
      </c>
      <c r="H30" s="173">
        <v>47.953162486130096115094513189</v>
      </c>
      <c r="I30" s="379">
        <v>102.09913604198846426475876753</v>
      </c>
      <c r="J30" s="378">
        <v>31.424778761061946902654867257</v>
      </c>
      <c r="K30" s="173">
        <v>33.278326786745428946019198795</v>
      </c>
      <c r="L30" s="379">
        <v>28.362079425172760209692469611</v>
      </c>
      <c r="M30" s="378">
        <v>295.32743362831858407079646018</v>
      </c>
      <c r="N30" s="173">
        <v>306.28879921439599289737102193</v>
      </c>
      <c r="O30" s="379">
        <v>355.01253591366272188800963626</v>
      </c>
      <c r="P30" s="4"/>
      <c r="Q30" s="359">
        <v>88.99976027807743018099005154</v>
      </c>
      <c r="R30" s="170">
        <v>73.478792080798515255412426700</v>
      </c>
      <c r="S30" s="360">
        <v>63.251659513542152381406187420</v>
      </c>
      <c r="T30" s="359">
        <v>0.3595828838547285149226896800</v>
      </c>
      <c r="U30" s="170">
        <v>15.656192002164547918102300260</v>
      </c>
      <c r="V30" s="360">
        <v>28.759304450820425375496492640</v>
      </c>
      <c r="W30" s="359">
        <v>10.640656838067841304087258780</v>
      </c>
      <c r="X30" s="170">
        <v>10.865015917036936826485273040</v>
      </c>
      <c r="Y30" s="360">
        <v>7.989036035637422243097319930</v>
      </c>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11</v>
      </c>
      <c r="C31" s="345" t="s">
        <v>49</v>
      </c>
      <c r="D31" s="370">
        <v>165.72727272727272727272727273</v>
      </c>
      <c r="E31" s="172">
        <v>170.22065088757396449704142011</v>
      </c>
      <c r="F31" s="371">
        <v>186.62632287858379834519915336</v>
      </c>
      <c r="G31" s="370">
        <v>3.012987012987012987012987013</v>
      </c>
      <c r="H31" s="172">
        <v>108.12070426071440354181227607</v>
      </c>
      <c r="I31" s="371">
        <v>87.96517276273841763298851443</v>
      </c>
      <c r="J31" s="370">
        <v>32.623376623376623376623376623</v>
      </c>
      <c r="K31" s="172">
        <v>26.77704806572079811098909416</v>
      </c>
      <c r="L31" s="371">
        <v>29.045476251583166798942008455</v>
      </c>
      <c r="M31" s="370">
        <v>201.36363636363636363636363636</v>
      </c>
      <c r="N31" s="172">
        <v>305.11840321400916614984279034</v>
      </c>
      <c r="O31" s="371">
        <v>303.63697189290538277712967624</v>
      </c>
      <c r="P31" s="4"/>
      <c r="Q31" s="327">
        <v>82.30248306997742663656884876</v>
      </c>
      <c r="R31" s="171">
        <v>55.788392012585911424851293800</v>
      </c>
      <c r="S31" s="328">
        <v>61.463635905448314097071720180</v>
      </c>
      <c r="T31" s="327">
        <v>1.4962915188648822960335375700</v>
      </c>
      <c r="U31" s="171">
        <v>35.435654854577504480381890270</v>
      </c>
      <c r="V31" s="328">
        <v>28.970507845060538977176243440</v>
      </c>
      <c r="W31" s="327">
        <v>16.201225411157691067397613670</v>
      </c>
      <c r="X31" s="171">
        <v>8.775953132836584094766815930</v>
      </c>
      <c r="Y31" s="328">
        <v>9.565856249491146925752036380</v>
      </c>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12</v>
      </c>
      <c r="C32" s="347" t="s">
        <v>47</v>
      </c>
      <c r="D32" s="378">
        <v>148.4047619047619047619047619</v>
      </c>
      <c r="E32" s="173">
        <v>170.1608</v>
      </c>
      <c r="F32" s="379">
        <v>194.66807432432432432432432432</v>
      </c>
      <c r="G32" s="378">
        <v>1.7261904761904761904761904762</v>
      </c>
      <c r="H32" s="173">
        <v>67.562116530137820855632564435</v>
      </c>
      <c r="I32" s="379">
        <v>66.648498865497041522161581269</v>
      </c>
      <c r="J32" s="378">
        <v>28.261904761904761904761904762</v>
      </c>
      <c r="K32" s="173">
        <v>26.820137157306456521457169028</v>
      </c>
      <c r="L32" s="379">
        <v>28.800394403134405905000659341</v>
      </c>
      <c r="M32" s="378">
        <v>178.39285714285714285714285714</v>
      </c>
      <c r="N32" s="173">
        <v>264.54305368744427737708973345</v>
      </c>
      <c r="O32" s="379">
        <v>290.11696759295577175148656493</v>
      </c>
      <c r="P32" s="4"/>
      <c r="Q32" s="359">
        <v>83.18985652318985652318985652</v>
      </c>
      <c r="R32" s="170">
        <v>64.322535643307333289241553270</v>
      </c>
      <c r="S32" s="360">
        <v>67.099858356940509915014164310</v>
      </c>
      <c r="T32" s="359">
        <v>0.967634300967634300967634300</v>
      </c>
      <c r="U32" s="170">
        <v>25.539176171286650939523690280</v>
      </c>
      <c r="V32" s="360">
        <v>22.972975148081380375997939740</v>
      </c>
      <c r="W32" s="359">
        <v>15.842509175842509175842509180</v>
      </c>
      <c r="X32" s="170">
        <v>10.138288185406015771234756450</v>
      </c>
      <c r="Y32" s="360">
        <v>9.927166494978109708987895960</v>
      </c>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13</v>
      </c>
      <c r="C33" s="345" t="s">
        <v>48</v>
      </c>
      <c r="D33" s="370">
        <v>159.23913043478260869565217391</v>
      </c>
      <c r="E33" s="172">
        <v>179.76164102564102564102564104</v>
      </c>
      <c r="F33" s="371">
        <v>201.01618122977346278317152104</v>
      </c>
      <c r="G33" s="370">
        <v>1.3695652173913043478260869565</v>
      </c>
      <c r="H33" s="172">
        <v>36.432611976410600488393374609</v>
      </c>
      <c r="I33" s="371">
        <v>55.519900975446455701838671139</v>
      </c>
      <c r="J33" s="370">
        <v>29.521739130434782608695652174</v>
      </c>
      <c r="K33" s="172">
        <v>27.856920459069949888521173453</v>
      </c>
      <c r="L33" s="371">
        <v>23.400383893842625268115830939</v>
      </c>
      <c r="M33" s="370">
        <v>190.13043478260869565217391304</v>
      </c>
      <c r="N33" s="172">
        <v>244.05117346112157601794018909</v>
      </c>
      <c r="O33" s="371">
        <v>279.93646609906254375312602312</v>
      </c>
      <c r="P33" s="4"/>
      <c r="Q33" s="327">
        <v>83.75257260461925451635033158</v>
      </c>
      <c r="R33" s="171">
        <v>73.657355740712242344482649390</v>
      </c>
      <c r="S33" s="328">
        <v>71.807786970718863900050670350</v>
      </c>
      <c r="T33" s="327">
        <v>0.7203292933912645780928424400</v>
      </c>
      <c r="U33" s="171">
        <v>14.928267485759283027861715600</v>
      </c>
      <c r="V33" s="328">
        <v>19.833036313246644124761988660</v>
      </c>
      <c r="W33" s="327">
        <v>15.527098101989480905556825980</v>
      </c>
      <c r="X33" s="171">
        <v>11.414376773528474627655635020</v>
      </c>
      <c r="Y33" s="328">
        <v>8.35917671603449197518734100</v>
      </c>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14</v>
      </c>
      <c r="C34" s="347" t="s">
        <v>50</v>
      </c>
      <c r="D34" s="378">
        <v>152.77659574468085106382978723</v>
      </c>
      <c r="E34" s="173">
        <v>174.02925598991172761664564943</v>
      </c>
      <c r="F34" s="379">
        <v>203.77408591686361740581120534</v>
      </c>
      <c r="G34" s="378">
        <v>0.9680851063829787234042553191</v>
      </c>
      <c r="H34" s="173">
        <v>52.084483329448930024168394948</v>
      </c>
      <c r="I34" s="379">
        <v>120.44518679985735676558399961</v>
      </c>
      <c r="J34" s="378">
        <v>30.829787234042553191489361702</v>
      </c>
      <c r="K34" s="173">
        <v>34.683955495869851158966588146</v>
      </c>
      <c r="L34" s="379">
        <v>33.835445642251060202889534333</v>
      </c>
      <c r="M34" s="378">
        <v>184.57446808510638297872340426</v>
      </c>
      <c r="N34" s="173">
        <v>260.79769481523050879978063252</v>
      </c>
      <c r="O34" s="379">
        <v>358.05471835897203437428473929</v>
      </c>
      <c r="P34" s="4"/>
      <c r="Q34" s="359">
        <v>82.77233429394812680115273775</v>
      </c>
      <c r="R34" s="170">
        <v>66.729599014748833649064139680</v>
      </c>
      <c r="S34" s="360">
        <v>56.911437126368901459816201990</v>
      </c>
      <c r="T34" s="359">
        <v>0.5244956772334293948126801200</v>
      </c>
      <c r="U34" s="170">
        <v>19.971220745010669278038392300</v>
      </c>
      <c r="V34" s="360">
        <v>33.638765424424206632890933390</v>
      </c>
      <c r="W34" s="359">
        <v>16.703170028818443804034582130</v>
      </c>
      <c r="X34" s="170">
        <v>13.299180240240497072897468020</v>
      </c>
      <c r="Y34" s="360">
        <v>9.449797449206891907292864620</v>
      </c>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15</v>
      </c>
      <c r="C35" s="345" t="s">
        <v>51</v>
      </c>
      <c r="D35" s="370">
        <v>168.46728971962616822429906542</v>
      </c>
      <c r="E35" s="172">
        <v>181.7335792019347037484885127</v>
      </c>
      <c r="F35" s="371">
        <v>206.79268128615632988026368895</v>
      </c>
      <c r="G35" s="370">
        <v>2.1401869158878504672897196262</v>
      </c>
      <c r="H35" s="172">
        <v>45.373546727272826193463676755</v>
      </c>
      <c r="I35" s="371">
        <v>83.98300832515198125470133066</v>
      </c>
      <c r="J35" s="370">
        <v>30.280373831775700934579439252</v>
      </c>
      <c r="K35" s="172">
        <v>47.424110197445871342689629609</v>
      </c>
      <c r="L35" s="371">
        <v>20.893061680001932646323761931</v>
      </c>
      <c r="M35" s="370">
        <v>200.8878504672897196261682243</v>
      </c>
      <c r="N35" s="172">
        <v>274.53123612665340128464181907</v>
      </c>
      <c r="O35" s="371">
        <v>311.66875129131024378128878154</v>
      </c>
      <c r="P35" s="4"/>
      <c r="Q35" s="327">
        <v>83.86136310769946499185857176</v>
      </c>
      <c r="R35" s="171">
        <v>66.197778353386703831783969790</v>
      </c>
      <c r="S35" s="328">
        <v>66.350149134095111347394128880</v>
      </c>
      <c r="T35" s="327">
        <v>1.0653640381484066061874854600</v>
      </c>
      <c r="U35" s="171">
        <v>16.527644492279196343165228830</v>
      </c>
      <c r="V35" s="328">
        <v>26.946239549904322981672613840</v>
      </c>
      <c r="W35" s="327">
        <v>15.073272854152128401953942780</v>
      </c>
      <c r="X35" s="171">
        <v>17.274577154334099825050801370</v>
      </c>
      <c r="Y35" s="328">
        <v>6.7036113160005656709332572800</v>
      </c>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16</v>
      </c>
      <c r="C36" s="347" t="s">
        <v>52</v>
      </c>
      <c r="D36" s="378">
        <v>260.22807017543859649122807018</v>
      </c>
      <c r="E36" s="173">
        <v>244.81427038626609442060085837</v>
      </c>
      <c r="F36" s="379">
        <v>229.9101191192395620262302972</v>
      </c>
      <c r="G36" s="378">
        <v>0.4912280701754385964912280702</v>
      </c>
      <c r="H36" s="173">
        <v>70.834454082460566144598099505</v>
      </c>
      <c r="I36" s="379">
        <v>101.68471506411628274754145549</v>
      </c>
      <c r="J36" s="378">
        <v>31.745614035087719298245614035</v>
      </c>
      <c r="K36" s="173">
        <v>58.840333581159501717964427915</v>
      </c>
      <c r="L36" s="379">
        <v>30.091228060638624290543166784</v>
      </c>
      <c r="M36" s="378">
        <v>292.46491228070175438596491228</v>
      </c>
      <c r="N36" s="173">
        <v>374.48905804988616228316338579</v>
      </c>
      <c r="O36" s="379">
        <v>361.68606224399446906431491947</v>
      </c>
      <c r="P36" s="4"/>
      <c r="Q36" s="359">
        <v>88.97753516691161032962418644</v>
      </c>
      <c r="R36" s="170">
        <v>65.372876756696606882592225700</v>
      </c>
      <c r="S36" s="360">
        <v>63.566209240360920318212367190</v>
      </c>
      <c r="T36" s="359">
        <v>0.167961368885156414024774300</v>
      </c>
      <c r="U36" s="170">
        <v>18.914959612257781560237834950</v>
      </c>
      <c r="V36" s="360">
        <v>28.114081707555398790259155280</v>
      </c>
      <c r="W36" s="359">
        <v>10.854503464203233256351039260</v>
      </c>
      <c r="X36" s="170">
        <v>15.712163631045611557169939350</v>
      </c>
      <c r="Y36" s="360">
        <v>8.319709052083680891528477530</v>
      </c>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17</v>
      </c>
      <c r="C37" s="349" t="s">
        <v>53</v>
      </c>
      <c r="D37" s="380">
        <v>288.45669291338582677165354331</v>
      </c>
      <c r="E37" s="383">
        <v>266.43615307150050352467270894</v>
      </c>
      <c r="F37" s="381">
        <v>229.14506283662477558348294434</v>
      </c>
      <c r="G37" s="380">
        <v>1.1259842519685039370078740157</v>
      </c>
      <c r="H37" s="383">
        <v>82.6614480245602560968970561</v>
      </c>
      <c r="I37" s="381">
        <v>101.58594099551163096208235767</v>
      </c>
      <c r="J37" s="380">
        <v>33.787401574803149606299212598</v>
      </c>
      <c r="K37" s="383">
        <v>34.953101249165493757073198367</v>
      </c>
      <c r="L37" s="381">
        <v>26.838635825704492536480098822</v>
      </c>
      <c r="M37" s="380">
        <v>323.37007874015748031496062992</v>
      </c>
      <c r="N37" s="383">
        <v>384.05070234522625337864296341</v>
      </c>
      <c r="O37" s="381">
        <v>357.56963965784089908204540084</v>
      </c>
      <c r="P37" s="4"/>
      <c r="Q37" s="329">
        <v>89.20327262101879809097107237</v>
      </c>
      <c r="R37" s="330">
        <v>69.375254737068261061010227970</v>
      </c>
      <c r="S37" s="332">
        <v>64.084037743219514653874282640</v>
      </c>
      <c r="T37" s="329">
        <v>0.3482029804227135482614200800</v>
      </c>
      <c r="U37" s="330">
        <v>21.523576840188985822616544270</v>
      </c>
      <c r="V37" s="332">
        <v>28.410113647433663660010536460</v>
      </c>
      <c r="W37" s="329">
        <v>10.448524398558488360767507550</v>
      </c>
      <c r="X37" s="330">
        <v>9.101168422742753116373227760</v>
      </c>
      <c r="Y37" s="332">
        <v>7.5058486093468216861151808900</v>
      </c>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235.53899082568807339449541284</v>
      </c>
      <c r="E39" s="382">
        <v>229.03111008325624421831637373</v>
      </c>
      <c r="F39" s="375">
        <v>234.15039888239402963126355649</v>
      </c>
      <c r="G39" s="374">
        <v>2.5733944954128440366972477064</v>
      </c>
      <c r="H39" s="382">
        <v>73.836475690056554458993123142</v>
      </c>
      <c r="I39" s="375">
        <v>66.061684585802405364542043954</v>
      </c>
      <c r="J39" s="374">
        <v>30.052752293577981651376146789</v>
      </c>
      <c r="K39" s="382">
        <v>32.432457281218141194344991637</v>
      </c>
      <c r="L39" s="375">
        <v>21.816533786932603501129631683</v>
      </c>
      <c r="M39" s="374">
        <v>268.16513761467889908256880734</v>
      </c>
      <c r="N39" s="382">
        <v>335.30004305453093987165448853</v>
      </c>
      <c r="O39" s="375">
        <v>322.02861725512903849693523212</v>
      </c>
      <c r="P39" s="4"/>
      <c r="Q39" s="354">
        <v>87.83356140951077659938419432</v>
      </c>
      <c r="R39" s="355">
        <v>68.306316932386485737305721270</v>
      </c>
      <c r="S39" s="356">
        <v>72.711053097770816741396877720</v>
      </c>
      <c r="T39" s="354">
        <v>0.959630516592541908997605200</v>
      </c>
      <c r="U39" s="355">
        <v>22.021015869075891390893694490</v>
      </c>
      <c r="V39" s="356">
        <v>20.514227943122412893567225590</v>
      </c>
      <c r="W39" s="354">
        <v>11.206808073896681491618200480</v>
      </c>
      <c r="X39" s="355">
        <v>9.672667198537622871800584240</v>
      </c>
      <c r="Y39" s="356">
        <v>6.7747189591067703650358966900</v>
      </c>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212.83783783783783783783783784</v>
      </c>
      <c r="E40" s="172">
        <v>222.46774953502789832610043397</v>
      </c>
      <c r="F40" s="371">
        <v>223.95106820350928713016665443</v>
      </c>
      <c r="G40" s="370">
        <v>2.2457002457002457002457002457</v>
      </c>
      <c r="H40" s="172">
        <v>55.217863792827368888906198661</v>
      </c>
      <c r="I40" s="371">
        <v>72.910028808825062441710394967</v>
      </c>
      <c r="J40" s="370">
        <v>30.321867321867321867321867322</v>
      </c>
      <c r="K40" s="172">
        <v>29.946423515001897172844060769</v>
      </c>
      <c r="L40" s="371">
        <v>25.65695229757273386834254972</v>
      </c>
      <c r="M40" s="370">
        <v>245.40540540540540540540540541</v>
      </c>
      <c r="N40" s="172">
        <v>307.6320368428571643878506934</v>
      </c>
      <c r="O40" s="371">
        <v>322.51804930990708344021959911</v>
      </c>
      <c r="P40" s="4"/>
      <c r="Q40" s="327">
        <v>86.72907488986784140969162996</v>
      </c>
      <c r="R40" s="171">
        <v>72.316183911842575853589259560</v>
      </c>
      <c r="S40" s="328">
        <v>69.438305447616998305464043070</v>
      </c>
      <c r="T40" s="327">
        <v>0.9150981177412895474569483400</v>
      </c>
      <c r="U40" s="171">
        <v>17.949321650473432942098156740</v>
      </c>
      <c r="V40" s="328">
        <v>22.606495656547249882584056490</v>
      </c>
      <c r="W40" s="327">
        <v>12.355826992390869042851421710</v>
      </c>
      <c r="X40" s="171">
        <v>9.734494437683991204312583700</v>
      </c>
      <c r="Y40" s="328">
        <v>7.955198895835751811951900440</v>
      </c>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222.68226600985221674876847291</v>
      </c>
      <c r="E41" s="173">
        <v>229.69109939759036144578313253</v>
      </c>
      <c r="F41" s="379">
        <v>229.52178492434083488396587438</v>
      </c>
      <c r="G41" s="378">
        <v>1.3916256157635467980295566502</v>
      </c>
      <c r="H41" s="173">
        <v>52.678324371556827200743728422</v>
      </c>
      <c r="I41" s="379">
        <v>72.258660554220617510452238623</v>
      </c>
      <c r="J41" s="378">
        <v>28.423645320197044334975369458</v>
      </c>
      <c r="K41" s="173">
        <v>31.496247014516666188257844247</v>
      </c>
      <c r="L41" s="379">
        <v>21.868524287897007100960171707</v>
      </c>
      <c r="M41" s="378">
        <v>252.49753694581280788177339901</v>
      </c>
      <c r="N41" s="173">
        <v>313.86567078366385483478470521</v>
      </c>
      <c r="O41" s="379">
        <v>323.64896976645845949537828473</v>
      </c>
      <c r="P41" s="4"/>
      <c r="Q41" s="359">
        <v>88.19185672200870125056089900</v>
      </c>
      <c r="R41" s="170">
        <v>73.181338635759260346343220250</v>
      </c>
      <c r="S41" s="360">
        <v>70.916890324094414088457932820</v>
      </c>
      <c r="T41" s="359">
        <v>0.5511442339582886239928204900</v>
      </c>
      <c r="U41" s="170">
        <v>16.783716498854082226094387290</v>
      </c>
      <c r="V41" s="360">
        <v>22.326244574905235455411910430</v>
      </c>
      <c r="W41" s="359">
        <v>11.256999044033010125446280510</v>
      </c>
      <c r="X41" s="170">
        <v>10.034944865386657427562392450</v>
      </c>
      <c r="Y41" s="360">
        <v>6.7568651010003504561301567400</v>
      </c>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205.25777777777777777777777778</v>
      </c>
      <c r="E42" s="172">
        <v>226.42735144819349059420722604</v>
      </c>
      <c r="F42" s="371">
        <v>227.60911183003702097855451422</v>
      </c>
      <c r="G42" s="370">
        <v>1.3688888888888888888888888889</v>
      </c>
      <c r="H42" s="172">
        <v>44.871969516330991923994562272</v>
      </c>
      <c r="I42" s="371">
        <v>136.34953367079337709103936507</v>
      </c>
      <c r="J42" s="370">
        <v>89.16888888888888888888888889</v>
      </c>
      <c r="K42" s="172">
        <v>33.470377261840378776801971624</v>
      </c>
      <c r="L42" s="371">
        <v>46.363189235821352116084859787</v>
      </c>
      <c r="M42" s="370">
        <v>295.79555555555555555555555556</v>
      </c>
      <c r="N42" s="172">
        <v>304.76969822636486129500375993</v>
      </c>
      <c r="O42" s="371">
        <v>410.32183473665175018567873909</v>
      </c>
      <c r="P42" s="4"/>
      <c r="Q42" s="327">
        <v>69.391772094840280073323917420</v>
      </c>
      <c r="R42" s="171">
        <v>74.294574810392298047606392250</v>
      </c>
      <c r="S42" s="328">
        <v>55.470874947739156827985129560</v>
      </c>
      <c r="T42" s="327">
        <v>0.4627821017519608137752802200</v>
      </c>
      <c r="U42" s="171">
        <v>14.723238490397018911333745830</v>
      </c>
      <c r="V42" s="328">
        <v>33.229899588040138315134855070</v>
      </c>
      <c r="W42" s="327">
        <v>30.145445803407759112900802360</v>
      </c>
      <c r="X42" s="171">
        <v>10.982186699210683041059861920</v>
      </c>
      <c r="Y42" s="328">
        <v>11.299225464220704856880015370</v>
      </c>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224.80743982494529540481400438</v>
      </c>
      <c r="E43" s="173">
        <v>225.50481981981981981981981982</v>
      </c>
      <c r="F43" s="379">
        <v>236.08661134343962362780972295</v>
      </c>
      <c r="G43" s="378">
        <v>1.1378555798687089715536105033</v>
      </c>
      <c r="H43" s="173">
        <v>50.523439049393928230135564375</v>
      </c>
      <c r="I43" s="379">
        <v>78.065679111741894190259808615</v>
      </c>
      <c r="J43" s="378">
        <v>30.100656455142231947483588621</v>
      </c>
      <c r="K43" s="173">
        <v>37.710111870208155246796957447</v>
      </c>
      <c r="L43" s="379">
        <v>25.124616255569502442030092607</v>
      </c>
      <c r="M43" s="378">
        <v>256.0459518599562363238512035</v>
      </c>
      <c r="N43" s="173">
        <v>313.73837073942190329675234167</v>
      </c>
      <c r="O43" s="379">
        <v>339.27690671075102026009962418</v>
      </c>
      <c r="P43" s="4"/>
      <c r="Q43" s="359">
        <v>87.79964619315802517668976951</v>
      </c>
      <c r="R43" s="170">
        <v>71.876710294742616445460985670</v>
      </c>
      <c r="S43" s="360">
        <v>69.585228665361001888655839460</v>
      </c>
      <c r="T43" s="359">
        <v>0.4443950672147539162315298300</v>
      </c>
      <c r="U43" s="170">
        <v>16.103685032315222987636518660</v>
      </c>
      <c r="V43" s="360">
        <v>23.009429043838940957906180070</v>
      </c>
      <c r="W43" s="359">
        <v>11.755958739627220907078700660</v>
      </c>
      <c r="X43" s="170">
        <v>12.019604672942160566902495660</v>
      </c>
      <c r="Y43" s="360">
        <v>7.4053422908000571534379804700</v>
      </c>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320.06345733041575492341356674</v>
      </c>
      <c r="E44" s="172">
        <v>295.24047745358090185676392573</v>
      </c>
      <c r="F44" s="371">
        <v>261.96761367085533903964062405</v>
      </c>
      <c r="G44" s="370">
        <v>1</v>
      </c>
      <c r="H44" s="172">
        <v>77.555649703589280966076092305</v>
      </c>
      <c r="I44" s="371">
        <v>95.57126867127009754656358135</v>
      </c>
      <c r="J44" s="370">
        <v>29.93654266958424507658643326</v>
      </c>
      <c r="K44" s="172">
        <v>41.294112829580510481671667101</v>
      </c>
      <c r="L44" s="371">
        <v>26.74852671117828202047188822</v>
      </c>
      <c r="M44" s="370">
        <v>351.000000000</v>
      </c>
      <c r="N44" s="172">
        <v>414.09023998675069330451168515</v>
      </c>
      <c r="O44" s="371">
        <v>384.28740905330371860667609361</v>
      </c>
      <c r="P44" s="4"/>
      <c r="Q44" s="327">
        <v>91.18617017960562818330870847</v>
      </c>
      <c r="R44" s="171">
        <v>71.298583966390386287783852450</v>
      </c>
      <c r="S44" s="328">
        <v>68.169710352003322715843294720</v>
      </c>
      <c r="T44" s="327">
        <v>0.2849002849002849002849002800</v>
      </c>
      <c r="U44" s="171">
        <v>18.729166305892832840361533970</v>
      </c>
      <c r="V44" s="328">
        <v>24.869737186214602940218596770</v>
      </c>
      <c r="W44" s="327">
        <v>8.528929535494086916406391240</v>
      </c>
      <c r="X44" s="171">
        <v>9.972249727716780871854613570</v>
      </c>
      <c r="Y44" s="328">
        <v>6.9605524617820743439381085100</v>
      </c>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323.67761806981519507186858316</v>
      </c>
      <c r="E45" s="385">
        <v>302.20348051948051948051948051</v>
      </c>
      <c r="F45" s="386">
        <v>267.89521387974872868680825606</v>
      </c>
      <c r="G45" s="384">
        <v>1.1396303901437371663244353183</v>
      </c>
      <c r="H45" s="385">
        <v>81.11277247805280586819459678</v>
      </c>
      <c r="I45" s="386">
        <v>87.22597310222826103560468278</v>
      </c>
      <c r="J45" s="384">
        <v>30.437371663244353182751540041</v>
      </c>
      <c r="K45" s="385">
        <v>35.147662183052497474164984547</v>
      </c>
      <c r="L45" s="386">
        <v>25.009615117668555583015503706</v>
      </c>
      <c r="M45" s="384">
        <v>355.25462012320328542094455852</v>
      </c>
      <c r="N45" s="385">
        <v>418.46391518058582282287906183</v>
      </c>
      <c r="O45" s="386">
        <v>380.13080209964554530542844254</v>
      </c>
      <c r="P45" s="4"/>
      <c r="Q45" s="364">
        <v>91.11144506933165326659306741</v>
      </c>
      <c r="R45" s="365">
        <v>72.217333336631010072594438360</v>
      </c>
      <c r="S45" s="366">
        <v>70.474482046715079603094817740</v>
      </c>
      <c r="T45" s="364">
        <v>0.3207925599246281985330242900</v>
      </c>
      <c r="U45" s="365">
        <v>19.383456861041179812162675120</v>
      </c>
      <c r="V45" s="366">
        <v>22.946304961459895146647807940</v>
      </c>
      <c r="W45" s="364">
        <v>8.567762370743718534873908290</v>
      </c>
      <c r="X45" s="365">
        <v>8.399209802327810115242886520</v>
      </c>
      <c r="Y45" s="366">
        <v>6.5792129918250252502573743200</v>
      </c>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199.37266187050359712230215827</v>
      </c>
      <c r="E47" s="382">
        <v>202.81512508809020436927413671</v>
      </c>
      <c r="F47" s="375">
        <v>209.71927277189251094114278703</v>
      </c>
      <c r="G47" s="374">
        <v>1.470503597122302158273381295</v>
      </c>
      <c r="H47" s="382">
        <v>65.898327976856139001921796183</v>
      </c>
      <c r="I47" s="375">
        <v>89.91048482573857498840698684</v>
      </c>
      <c r="J47" s="374">
        <v>31.151079136690647482014388489</v>
      </c>
      <c r="K47" s="382">
        <v>37.738726446662825415687119966</v>
      </c>
      <c r="L47" s="375">
        <v>27.532705892696492273651551718</v>
      </c>
      <c r="M47" s="374">
        <v>231.99424460431654676258992806</v>
      </c>
      <c r="N47" s="382">
        <v>306.45217951160916878688305285</v>
      </c>
      <c r="O47" s="375">
        <v>327.16246349032757820320132558</v>
      </c>
      <c r="P47" s="4"/>
      <c r="Q47" s="354">
        <v>85.93862412860651467414225111</v>
      </c>
      <c r="R47" s="355">
        <v>66.181655294902891790376623820</v>
      </c>
      <c r="S47" s="356">
        <v>64.102486127077586876523836290</v>
      </c>
      <c r="T47" s="354">
        <v>0.6338534818526879853134535700</v>
      </c>
      <c r="U47" s="355">
        <v>21.503625160009588661384485960</v>
      </c>
      <c r="V47" s="356">
        <v>27.481907266050630217541587460</v>
      </c>
      <c r="W47" s="354">
        <v>13.427522389540797340544295320</v>
      </c>
      <c r="X47" s="355">
        <v>12.314719545087519548238890230</v>
      </c>
      <c r="Y47" s="356">
        <v>8.415606606871782905934576260</v>
      </c>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251.20387096774193548387096774</v>
      </c>
      <c r="E48" s="172">
        <v>249.23248128342245989304812834</v>
      </c>
      <c r="F48" s="371">
        <v>241.28738928882811718351731597</v>
      </c>
      <c r="G48" s="370">
        <v>1.531935483870967741935483871</v>
      </c>
      <c r="H48" s="172">
        <v>62.808762279257827285649965154</v>
      </c>
      <c r="I48" s="371">
        <v>87.58538869113804915263323516</v>
      </c>
      <c r="J48" s="370">
        <v>38.506451612903225806451612903</v>
      </c>
      <c r="K48" s="172">
        <v>34.693092426809350870812084002</v>
      </c>
      <c r="L48" s="371">
        <v>27.593628939217806410700537727</v>
      </c>
      <c r="M48" s="370">
        <v>291.24225806451612903225806452</v>
      </c>
      <c r="N48" s="172">
        <v>346.7343359894896380495101775</v>
      </c>
      <c r="O48" s="371">
        <v>356.46640691918397274685108885</v>
      </c>
      <c r="P48" s="4"/>
      <c r="Q48" s="327">
        <v>86.25254887019009781237435634</v>
      </c>
      <c r="R48" s="171">
        <v>71.879954020757062614783947430</v>
      </c>
      <c r="S48" s="328">
        <v>67.688675455898265215002875700</v>
      </c>
      <c r="T48" s="327">
        <v>0.5260004142433247567981870800</v>
      </c>
      <c r="U48" s="171">
        <v>18.114376270241004858753282860</v>
      </c>
      <c r="V48" s="328">
        <v>24.570446749276687969576085200</v>
      </c>
      <c r="W48" s="327">
        <v>13.221450715566577430827456580</v>
      </c>
      <c r="X48" s="171">
        <v>10.005669709001932526462769720</v>
      </c>
      <c r="Y48" s="328">
        <v>7.740877794825046815421039100</v>
      </c>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250.46666666666666666666666667</v>
      </c>
      <c r="E49" s="385">
        <v>239.96922616179001721170395869</v>
      </c>
      <c r="F49" s="386">
        <v>239.91476631925836459474808232</v>
      </c>
      <c r="G49" s="384">
        <v>1.6133333333333333333333333333</v>
      </c>
      <c r="H49" s="385">
        <v>63.079969550746343231199309577</v>
      </c>
      <c r="I49" s="386">
        <v>86.77445063194225268775516328</v>
      </c>
      <c r="J49" s="384">
        <v>29.281111111111111111111111111</v>
      </c>
      <c r="K49" s="385">
        <v>35.100095060091152308151656134</v>
      </c>
      <c r="L49" s="386">
        <v>25.774669331829185941608511576</v>
      </c>
      <c r="M49" s="384">
        <v>281.36111111111111111111111111</v>
      </c>
      <c r="N49" s="385">
        <v>338.14929077262751275105492441</v>
      </c>
      <c r="O49" s="386">
        <v>352.46388628302980322411175718</v>
      </c>
      <c r="P49" s="4"/>
      <c r="Q49" s="364">
        <v>89.01964655938394708263402113</v>
      </c>
      <c r="R49" s="365">
        <v>70.965467830345374435639498290</v>
      </c>
      <c r="S49" s="366">
        <v>68.067900189526345013839765190</v>
      </c>
      <c r="T49" s="364">
        <v>0.5734031000098726429065060700</v>
      </c>
      <c r="U49" s="365">
        <v>18.654473415164275301837480540</v>
      </c>
      <c r="V49" s="366">
        <v>24.619387690193612673617003890</v>
      </c>
      <c r="W49" s="364">
        <v>10.406950340606180274459472800</v>
      </c>
      <c r="X49" s="365">
        <v>10.380058754490350262523021170</v>
      </c>
      <c r="Y49" s="366">
        <v>7.3127121202800423125432309200</v>
      </c>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0" t="s">
        <v>114</v>
      </c>
      <c r="E53" s="650"/>
      <c r="F53" s="650"/>
      <c r="G53" s="650"/>
      <c r="H53" s="650"/>
      <c r="I53" s="650"/>
      <c r="J53" s="650"/>
      <c r="K53" s="650"/>
      <c r="L53" s="650"/>
      <c r="M53" s="650"/>
      <c r="N53" s="650"/>
      <c r="O53" s="650"/>
      <c r="P53" s="650"/>
      <c r="Q53" s="650"/>
      <c r="R53" s="650"/>
      <c r="S53" s="650"/>
      <c r="T53" s="650"/>
      <c r="U53" s="650"/>
      <c r="V53" s="650"/>
      <c r="W53" s="650"/>
      <c r="X53" s="650"/>
      <c r="Y53" s="650"/>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53"/>
</worksheet>
</file>

<file path=xl/worksheets/sheet89.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160</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168</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177</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184</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7" t="s">
        <v>209</v>
      </c>
      <c r="I5" s="687"/>
      <c r="J5" s="687"/>
      <c r="K5" s="687"/>
      <c r="L5" s="687"/>
      <c r="M5" s="687"/>
      <c r="N5" s="687"/>
      <c r="O5" s="687"/>
      <c r="P5" s="687"/>
      <c r="Q5" s="687"/>
      <c r="R5" s="687"/>
      <c r="S5" s="687"/>
      <c r="T5" s="687"/>
      <c r="U5" s="687"/>
      <c r="V5" s="687"/>
      <c r="AB5" s="687" t="s">
        <v>211</v>
      </c>
      <c r="AC5" s="687"/>
      <c r="AD5" s="687"/>
      <c r="AE5" s="687"/>
      <c r="AF5" s="687"/>
      <c r="AG5" s="687"/>
      <c r="AH5" s="687"/>
      <c r="AI5" s="687"/>
      <c r="AJ5" s="687"/>
      <c r="AK5" s="687"/>
      <c r="AL5" s="687"/>
      <c r="AM5" s="687"/>
      <c r="AN5" s="687"/>
      <c r="AO5" s="687"/>
      <c r="AP5" s="687"/>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212</v>
      </c>
      <c r="D6" s="104" t="s">
        <v>213</v>
      </c>
      <c r="I6" s="688" t="s">
        <v>0</v>
      </c>
      <c r="J6" s="688"/>
      <c r="K6" s="688" t="s">
        <v>1</v>
      </c>
      <c r="L6" s="688"/>
      <c r="M6" s="688" t="s">
        <v>2</v>
      </c>
      <c r="N6" s="688"/>
      <c r="O6" s="688" t="s">
        <v>3</v>
      </c>
      <c r="P6" s="688"/>
      <c r="Q6" s="688" t="s">
        <v>4</v>
      </c>
      <c r="R6" s="688"/>
      <c r="S6" s="688" t="s">
        <v>5</v>
      </c>
      <c r="T6" s="688"/>
      <c r="U6" s="688" t="s">
        <v>6</v>
      </c>
      <c r="V6" s="688"/>
      <c r="AC6" s="688" t="s">
        <v>0</v>
      </c>
      <c r="AD6" s="688"/>
      <c r="AE6" s="688" t="s">
        <v>1</v>
      </c>
      <c r="AF6" s="688"/>
      <c r="AG6" s="688" t="s">
        <v>2</v>
      </c>
      <c r="AH6" s="688"/>
      <c r="AI6" s="688" t="s">
        <v>3</v>
      </c>
      <c r="AJ6" s="688"/>
      <c r="AK6" s="688" t="s">
        <v>4</v>
      </c>
      <c r="AL6" s="688"/>
      <c r="AM6" s="688" t="s">
        <v>5</v>
      </c>
      <c r="AN6" s="688"/>
      <c r="AO6" s="688" t="s">
        <v>6</v>
      </c>
      <c r="AP6" s="688"/>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t="s">
        <v>214</v>
      </c>
      <c r="D7" s="104" t="s">
        <v>215</v>
      </c>
      <c r="E7" s="104"/>
      <c r="F7" s="104"/>
      <c r="G7" s="104"/>
      <c r="H7" s="97" t="s">
        <v>182</v>
      </c>
      <c r="I7" s="689">
        <v>6</v>
      </c>
      <c r="J7" s="689"/>
      <c r="K7" s="690">
        <v>7</v>
      </c>
      <c r="L7" s="690"/>
      <c r="M7" s="690">
        <v>8</v>
      </c>
      <c r="N7" s="690"/>
      <c r="O7" s="690">
        <v>9</v>
      </c>
      <c r="P7" s="690"/>
      <c r="Q7" s="690">
        <v>10</v>
      </c>
      <c r="R7" s="690"/>
      <c r="S7" s="690">
        <v>11</v>
      </c>
      <c r="T7" s="690"/>
      <c r="U7" s="691">
        <v>12</v>
      </c>
      <c r="V7" s="691"/>
      <c r="Y7" s="3"/>
      <c r="AB7" s="97" t="s">
        <v>182</v>
      </c>
      <c r="AC7" s="689">
        <v>7</v>
      </c>
      <c r="AD7" s="689"/>
      <c r="AE7" s="690">
        <v>8</v>
      </c>
      <c r="AF7" s="690"/>
      <c r="AG7" s="690">
        <v>9</v>
      </c>
      <c r="AH7" s="690"/>
      <c r="AI7" s="690">
        <v>10</v>
      </c>
      <c r="AJ7" s="690"/>
      <c r="AK7" s="690">
        <v>11</v>
      </c>
      <c r="AL7" s="690"/>
      <c r="AM7" s="690">
        <v>12</v>
      </c>
      <c r="AN7" s="690"/>
      <c r="AO7" s="691">
        <v>13</v>
      </c>
      <c r="AP7" s="691"/>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C8" t="s">
        <v>216</v>
      </c>
      <c r="D8" t="s">
        <v>217</v>
      </c>
      <c r="H8" s="97" t="s">
        <v>182</v>
      </c>
      <c r="I8" s="692">
        <v>13</v>
      </c>
      <c r="J8" s="692"/>
      <c r="K8" s="693">
        <v>14</v>
      </c>
      <c r="L8" s="693"/>
      <c r="M8" s="693">
        <v>15</v>
      </c>
      <c r="N8" s="693"/>
      <c r="O8" s="693">
        <v>16</v>
      </c>
      <c r="P8" s="693"/>
      <c r="Q8" s="693">
        <v>17</v>
      </c>
      <c r="R8" s="693"/>
      <c r="S8" s="693">
        <v>18</v>
      </c>
      <c r="T8" s="693"/>
      <c r="U8" s="694">
        <v>19</v>
      </c>
      <c r="V8" s="694"/>
      <c r="Y8" s="3"/>
      <c r="AB8" s="97" t="s">
        <v>182</v>
      </c>
      <c r="AC8" s="692">
        <v>14</v>
      </c>
      <c r="AD8" s="692"/>
      <c r="AE8" s="693">
        <v>15</v>
      </c>
      <c r="AF8" s="693"/>
      <c r="AG8" s="693">
        <v>16</v>
      </c>
      <c r="AH8" s="693"/>
      <c r="AI8" s="693">
        <v>17</v>
      </c>
      <c r="AJ8" s="693"/>
      <c r="AK8" s="693">
        <v>18</v>
      </c>
      <c r="AL8" s="693"/>
      <c r="AM8" s="693">
        <v>19</v>
      </c>
      <c r="AN8" s="693"/>
      <c r="AO8" s="694">
        <v>20</v>
      </c>
      <c r="AP8" s="694"/>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C9" t="s">
        <v>218</v>
      </c>
      <c r="D9" t="s">
        <v>219</v>
      </c>
      <c r="H9" s="97" t="s">
        <v>182</v>
      </c>
      <c r="I9" s="695">
        <v>20</v>
      </c>
      <c r="J9" s="695"/>
      <c r="K9" s="696">
        <v>21</v>
      </c>
      <c r="L9" s="696"/>
      <c r="M9" s="696">
        <v>22</v>
      </c>
      <c r="N9" s="696"/>
      <c r="O9" s="696">
        <v>23</v>
      </c>
      <c r="P9" s="696"/>
      <c r="Q9" s="696">
        <v>24</v>
      </c>
      <c r="R9" s="696"/>
      <c r="S9" s="696">
        <v>25</v>
      </c>
      <c r="T9" s="696"/>
      <c r="U9" s="697">
        <v>26</v>
      </c>
      <c r="V9" s="697"/>
      <c r="Y9" s="3"/>
      <c r="AB9" s="97" t="s">
        <v>182</v>
      </c>
      <c r="AC9" s="695">
        <v>21</v>
      </c>
      <c r="AD9" s="695"/>
      <c r="AE9" s="696">
        <v>22</v>
      </c>
      <c r="AF9" s="696"/>
      <c r="AG9" s="696">
        <v>23</v>
      </c>
      <c r="AH9" s="696"/>
      <c r="AI9" s="696">
        <v>24</v>
      </c>
      <c r="AJ9" s="696"/>
      <c r="AK9" s="696">
        <v>25</v>
      </c>
      <c r="AL9" s="696"/>
      <c r="AM9" s="696">
        <v>26</v>
      </c>
      <c r="AN9" s="696"/>
      <c r="AO9" s="697">
        <v>27</v>
      </c>
      <c r="AP9" s="697"/>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210</v>
      </c>
      <c r="I10" s="692">
        <v>27</v>
      </c>
      <c r="J10" s="692"/>
      <c r="K10" s="693">
        <v>28</v>
      </c>
      <c r="L10" s="693"/>
      <c r="M10" s="693">
        <v>29</v>
      </c>
      <c r="N10" s="693"/>
      <c r="O10" s="693">
        <v>30</v>
      </c>
      <c r="P10" s="693"/>
      <c r="Q10" s="693">
        <v>1</v>
      </c>
      <c r="R10" s="693"/>
      <c r="S10" s="693">
        <v>2</v>
      </c>
      <c r="T10" s="693"/>
      <c r="U10" s="694">
        <v>3</v>
      </c>
      <c r="V10" s="694"/>
      <c r="Y10" s="3"/>
      <c r="AB10" s="97" t="s">
        <v>210</v>
      </c>
      <c r="AC10" s="692">
        <v>28</v>
      </c>
      <c r="AD10" s="692"/>
      <c r="AE10" s="693">
        <v>29</v>
      </c>
      <c r="AF10" s="693"/>
      <c r="AG10" s="693">
        <v>30</v>
      </c>
      <c r="AH10" s="693"/>
      <c r="AI10" s="693">
        <v>1</v>
      </c>
      <c r="AJ10" s="693"/>
      <c r="AK10" s="693">
        <v>2</v>
      </c>
      <c r="AL10" s="693"/>
      <c r="AM10" s="693">
        <v>3</v>
      </c>
      <c r="AN10" s="693"/>
      <c r="AO10" s="694">
        <v>4</v>
      </c>
      <c r="AP10" s="694"/>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179</v>
      </c>
      <c r="I11" s="695">
        <v>4</v>
      </c>
      <c r="J11" s="695"/>
      <c r="K11" s="696">
        <v>5</v>
      </c>
      <c r="L11" s="696"/>
      <c r="M11" s="696">
        <v>6</v>
      </c>
      <c r="N11" s="696"/>
      <c r="O11" s="696">
        <v>7</v>
      </c>
      <c r="P11" s="696"/>
      <c r="Q11" s="696">
        <v>8</v>
      </c>
      <c r="R11" s="696"/>
      <c r="S11" s="696">
        <v>9</v>
      </c>
      <c r="T11" s="696"/>
      <c r="U11" s="697">
        <v>10</v>
      </c>
      <c r="V11" s="697"/>
      <c r="Y11" s="3"/>
      <c r="AB11" s="97" t="s">
        <v>179</v>
      </c>
      <c r="AC11" s="695">
        <v>5</v>
      </c>
      <c r="AD11" s="695"/>
      <c r="AE11" s="696">
        <v>6</v>
      </c>
      <c r="AF11" s="696"/>
      <c r="AG11" s="696">
        <v>7</v>
      </c>
      <c r="AH11" s="696"/>
      <c r="AI11" s="696">
        <v>8</v>
      </c>
      <c r="AJ11" s="696"/>
      <c r="AK11" s="696">
        <v>9</v>
      </c>
      <c r="AL11" s="696"/>
      <c r="AM11" s="696">
        <v>10</v>
      </c>
      <c r="AN11" s="696"/>
      <c r="AO11" s="697">
        <v>11</v>
      </c>
      <c r="AP11" s="697"/>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179</v>
      </c>
      <c r="I12" s="698">
        <v>11</v>
      </c>
      <c r="J12" s="698"/>
      <c r="K12" s="699">
        <v>12</v>
      </c>
      <c r="L12" s="699"/>
      <c r="M12" s="699">
        <v>13</v>
      </c>
      <c r="N12" s="699"/>
      <c r="O12" s="699">
        <v>14</v>
      </c>
      <c r="P12" s="699"/>
      <c r="Q12" s="699">
        <v>15</v>
      </c>
      <c r="R12" s="699"/>
      <c r="S12" s="699">
        <v>16</v>
      </c>
      <c r="T12" s="699"/>
      <c r="U12" s="700">
        <v>17</v>
      </c>
      <c r="V12" s="700"/>
      <c r="Y12" s="3"/>
      <c r="AB12" s="97" t="s">
        <v>179</v>
      </c>
      <c r="AC12" s="698">
        <v>12</v>
      </c>
      <c r="AD12" s="698"/>
      <c r="AE12" s="699">
        <v>13</v>
      </c>
      <c r="AF12" s="699"/>
      <c r="AG12" s="699">
        <v>14</v>
      </c>
      <c r="AH12" s="699"/>
      <c r="AI12" s="699">
        <v>15</v>
      </c>
      <c r="AJ12" s="699"/>
      <c r="AK12" s="699">
        <v>16</v>
      </c>
      <c r="AL12" s="699"/>
      <c r="AM12" s="699">
        <v>17</v>
      </c>
      <c r="AN12" s="699"/>
      <c r="AO12" s="700">
        <v>18</v>
      </c>
      <c r="AP12" s="700"/>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220</v>
      </c>
      <c r="D14" s="106" t="s">
        <v>213</v>
      </c>
      <c r="H14" s="97"/>
      <c r="O14" s="648"/>
      <c r="P14" s="648"/>
      <c r="Q14" s="648"/>
      <c r="R14" s="648"/>
      <c r="S14" s="648"/>
      <c r="T14" s="648"/>
      <c r="U14" s="648"/>
      <c r="W14" s="648"/>
      <c r="X14" s="648"/>
      <c r="Y14" s="648"/>
      <c r="Z14" s="648"/>
      <c r="AA14" s="648"/>
      <c r="AB14" s="648"/>
      <c r="AC14" s="648"/>
      <c r="AE14" s="648"/>
      <c r="AF14" s="648"/>
      <c r="AG14" s="648"/>
      <c r="AH14" s="648"/>
      <c r="AI14" s="648"/>
      <c r="AJ14" s="648"/>
      <c r="AK14" s="648"/>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221</v>
      </c>
      <c r="D15" s="104" t="s">
        <v>219</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222</v>
      </c>
      <c r="D16" s="104" t="s">
        <v>223</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224</v>
      </c>
      <c r="D17" s="104" t="s">
        <v>225</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226</v>
      </c>
      <c r="D18" s="104" t="s">
        <v>227</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228</v>
      </c>
      <c r="D19" s="104" t="s">
        <v>229</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1"/>
      <c r="AW20" s="701"/>
      <c r="AX20" s="701"/>
      <c r="AY20" s="701"/>
      <c r="AZ20" s="701"/>
      <c r="BA20" s="701"/>
      <c r="BB20" s="701"/>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45788</v>
      </c>
      <c r="R21" s="119">
        <v>45789</v>
      </c>
      <c r="S21" s="119">
        <v>45790</v>
      </c>
      <c r="T21" s="119">
        <v>45791</v>
      </c>
      <c r="U21" s="119">
        <v>45792</v>
      </c>
      <c r="V21" s="119">
        <v>45793</v>
      </c>
      <c r="W21" s="119">
        <v>45794</v>
      </c>
      <c r="X21" s="120"/>
      <c r="Y21" s="120"/>
      <c r="Z21" s="119">
        <v>45788</v>
      </c>
      <c r="AA21" s="119">
        <v>45789</v>
      </c>
      <c r="AB21" s="119">
        <v>45790</v>
      </c>
      <c r="AC21" s="119">
        <v>45791</v>
      </c>
      <c r="AD21" s="119">
        <v>45792</v>
      </c>
      <c r="AE21" s="119">
        <v>45793</v>
      </c>
      <c r="AF21" s="119">
        <v>45794</v>
      </c>
      <c r="AG21" s="120"/>
      <c r="AH21" s="120"/>
      <c r="AI21" s="119">
        <v>45788</v>
      </c>
      <c r="AJ21" s="119">
        <v>45789</v>
      </c>
      <c r="AK21" s="119">
        <v>45790</v>
      </c>
      <c r="AL21" s="119">
        <v>45791</v>
      </c>
      <c r="AM21" s="119">
        <v>45792</v>
      </c>
      <c r="AN21" s="119">
        <v>45793</v>
      </c>
      <c r="AO21" s="119">
        <v>45794</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2">
        <v>56387</v>
      </c>
      <c r="D22" s="702" t="s">
        <v>185</v>
      </c>
      <c r="E22" s="702" t="s">
        <v>186</v>
      </c>
      <c r="F22" s="702" t="s">
        <v>187</v>
      </c>
      <c r="G22" s="702" t="s">
        <v>188</v>
      </c>
      <c r="H22" s="703">
        <v>132</v>
      </c>
      <c r="I22" s="703" t="s">
        <v>189</v>
      </c>
      <c r="J22" s="703"/>
      <c r="K22" s="703"/>
      <c r="L22" s="703"/>
      <c r="M22" s="703"/>
      <c r="N22" s="703"/>
      <c r="O22" s="113"/>
      <c r="Q22" s="704" t="s">
        <v>190</v>
      </c>
      <c r="R22" s="705" t="s">
        <v>190</v>
      </c>
      <c r="S22" s="705" t="s">
        <v>190</v>
      </c>
      <c r="T22" s="705" t="s">
        <v>190</v>
      </c>
      <c r="U22" s="705" t="s">
        <v>190</v>
      </c>
      <c r="V22" s="705" t="s">
        <v>190</v>
      </c>
      <c r="W22" s="706" t="s">
        <v>190</v>
      </c>
      <c r="Z22" s="704" t="s">
        <v>190</v>
      </c>
      <c r="AA22" s="705" t="s">
        <v>190</v>
      </c>
      <c r="AB22" s="705" t="s">
        <v>190</v>
      </c>
      <c r="AC22" s="705" t="s">
        <v>190</v>
      </c>
      <c r="AD22" s="705" t="s">
        <v>190</v>
      </c>
      <c r="AE22" s="705" t="s">
        <v>190</v>
      </c>
      <c r="AF22" s="706" t="s">
        <v>190</v>
      </c>
      <c r="AI22" s="704" t="s">
        <v>190</v>
      </c>
      <c r="AJ22" s="705" t="s">
        <v>190</v>
      </c>
      <c r="AK22" s="705" t="s">
        <v>190</v>
      </c>
      <c r="AL22" s="705" t="s">
        <v>190</v>
      </c>
      <c r="AM22" s="705" t="s">
        <v>190</v>
      </c>
      <c r="AN22" s="705" t="s">
        <v>190</v>
      </c>
      <c r="AO22" s="706" t="s">
        <v>190</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7">
        <v>26819</v>
      </c>
      <c r="D23" s="707" t="s">
        <v>239</v>
      </c>
      <c r="E23" s="707" t="s">
        <v>186</v>
      </c>
      <c r="F23" s="707" t="s">
        <v>240</v>
      </c>
      <c r="G23" s="707" t="s">
        <v>241</v>
      </c>
      <c r="H23" s="708">
        <v>132</v>
      </c>
      <c r="I23" s="708" t="s">
        <v>242</v>
      </c>
      <c r="J23" s="708"/>
      <c r="K23" s="708"/>
      <c r="L23" s="708"/>
      <c r="M23" s="708"/>
      <c r="N23" s="708"/>
      <c r="O23" s="113"/>
      <c r="Q23" s="709" t="s">
        <v>190</v>
      </c>
      <c r="R23" s="710" t="s">
        <v>190</v>
      </c>
      <c r="S23" s="710" t="s">
        <v>190</v>
      </c>
      <c r="T23" s="710" t="s">
        <v>190</v>
      </c>
      <c r="U23" s="710" t="s">
        <v>190</v>
      </c>
      <c r="V23" s="710" t="s">
        <v>190</v>
      </c>
      <c r="W23" s="711" t="s">
        <v>190</v>
      </c>
      <c r="Z23" s="709" t="s">
        <v>190</v>
      </c>
      <c r="AA23" s="710" t="s">
        <v>190</v>
      </c>
      <c r="AB23" s="710" t="s">
        <v>190</v>
      </c>
      <c r="AC23" s="710" t="s">
        <v>190</v>
      </c>
      <c r="AD23" s="710" t="s">
        <v>190</v>
      </c>
      <c r="AE23" s="710" t="s">
        <v>190</v>
      </c>
      <c r="AF23" s="711" t="s">
        <v>190</v>
      </c>
      <c r="AI23" s="709" t="s">
        <v>190</v>
      </c>
      <c r="AJ23" s="710" t="s">
        <v>190</v>
      </c>
      <c r="AK23" s="710" t="s">
        <v>190</v>
      </c>
      <c r="AL23" s="710" t="s">
        <v>190</v>
      </c>
      <c r="AM23" s="710" t="s">
        <v>190</v>
      </c>
      <c r="AN23" s="710" t="s">
        <v>190</v>
      </c>
      <c r="AO23" s="711" t="s">
        <v>190</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2">
        <v>31851</v>
      </c>
      <c r="D24" s="702" t="s">
        <v>243</v>
      </c>
      <c r="E24" s="702" t="s">
        <v>186</v>
      </c>
      <c r="F24" s="702" t="s">
        <v>244</v>
      </c>
      <c r="G24" s="702" t="s">
        <v>245</v>
      </c>
      <c r="H24" s="703">
        <v>186</v>
      </c>
      <c r="I24" s="703" t="s">
        <v>246</v>
      </c>
      <c r="J24" s="703"/>
      <c r="K24" s="703"/>
      <c r="L24" s="703"/>
      <c r="M24" s="703"/>
      <c r="N24" s="703"/>
      <c r="O24" s="113"/>
      <c r="Q24" s="704" t="s">
        <v>190</v>
      </c>
      <c r="R24" s="705" t="s">
        <v>190</v>
      </c>
      <c r="S24" s="705" t="s">
        <v>190</v>
      </c>
      <c r="T24" s="705" t="s">
        <v>190</v>
      </c>
      <c r="U24" s="705" t="s">
        <v>190</v>
      </c>
      <c r="V24" s="705" t="s">
        <v>190</v>
      </c>
      <c r="W24" s="706" t="s">
        <v>190</v>
      </c>
      <c r="Z24" s="704" t="s">
        <v>190</v>
      </c>
      <c r="AA24" s="705" t="s">
        <v>190</v>
      </c>
      <c r="AB24" s="705" t="s">
        <v>190</v>
      </c>
      <c r="AC24" s="705" t="s">
        <v>190</v>
      </c>
      <c r="AD24" s="705" t="s">
        <v>190</v>
      </c>
      <c r="AE24" s="705" t="s">
        <v>190</v>
      </c>
      <c r="AF24" s="706" t="s">
        <v>190</v>
      </c>
      <c r="AI24" s="704" t="s">
        <v>190</v>
      </c>
      <c r="AJ24" s="705" t="s">
        <v>190</v>
      </c>
      <c r="AK24" s="705" t="s">
        <v>190</v>
      </c>
      <c r="AL24" s="705" t="s">
        <v>190</v>
      </c>
      <c r="AM24" s="705" t="s">
        <v>190</v>
      </c>
      <c r="AN24" s="705" t="s">
        <v>190</v>
      </c>
      <c r="AO24" s="706" t="s">
        <v>190</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7">
        <v>33931</v>
      </c>
      <c r="D25" s="707" t="s">
        <v>191</v>
      </c>
      <c r="E25" s="707" t="s">
        <v>186</v>
      </c>
      <c r="F25" s="707" t="s">
        <v>192</v>
      </c>
      <c r="G25" s="707" t="s">
        <v>193</v>
      </c>
      <c r="H25" s="708">
        <v>107</v>
      </c>
      <c r="I25" s="708" t="s">
        <v>194</v>
      </c>
      <c r="J25" s="708"/>
      <c r="K25" s="708"/>
      <c r="L25" s="708"/>
      <c r="M25" s="708"/>
      <c r="N25" s="708"/>
      <c r="O25" s="113"/>
      <c r="Q25" s="709" t="s">
        <v>190</v>
      </c>
      <c r="R25" s="710" t="s">
        <v>190</v>
      </c>
      <c r="S25" s="710" t="s">
        <v>190</v>
      </c>
      <c r="T25" s="710" t="s">
        <v>190</v>
      </c>
      <c r="U25" s="710" t="s">
        <v>190</v>
      </c>
      <c r="V25" s="710" t="s">
        <v>190</v>
      </c>
      <c r="W25" s="711" t="s">
        <v>190</v>
      </c>
      <c r="Z25" s="709" t="s">
        <v>190</v>
      </c>
      <c r="AA25" s="710" t="s">
        <v>190</v>
      </c>
      <c r="AB25" s="710" t="s">
        <v>190</v>
      </c>
      <c r="AC25" s="710" t="s">
        <v>190</v>
      </c>
      <c r="AD25" s="710" t="s">
        <v>190</v>
      </c>
      <c r="AE25" s="710" t="s">
        <v>190</v>
      </c>
      <c r="AF25" s="711" t="s">
        <v>190</v>
      </c>
      <c r="AI25" s="709" t="s">
        <v>190</v>
      </c>
      <c r="AJ25" s="710" t="s">
        <v>190</v>
      </c>
      <c r="AK25" s="710" t="s">
        <v>190</v>
      </c>
      <c r="AL25" s="710" t="s">
        <v>190</v>
      </c>
      <c r="AM25" s="710" t="s">
        <v>190</v>
      </c>
      <c r="AN25" s="710" t="s">
        <v>190</v>
      </c>
      <c r="AO25" s="711" t="s">
        <v>190</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2">
        <v>62556</v>
      </c>
      <c r="D26" s="702" t="s">
        <v>247</v>
      </c>
      <c r="E26" s="702" t="s">
        <v>186</v>
      </c>
      <c r="F26" s="702" t="s">
        <v>192</v>
      </c>
      <c r="G26" s="702" t="s">
        <v>248</v>
      </c>
      <c r="H26" s="703">
        <v>87</v>
      </c>
      <c r="I26" s="703" t="s">
        <v>249</v>
      </c>
      <c r="J26" s="703"/>
      <c r="K26" s="703"/>
      <c r="L26" s="703"/>
      <c r="M26" s="703"/>
      <c r="N26" s="703"/>
      <c r="O26" s="113"/>
      <c r="Q26" s="704" t="s">
        <v>190</v>
      </c>
      <c r="R26" s="705" t="s">
        <v>190</v>
      </c>
      <c r="S26" s="705" t="s">
        <v>190</v>
      </c>
      <c r="T26" s="705" t="s">
        <v>190</v>
      </c>
      <c r="U26" s="705" t="s">
        <v>190</v>
      </c>
      <c r="V26" s="705" t="s">
        <v>190</v>
      </c>
      <c r="W26" s="706" t="s">
        <v>190</v>
      </c>
      <c r="Z26" s="704" t="s">
        <v>190</v>
      </c>
      <c r="AA26" s="705" t="s">
        <v>190</v>
      </c>
      <c r="AB26" s="705" t="s">
        <v>190</v>
      </c>
      <c r="AC26" s="705" t="s">
        <v>190</v>
      </c>
      <c r="AD26" s="705" t="s">
        <v>190</v>
      </c>
      <c r="AE26" s="705" t="s">
        <v>190</v>
      </c>
      <c r="AF26" s="706" t="s">
        <v>190</v>
      </c>
      <c r="AI26" s="704" t="s">
        <v>175</v>
      </c>
      <c r="AJ26" s="705" t="s">
        <v>175</v>
      </c>
      <c r="AK26" s="705" t="s">
        <v>175</v>
      </c>
      <c r="AL26" s="705" t="s">
        <v>175</v>
      </c>
      <c r="AM26" s="705" t="s">
        <v>175</v>
      </c>
      <c r="AN26" s="705" t="s">
        <v>175</v>
      </c>
      <c r="AO26" s="706" t="s">
        <v>175</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7">
        <v>64036</v>
      </c>
      <c r="D27" s="707" t="s">
        <v>250</v>
      </c>
      <c r="E27" s="707" t="s">
        <v>186</v>
      </c>
      <c r="F27" s="707" t="s">
        <v>192</v>
      </c>
      <c r="G27" s="707" t="s">
        <v>251</v>
      </c>
      <c r="H27" s="708">
        <v>105</v>
      </c>
      <c r="I27" s="708" t="s">
        <v>252</v>
      </c>
      <c r="J27" s="708"/>
      <c r="K27" s="708"/>
      <c r="L27" s="708"/>
      <c r="M27" s="708"/>
      <c r="N27" s="708"/>
      <c r="O27" s="113"/>
      <c r="Q27" s="709" t="s">
        <v>190</v>
      </c>
      <c r="R27" s="710" t="s">
        <v>190</v>
      </c>
      <c r="S27" s="710" t="s">
        <v>190</v>
      </c>
      <c r="T27" s="710" t="s">
        <v>190</v>
      </c>
      <c r="U27" s="710" t="s">
        <v>190</v>
      </c>
      <c r="V27" s="710" t="s">
        <v>190</v>
      </c>
      <c r="W27" s="711" t="s">
        <v>190</v>
      </c>
      <c r="Z27" s="709" t="s">
        <v>190</v>
      </c>
      <c r="AA27" s="710" t="s">
        <v>190</v>
      </c>
      <c r="AB27" s="710" t="s">
        <v>190</v>
      </c>
      <c r="AC27" s="710" t="s">
        <v>190</v>
      </c>
      <c r="AD27" s="710" t="s">
        <v>190</v>
      </c>
      <c r="AE27" s="710" t="s">
        <v>190</v>
      </c>
      <c r="AF27" s="711" t="s">
        <v>190</v>
      </c>
      <c r="AI27" s="709" t="s">
        <v>190</v>
      </c>
      <c r="AJ27" s="710" t="s">
        <v>190</v>
      </c>
      <c r="AK27" s="710" t="s">
        <v>190</v>
      </c>
      <c r="AL27" s="710" t="s">
        <v>190</v>
      </c>
      <c r="AM27" s="710" t="s">
        <v>190</v>
      </c>
      <c r="AN27" s="710" t="s">
        <v>190</v>
      </c>
      <c r="AO27" s="711" t="s">
        <v>190</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2">
        <v>67528</v>
      </c>
      <c r="D28" s="702" t="s">
        <v>253</v>
      </c>
      <c r="E28" s="702" t="s">
        <v>186</v>
      </c>
      <c r="F28" s="702" t="s">
        <v>192</v>
      </c>
      <c r="G28" s="702" t="s">
        <v>254</v>
      </c>
      <c r="H28" s="703">
        <v>118</v>
      </c>
      <c r="I28" s="703" t="s">
        <v>255</v>
      </c>
      <c r="J28" s="703"/>
      <c r="K28" s="703"/>
      <c r="L28" s="703"/>
      <c r="M28" s="703"/>
      <c r="N28" s="703"/>
      <c r="O28" s="113"/>
      <c r="Q28" s="704" t="s">
        <v>190</v>
      </c>
      <c r="R28" s="705" t="s">
        <v>190</v>
      </c>
      <c r="S28" s="705" t="s">
        <v>190</v>
      </c>
      <c r="T28" s="705" t="s">
        <v>190</v>
      </c>
      <c r="U28" s="705" t="s">
        <v>190</v>
      </c>
      <c r="V28" s="705" t="s">
        <v>190</v>
      </c>
      <c r="W28" s="706" t="s">
        <v>190</v>
      </c>
      <c r="Z28" s="704" t="s">
        <v>190</v>
      </c>
      <c r="AA28" s="705" t="s">
        <v>190</v>
      </c>
      <c r="AB28" s="705" t="s">
        <v>190</v>
      </c>
      <c r="AC28" s="705" t="s">
        <v>190</v>
      </c>
      <c r="AD28" s="705" t="s">
        <v>190</v>
      </c>
      <c r="AE28" s="705" t="s">
        <v>190</v>
      </c>
      <c r="AF28" s="706" t="s">
        <v>190</v>
      </c>
      <c r="AI28" s="704" t="s">
        <v>256</v>
      </c>
      <c r="AJ28" s="705" t="s">
        <v>256</v>
      </c>
      <c r="AK28" s="705" t="s">
        <v>256</v>
      </c>
      <c r="AL28" s="705" t="s">
        <v>256</v>
      </c>
      <c r="AM28" s="705" t="s">
        <v>256</v>
      </c>
      <c r="AN28" s="705" t="s">
        <v>256</v>
      </c>
      <c r="AO28" s="706" t="s">
        <v>256</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7">
        <v>68331</v>
      </c>
      <c r="D29" s="707" t="s">
        <v>257</v>
      </c>
      <c r="E29" s="707" t="s">
        <v>186</v>
      </c>
      <c r="F29" s="707" t="s">
        <v>258</v>
      </c>
      <c r="G29" s="707" t="s">
        <v>259</v>
      </c>
      <c r="H29" s="708">
        <v>96</v>
      </c>
      <c r="I29" s="708" t="s">
        <v>260</v>
      </c>
      <c r="J29" s="708"/>
      <c r="K29" s="708"/>
      <c r="L29" s="708"/>
      <c r="M29" s="708"/>
      <c r="N29" s="708"/>
      <c r="O29" s="113"/>
      <c r="Q29" s="709" t="s">
        <v>190</v>
      </c>
      <c r="R29" s="710" t="s">
        <v>190</v>
      </c>
      <c r="S29" s="710" t="s">
        <v>190</v>
      </c>
      <c r="T29" s="710" t="s">
        <v>190</v>
      </c>
      <c r="U29" s="710" t="s">
        <v>190</v>
      </c>
      <c r="V29" s="710" t="s">
        <v>190</v>
      </c>
      <c r="W29" s="711" t="s">
        <v>190</v>
      </c>
      <c r="Z29" s="709" t="s">
        <v>190</v>
      </c>
      <c r="AA29" s="710" t="s">
        <v>190</v>
      </c>
      <c r="AB29" s="710" t="s">
        <v>190</v>
      </c>
      <c r="AC29" s="710" t="s">
        <v>190</v>
      </c>
      <c r="AD29" s="710" t="s">
        <v>190</v>
      </c>
      <c r="AE29" s="710" t="s">
        <v>190</v>
      </c>
      <c r="AF29" s="711" t="s">
        <v>190</v>
      </c>
      <c r="AI29" s="709" t="s">
        <v>190</v>
      </c>
      <c r="AJ29" s="710" t="s">
        <v>190</v>
      </c>
      <c r="AK29" s="710" t="s">
        <v>190</v>
      </c>
      <c r="AL29" s="710" t="s">
        <v>190</v>
      </c>
      <c r="AM29" s="710" t="s">
        <v>190</v>
      </c>
      <c r="AN29" s="710" t="s">
        <v>190</v>
      </c>
      <c r="AO29" s="711" t="s">
        <v>190</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702">
        <v>70610</v>
      </c>
      <c r="D30" s="702" t="s">
        <v>261</v>
      </c>
      <c r="E30" s="702" t="s">
        <v>186</v>
      </c>
      <c r="F30" s="702" t="s">
        <v>262</v>
      </c>
      <c r="G30" s="702" t="s">
        <v>263</v>
      </c>
      <c r="H30" s="703">
        <v>202</v>
      </c>
      <c r="I30" s="703" t="s">
        <v>264</v>
      </c>
      <c r="J30" s="703"/>
      <c r="K30" s="703"/>
      <c r="L30" s="703"/>
      <c r="M30" s="703"/>
      <c r="N30" s="703"/>
      <c r="O30" s="113"/>
      <c r="Q30" s="704" t="s">
        <v>190</v>
      </c>
      <c r="R30" s="705" t="s">
        <v>190</v>
      </c>
      <c r="S30" s="705" t="s">
        <v>190</v>
      </c>
      <c r="T30" s="705" t="s">
        <v>190</v>
      </c>
      <c r="U30" s="705" t="s">
        <v>190</v>
      </c>
      <c r="V30" s="705" t="s">
        <v>190</v>
      </c>
      <c r="W30" s="706" t="s">
        <v>190</v>
      </c>
      <c r="Z30" s="704" t="s">
        <v>190</v>
      </c>
      <c r="AA30" s="705" t="s">
        <v>190</v>
      </c>
      <c r="AB30" s="705" t="s">
        <v>190</v>
      </c>
      <c r="AC30" s="705" t="s">
        <v>190</v>
      </c>
      <c r="AD30" s="705" t="s">
        <v>190</v>
      </c>
      <c r="AE30" s="705" t="s">
        <v>190</v>
      </c>
      <c r="AF30" s="706" t="s">
        <v>190</v>
      </c>
      <c r="AI30" s="704" t="s">
        <v>256</v>
      </c>
      <c r="AJ30" s="705" t="s">
        <v>256</v>
      </c>
      <c r="AK30" s="705" t="s">
        <v>256</v>
      </c>
      <c r="AL30" s="705" t="s">
        <v>256</v>
      </c>
      <c r="AM30" s="705" t="s">
        <v>256</v>
      </c>
      <c r="AN30" s="705" t="s">
        <v>256</v>
      </c>
      <c r="AO30" s="706" t="s">
        <v>256</v>
      </c>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703">
        <v>1165</v>
      </c>
      <c r="I31" s="712"/>
      <c r="J31" s="712"/>
      <c r="K31" s="712"/>
      <c r="L31" s="712"/>
      <c r="M31" s="712"/>
      <c r="N31" s="712"/>
      <c r="O31" s="113"/>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2"/>
      <c r="J32" s="712"/>
      <c r="K32" s="712"/>
      <c r="L32" s="712"/>
      <c r="M32" s="712"/>
      <c r="N32" s="712"/>
      <c r="O32" s="113"/>
      <c r="P32" t="s">
        <v>208</v>
      </c>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2"/>
      <c r="J33" s="712"/>
      <c r="K33" s="712"/>
      <c r="L33" s="712"/>
      <c r="M33" s="712"/>
      <c r="N33" s="712"/>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2"/>
      <c r="J34" s="712"/>
      <c r="K34" s="712"/>
      <c r="L34" s="712"/>
      <c r="M34" s="712"/>
      <c r="N34" s="712"/>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2"/>
      <c r="J35" s="712"/>
      <c r="K35" s="712"/>
      <c r="L35" s="712"/>
      <c r="M35" s="712"/>
      <c r="N35" s="712"/>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2"/>
      <c r="J36" s="712"/>
      <c r="K36" s="712"/>
      <c r="L36" s="712"/>
      <c r="M36" s="712"/>
      <c r="N36" s="712"/>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2"/>
      <c r="J37" s="712"/>
      <c r="K37" s="712"/>
      <c r="L37" s="712"/>
      <c r="M37" s="712"/>
      <c r="N37" s="712"/>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2"/>
      <c r="J38" s="712"/>
      <c r="K38" s="712"/>
      <c r="L38" s="712"/>
      <c r="M38" s="712"/>
      <c r="N38" s="712"/>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2"/>
      <c r="J39" s="712"/>
      <c r="K39" s="712"/>
      <c r="L39" s="712"/>
      <c r="M39" s="712"/>
      <c r="N39" s="712"/>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2"/>
      <c r="J40" s="712"/>
      <c r="K40" s="712"/>
      <c r="L40" s="712"/>
      <c r="M40" s="712"/>
      <c r="N40" s="712"/>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2"/>
      <c r="J41" s="712"/>
      <c r="K41" s="712"/>
      <c r="L41" s="712"/>
      <c r="M41" s="712"/>
      <c r="N41" s="712"/>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2"/>
      <c r="J42" s="712"/>
      <c r="K42" s="712"/>
      <c r="L42" s="712"/>
      <c r="M42" s="712"/>
      <c r="N42" s="712"/>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2"/>
      <c r="J43" s="712"/>
      <c r="K43" s="712"/>
      <c r="L43" s="712"/>
      <c r="M43" s="712"/>
      <c r="N43" s="712"/>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2"/>
      <c r="J44" s="712"/>
      <c r="K44" s="712"/>
      <c r="L44" s="712"/>
      <c r="M44" s="712"/>
      <c r="N44" s="712"/>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2"/>
      <c r="J45" s="712"/>
      <c r="K45" s="712"/>
      <c r="L45" s="712"/>
      <c r="M45" s="712"/>
      <c r="N45" s="712"/>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2"/>
      <c r="J46" s="712"/>
      <c r="K46" s="712"/>
      <c r="L46" s="712"/>
      <c r="M46" s="712"/>
      <c r="N46" s="712"/>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2"/>
      <c r="J47" s="712"/>
      <c r="K47" s="712"/>
      <c r="L47" s="712"/>
      <c r="M47" s="712"/>
      <c r="N47" s="712"/>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2"/>
      <c r="J48" s="712"/>
      <c r="K48" s="712"/>
      <c r="L48" s="712"/>
      <c r="M48" s="712"/>
      <c r="N48" s="712"/>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2"/>
      <c r="J49" s="712"/>
      <c r="K49" s="712"/>
      <c r="L49" s="712"/>
      <c r="M49" s="712"/>
      <c r="N49" s="712"/>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2"/>
      <c r="J50" s="712"/>
      <c r="K50" s="712"/>
      <c r="L50" s="712"/>
      <c r="M50" s="712"/>
      <c r="N50" s="712"/>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2"/>
      <c r="J51" s="712"/>
      <c r="K51" s="712"/>
      <c r="L51" s="712"/>
      <c r="M51" s="712"/>
      <c r="N51" s="712"/>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2"/>
      <c r="J52" s="712"/>
      <c r="K52" s="712"/>
      <c r="L52" s="712"/>
      <c r="M52" s="712"/>
      <c r="N52" s="712"/>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2"/>
      <c r="J53" s="712"/>
      <c r="K53" s="712"/>
      <c r="L53" s="712"/>
      <c r="M53" s="712"/>
      <c r="N53" s="712"/>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2"/>
      <c r="J54" s="712"/>
      <c r="K54" s="712"/>
      <c r="L54" s="712"/>
      <c r="M54" s="712"/>
      <c r="N54" s="712"/>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2"/>
      <c r="J55" s="712"/>
      <c r="K55" s="712"/>
      <c r="L55" s="712"/>
      <c r="M55" s="712"/>
      <c r="N55" s="712"/>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2"/>
      <c r="J56" s="712"/>
      <c r="K56" s="712"/>
      <c r="L56" s="712"/>
      <c r="M56" s="712"/>
      <c r="N56" s="712"/>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2"/>
      <c r="J57" s="712"/>
      <c r="K57" s="712"/>
      <c r="L57" s="712"/>
      <c r="M57" s="712"/>
      <c r="N57" s="712"/>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2"/>
      <c r="J58" s="712"/>
      <c r="K58" s="712"/>
      <c r="L58" s="712"/>
      <c r="M58" s="712"/>
      <c r="N58" s="712"/>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2"/>
      <c r="J59" s="712"/>
      <c r="K59" s="712"/>
      <c r="L59" s="712"/>
      <c r="M59" s="712"/>
      <c r="N59" s="712"/>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2"/>
      <c r="J60" s="712"/>
      <c r="K60" s="712"/>
      <c r="L60" s="712"/>
      <c r="M60" s="712"/>
      <c r="N60" s="712"/>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2"/>
      <c r="J61" s="712"/>
      <c r="K61" s="712"/>
      <c r="L61" s="712"/>
      <c r="M61" s="712"/>
      <c r="N61" s="712"/>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2"/>
      <c r="J62" s="712"/>
      <c r="K62" s="712"/>
      <c r="L62" s="712"/>
      <c r="M62" s="712"/>
      <c r="N62" s="712"/>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2"/>
      <c r="J63" s="712"/>
      <c r="K63" s="712"/>
      <c r="L63" s="712"/>
      <c r="M63" s="712"/>
      <c r="N63" s="712"/>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2"/>
      <c r="J64" s="712"/>
      <c r="K64" s="712"/>
      <c r="L64" s="712"/>
      <c r="M64" s="712"/>
      <c r="N64" s="712"/>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2"/>
      <c r="J65" s="712"/>
      <c r="K65" s="712"/>
      <c r="L65" s="712"/>
      <c r="M65" s="712"/>
      <c r="N65" s="712"/>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2"/>
      <c r="J66" s="712"/>
      <c r="K66" s="712"/>
      <c r="L66" s="712"/>
      <c r="M66" s="712"/>
      <c r="N66" s="712"/>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2"/>
      <c r="J67" s="712"/>
      <c r="K67" s="712"/>
      <c r="L67" s="712"/>
      <c r="M67" s="712"/>
      <c r="N67" s="712"/>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2"/>
      <c r="J68" s="712"/>
      <c r="K68" s="712"/>
      <c r="L68" s="712"/>
      <c r="M68" s="712"/>
      <c r="N68" s="712"/>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2"/>
      <c r="J69" s="712"/>
      <c r="K69" s="712"/>
      <c r="L69" s="712"/>
      <c r="M69" s="712"/>
      <c r="N69" s="712"/>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2"/>
      <c r="J70" s="712"/>
      <c r="K70" s="712"/>
      <c r="L70" s="712"/>
      <c r="M70" s="712"/>
      <c r="N70" s="712"/>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2"/>
      <c r="J71" s="712"/>
      <c r="K71" s="712"/>
      <c r="L71" s="712"/>
      <c r="M71" s="712"/>
      <c r="N71" s="712"/>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2"/>
      <c r="J72" s="712"/>
      <c r="K72" s="712"/>
      <c r="L72" s="712"/>
      <c r="M72" s="712"/>
      <c r="N72" s="712"/>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2"/>
      <c r="J73" s="712"/>
      <c r="K73" s="712"/>
      <c r="L73" s="712"/>
      <c r="M73" s="712"/>
      <c r="N73" s="712"/>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2"/>
      <c r="J74" s="712"/>
      <c r="K74" s="712"/>
      <c r="L74" s="712"/>
      <c r="M74" s="712"/>
      <c r="N74" s="712"/>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2"/>
      <c r="J75" s="712"/>
      <c r="K75" s="712"/>
      <c r="L75" s="712"/>
      <c r="M75" s="712"/>
      <c r="N75" s="712"/>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2"/>
      <c r="J76" s="712"/>
      <c r="K76" s="712"/>
      <c r="L76" s="712"/>
      <c r="M76" s="712"/>
      <c r="N76" s="712"/>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2"/>
      <c r="J77" s="712"/>
      <c r="K77" s="712"/>
      <c r="L77" s="712"/>
      <c r="M77" s="712"/>
      <c r="N77" s="712"/>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2"/>
      <c r="J78" s="712"/>
      <c r="K78" s="712"/>
      <c r="L78" s="712"/>
      <c r="M78" s="712"/>
      <c r="N78" s="712"/>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2"/>
      <c r="J79" s="712"/>
      <c r="K79" s="712"/>
      <c r="L79" s="712"/>
      <c r="M79" s="712"/>
      <c r="N79" s="712"/>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2"/>
      <c r="J80" s="712"/>
      <c r="K80" s="712"/>
      <c r="L80" s="712"/>
      <c r="M80" s="712"/>
      <c r="N80" s="712"/>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2"/>
      <c r="J81" s="712"/>
      <c r="K81" s="712"/>
      <c r="L81" s="712"/>
      <c r="M81" s="712"/>
      <c r="N81" s="712"/>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2"/>
      <c r="J82" s="712"/>
      <c r="K82" s="712"/>
      <c r="L82" s="712"/>
      <c r="M82" s="712"/>
      <c r="N82" s="712"/>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2"/>
      <c r="J83" s="712"/>
      <c r="K83" s="712"/>
      <c r="L83" s="712"/>
      <c r="M83" s="712"/>
      <c r="N83" s="712"/>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2"/>
      <c r="J84" s="712"/>
      <c r="K84" s="712"/>
      <c r="L84" s="712"/>
      <c r="M84" s="712"/>
      <c r="N84" s="712"/>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2"/>
      <c r="J85" s="712"/>
      <c r="K85" s="712"/>
      <c r="L85" s="712"/>
      <c r="M85" s="712"/>
      <c r="N85" s="712"/>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2"/>
      <c r="J86" s="712"/>
      <c r="K86" s="712"/>
      <c r="L86" s="712"/>
      <c r="M86" s="712"/>
      <c r="N86" s="712"/>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2"/>
      <c r="J87" s="712"/>
      <c r="K87" s="712"/>
      <c r="L87" s="712"/>
      <c r="M87" s="712"/>
      <c r="N87" s="712"/>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2"/>
      <c r="J88" s="712"/>
      <c r="K88" s="712"/>
      <c r="L88" s="712"/>
      <c r="M88" s="712"/>
      <c r="N88" s="712"/>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2"/>
      <c r="J89" s="712"/>
      <c r="K89" s="712"/>
      <c r="L89" s="712"/>
      <c r="M89" s="712"/>
      <c r="N89" s="712"/>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2"/>
      <c r="J90" s="712"/>
      <c r="K90" s="712"/>
      <c r="L90" s="712"/>
      <c r="M90" s="712"/>
      <c r="N90" s="712"/>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2"/>
      <c r="J91" s="712"/>
      <c r="K91" s="712"/>
      <c r="L91" s="712"/>
      <c r="M91" s="712"/>
      <c r="N91" s="712"/>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2"/>
      <c r="J92" s="712"/>
      <c r="K92" s="712"/>
      <c r="L92" s="712"/>
      <c r="M92" s="712"/>
      <c r="N92" s="712"/>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2"/>
      <c r="J93" s="712"/>
      <c r="K93" s="712"/>
      <c r="L93" s="712"/>
      <c r="M93" s="712"/>
      <c r="N93" s="712"/>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2"/>
      <c r="J94" s="712"/>
      <c r="K94" s="712"/>
      <c r="L94" s="712"/>
      <c r="M94" s="712"/>
      <c r="N94" s="712"/>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2"/>
      <c r="J95" s="712"/>
      <c r="K95" s="712"/>
      <c r="L95" s="712"/>
      <c r="M95" s="712"/>
      <c r="N95" s="712"/>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2"/>
      <c r="J96" s="712"/>
      <c r="K96" s="712"/>
      <c r="L96" s="712"/>
      <c r="M96" s="712"/>
      <c r="N96" s="712"/>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2"/>
      <c r="J97" s="712"/>
      <c r="K97" s="712"/>
      <c r="L97" s="712"/>
      <c r="M97" s="712"/>
      <c r="N97" s="712"/>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2"/>
      <c r="J98" s="712"/>
      <c r="K98" s="712"/>
      <c r="L98" s="712"/>
      <c r="M98" s="712"/>
      <c r="N98" s="712"/>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2"/>
      <c r="J99" s="712"/>
      <c r="K99" s="712"/>
      <c r="L99" s="712"/>
      <c r="M99" s="712"/>
      <c r="N99" s="712"/>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2"/>
      <c r="J100" s="712"/>
      <c r="K100" s="712"/>
      <c r="L100" s="712"/>
      <c r="M100" s="712"/>
      <c r="N100" s="712"/>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3" t="s">
        <v>114</v>
      </c>
      <c r="D103" s="713"/>
      <c r="E103" s="713"/>
      <c r="F103" s="713"/>
      <c r="G103" s="713"/>
      <c r="H103" s="713"/>
      <c r="I103" s="713"/>
      <c r="J103" s="713"/>
      <c r="K103" s="713"/>
      <c r="L103" s="713"/>
      <c r="M103" s="713"/>
      <c r="N103" s="713"/>
      <c r="O103" s="713"/>
      <c r="P103" s="713"/>
      <c r="Q103" s="713"/>
      <c r="R103" s="713"/>
      <c r="S103" s="713"/>
      <c r="T103" s="713"/>
      <c r="U103" s="713"/>
      <c r="V103" s="713"/>
      <c r="W103" s="713"/>
      <c r="X103" s="713"/>
      <c r="Y103" s="713"/>
      <c r="Z103" s="713"/>
      <c r="AA103" s="713"/>
      <c r="AB103" s="713"/>
      <c r="AC103" s="713"/>
      <c r="AD103" s="713"/>
      <c r="AE103" s="713"/>
      <c r="AF103" s="713"/>
      <c r="AG103" s="713"/>
      <c r="AH103" s="713"/>
      <c r="AI103" s="713"/>
      <c r="AJ103" s="713"/>
      <c r="AK103" s="713"/>
      <c r="AL103" s="713"/>
      <c r="AM103" s="713"/>
      <c r="AN103" s="713"/>
      <c r="AO103" s="713"/>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4"/>
      <c r="B105" s="714"/>
      <c r="C105" s="714"/>
      <c r="D105" s="714"/>
      <c r="E105" s="714"/>
      <c r="F105" s="714"/>
      <c r="G105" s="714"/>
      <c r="H105" s="714"/>
      <c r="I105" s="714"/>
      <c r="J105" s="714"/>
      <c r="K105" s="714"/>
      <c r="L105" s="714"/>
      <c r="M105" s="714"/>
      <c r="N105" s="714"/>
      <c r="O105" s="714"/>
      <c r="P105" s="714"/>
      <c r="Q105" s="714"/>
      <c r="R105" s="714"/>
      <c r="S105" s="714"/>
      <c r="T105" s="714"/>
      <c r="U105" s="714"/>
      <c r="V105" s="714"/>
      <c r="W105" s="714"/>
      <c r="X105" s="714"/>
      <c r="Y105" s="714"/>
      <c r="Z105" s="714"/>
      <c r="AA105" s="714"/>
      <c r="AB105" s="714"/>
      <c r="AC105" s="714"/>
      <c r="AD105" s="714"/>
      <c r="AE105" s="714"/>
      <c r="AF105" s="714"/>
      <c r="AG105" s="714"/>
      <c r="AH105" s="714"/>
      <c r="AI105" s="714"/>
      <c r="AJ105" s="714"/>
      <c r="AK105" s="714"/>
      <c r="AL105" s="714"/>
      <c r="AM105" s="714"/>
      <c r="AN105" s="714"/>
      <c r="AO105" s="714"/>
      <c r="AP105" s="714"/>
      <c r="AQ105" s="714"/>
      <c r="AR105" s="714"/>
      <c r="AS105" s="714"/>
      <c r="AT105" s="714"/>
      <c r="AU105" s="714"/>
      <c r="AV105" s="714"/>
      <c r="AW105" s="714"/>
      <c r="AX105" s="714"/>
      <c r="AY105" s="714"/>
      <c r="AZ105" s="714"/>
      <c r="BA105" s="714"/>
      <c r="BB105" s="714"/>
      <c r="BC105" s="714"/>
      <c r="BD105" s="714"/>
      <c r="BE105" s="714"/>
      <c r="BF105" s="714"/>
      <c r="BG105" s="714"/>
      <c r="BH105" s="714"/>
      <c r="BI105" s="714"/>
      <c r="BJ105" s="714"/>
      <c r="BK105" s="714"/>
      <c r="BL105" s="714"/>
      <c r="BM105" s="714"/>
      <c r="BN105" s="714"/>
      <c r="BO105" s="714"/>
      <c r="BP105" s="714"/>
      <c r="BQ105" s="714"/>
      <c r="BR105" s="244"/>
      <c r="BS105" s="244"/>
      <c r="BT105" s="244"/>
      <c r="BU105" s="244"/>
      <c r="BV105" s="244"/>
      <c r="BW105" s="244"/>
      <c r="BX105" s="244"/>
      <c r="BY105" s="244"/>
      <c r="BZ105" s="244"/>
      <c r="CA105" s="244"/>
      <c r="CB105" s="244"/>
      <c r="CC105" s="244"/>
      <c r="CD105" s="244"/>
      <c r="CE105" s="244"/>
      <c r="CF105" s="244"/>
    </row>
    <row r="106" ht="12.75" customHeight="1">
      <c r="A106" s="714"/>
      <c r="B106" s="714"/>
      <c r="C106" s="714"/>
      <c r="D106" s="714"/>
      <c r="E106" s="714"/>
      <c r="F106" s="714"/>
      <c r="G106" s="714"/>
      <c r="H106" s="714"/>
      <c r="I106" s="714"/>
      <c r="J106" s="714"/>
      <c r="K106" s="714"/>
      <c r="L106" s="714"/>
      <c r="M106" s="714"/>
      <c r="N106" s="714"/>
      <c r="O106" s="714"/>
      <c r="P106" s="714"/>
      <c r="Q106" s="714"/>
      <c r="R106" s="714"/>
      <c r="S106" s="714"/>
      <c r="T106" s="714"/>
      <c r="U106" s="714"/>
      <c r="V106" s="714"/>
      <c r="W106" s="714"/>
      <c r="X106" s="714"/>
      <c r="Y106" s="714"/>
      <c r="Z106" s="714"/>
      <c r="AA106" s="714"/>
      <c r="AB106" s="714"/>
      <c r="AC106" s="714"/>
      <c r="AD106" s="714"/>
      <c r="AE106" s="714"/>
      <c r="AF106" s="714"/>
      <c r="AG106" s="714"/>
      <c r="AH106" s="714"/>
      <c r="AI106" s="714"/>
      <c r="AJ106" s="714"/>
      <c r="AK106" s="714"/>
      <c r="AL106" s="714"/>
      <c r="AM106" s="714"/>
      <c r="AN106" s="714"/>
      <c r="AO106" s="714"/>
      <c r="AP106" s="714"/>
      <c r="AQ106" s="714"/>
      <c r="AR106" s="714"/>
      <c r="AS106" s="714"/>
      <c r="AT106" s="714"/>
      <c r="AU106" s="714"/>
      <c r="AV106" s="714"/>
      <c r="AW106" s="714"/>
      <c r="AX106" s="714"/>
      <c r="AY106" s="714"/>
      <c r="AZ106" s="714"/>
      <c r="BA106" s="714"/>
      <c r="BB106" s="714"/>
      <c r="BC106" s="714"/>
      <c r="BD106" s="714"/>
      <c r="BE106" s="714"/>
      <c r="BF106" s="714"/>
      <c r="BG106" s="714"/>
      <c r="BH106" s="714"/>
      <c r="BI106" s="714"/>
      <c r="BJ106" s="714"/>
      <c r="BK106" s="714"/>
      <c r="BL106" s="714"/>
      <c r="BM106" s="714"/>
      <c r="BN106" s="714"/>
      <c r="BO106" s="714"/>
      <c r="BP106" s="714"/>
      <c r="BQ106" s="714"/>
      <c r="BR106" s="244"/>
      <c r="BS106" s="244"/>
      <c r="BT106" s="244"/>
      <c r="BU106" s="244"/>
      <c r="BV106" s="244"/>
      <c r="BW106" s="244"/>
      <c r="BX106" s="244"/>
      <c r="BY106" s="244"/>
      <c r="BZ106" s="244"/>
      <c r="CA106" s="244"/>
      <c r="CB106" s="244"/>
      <c r="CC106" s="244"/>
      <c r="CD106" s="244"/>
      <c r="CE106" s="244"/>
      <c r="CF106" s="244"/>
    </row>
    <row r="107" ht="12.75" customHeight="1">
      <c r="A107" s="714"/>
      <c r="B107" s="714"/>
      <c r="C107" s="714"/>
      <c r="D107" s="714"/>
      <c r="E107" s="714"/>
      <c r="F107" s="714"/>
      <c r="G107" s="714"/>
      <c r="H107" s="714"/>
      <c r="I107" s="714"/>
      <c r="J107" s="714"/>
      <c r="K107" s="714"/>
      <c r="L107" s="714"/>
      <c r="M107" s="714"/>
      <c r="N107" s="714"/>
      <c r="O107" s="714"/>
      <c r="P107" s="714"/>
      <c r="Q107" s="714"/>
      <c r="R107" s="714"/>
      <c r="S107" s="714"/>
      <c r="T107" s="714"/>
      <c r="U107" s="714"/>
      <c r="V107" s="714"/>
      <c r="W107" s="714"/>
      <c r="X107" s="714"/>
      <c r="Y107" s="714"/>
      <c r="Z107" s="714"/>
      <c r="AA107" s="714"/>
      <c r="AB107" s="714"/>
      <c r="AC107" s="714"/>
      <c r="AD107" s="714"/>
      <c r="AE107" s="714"/>
      <c r="AF107" s="714"/>
      <c r="AG107" s="714"/>
      <c r="AH107" s="714"/>
      <c r="AI107" s="714"/>
      <c r="AJ107" s="714"/>
      <c r="AK107" s="714"/>
      <c r="AL107" s="714"/>
      <c r="AM107" s="714"/>
      <c r="AN107" s="714"/>
      <c r="AO107" s="714"/>
      <c r="AP107" s="714"/>
      <c r="AQ107" s="714"/>
      <c r="AR107" s="714"/>
      <c r="AS107" s="714"/>
      <c r="AT107" s="714"/>
      <c r="AU107" s="714"/>
      <c r="AV107" s="714"/>
      <c r="AW107" s="714"/>
      <c r="AX107" s="714"/>
      <c r="AY107" s="714"/>
      <c r="AZ107" s="714"/>
      <c r="BA107" s="714"/>
      <c r="BB107" s="714"/>
      <c r="BC107" s="714"/>
      <c r="BD107" s="714"/>
      <c r="BE107" s="714"/>
      <c r="BF107" s="714"/>
      <c r="BG107" s="714"/>
      <c r="BH107" s="714"/>
      <c r="BI107" s="714"/>
      <c r="BJ107" s="714"/>
      <c r="BK107" s="714"/>
      <c r="BL107" s="714"/>
      <c r="BM107" s="714"/>
      <c r="BN107" s="714"/>
      <c r="BO107" s="714"/>
      <c r="BP107" s="714"/>
      <c r="BQ107" s="714"/>
      <c r="BR107" s="244"/>
      <c r="BS107" s="244"/>
      <c r="BT107" s="244"/>
      <c r="BU107" s="244"/>
      <c r="BV107" s="244"/>
      <c r="BW107" s="244"/>
      <c r="BX107" s="244"/>
      <c r="BY107" s="244"/>
      <c r="BZ107" s="244"/>
      <c r="CA107" s="244"/>
      <c r="CB107" s="244"/>
      <c r="CC107" s="244"/>
      <c r="CD107" s="244"/>
      <c r="CE107" s="244"/>
      <c r="CF107" s="244"/>
    </row>
    <row r="108" ht="12.75" customHeight="1">
      <c r="A108" s="714"/>
      <c r="B108" s="714"/>
      <c r="C108" s="714"/>
      <c r="D108" s="714"/>
      <c r="E108" s="714"/>
      <c r="F108" s="714"/>
      <c r="G108" s="714"/>
      <c r="H108" s="714"/>
      <c r="I108" s="714"/>
      <c r="J108" s="714"/>
      <c r="K108" s="714"/>
      <c r="L108" s="714"/>
      <c r="M108" s="714"/>
      <c r="N108" s="714"/>
      <c r="O108" s="714"/>
      <c r="P108" s="714"/>
      <c r="Q108" s="714"/>
      <c r="R108" s="714"/>
      <c r="S108" s="714"/>
      <c r="T108" s="714"/>
      <c r="U108" s="714"/>
      <c r="V108" s="714"/>
      <c r="W108" s="714"/>
      <c r="X108" s="714"/>
      <c r="Y108" s="714"/>
      <c r="Z108" s="714"/>
      <c r="AA108" s="714"/>
      <c r="AB108" s="714"/>
      <c r="AC108" s="714"/>
      <c r="AD108" s="714"/>
      <c r="AE108" s="714"/>
      <c r="AF108" s="714"/>
      <c r="AG108" s="714"/>
      <c r="AH108" s="714"/>
      <c r="AI108" s="714"/>
      <c r="AJ108" s="714"/>
      <c r="AK108" s="714"/>
      <c r="AL108" s="714"/>
      <c r="AM108" s="714"/>
      <c r="AN108" s="714"/>
      <c r="AO108" s="714"/>
      <c r="AP108" s="714"/>
      <c r="AQ108" s="714"/>
      <c r="AR108" s="714"/>
      <c r="AS108" s="714"/>
      <c r="AT108" s="714"/>
      <c r="AU108" s="714"/>
      <c r="AV108" s="714"/>
      <c r="AW108" s="714"/>
      <c r="AX108" s="714"/>
      <c r="AY108" s="714"/>
      <c r="AZ108" s="714"/>
      <c r="BA108" s="714"/>
      <c r="BB108" s="714"/>
      <c r="BC108" s="714"/>
      <c r="BD108" s="714"/>
      <c r="BE108" s="714"/>
      <c r="BF108" s="714"/>
      <c r="BG108" s="714"/>
      <c r="BH108" s="714"/>
      <c r="BI108" s="714"/>
      <c r="BJ108" s="714"/>
      <c r="BK108" s="714"/>
      <c r="BL108" s="714"/>
      <c r="BM108" s="714"/>
      <c r="BN108" s="714"/>
      <c r="BO108" s="714"/>
      <c r="BP108" s="714"/>
      <c r="BQ108" s="714"/>
      <c r="BR108" s="244"/>
      <c r="BS108" s="244"/>
      <c r="BT108" s="244"/>
      <c r="BU108" s="244"/>
      <c r="BV108" s="244"/>
      <c r="BW108" s="244"/>
      <c r="BX108" s="244"/>
      <c r="BY108" s="244"/>
      <c r="BZ108" s="244"/>
      <c r="CA108" s="244"/>
      <c r="CB108" s="244"/>
      <c r="CC108" s="244"/>
      <c r="CD108" s="244"/>
      <c r="CE108" s="244"/>
      <c r="CF108" s="244"/>
    </row>
    <row r="109" ht="12.75" customHeight="1">
      <c r="A109" s="714"/>
      <c r="B109" s="714"/>
      <c r="C109" s="714"/>
      <c r="D109" s="714"/>
      <c r="E109" s="714"/>
      <c r="F109" s="714"/>
      <c r="G109" s="714"/>
      <c r="H109" s="714"/>
      <c r="I109" s="714"/>
      <c r="J109" s="714"/>
      <c r="K109" s="714"/>
      <c r="L109" s="714"/>
      <c r="M109" s="714"/>
      <c r="N109" s="714"/>
      <c r="O109" s="714"/>
      <c r="P109" s="714"/>
      <c r="Q109" s="714"/>
      <c r="R109" s="714"/>
      <c r="S109" s="714"/>
      <c r="T109" s="714"/>
      <c r="U109" s="714"/>
      <c r="V109" s="714"/>
      <c r="W109" s="714"/>
      <c r="X109" s="714"/>
      <c r="Y109" s="714"/>
      <c r="Z109" s="714"/>
      <c r="AA109" s="714"/>
      <c r="AB109" s="714"/>
      <c r="AC109" s="714"/>
      <c r="AD109" s="714"/>
      <c r="AE109" s="714"/>
      <c r="AF109" s="714"/>
      <c r="AG109" s="714"/>
      <c r="AH109" s="714"/>
      <c r="AI109" s="714"/>
      <c r="AJ109" s="714"/>
      <c r="AK109" s="714"/>
      <c r="AL109" s="714"/>
      <c r="AM109" s="714"/>
      <c r="AN109" s="714"/>
      <c r="AO109" s="714"/>
      <c r="AP109" s="714"/>
      <c r="AQ109" s="714"/>
      <c r="AR109" s="714"/>
      <c r="AS109" s="714"/>
      <c r="AT109" s="714"/>
      <c r="AU109" s="714"/>
      <c r="AV109" s="714"/>
      <c r="AW109" s="714"/>
      <c r="AX109" s="714"/>
      <c r="AY109" s="714"/>
      <c r="AZ109" s="714"/>
      <c r="BA109" s="714"/>
      <c r="BB109" s="714"/>
      <c r="BC109" s="714"/>
      <c r="BD109" s="714"/>
      <c r="BE109" s="714"/>
      <c r="BF109" s="714"/>
      <c r="BG109" s="714"/>
      <c r="BH109" s="714"/>
      <c r="BI109" s="714"/>
      <c r="BJ109" s="714"/>
      <c r="BK109" s="714"/>
      <c r="BL109" s="714"/>
      <c r="BM109" s="714"/>
      <c r="BN109" s="714"/>
      <c r="BO109" s="714"/>
      <c r="BP109" s="714"/>
      <c r="BQ109" s="714"/>
      <c r="BR109" s="244"/>
      <c r="BS109" s="244"/>
      <c r="BT109" s="244"/>
      <c r="BU109" s="244"/>
      <c r="BV109" s="244"/>
      <c r="BW109" s="244"/>
      <c r="BX109" s="244"/>
      <c r="BY109" s="244"/>
      <c r="BZ109" s="244"/>
      <c r="CA109" s="244"/>
      <c r="CB109" s="244"/>
      <c r="CC109" s="244"/>
      <c r="CD109" s="244"/>
      <c r="CE109" s="244"/>
      <c r="CF109" s="244"/>
    </row>
    <row r="110" ht="12.75" customHeight="1">
      <c r="A110" s="714"/>
      <c r="B110" s="714"/>
      <c r="C110" s="714"/>
      <c r="D110" s="714"/>
      <c r="E110" s="714"/>
      <c r="F110" s="714"/>
      <c r="G110" s="714"/>
      <c r="H110" s="714"/>
      <c r="I110" s="714"/>
      <c r="J110" s="714"/>
      <c r="K110" s="714"/>
      <c r="L110" s="714"/>
      <c r="M110" s="714"/>
      <c r="N110" s="714"/>
      <c r="O110" s="714"/>
      <c r="P110" s="714"/>
      <c r="Q110" s="714"/>
      <c r="R110" s="714"/>
      <c r="S110" s="714"/>
      <c r="T110" s="714"/>
      <c r="U110" s="714"/>
      <c r="V110" s="714"/>
      <c r="W110" s="714"/>
      <c r="X110" s="714"/>
      <c r="Y110" s="714"/>
      <c r="Z110" s="714"/>
      <c r="AA110" s="714"/>
      <c r="AB110" s="714"/>
      <c r="AC110" s="714"/>
      <c r="AD110" s="714"/>
      <c r="AE110" s="714"/>
      <c r="AF110" s="714"/>
      <c r="AG110" s="714"/>
      <c r="AH110" s="714"/>
      <c r="AI110" s="714"/>
      <c r="AJ110" s="714"/>
      <c r="AK110" s="714"/>
      <c r="AL110" s="714"/>
      <c r="AM110" s="714"/>
      <c r="AN110" s="714"/>
      <c r="AO110" s="714"/>
      <c r="AP110" s="714"/>
      <c r="AQ110" s="714"/>
      <c r="AR110" s="714"/>
      <c r="AS110" s="714"/>
      <c r="AT110" s="714"/>
      <c r="AU110" s="714"/>
      <c r="AV110" s="714"/>
      <c r="AW110" s="714"/>
      <c r="AX110" s="714"/>
      <c r="AY110" s="714"/>
      <c r="AZ110" s="714"/>
      <c r="BA110" s="714"/>
      <c r="BB110" s="714"/>
      <c r="BC110" s="714"/>
      <c r="BD110" s="714"/>
      <c r="BE110" s="714"/>
      <c r="BF110" s="714"/>
      <c r="BG110" s="714"/>
      <c r="BH110" s="714"/>
      <c r="BI110" s="714"/>
      <c r="BJ110" s="714"/>
      <c r="BK110" s="714"/>
      <c r="BL110" s="714"/>
      <c r="BM110" s="714"/>
      <c r="BN110" s="714"/>
      <c r="BO110" s="714"/>
      <c r="BP110" s="714"/>
      <c r="BQ110" s="714"/>
      <c r="BR110" s="244"/>
      <c r="BS110" s="244"/>
      <c r="BT110" s="244"/>
      <c r="BU110" s="244"/>
      <c r="BV110" s="244"/>
      <c r="BW110" s="244"/>
      <c r="BX110" s="244"/>
      <c r="BY110" s="244"/>
      <c r="BZ110" s="244"/>
      <c r="CA110" s="244"/>
      <c r="CB110" s="244"/>
      <c r="CC110" s="244"/>
      <c r="CD110" s="244"/>
      <c r="CE110" s="244"/>
      <c r="CF110" s="244"/>
    </row>
    <row r="111" ht="12.75" customHeight="1">
      <c r="A111" s="714"/>
      <c r="B111" s="714"/>
      <c r="C111" s="714"/>
      <c r="D111" s="714"/>
      <c r="E111" s="714"/>
      <c r="F111" s="714"/>
      <c r="G111" s="714"/>
      <c r="H111" s="714"/>
      <c r="I111" s="714"/>
      <c r="J111" s="714"/>
      <c r="K111" s="714"/>
      <c r="L111" s="714"/>
      <c r="M111" s="714"/>
      <c r="N111" s="714"/>
      <c r="O111" s="714"/>
      <c r="P111" s="714"/>
      <c r="Q111" s="714"/>
      <c r="R111" s="714"/>
      <c r="S111" s="714"/>
      <c r="T111" s="714"/>
      <c r="U111" s="714"/>
      <c r="V111" s="714"/>
      <c r="W111" s="714"/>
      <c r="X111" s="714"/>
      <c r="Y111" s="714"/>
      <c r="Z111" s="714"/>
      <c r="AA111" s="714"/>
      <c r="AB111" s="714"/>
      <c r="AC111" s="714"/>
      <c r="AD111" s="714"/>
      <c r="AE111" s="714"/>
      <c r="AF111" s="714"/>
      <c r="AG111" s="714"/>
      <c r="AH111" s="714"/>
      <c r="AI111" s="714"/>
      <c r="AJ111" s="714"/>
      <c r="AK111" s="714"/>
      <c r="AL111" s="714"/>
      <c r="AM111" s="714"/>
      <c r="AN111" s="714"/>
      <c r="AO111" s="714"/>
      <c r="AP111" s="714"/>
      <c r="AQ111" s="714"/>
      <c r="AR111" s="714"/>
      <c r="AS111" s="714"/>
      <c r="AT111" s="714"/>
      <c r="AU111" s="714"/>
      <c r="AV111" s="714"/>
      <c r="AW111" s="714"/>
      <c r="AX111" s="714"/>
      <c r="AY111" s="714"/>
      <c r="AZ111" s="714"/>
      <c r="BA111" s="714"/>
      <c r="BB111" s="714"/>
      <c r="BC111" s="714"/>
      <c r="BD111" s="714"/>
      <c r="BE111" s="714"/>
      <c r="BF111" s="714"/>
      <c r="BG111" s="714"/>
      <c r="BH111" s="714"/>
      <c r="BI111" s="714"/>
      <c r="BJ111" s="714"/>
      <c r="BK111" s="714"/>
      <c r="BL111" s="714"/>
      <c r="BM111" s="714"/>
      <c r="BN111" s="714"/>
      <c r="BO111" s="714"/>
      <c r="BP111" s="714"/>
      <c r="BQ111" s="714"/>
      <c r="BR111" s="244"/>
      <c r="BS111" s="244"/>
      <c r="BT111" s="244"/>
      <c r="BU111" s="244"/>
      <c r="BV111" s="244"/>
      <c r="BW111" s="244"/>
      <c r="BX111" s="244"/>
      <c r="BY111" s="244"/>
      <c r="BZ111" s="244"/>
      <c r="CA111" s="244"/>
      <c r="CB111" s="244"/>
      <c r="CC111" s="244"/>
      <c r="CD111" s="244"/>
      <c r="CE111" s="244"/>
      <c r="CF111" s="244"/>
    </row>
    <row r="112" ht="12.75" customHeight="1">
      <c r="A112" s="714"/>
      <c r="B112" s="714"/>
      <c r="C112" s="714"/>
      <c r="D112" s="714"/>
      <c r="E112" s="714"/>
      <c r="F112" s="714"/>
      <c r="G112" s="714"/>
      <c r="H112" s="714"/>
      <c r="I112" s="714"/>
      <c r="J112" s="714"/>
      <c r="K112" s="714"/>
      <c r="L112" s="714"/>
      <c r="M112" s="714"/>
      <c r="N112" s="714"/>
      <c r="O112" s="714"/>
      <c r="P112" s="714"/>
      <c r="Q112" s="714"/>
      <c r="R112" s="714"/>
      <c r="S112" s="714"/>
      <c r="T112" s="714"/>
      <c r="U112" s="714"/>
      <c r="V112" s="714"/>
      <c r="W112" s="714"/>
      <c r="X112" s="714"/>
      <c r="Y112" s="714"/>
      <c r="Z112" s="714"/>
      <c r="AA112" s="714"/>
      <c r="AB112" s="714"/>
      <c r="AC112" s="714"/>
      <c r="AD112" s="714"/>
      <c r="AE112" s="714"/>
      <c r="AF112" s="714"/>
      <c r="AG112" s="714"/>
      <c r="AH112" s="714"/>
      <c r="AI112" s="714"/>
      <c r="AJ112" s="714"/>
      <c r="AK112" s="714"/>
      <c r="AL112" s="714"/>
      <c r="AM112" s="714"/>
      <c r="AN112" s="714"/>
      <c r="AO112" s="714"/>
      <c r="AP112" s="714"/>
      <c r="AQ112" s="714"/>
      <c r="AR112" s="714"/>
      <c r="AS112" s="714"/>
      <c r="AT112" s="714"/>
      <c r="AU112" s="714"/>
      <c r="AV112" s="714"/>
      <c r="AW112" s="714"/>
      <c r="AX112" s="714"/>
      <c r="AY112" s="714"/>
      <c r="AZ112" s="714"/>
      <c r="BA112" s="714"/>
      <c r="BB112" s="714"/>
      <c r="BC112" s="714"/>
      <c r="BD112" s="714"/>
      <c r="BE112" s="714"/>
      <c r="BF112" s="714"/>
      <c r="BG112" s="714"/>
      <c r="BH112" s="714"/>
      <c r="BI112" s="714"/>
      <c r="BJ112" s="714"/>
      <c r="BK112" s="714"/>
      <c r="BL112" s="714"/>
      <c r="BM112" s="714"/>
      <c r="BN112" s="714"/>
      <c r="BO112" s="714"/>
      <c r="BP112" s="714"/>
      <c r="BQ112" s="714"/>
      <c r="BR112" s="244"/>
      <c r="BS112" s="244"/>
      <c r="BT112" s="244"/>
      <c r="BU112" s="244"/>
      <c r="BV112" s="244"/>
      <c r="BW112" s="244"/>
      <c r="BX112" s="244"/>
      <c r="BY112" s="244"/>
      <c r="BZ112" s="244"/>
      <c r="CA112" s="244"/>
      <c r="CB112" s="244"/>
      <c r="CC112" s="244"/>
      <c r="CD112" s="244"/>
      <c r="CE112" s="244"/>
      <c r="CF112" s="244"/>
    </row>
    <row r="113" ht="12.75" customHeight="1">
      <c r="A113" s="714"/>
      <c r="B113" s="714"/>
      <c r="C113" s="714"/>
      <c r="D113" s="714"/>
      <c r="E113" s="714"/>
      <c r="F113" s="714"/>
      <c r="G113" s="714"/>
      <c r="H113" s="714"/>
      <c r="I113" s="714"/>
      <c r="J113" s="714"/>
      <c r="K113" s="714"/>
      <c r="L113" s="714"/>
      <c r="M113" s="714"/>
      <c r="N113" s="714"/>
      <c r="O113" s="714"/>
      <c r="P113" s="714"/>
      <c r="Q113" s="714"/>
      <c r="R113" s="714"/>
      <c r="S113" s="714"/>
      <c r="T113" s="714"/>
      <c r="U113" s="714"/>
      <c r="V113" s="714"/>
      <c r="W113" s="714"/>
      <c r="X113" s="714"/>
      <c r="Y113" s="714"/>
      <c r="Z113" s="714"/>
      <c r="AA113" s="714"/>
      <c r="AB113" s="714"/>
      <c r="AC113" s="714"/>
      <c r="AD113" s="714"/>
      <c r="AE113" s="714"/>
      <c r="AF113" s="714"/>
      <c r="AG113" s="714"/>
      <c r="AH113" s="714"/>
      <c r="AI113" s="714"/>
      <c r="AJ113" s="714"/>
      <c r="AK113" s="714"/>
      <c r="AL113" s="714"/>
      <c r="AM113" s="714"/>
      <c r="AN113" s="714"/>
      <c r="AO113" s="714"/>
      <c r="AP113" s="714"/>
      <c r="AQ113" s="714"/>
      <c r="AR113" s="714"/>
      <c r="AS113" s="714"/>
      <c r="AT113" s="714"/>
      <c r="AU113" s="714"/>
      <c r="AV113" s="714"/>
      <c r="AW113" s="714"/>
      <c r="AX113" s="714"/>
      <c r="AY113" s="714"/>
      <c r="AZ113" s="714"/>
      <c r="BA113" s="714"/>
      <c r="BB113" s="714"/>
      <c r="BC113" s="714"/>
      <c r="BD113" s="714"/>
      <c r="BE113" s="714"/>
      <c r="BF113" s="714"/>
      <c r="BG113" s="714"/>
      <c r="BH113" s="714"/>
      <c r="BI113" s="714"/>
      <c r="BJ113" s="714"/>
      <c r="BK113" s="714"/>
      <c r="BL113" s="714"/>
      <c r="BM113" s="714"/>
      <c r="BN113" s="714"/>
      <c r="BO113" s="714"/>
      <c r="BP113" s="714"/>
      <c r="BQ113" s="714"/>
      <c r="BR113" s="244"/>
      <c r="BS113" s="244"/>
      <c r="BT113" s="244"/>
      <c r="BU113" s="244"/>
      <c r="BV113" s="244"/>
      <c r="BW113" s="244"/>
      <c r="BX113" s="244"/>
      <c r="BY113" s="244"/>
      <c r="BZ113" s="244"/>
      <c r="CA113" s="244"/>
      <c r="CB113" s="244"/>
      <c r="CC113" s="244"/>
      <c r="CD113" s="244"/>
      <c r="CE113" s="244"/>
      <c r="CF113" s="244"/>
    </row>
    <row r="114">
      <c r="A114" s="714"/>
      <c r="B114" s="714"/>
      <c r="C114" s="714"/>
      <c r="D114" s="714"/>
      <c r="E114" s="714"/>
      <c r="F114" s="714"/>
      <c r="G114" s="714"/>
      <c r="H114" s="714"/>
      <c r="I114" s="714"/>
      <c r="J114" s="714"/>
      <c r="K114" s="714"/>
      <c r="L114" s="714"/>
      <c r="M114" s="714"/>
      <c r="N114" s="714"/>
      <c r="O114" s="714"/>
      <c r="P114" s="714"/>
      <c r="Q114" s="714"/>
      <c r="R114" s="714"/>
      <c r="S114" s="714"/>
      <c r="T114" s="714"/>
      <c r="U114" s="714"/>
      <c r="V114" s="714"/>
      <c r="W114" s="714"/>
      <c r="X114" s="714"/>
      <c r="Y114" s="714"/>
      <c r="Z114" s="714"/>
      <c r="AA114" s="714"/>
      <c r="AB114" s="714"/>
      <c r="AC114" s="714"/>
      <c r="AD114" s="714"/>
      <c r="AE114" s="714"/>
      <c r="AF114" s="714"/>
      <c r="AG114" s="714"/>
      <c r="AH114" s="714"/>
      <c r="AI114" s="714"/>
      <c r="AJ114" s="714"/>
      <c r="AK114" s="714"/>
      <c r="AL114" s="714"/>
      <c r="AM114" s="714"/>
      <c r="AN114" s="714"/>
      <c r="AO114" s="714"/>
      <c r="AP114" s="714"/>
      <c r="AQ114" s="714"/>
      <c r="AR114" s="714"/>
      <c r="AS114" s="714"/>
      <c r="AT114" s="714"/>
      <c r="AU114" s="714"/>
      <c r="AV114" s="714"/>
      <c r="AW114" s="714"/>
      <c r="AX114" s="714"/>
      <c r="AY114" s="714"/>
      <c r="AZ114" s="714"/>
      <c r="BA114" s="714"/>
      <c r="BB114" s="714"/>
      <c r="BC114" s="714"/>
      <c r="BD114" s="714"/>
      <c r="BE114" s="714"/>
      <c r="BF114" s="714"/>
      <c r="BG114" s="714"/>
      <c r="BH114" s="714"/>
      <c r="BI114" s="714"/>
      <c r="BJ114" s="714"/>
      <c r="BK114" s="714"/>
      <c r="BL114" s="714"/>
      <c r="BM114" s="714"/>
      <c r="BN114" s="714"/>
      <c r="BO114" s="714"/>
      <c r="BP114" s="714"/>
      <c r="BQ114" s="714"/>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28268661</Manager>
  <Company>33</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859,634,677</cp:category>
  <dcterms:created xsi:type="dcterms:W3CDTF">2003-06-11T18:24:11Z</dcterms:created>
  <dc:creator>STR, Inc.</dc:creator>
  <cp:keywords>56387</cp:keywords>
  <cp:lastModifiedBy>Jim Hawkins</cp:lastModifiedBy>
  <cp:lastPrinted>2016-02-16T16:32:42Z</cp:lastPrinted>
  <dcterms:modified xsi:type="dcterms:W3CDTF">2023-04-05T19:50:13Z</dcterms:modified>
  <dc:subject>56387</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