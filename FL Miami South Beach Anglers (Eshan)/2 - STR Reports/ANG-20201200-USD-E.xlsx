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worksheets/sheet32.xml" ContentType="application/vnd.openxmlformats-officedocument.spreadsheetml.worksheet+xml"/>
  <Override PartName="/xl/printerSettings/printerSettings33.bin" ContentType="application/vnd.openxmlformats-officedocument.spreadsheetml.printerSettings"/>
  <Override PartName="/xl/drawings/drawing34.xml" ContentType="application/vnd.openxmlformats-officedocument.drawing+xml"/>
  <Override PartName="/xl/worksheets/sheet36.xml" ContentType="application/vnd.openxmlformats-officedocument.spreadsheetml.worksheet+xml"/>
  <Override PartName="/xl/printerSettings/printerSettings37.bin" ContentType="application/vnd.openxmlformats-officedocument.spreadsheetml.printerSettings"/>
  <Override PartName="/xl/drawings/drawing38.xml" ContentType="application/vnd.openxmlformats-officedocument.drawing+xml"/>
  <Override PartName="/xl/worksheets/sheet40.xml" ContentType="application/vnd.openxmlformats-officedocument.spreadsheetml.worksheet+xml"/>
  <Override PartName="/xl/printerSettings/printerSettings41.bin" ContentType="application/vnd.openxmlformats-officedocument.spreadsheetml.printerSettings"/>
  <Override PartName="/xl/drawings/drawing42.xml" ContentType="application/vnd.openxmlformats-officedocument.drawing+xml"/>
  <Override PartName="/xl/worksheets/sheet44.xml" ContentType="application/vnd.openxmlformats-officedocument.spreadsheetml.worksheet+xml"/>
  <Override PartName="/xl/printerSettings/printerSettings45.bin" ContentType="application/vnd.openxmlformats-officedocument.spreadsheetml.printerSettings"/>
  <Override PartName="/xl/drawings/drawing46.xml" ContentType="application/vnd.openxmlformats-officedocument.drawing+xml"/>
  <Override PartName="/xl/worksheets/sheet48.xml" ContentType="application/vnd.openxmlformats-officedocument.spreadsheetml.worksheet+xml"/>
  <Override PartName="/xl/printerSettings/printerSettings49.bin" ContentType="application/vnd.openxmlformats-officedocument.spreadsheetml.printerSettings"/>
  <Override PartName="/xl/drawings/drawing50.xml" ContentType="application/vnd.openxmlformats-officedocument.drawing+xml"/>
  <Override PartName="/xl/worksheets/sheet52.xml" ContentType="application/vnd.openxmlformats-officedocument.spreadsheetml.worksheet+xml"/>
  <Override PartName="/xl/printerSettings/printerSettings53.bin" ContentType="application/vnd.openxmlformats-officedocument.spreadsheetml.printerSettings"/>
  <Override PartName="/xl/drawings/drawing54.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worksheets/sheet65.xml" ContentType="application/vnd.openxmlformats-officedocument.spreadsheetml.worksheet+xml"/>
  <Override PartName="/xl/printerSettings/printerSettings66.bin" ContentType="application/vnd.openxmlformats-officedocument.spreadsheetml.printerSettings"/>
  <Override PartName="/xl/drawings/drawing67.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drawings/drawing72.xml" ContentType="application/vnd.openxmlformats-officedocument.drawing+xml"/>
  <Override PartName="/xl/worksheets/sheet73.xml" ContentType="application/vnd.openxmlformats-officedocument.spreadsheetml.worksheet+xml"/>
  <Override PartName="/xl/printerSettings/printerSettings74.bin" ContentType="application/vnd.openxmlformats-officedocument.spreadsheetml.printerSettings"/>
  <Override PartName="/xl/drawings/drawing75.xml" ContentType="application/vnd.openxmlformats-officedocument.drawing+xml"/>
  <Override PartName="/xl/drawings/drawing76.xml" ContentType="application/vnd.openxmlformats-officedocument.drawing+xml"/>
  <Override PartName="/xl/worksheets/sheet77.xml" ContentType="application/vnd.openxmlformats-officedocument.spreadsheetml.worksheet+xml"/>
  <Override PartName="/xl/printerSettings/printerSettings78.bin" ContentType="application/vnd.openxmlformats-officedocument.spreadsheetml.printerSettings"/>
  <Override PartName="/xl/drawings/drawing79.xml" ContentType="application/vnd.openxmlformats-officedocument.drawing+xml"/>
  <Override PartName="/xl/worksheets/sheet80.xml" ContentType="application/vnd.openxmlformats-officedocument.spreadsheetml.worksheet+xml"/>
  <Override PartName="/xl/printerSettings/printerSettings81.bin" ContentType="application/vnd.openxmlformats-officedocument.spreadsheetml.printerSettings"/>
  <Override PartName="/xl/drawings/drawing82.xml" ContentType="application/vnd.openxmlformats-officedocument.drawing+xml"/>
  <Override PartName="/xl/drawings/drawing83.xml" ContentType="application/vnd.openxmlformats-officedocument.drawing+xml"/>
  <Override PartName="/xl/worksheets/sheet84.xml" ContentType="application/vnd.openxmlformats-officedocument.spreadsheetml.worksheet+xml"/>
  <Override PartName="/xl/printerSettings/printerSettings85.bin" ContentType="application/vnd.openxmlformats-officedocument.spreadsheetml.printerSettings"/>
  <Override PartName="/xl/drawings/drawing86.xml" ContentType="application/vnd.openxmlformats-officedocument.drawing+xml"/>
  <Override PartName="/xl/drawings/drawing87.xml" ContentType="application/vnd.openxmlformats-officedocument.drawing+xml"/>
  <Override PartName="/xl/worksheets/sheet88.xml" ContentType="application/vnd.openxmlformats-officedocument.spreadsheetml.worksheet+xml"/>
  <Override PartName="/xl/printerSettings/printerSettings89.bin" ContentType="application/vnd.openxmlformats-officedocument.spreadsheetml.printerSettings"/>
  <Override PartName="/xl/drawings/drawing90.xml" ContentType="application/vnd.openxmlformats-officedocument.drawing+xml"/>
  <Override PartName="/xl/drawings/drawing91.xml" ContentType="application/vnd.openxmlformats-officedocument.drawing+xml"/>
  <Override PartName="/xl/worksheets/sheet92.xml" ContentType="application/vnd.openxmlformats-officedocument.spreadsheetml.worksheet+xml"/>
  <Override PartName="/xl/printerSettings/printerSettings93.bin" ContentType="application/vnd.openxmlformats-officedocument.spreadsheetml.printerSettings"/>
  <Override PartName="/xl/drawings/drawing94.xml" ContentType="application/vnd.openxmlformats-officedocument.drawing+xml"/>
  <Override PartName="/xl/worksheets/sheet95.xml" ContentType="application/vnd.openxmlformats-officedocument.spreadsheetml.worksheet+xml"/>
  <Override PartName="/xl/printerSettings/printerSettings96.bin" ContentType="application/vnd.openxmlformats-officedocument.spreadsheetml.printerSettings"/>
  <Override PartName="/xl/drawings/drawing97.xml" ContentType="application/vnd.openxmlformats-officedocument.drawing+xml"/>
  <Override PartName="/xl/worksheets/sheet98.xml" ContentType="application/vnd.openxmlformats-officedocument.spreadsheetml.worksheet+xml"/>
  <Override PartName="/xl/printerSettings/printerSettings99.bin" ContentType="application/vnd.openxmlformats-officedocument.spreadsheetml.printerSettings"/>
  <Override PartName="/xl/drawings/drawing100.xml" ContentType="application/vnd.openxmlformats-officedocument.drawing+xml"/>
  <Override PartName="/xl/worksheets/sheet101.xml" ContentType="application/vnd.openxmlformats-officedocument.spreadsheetml.worksheet+xml"/>
  <Override PartName="/xl/printerSettings/printerSettings102.bin" ContentType="application/vnd.openxmlformats-officedocument.spreadsheetml.printerSettings"/>
  <Override PartName="/xl/drawings/drawing103.xml" ContentType="application/vnd.openxmlformats-officedocument.drawing+xml"/>
  <Override PartName="/xl/worksheets/sheet104.xml" ContentType="application/vnd.openxmlformats-officedocument.spreadsheetml.worksheet+xml"/>
  <Override PartName="/xl/printerSettings/printerSettings105.bin" ContentType="application/vnd.openxmlformats-officedocument.spreadsheetml.printerSettings"/>
  <Override PartName="/xl/drawings/drawing106.xml" ContentType="application/vnd.openxmlformats-officedocument.drawing+xml"/>
  <Override PartName="/xl/worksheets/sheet107.xml" ContentType="application/vnd.openxmlformats-officedocument.spreadsheetml.worksheet+xml"/>
  <Override PartName="/xl/printerSettings/printerSettings108.bin" ContentType="application/vnd.openxmlformats-officedocument.spreadsheetml.printerSettings"/>
  <Override PartName="/xl/drawings/drawing109.xml" ContentType="application/vnd.openxmlformats-officedocument.drawing+xml"/>
  <Override PartName="/xl/worksheets/sheet110.xml" ContentType="application/vnd.openxmlformats-officedocument.spreadsheetml.worksheet+xml"/>
  <Override PartName="/xl/printerSettings/printerSettings111.bin" ContentType="application/vnd.openxmlformats-officedocument.spreadsheetml.printerSettings"/>
  <Override PartName="/xl/drawings/drawing112.xml" ContentType="application/vnd.openxmlformats-officedocument.drawing+xml"/>
  <Override PartName="/xl/worksheets/sheet113.xml" ContentType="application/vnd.openxmlformats-officedocument.spreadsheetml.worksheet+xml"/>
  <Override PartName="/xl/printerSettings/printerSettings114.bin" ContentType="application/vnd.openxmlformats-officedocument.spreadsheetml.printerSettings"/>
  <Override PartName="/xl/drawings/drawing115.xml" ContentType="application/vnd.openxmlformats-officedocument.drawing+xml"/>
  <Override PartName="/xl/worksheets/sheet116.xml" ContentType="application/vnd.openxmlformats-officedocument.spreadsheetml.worksheet+xml"/>
  <Override PartName="/xl/printerSettings/printerSettings117.bin" ContentType="application/vnd.openxmlformats-officedocument.spreadsheetml.printerSettings"/>
  <Override PartName="/xl/drawings/drawing118.xml" ContentType="application/vnd.openxmlformats-officedocument.drawing+xml"/>
  <Override PartName="/xl/worksheets/sheet119.xml" ContentType="application/vnd.openxmlformats-officedocument.spreadsheetml.worksheet+xml"/>
  <Override PartName="/xl/printerSettings/printerSettings120.bin" ContentType="application/vnd.openxmlformats-officedocument.spreadsheetml.printerSettings"/>
  <Override PartName="/xl/drawings/drawing121.xml" ContentType="application/vnd.openxmlformats-officedocument.drawing+xml"/>
  <Override PartName="/xl/worksheets/sheet122.xml" ContentType="application/vnd.openxmlformats-officedocument.spreadsheetml.worksheet+xml"/>
  <Override PartName="/xl/printerSettings/printerSettings123.bin" ContentType="application/vnd.openxmlformats-officedocument.spreadsheetml.printerSettings"/>
  <Override PartName="/xl/drawings/drawing124.xml" ContentType="application/vnd.openxmlformats-officedocument.drawing+xml"/>
  <Override PartName="/xl/drawings/drawing125.xml" ContentType="application/vnd.openxmlformats-officedocument.drawing+xml"/>
  <Override PartName="/xl/worksheets/sheet126.xml" ContentType="application/vnd.openxmlformats-officedocument.spreadsheetml.worksheet+xml"/>
  <Override PartName="/xl/printerSettings/printerSettings127.bin" ContentType="application/vnd.openxmlformats-officedocument.spreadsheetml.printerSettings"/>
  <Override PartName="/xl/drawings/drawing128.xml" ContentType="application/vnd.openxmlformats-officedocument.drawing+xml"/>
  <Override PartName="/xl/drawings/drawing129.xml" ContentType="application/vnd.openxmlformats-officedocument.drawing+xml"/>
  <Override PartName="/xl/worksheets/sheet130.xml" ContentType="application/vnd.openxmlformats-officedocument.spreadsheetml.worksheet+xml"/>
  <Override PartName="/xl/printerSettings/printerSettings131.bin" ContentType="application/vnd.openxmlformats-officedocument.spreadsheetml.printerSettings"/>
  <Override PartName="/xl/drawings/drawing132.xml" ContentType="application/vnd.openxmlformats-officedocument.drawing+xml"/>
  <Override PartName="/xl/worksheets/sheet133.xml" ContentType="application/vnd.openxmlformats-officedocument.spreadsheetml.worksheet+xml"/>
  <Override PartName="/xl/printerSettings/printerSettings134.bin" ContentType="application/vnd.openxmlformats-officedocument.spreadsheetml.printerSettings"/>
  <Override PartName="/xl/drawings/drawing135.xml" ContentType="application/vnd.openxmlformats-officedocument.drawing+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2624"/>
  <workbookPr codeName="ThisWorkbook" defaultThemeVersion="124226"/>
  <bookViews>
    <workbookView xWindow="1905" yWindow="1905" windowWidth="21045" windowHeight="10395" tabRatio="966"/>
  </bookViews>
  <sheets>
    <sheet name="Table of Contents" sheetId="1" r:id="rId32"/>
    <sheet name="Glance" sheetId="57" r:id="rId33"/>
    <sheet name="Summary" sheetId="55" r:id="rId34"/>
    <sheet name="Comp" sheetId="76" r:id="rId31"/>
    <sheet name="Response" sheetId="13" r:id="rId39"/>
    <sheet name="Day of Week" sheetId="60" r:id="rId35"/>
    <sheet name="Daily by Month" sheetId="47" r:id="rId36"/>
    <sheet name="Segmentation Glance" sheetId="77" r:id="rId30"/>
    <sheet name="Segmentation Occ" sheetId="78" r:id="rId29"/>
    <sheet name="Segmentation ADR" sheetId="79" r:id="rId28"/>
    <sheet name="Segmentation RevPAR" sheetId="80" r:id="rId27"/>
    <sheet name="Segmentation Indexes" sheetId="81" r:id="rId26"/>
    <sheet name="Segmentation Ranking" sheetId="82" r:id="rId25"/>
    <sheet name="Segmentation DOW Month" sheetId="83" r:id="rId24"/>
    <sheet name="Segmentation DOW YTD" sheetId="84" r:id="rId23"/>
    <sheet name="Segmentation DOW Run 3" sheetId="85" r:id="rId22"/>
    <sheet name="Segmentation DOW Run 12" sheetId="86" r:id="rId21"/>
    <sheet name="Add Rev ADR" sheetId="65" r:id="rId37"/>
    <sheet name="Add Rev RevPAR" sheetId="66" r:id="rId38"/>
    <sheet name="Segmentation Response" sheetId="87" r:id="rId20"/>
    <sheet name="Glance_2" sheetId="88" r:id="rId19"/>
    <sheet name="Summary_2" sheetId="89" r:id="rId18"/>
    <sheet name="Comp_2" sheetId="90" r:id="rId17"/>
    <sheet name="Response_2" sheetId="91" r:id="rId16"/>
    <sheet name="Day of Week_2" sheetId="92" r:id="rId15"/>
    <sheet name="Daily by Month_2" sheetId="93" r:id="rId14"/>
    <sheet name="Segmentation Glance_2" sheetId="94" r:id="rId13"/>
    <sheet name="Segmentation Occ_2" sheetId="95" r:id="rId12"/>
    <sheet name="Segmentation ADR_2" sheetId="96" r:id="rId11"/>
    <sheet name="Segmentation RevPAR_2" sheetId="97" r:id="rId10"/>
    <sheet name="Segmentation Indexes_2" sheetId="98" r:id="rId9"/>
    <sheet name="Segmentation Ranking_2" sheetId="99" r:id="rId8"/>
    <sheet name="Segmentation DOW Month_2" sheetId="100" r:id="rId7"/>
    <sheet name="Segmentation DOW YTD_2" sheetId="101" r:id="rId6"/>
    <sheet name="Segmentation DOW Run 3_2" sheetId="102" r:id="rId5"/>
    <sheet name="Segmentation DOW Run 12_2" sheetId="103" r:id="rId4"/>
    <sheet name="Add Rev ADR_2" sheetId="104" r:id="rId3"/>
    <sheet name="Add Rev RevPAR_2" sheetId="105" r:id="rId2"/>
    <sheet name="Segmentation Response_2" sheetId="106" r:id="rId1"/>
    <sheet name="Help" sheetId="74" r:id="rId40"/>
  </sheets>
  <definedNames>
    <definedName name="_xlnm.Print_Area" localSheetId="17">'Add Rev ADR'!$A$1:$AH$46</definedName>
    <definedName name="_xlnm.Print_Area" localSheetId="18">'Add Rev RevPAR'!$A$1:$AH$45</definedName>
    <definedName name="_xlnm.Print_Area" localSheetId="6">'Daily by Month'!$A$1:$AH$57</definedName>
    <definedName name="_xlnm.Print_Area" localSheetId="5">'Day of Week'!$A$1:$V$78</definedName>
    <definedName name="_xlnm.Print_Area" localSheetId="1">Glance!$A$1:$T$34</definedName>
    <definedName name="_xlnm.Print_Area" localSheetId="39">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 name="_xlnm.Print_Area" localSheetId="7">'Segmentation Glance'!$A$1:$T$41</definedName>
    <definedName name="_xlnm.Print_Area" localSheetId="8">'Segmentation Occ'!$A$1:$AB$45</definedName>
    <definedName name="_xlnm.Print_Area" localSheetId="9">'Segmentation ADR'!$A$1:$AB$44</definedName>
    <definedName name="_xlnm.Print_Area" localSheetId="10">'Segmentation RevPAR'!$A$1:$AB$44</definedName>
    <definedName name="_xlnm.Print_Area" localSheetId="11">'Segmentation Indexes'!$A$1:$AB$44</definedName>
    <definedName name="_xlnm.Print_Area" localSheetId="12">'Segmentation Ranking'!$A$1:$AB$44</definedName>
    <definedName name="_xlnm.Print_Area" localSheetId="13">'Segmentation DOW Month'!$A$1:$AB$53</definedName>
    <definedName name="_xlnm.Print_Area" localSheetId="14">'Segmentation DOW YTD'!$A$1:$AB$53</definedName>
    <definedName name="_xlnm.Print_Area" localSheetId="15">'Segmentation DOW Run 3'!$A$1:$AB$53</definedName>
    <definedName name="_xlnm.Print_Area" localSheetId="16">'Segmentation DOW Run 12'!$A$1:$AB$53</definedName>
    <definedName name="_xlnm.Print_Area" localSheetId="19">'Segmentation Response'!$A$1:$AR$106</definedName>
    <definedName name="_xlnm.Print_Area" localSheetId="20">Glance_2!$A$1:$T$34</definedName>
    <definedName name="_xlnm.Print_Area" localSheetId="21">Summary_2!$A$1:$U$45</definedName>
    <definedName name="_xlnm.Print_Area" localSheetId="22">'Comp_2'!$A$1:$AG$57</definedName>
    <definedName name="_xlnm.Print_Area" localSheetId="23">'Response_2'!$A$1:$AR$106</definedName>
    <definedName name="_xlnm.Print_Area" localSheetId="24">'Day of Week_2'!$A$1:$V$78</definedName>
    <definedName name="_xlnm.Print_Area" localSheetId="25">'Daily by Month_2'!$A$1:$AH$57</definedName>
    <definedName name="_xlnm.Print_Area" localSheetId="26">'Segmentation Glance_2'!$A$1:$T$41</definedName>
    <definedName name="_xlnm.Print_Area" localSheetId="27">'Segmentation Occ_2'!$A$1:$AB$45</definedName>
    <definedName name="_xlnm.Print_Area" localSheetId="28">'Segmentation ADR_2'!$A$1:$AB$44</definedName>
    <definedName name="_xlnm.Print_Area" localSheetId="29">'Segmentation RevPAR_2'!$A$1:$AB$44</definedName>
    <definedName name="_xlnm.Print_Area" localSheetId="30">'Segmentation Indexes_2'!$A$1:$AB$44</definedName>
    <definedName name="_xlnm.Print_Area" localSheetId="31">'Segmentation Ranking_2'!$A$1:$AB$44</definedName>
    <definedName name="_xlnm.Print_Area" localSheetId="32">'Segmentation DOW Month_2'!$A$1:$AB$53</definedName>
    <definedName name="_xlnm.Print_Area" localSheetId="33">'Segmentation DOW YTD_2'!$A$1:$AB$53</definedName>
    <definedName name="_xlnm.Print_Area" localSheetId="34">'Segmentation DOW Run 3_2'!$A$1:$AB$53</definedName>
    <definedName name="_xlnm.Print_Area" localSheetId="35">'Segmentation DOW Run 12_2'!$A$1:$AB$53</definedName>
    <definedName name="_xlnm.Print_Area" localSheetId="36">'Add Rev ADR_2'!$A$1:$AH$46</definedName>
    <definedName name="_xlnm.Print_Area" localSheetId="37">'Add Rev RevPAR_2'!$A$1:$AH$45</definedName>
    <definedName name="_xlnm.Print_Area" localSheetId="38">'Segmentation Response_2'!$A$1:$AR$106</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<sst xmlns="http://schemas.openxmlformats.org/spreadsheetml/2006/main" xmlns:r="http://schemas.openxmlformats.org/officeDocument/2006/relationships" xmlns:xdr="http://schemas.openxmlformats.org/drawingml/2006/spreadsheetDrawing" xmlns:s="http://schemas.openxmlformats.org/officeDocument/2006/sharedTypes" xmlns:vt="http://schemas.openxmlformats.org/officeDocument/2006/docPropsVTypes" xmlns:a="http://schemas.openxmlformats.org/drawingml/2006/main" xmlns:cdr="http://schemas.openxmlformats.org/drawingml/2006/chartDrawing" count="1030" uniqueCount="129">
  <si>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</si>
  <si>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</si>
  <si>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</si>
  <si>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</si>
  <si>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</si>
  <si>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</si>
  <si>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</si>
  <si>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</si>
  <si>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</si>
  <si>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</si>
  <si>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</si>
  <si>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</si>
  <si>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</si>
  <si>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</si>
  <si>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</si>
  <si>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</si>
  <si>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</si>
  <si>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</si>
  <si>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</si>
  <si>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</si>
  <si>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</si>
  <si>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</si>
  <si>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</si>
  <si>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</si>
  <si>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</si>
  <si>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</si>
  <si>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</si>
  <si>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</si>
  <si>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</si>
  <si>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</si>
  <si>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</si>
  <si>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</si>
  <si>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</si>
  <si>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</si>
  <si>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</si>
  <si>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</si>
  <si>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</si>
  <si>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</si>
  <si>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</si>
  <si>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</si>
  <si>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</si>
  <si>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</si>
  <si>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</si>
  <si>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</si>
  <si>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</si>
  <si>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</si>
  <si>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</si>
  <si>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</si>
  <si>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</si>
  <si>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</si>
  <si>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</si>
  <si>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</si>
  <si>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</si>
  <si>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</si>
  <si>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</si>
  <si>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</si>
  <si>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</si>
  <si>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Under Construction</t>
  </si>
  <si>
    <t>Planning</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</si>
  <si>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</si>
  <si>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</si>
  <si>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</si>
  <si>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</si>
  <si>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</si>
  <si>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</si>
  <si>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</si>
  <si>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</si>
  <si>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</si>
  <si>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</si>
  <si>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</si>
  <si>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</si>
  <si>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</si>
  <si>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</si>
  <si>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</si>
  <si>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See Help page for pipeline definitions.</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</si>
  <si>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</si>
  <si>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</si>
  <si>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</si>
  <si>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</si>
  <si>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</si>
  <si>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</si>
  <si>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</si>
  <si>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</si>
  <si>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</si>
  <si>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</si>
  <si>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</si>
  <si>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</si>
  <si>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</si>
  <si>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</si>
  <si>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</si>
  <si>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</si>
  <si>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</si>
  <si>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</si>
  <si>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</si>
  <si>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</si>
  <si>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</si>
  <si>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</si>
  <si>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</si>
  <si>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</si>
  <si>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</si>
  <si>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</si>
  <si>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</si>
  <si>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</si>
  <si>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</si>
  <si>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</si>
  <si>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</si>
  <si>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</si>
  <si>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</si>
  <si>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</si>
  <si>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</si>
  <si>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</si>
  <si>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</si>
  <si>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</si>
  <si>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</si>
  <si>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</si>
  <si>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</si>
  <si>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</si>
  <si>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</si>
  <si>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</si>
  <si>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</si>
  <si>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</si>
  <si>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</si>
  <si>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</si>
  <si>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</si>
  <si>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</si>
  <si>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</si>
  <si>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</si>
  <si>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</si>
  <si>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</si>
  <si>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2021 STR, LLC / STR Global, Ltd. trading as “STR”. © CoStar Realty Information, Inc.</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</si>
  <si>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</si>
  <si>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</si>
  <si>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</si>
  <si>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</si>
  <si>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</si>
  <si>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</si>
  <si>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</si>
  <si>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</si>
  <si>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</si>
  <si>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</si>
  <si>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</si>
  <si>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</si>
  <si>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Tab 8 - Segmentation at a Glance - My Property vs. Competitive Set</t>
  </si>
  <si>
    <t>Segmentation at a Glance</t>
  </si>
  <si>
    <t>Tab 9 - Segmentation Occupancy Analysis</t>
  </si>
  <si>
    <t>Segmentation Occupancy Analysis</t>
  </si>
  <si>
    <t>Tab 10 - Segmentation ADR Analysis</t>
  </si>
  <si>
    <t>Segmentation ADR Analysis</t>
  </si>
  <si>
    <t>Tab 11 - Segmentation RevPAR Analysis</t>
  </si>
  <si>
    <t>Segmentation RevPAR Analysis</t>
  </si>
  <si>
    <t>Tab 12 - Segmentation Index Analysis</t>
  </si>
  <si>
    <t>Segmentation Index Analysis</t>
  </si>
  <si>
    <t>Tab 13 - Segmentation Ranking Analysis</t>
  </si>
  <si>
    <t>Segmentation Ranking Analysis</t>
  </si>
  <si>
    <t>Tab 14 - Segmentation Day Of Week - Current Month</t>
  </si>
  <si>
    <t>Segmentation Day Of Week - Current Month</t>
  </si>
  <si>
    <t>Tab 15 - Segmentation Day Of Week - Year to Date</t>
  </si>
  <si>
    <t>Segmentation Day Of Week - Year to Date</t>
  </si>
  <si>
    <t>Tab 16 - Segmentation Day Of Week - Running 3 Month</t>
  </si>
  <si>
    <t>Segmentation Day Of Week - Running 3 Month</t>
  </si>
  <si>
    <t>Tab 17 - Segmentation Day Of Week - Running 12 Month</t>
  </si>
  <si>
    <t>Segmentation Day Of Week - Running 12 Month</t>
  </si>
  <si>
    <t>Tab 18 - Additional Revenue ADR Analysis (TrevPOR)</t>
  </si>
  <si>
    <t>Additional Revenue ADR Analysis (TrevPOR)</t>
  </si>
  <si>
    <t>Tab 19 - Additional Revenue RevPAR Analysis (TrevPAR)</t>
  </si>
  <si>
    <t>Additional Revenue RevPAR Analysis (TrevPAR)</t>
  </si>
  <si>
    <t>Tab 20 - Segmentation Response Report</t>
  </si>
  <si>
    <t>Segmentation Response Report</t>
  </si>
  <si>
    <t>Tab 21 - Monthly Performance at a Glance - My Property vs. Competitive Set - Comp Set 2</t>
  </si>
  <si>
    <t>Monthly Performance at a Glance - 2nd Comp</t>
  </si>
  <si>
    <t>Tab 22 - STAR Summary - My Property vs. Comp Set and Industry Segments - Comp Set 2</t>
  </si>
  <si>
    <t>STAR Summary - 2nd Comp</t>
  </si>
  <si>
    <t>Tab 23 - Competitive Set Report - Comp Set 2</t>
  </si>
  <si>
    <t>Competitive Set Report - 2nd Comp</t>
  </si>
  <si>
    <t>Tab 24 - Response Report - Comp Set 2</t>
  </si>
  <si>
    <t>Response Report - 2nd Comp</t>
  </si>
  <si>
    <t>Tab 25 - Day of Week and Weekday/Weekend Report - Comp Set 2</t>
  </si>
  <si>
    <t>Day of Week &amp; Weekday/Weekend - 2nd Comp</t>
  </si>
  <si>
    <t>Tab 26 - Daily Data for the Month - Comp Set 2</t>
  </si>
  <si>
    <t>Daily Data for the Month - 2nd Comp</t>
  </si>
  <si>
    <t>Tab 27 - Segmentation at a Glance - My Property vs. Competitive Set - Comp Set 2</t>
  </si>
  <si>
    <t>Segmentation at a Glance - 2nd Comp</t>
  </si>
  <si>
    <t>Tab 28 - Segmentation Occupancy Analysis - Comp Set 2</t>
  </si>
  <si>
    <t>Segmentation Occupancy Analysis - 2nd Comp</t>
  </si>
  <si>
    <t>Tab 29 - Segmentation ADR Analysis - Comp Set 2</t>
  </si>
  <si>
    <t>Segmentation ADR Analysis - 2nd Comp</t>
  </si>
  <si>
    <t>Tab 30 - Segmentation RevPAR Analysis - Comp Set 2</t>
  </si>
  <si>
    <t>Segmentation RevPAR Analysis - 2nd Comp</t>
  </si>
  <si>
    <t>Tab 31 - Segmentation Index Analysis - Comp Set 2</t>
  </si>
  <si>
    <t>Segmentation Index Analysis - 2nd Comp</t>
  </si>
  <si>
    <t>Tab 32 - Segmentation Ranking Analysis - Comp Set 2</t>
  </si>
  <si>
    <t>Segmentation Ranking Analysis - 2nd Comp</t>
  </si>
  <si>
    <t>Tab 33 - Segmentation Day Of Week - Current Month - Comp Set 2</t>
  </si>
  <si>
    <t>Segmentation Day Of Week - Current Month - 2nd Comp</t>
  </si>
  <si>
    <t>Tab 34 - Segmentation Day Of Week - Year to Date - Comp Set 2</t>
  </si>
  <si>
    <t>Segmentation Day Of Week - Year to Date - 2nd Comp</t>
  </si>
  <si>
    <t>Tab 35 - Segmentation Day Of Week - Running 3 Month - Comp Set 2</t>
  </si>
  <si>
    <t>Segmentation Day Of Week - Running 3 Month - 2nd Comp</t>
  </si>
  <si>
    <t>Tab 36 - Segmentation Day Of Week - Running 12 Month - Comp Set 2</t>
  </si>
  <si>
    <t>Segmentation Day Of Week - Running 12 Month - 2nd Comp</t>
  </si>
  <si>
    <t>Tab 37 - Additional Revenue ADR Analysis (TrevPOR) - Comp Set 2</t>
  </si>
  <si>
    <t>Additional Revenue ADR Analysis (TrevPOR) - 2nd Comp</t>
  </si>
  <si>
    <t>Tab 38 - Additional Revenue RevPAR Analysis (TrevPAR) - Comp Set 2</t>
  </si>
  <si>
    <t>Additional Revenue RevPAR Analysis (TrevPAR) - 2nd Comp</t>
  </si>
  <si>
    <t>Tab 39 - Segmentation Response Report - Comp Set 2</t>
  </si>
  <si>
    <t>Segmentation Response Report - 2nd Comp</t>
  </si>
  <si>
    <t>Help</t>
  </si>
  <si>
    <t>Monthly STAR Report : Kimpton Angler's  South Beach</t>
  </si>
  <si>
    <t>STR # 56387 / Created January 19, 2021</t>
  </si>
  <si>
    <t>For the Month of: December 2020</t>
  </si>
  <si>
    <t>Currency: US Dollar  /  Competitive Set Data Excludes Subject Property</t>
  </si>
  <si>
    <t>Kimpton Angler's  South Beach        660 Washington Ave        Miami Beach, FL 33139-6208        Phone: (305) 534-9600</t>
  </si>
  <si>
    <t>STR # 56387        ChainID: 18033        MgtCo: Kimpton Hotel Group        Owner: KHP Capital Partners</t>
  </si>
  <si>
    <t>For the Month of: December 2020        Date Created: January 19, 2021        Monthly Competitive Set Data Excludes Subject Property</t>
  </si>
  <si>
    <t>December 2020</t>
  </si>
  <si>
    <t>December 2020 vs. 2019 Percent Change (%)</t>
  </si>
  <si>
    <t>Market: Miami/Hialeah, FL</t>
  </si>
  <si>
    <t>Kimpton Angler's  South Beach</t>
  </si>
  <si>
    <t>Market Class: Upper Upscale Class</t>
  </si>
  <si>
    <t>Submarket: Miami Beach, FL</t>
  </si>
  <si>
    <t>Submarket Scale: Upscale Chains</t>
  </si>
  <si>
    <t>Jul</t>
  </si>
  <si>
    <t>5 of 6</t>
  </si>
  <si>
    <t>3 of 6</t>
  </si>
  <si>
    <t>Aug</t>
  </si>
  <si>
    <t>4 of 6</t>
  </si>
  <si>
    <t>Sep</t>
  </si>
  <si>
    <t>6 of 6</t>
  </si>
  <si>
    <t>Oct</t>
  </si>
  <si>
    <t>Nov</t>
  </si>
  <si>
    <t>Dec</t>
  </si>
  <si>
    <t>2 of 6</t>
  </si>
  <si>
    <t>Jan</t>
  </si>
  <si>
    <t>Feb</t>
  </si>
  <si>
    <t>Mar</t>
  </si>
  <si>
    <t>Apr</t>
  </si>
  <si>
    <t>May</t>
  </si>
  <si>
    <t>Jun</t>
  </si>
  <si>
    <t>1 of 4</t>
  </si>
  <si>
    <t>3 of 4</t>
  </si>
  <si>
    <t>2 of 4</t>
  </si>
  <si>
    <t>1 of 6</t>
  </si>
  <si>
    <t>For the Month of: December 2020        Date Created: January 19, 2021</t>
  </si>
  <si>
    <t>City, State</t>
  </si>
  <si>
    <t>December 2020 (This Year)</t>
  </si>
  <si>
    <t>December 2019 (Last Year)</t>
  </si>
  <si>
    <t>Friday, Dec 11th</t>
  </si>
  <si>
    <t>Dec 11th - First Day of Hanukkah</t>
  </si>
  <si>
    <t>Thursday, Dec 24th</t>
  </si>
  <si>
    <t>Dec 24th - Christmas Eve</t>
  </si>
  <si>
    <t>Friday, Dec 25th</t>
  </si>
  <si>
    <t>Dec 25th - Christmas Day</t>
  </si>
  <si>
    <t>Saturday, Dec 26th</t>
  </si>
  <si>
    <t>Dec 26th - First Day of Kwanzaa</t>
  </si>
  <si>
    <t>Thursday, Dec 31st</t>
  </si>
  <si>
    <t>Dec 31st - New Year's Eve</t>
  </si>
  <si>
    <t>Monday, Dec 23rd</t>
  </si>
  <si>
    <t>Dec 23rd - First Day of Hanukkah</t>
  </si>
  <si>
    <t>Tuesday, Dec 24th</t>
  </si>
  <si>
    <t>Wednesday, Dec 25th</t>
  </si>
  <si>
    <t>Thursday, Dec 26th</t>
  </si>
  <si>
    <t>Tuesday, Dec 31st</t>
  </si>
  <si>
    <t>Miami Beach, FL</t>
  </si>
  <si>
    <t>33139-6208</t>
  </si>
  <si>
    <t>(305) 534-9600</t>
  </si>
  <si>
    <t>132</t>
  </si>
  <si>
    <t>200706</t>
  </si>
  <si>
    <t>●</t>
  </si>
  <si>
    <t/>
  </si>
  <si>
    <t>Dream South Beach</t>
  </si>
  <si>
    <t>33139-4604</t>
  </si>
  <si>
    <t>(305) 673-4747</t>
  </si>
  <si>
    <t>107</t>
  </si>
  <si>
    <t>194906</t>
  </si>
  <si>
    <t>○</t>
  </si>
  <si>
    <t>Blue Moon Hotel</t>
  </si>
  <si>
    <t>33139-5010</t>
  </si>
  <si>
    <t>(305) 673-2262</t>
  </si>
  <si>
    <t>0</t>
  </si>
  <si>
    <t>193406</t>
  </si>
  <si>
    <t>The Hotel Of South Beach</t>
  </si>
  <si>
    <t>33139-5807</t>
  </si>
  <si>
    <t>(305) 531-2222</t>
  </si>
  <si>
    <t>73</t>
  </si>
  <si>
    <t>193906</t>
  </si>
  <si>
    <t>The Betsy Hotel</t>
  </si>
  <si>
    <t>33139-4609</t>
  </si>
  <si>
    <t>(305) 531-6100</t>
  </si>
  <si>
    <t>125</t>
  </si>
  <si>
    <t>194506</t>
  </si>
  <si>
    <t>Crowne Plaza South Beach Z Ocean Hotel</t>
  </si>
  <si>
    <t>33139-4103</t>
  </si>
  <si>
    <t>(305) 672-4554</t>
  </si>
  <si>
    <t>51</t>
  </si>
  <si>
    <t>200612</t>
  </si>
  <si>
    <t xml:space="preserve">Data received: </t>
  </si>
  <si>
    <t>= Monthly Only</t>
  </si>
  <si>
    <t>= Monthly &amp; Daily</t>
  </si>
  <si>
    <t>Market Scale: Miami/Hialeah, FL Upper Upscale Chains</t>
  </si>
  <si>
    <t>Tu</t>
  </si>
  <si>
    <t>December</t>
  </si>
  <si>
    <t>We</t>
  </si>
  <si>
    <t>Th</t>
  </si>
  <si>
    <t>Fr</t>
  </si>
  <si>
    <t>Sa</t>
  </si>
  <si>
    <t>Su</t>
  </si>
  <si>
    <t>Mo</t>
  </si>
  <si>
    <t>2 of 5</t>
  </si>
  <si>
    <t>1 of 5</t>
  </si>
  <si>
    <t>3 of 5</t>
  </si>
  <si>
    <t>4 of 5</t>
  </si>
  <si>
    <t>B</t>
  </si>
  <si>
    <t>s</t>
  </si>
  <si>
    <t>= Segmentation (Transient, Group, Contract) Only</t>
  </si>
  <si>
    <t>r</t>
  </si>
  <si>
    <t>= Additional Revenue Only</t>
  </si>
  <si>
    <t>= Both Segmentation &amp; Additional Revenue</t>
  </si>
  <si>
    <t>6 of 7</t>
  </si>
  <si>
    <t>3 of 7</t>
  </si>
  <si>
    <t>7 of 7</t>
  </si>
  <si>
    <t>4 of 7</t>
  </si>
  <si>
    <t>2 of 7</t>
  </si>
  <si>
    <t>5 of 7</t>
  </si>
  <si>
    <t>4 of 4</t>
  </si>
  <si>
    <t>1 of 7</t>
  </si>
  <si>
    <t>Kimpton Surfcomber Miami South Beach</t>
  </si>
  <si>
    <t>33139-2006</t>
  </si>
  <si>
    <t>(305) 532-7715</t>
  </si>
  <si>
    <t>186</t>
  </si>
  <si>
    <t>194106</t>
  </si>
  <si>
    <t>The Standard Spa Miami Beach</t>
  </si>
  <si>
    <t>33139-1355</t>
  </si>
  <si>
    <t>(305) 673-1717</t>
  </si>
  <si>
    <t>100</t>
  </si>
  <si>
    <t>196311</t>
  </si>
  <si>
    <t>Courtyard Miami Beach South Beach</t>
  </si>
  <si>
    <t>33139-7801</t>
  </si>
  <si>
    <t>(305) 604-8887</t>
  </si>
  <si>
    <t>90</t>
  </si>
  <si>
    <t>200209</t>
  </si>
  <si>
    <t>For the Month of: December 2020        Date Created: January 19, 2021        Daily Competitive Set Data Excludes Subject Property</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</si>
</sst>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s>
  <fonts count="112">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font>
    <font>
      <b/>
      <sz val="10"/>
      <name val="Arial"/>
    </font>
    <font>
      <color rgb="FFFFFFFF"/>
    </font>
    <font>
      <color rgb="FFA0A0A0"/>
    </font>
    <font/>
    <font>
      <sz val="18"/>
    </font>
    <font>
      <b val="0"/>
      <sz val="10"/>
      <color rgb="FF000000"/>
      <name val="Arial"/>
    </font>
    <font>
      <sz val="10"/>
    </font>
  </fonts>
  <fills count="40">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rgb="FFFFFFFF"/>
      </patternFill>
    </fill>
    <fill>
      <patternFill patternType="solid">
        <fgColor rgb="FFA0A0A0"/>
      </patternFill>
    </fill>
    <fill>
      <patternFill patternType="solid">
        <fgColor rgb="FFEAEAEA"/>
      </patternFill>
    </fill>
  </fills>
  <borders count="84">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color auto="1" indexed="64"/>
      </left>
      <right style="thin">
        <color indexed="55"/>
      </right>
      <top>
        <color auto="1" indexed="64"/>
      </top>
      <bottom>
        <color auto="1" indexed="64"/>
      </bottom>
      <diagonal>
        <color/>
      </diagonal>
    </border>
    <border diagonalUp="0" diagonalDown="0">
      <left style="thin">
        <color indexed="33"/>
      </left>
      <right style="thin">
        <color indexed="33"/>
      </right>
      <top>
        <color auto="1" indexed="64"/>
      </top>
      <bottom>
        <color auto="1" indexed="64"/>
      </bottom>
      <diagonal>
        <color/>
      </diagonal>
    </border>
    <border diagonalUp="0" diagonalDown="0">
      <left style="thin">
        <color indexed="33"/>
      </left>
      <right style="thin">
        <color indexed="33"/>
      </right>
      <top>
        <color auto="1" indexed="64"/>
      </top>
      <bottom style="thin">
        <color indexed="33"/>
      </bottom>
      <diagonal>
        <color/>
      </diagonal>
    </border>
    <border diagonalUp="0" diagonalDown="0">
      <left style="thin">
        <color indexed="33"/>
      </left>
      <right>
        <color auto="1" indexed="64"/>
      </right>
      <top style="thin">
        <color indexed="33"/>
      </top>
      <bottom>
        <color auto="1" indexed="64"/>
      </bottom>
      <diagonal>
        <color/>
      </diagonal>
    </border>
    <border diagonalUp="0" diagonalDown="0">
      <left>
        <color auto="1" indexed="64"/>
      </left>
      <right>
        <color auto="1" indexed="64"/>
      </right>
      <top style="thin">
        <color indexed="33"/>
      </top>
      <bottom>
        <color auto="1" indexed="64"/>
      </bottom>
      <diagonal>
        <color/>
      </diagonal>
    </border>
    <border diagonalUp="0" diagonalDown="0">
      <left>
        <color auto="1" indexed="64"/>
      </left>
      <right style="thin">
        <color indexed="33"/>
      </right>
      <top style="thin">
        <color indexed="33"/>
      </top>
      <bottom>
        <color auto="1" indexed="64"/>
      </bottom>
      <diagonal>
        <color/>
      </diagonal>
    </border>
    <border diagonalUp="0" diagonalDown="0">
      <left style="thin">
        <color indexed="33"/>
      </left>
      <right>
        <color auto="1" indexed="64"/>
      </right>
      <top>
        <color auto="1" indexed="64"/>
      </top>
      <bottom>
        <color auto="1" indexed="64"/>
      </bottom>
      <diagonal>
        <color/>
      </diagonal>
    </border>
    <border diagonalUp="0" diagonalDown="0">
      <left>
        <color auto="1" indexed="64"/>
      </left>
      <right style="thin">
        <color indexed="33"/>
      </right>
      <top>
        <color auto="1" indexed="64"/>
      </top>
      <bottom>
        <color auto="1" indexed="64"/>
      </bottom>
      <diagonal>
        <color/>
      </diagonal>
    </border>
    <border diagonalUp="0" diagonalDown="0">
      <left style="thin">
        <color indexed="33"/>
      </left>
      <right>
        <color auto="1" indexed="64"/>
      </right>
      <top>
        <color auto="1" indexed="64"/>
      </top>
      <bottom style="thin">
        <color indexed="33"/>
      </bottom>
      <diagonal>
        <color/>
      </diagonal>
    </border>
    <border diagonalUp="0" diagonalDown="0">
      <left>
        <color auto="1" indexed="64"/>
      </left>
      <right>
        <color auto="1" indexed="64"/>
      </right>
      <top>
        <color auto="1" indexed="64"/>
      </top>
      <bottom style="thin">
        <color indexed="33"/>
      </bottom>
      <diagonal>
        <color/>
      </diagonal>
    </border>
    <border diagonalUp="0" diagonalDown="0">
      <left>
        <color auto="1" indexed="64"/>
      </left>
      <right style="thin">
        <color indexed="33"/>
      </right>
      <top>
        <color auto="1" indexed="64"/>
      </top>
      <bottom style="thin">
        <color indexed="33"/>
      </bottom>
      <diagonal>
        <color/>
      </diagonal>
    </border>
    <border diagonalUp="0" diagonalDown="0">
      <left>
        <color auto="1" indexed="64"/>
      </left>
      <right style="thin">
        <color auto="1" indexed="64"/>
      </right>
      <top>
        <color auto="1" indexed="64"/>
      </top>
      <bottom>
        <color auto="1" indexed="64"/>
      </bottom>
      <diagonal>
        <color/>
      </diagonal>
    </border>
    <border diagonalUp="0" diagonalDown="0">
      <left>
        <color auto="1" indexed="64"/>
      </left>
      <right style="thin">
        <color indexed="33"/>
      </right>
      <top style="thin">
        <color indexed="33"/>
      </top>
      <bottom style="thin">
        <color indexed="33"/>
      </bottom>
      <diagonal>
        <color/>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123">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1" fontId="0" fillId="33" borderId="7" applyNumberFormat="1" applyFont="1" applyFill="1" applyBorder="1"/>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3" borderId="34" applyNumberFormat="1" applyFont="1" applyFill="1" applyBorder="1"/>
    <xf numFmtId="1" fontId="88" fillId="33" borderId="36" applyNumberFormat="1" applyFont="1" applyFill="1" applyBorder="1"/>
    <xf numFmtId="166" fontId="43" fillId="30" borderId="34" applyNumberFormat="1" applyFont="1" applyFill="1" applyBorder="1" applyAlignment="1">
      <alignment horizontal="center"/>
    </xf>
    <xf numFmtId="166" fontId="43" fillId="30" borderId="36" applyNumberFormat="1" applyFont="1" applyFill="1" applyBorder="1" applyAlignment="1">
      <alignment horizontal="center"/>
    </xf>
    <xf numFmtId="0" fontId="43" fillId="0" borderId="34" applyFont="1" applyFill="1" applyBorder="1" applyAlignment="1">
      <alignment horizontal="center"/>
    </xf>
    <xf numFmtId="0" fontId="43" fillId="0" borderId="36"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166" fontId="43" fillId="30" borderId="35" applyNumberFormat="1" applyFont="1" applyFill="1" applyBorder="1" applyAlignment="1">
      <alignment horizont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0" borderId="26" applyFont="1" applyFill="1" applyBorder="1" applyAlignment="1">
      <alignment horizontal="center" vertical="center" wrapText="1"/>
    </xf>
    <xf numFmtId="0" fontId="0" fillId="0" borderId="32" applyFont="1" applyFill="1" applyBorder="1" applyAlignment="1">
      <alignment horizontal="center" vertical="center" wrapText="1"/>
    </xf>
    <xf numFmtId="0" fontId="0" fillId="0" borderId="27" applyFont="1" applyFill="1" applyBorder="1" applyAlignment="1">
      <alignment horizontal="center" vertical="center" wrapText="1"/>
    </xf>
    <xf numFmtId="0" fontId="0" fillId="0" borderId="28" applyFont="1" applyFill="1" applyBorder="1" applyAlignment="1">
      <alignment horizontal="center" vertical="center" wrapText="1"/>
    </xf>
    <xf numFmtId="0" fontId="0" fillId="0" borderId="0" applyFont="1" applyFill="1" applyBorder="1" applyAlignment="1">
      <alignment horizontal="center" vertical="center" wrapText="1"/>
    </xf>
    <xf numFmtId="0" fontId="0" fillId="0" borderId="29" applyFont="1" applyFill="1" applyBorder="1" applyAlignment="1">
      <alignment horizontal="center" vertical="center" wrapText="1"/>
    </xf>
    <xf numFmtId="0" fontId="0" fillId="0" borderId="30" applyFont="1" applyFill="1" applyBorder="1" applyAlignment="1">
      <alignment horizontal="center" vertical="center" wrapText="1"/>
    </xf>
    <xf numFmtId="0" fontId="0" fillId="0" borderId="33" applyFont="1" applyFill="1" applyBorder="1" applyAlignment="1">
      <alignment horizontal="center" vertical="center" wrapText="1"/>
    </xf>
    <xf numFmtId="0" fontId="0" fillId="0" borderId="31"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4" fillId="0" borderId="0" applyFont="1" applyFill="1" applyBorder="1" applyAlignment="1">
      <alignment horizontal="center"/>
    </xf>
    <xf numFmtId="0" fontId="41" fillId="0" borderId="26"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164" fontId="50" fillId="30" borderId="0" applyNumberFormat="1" applyFont="1" applyFill="1" applyAlignment="1">
      <alignment horizontal="right"/>
    </xf>
    <xf numFmtId="0" fontId="41" fillId="0" borderId="28" applyFont="1" applyFill="1" applyBorder="1" applyAlignment="1">
      <alignment horizontal="center" vertical="center"/>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0" fillId="0" borderId="34" applyFont="1" applyFill="1" applyBorder="1" applyAlignment="1">
      <alignment horizontal="center" vertical="center" wrapText="1"/>
    </xf>
    <xf numFmtId="0" fontId="0" fillId="0" borderId="37" applyFont="1" applyFill="1" applyBorder="1" applyAlignment="1">
      <alignment horizontal="center" vertical="center" wrapText="1"/>
    </xf>
    <xf numFmtId="0" fontId="0" fillId="0" borderId="7" applyFont="1" applyFill="1" applyBorder="1" applyAlignment="1">
      <alignment horizontal="center" vertical="center" wrapText="1"/>
    </xf>
    <xf numFmtId="166" fontId="43" fillId="30" borderId="7" applyNumberFormat="1" applyFont="1" applyFill="1" applyBorder="1" applyAlignment="1">
      <alignment horizontal="center"/>
    </xf>
    <xf numFmtId="0" fontId="43" fillId="0" borderId="7" applyFont="1" applyFill="1" applyBorder="1" applyAlignment="1">
      <alignment horizontal="center" vertical="center" wrapText="1"/>
    </xf>
    <xf numFmtId="1" fontId="88" fillId="33" borderId="7" applyNumberFormat="1" applyFont="1" applyFill="1" applyBorder="1"/>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3" fillId="0" borderId="0" applyFont="1" applyFill="1" applyBorder="1" applyAlignment="1">
      <alignment horizontal="right"/>
    </xf>
    <xf numFmtId="0" fontId="41" fillId="0" borderId="37" applyFont="1" applyFill="1" applyBorder="1" applyAlignment="1">
      <alignment horizontal="center" vertical="center" wrapText="1"/>
    </xf>
    <xf numFmtId="0" fontId="41" fillId="0" borderId="37" applyFont="1" applyFill="1" applyBorder="1" applyAlignment="1">
      <alignment horizontal="center" vertical="center"/>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wrapText="1"/>
    </xf>
    <xf numFmtId="0" fontId="41" fillId="0" borderId="38" applyFont="1" applyFill="1" applyBorder="1" applyAlignment="1">
      <alignment horizontal="center" vertical="center"/>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0" fillId="0" borderId="59" applyFont="1" applyFill="1" applyBorder="1" applyAlignment="1">
      <alignment horizontal="left" vertical="center"/>
    </xf>
    <xf numFmtId="0" fontId="104" fillId="37" borderId="60" applyFont="1" applyFill="1" applyBorder="1" applyAlignment="1">
      <alignment horizontal="right" vertical="center"/>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5" fillId="0" borderId="61" applyFont="1" applyFill="1" applyBorder="1" applyAlignment="1">
      <alignment horizontal="center" vertical="center"/>
    </xf>
    <xf numFmtId="0" fontId="41" fillId="0" borderId="62" applyFont="1" applyFill="1" applyBorder="1" applyAlignment="1">
      <alignment horizontal="center" vertical="center"/>
    </xf>
    <xf numFmtId="0" fontId="41" fillId="0" borderId="62" applyFont="1" applyFill="1" applyBorder="1" applyAlignment="1">
      <alignment horizontal="center" vertical="center" wrapText="1"/>
    </xf>
    <xf numFmtId="0" fontId="41" fillId="0" borderId="63" applyFont="1" applyFill="1" applyBorder="1" applyAlignment="1">
      <alignment horizontal="center"/>
    </xf>
    <xf numFmtId="166" fontId="88" fillId="30" borderId="64" applyNumberFormat="1" applyFont="1" applyFill="1" applyBorder="1" applyAlignment="1">
      <alignment horizontal="center"/>
    </xf>
    <xf numFmtId="166" fontId="88" fillId="33" borderId="65" applyNumberFormat="1" applyFont="1" applyFill="1" applyBorder="1" applyAlignment="1">
      <alignment horizontal="center"/>
    </xf>
    <xf numFmtId="166" fontId="88" fillId="30" borderId="65" applyNumberFormat="1" applyFont="1" applyFill="1" applyBorder="1" applyAlignment="1">
      <alignment horizontal="center"/>
    </xf>
    <xf numFmtId="166" fontId="88" fillId="33" borderId="63" applyNumberFormat="1" applyFont="1" applyFill="1" applyBorder="1" applyAlignment="1">
      <alignment horizontal="center"/>
    </xf>
    <xf numFmtId="2" fontId="88" fillId="30" borderId="64" applyNumberFormat="1" applyFont="1" applyFill="1" applyBorder="1" applyAlignment="1">
      <alignment horizontal="center"/>
    </xf>
    <xf numFmtId="2" fontId="88" fillId="33" borderId="65" applyNumberFormat="1" applyFont="1" applyFill="1" applyBorder="1" applyAlignment="1">
      <alignment horizontal="center"/>
    </xf>
    <xf numFmtId="0" fontId="106" fillId="37" borderId="66" applyFont="1" applyFill="1" applyBorder="1"/>
    <xf numFmtId="0" fontId="87" fillId="0" borderId="59" applyNumberFormat="1" applyFont="1" applyFill="1" applyBorder="1" applyAlignment="1">
      <alignment horizontal="left" wrapText="1"/>
    </xf>
    <xf numFmtId="0" fontId="107" fillId="38" borderId="0" applyFont="1" applyFill="1"/>
    <xf numFmtId="49" fontId="55" fillId="36" borderId="67" applyNumberFormat="1" applyFont="1" applyFill="1" applyBorder="1" applyAlignment="1">
      <alignment textRotation="90" wrapText="1"/>
    </xf>
    <xf numFmtId="0" fontId="108" fillId="37" borderId="60" applyFont="1" applyFill="1" applyBorder="1" applyAlignment="1">
      <alignment horizontal="left" vertical="center"/>
    </xf>
    <xf numFmtId="0" fontId="108" fillId="37" borderId="60" applyFont="1" applyFill="1" applyBorder="1" applyAlignment="1">
      <alignment horizontal="right" vertical="center"/>
    </xf>
    <xf numFmtId="0" fontId="109" fillId="37" borderId="68" applyFont="1" applyFill="1" applyBorder="1" applyAlignment="1">
      <alignment horizontal="center" vertical="center"/>
    </xf>
    <xf numFmtId="0" fontId="109" fillId="37" borderId="69" applyFont="1" applyFill="1" applyBorder="1" applyAlignment="1">
      <alignment horizontal="center" vertical="center"/>
    </xf>
    <xf numFmtId="0" fontId="109" fillId="37" borderId="70" applyFont="1" applyFill="1" applyBorder="1" applyAlignment="1">
      <alignment horizontal="center" vertical="center"/>
    </xf>
    <xf numFmtId="0" fontId="108" fillId="39" borderId="60" applyFont="1" applyFill="1" applyBorder="1" applyAlignment="1">
      <alignment horizontal="left" vertical="center"/>
    </xf>
    <xf numFmtId="0" fontId="108" fillId="39" borderId="60" applyFont="1" applyFill="1" applyBorder="1" applyAlignment="1">
      <alignment horizontal="right" vertical="center"/>
    </xf>
    <xf numFmtId="0" fontId="109" fillId="39" borderId="68" applyFont="1" applyFill="1" applyBorder="1" applyAlignment="1">
      <alignment horizontal="center" vertical="center"/>
    </xf>
    <xf numFmtId="0" fontId="109" fillId="39" borderId="69" applyFont="1" applyFill="1" applyBorder="1" applyAlignment="1">
      <alignment horizontal="center" vertical="center"/>
    </xf>
    <xf numFmtId="0" fontId="109" fillId="39" borderId="70" applyFont="1" applyFill="1" applyBorder="1" applyAlignment="1">
      <alignment horizontal="center" vertical="center"/>
    </xf>
    <xf numFmtId="0" fontId="110" fillId="0" borderId="0" applyFont="1" applyFill="1" applyBorder="1" applyAlignment="1">
      <alignment horizontal="left" vertical="center"/>
    </xf>
    <xf numFmtId="0" fontId="49" fillId="0" borderId="0" applyFont="1" applyFill="1" applyBorder="1" applyAlignment="1">
      <alignment horizontal="center" vertical="bottom"/>
    </xf>
    <xf numFmtId="0" fontId="88" fillId="30" borderId="59" applyFont="1" applyFill="1" applyBorder="1"/>
    <xf numFmtId="49" fontId="51" fillId="36" borderId="7" applyNumberFormat="1" applyFont="1" applyFill="1" applyBorder="1" applyAlignment="1">
      <alignment horizontal="center" vertical="center"/>
    </xf>
    <xf numFmtId="0" fontId="39" fillId="30" borderId="59" applyFont="1" applyFill="1" applyBorder="1" applyAlignment="1">
      <alignment horizontal="center"/>
    </xf>
    <xf numFmtId="0" fontId="51" fillId="36" borderId="7" applyFont="1" applyFill="1" applyBorder="1" applyAlignment="1">
      <alignment horizontal="center" vertical="center"/>
    </xf>
    <xf numFmtId="0" fontId="83" fillId="30" borderId="59" applyNumberFormat="1" applyFont="1" applyFill="1" applyBorder="1" applyAlignment="1">
      <alignment horizontal="left" wrapText="1"/>
    </xf>
    <xf numFmtId="164" fontId="88" fillId="30" borderId="59" applyNumberFormat="1" applyFont="1" applyFill="1" applyBorder="1" applyAlignment="1">
      <alignment horizontal="right"/>
    </xf>
    <xf numFmtId="1" fontId="83" fillId="0" borderId="59" applyNumberFormat="1" applyFont="1" applyFill="1" applyBorder="1" applyAlignment="1">
      <alignment horizontal="left" wrapText="1"/>
    </xf>
    <xf numFmtId="0" fontId="51" fillId="36" borderId="62" applyFont="1" applyFill="1" applyBorder="1" applyAlignment="1">
      <alignment horizontal="left"/>
    </xf>
    <xf numFmtId="166" fontId="52" fillId="36" borderId="62" applyNumberFormat="1" applyFont="1" applyFill="1" applyBorder="1" applyAlignment="1">
      <alignment horizontal="center"/>
    </xf>
    <xf numFmtId="0" fontId="51" fillId="36" borderId="62" applyFont="1" applyFill="1" applyBorder="1"/>
    <xf numFmtId="0" fontId="88" fillId="0" borderId="59" applyFont="1" applyFill="1" applyBorder="1" applyAlignment="1">
      <alignment horizontal="right"/>
    </xf>
    <xf numFmtId="0" fontId="43" fillId="0" borderId="71" applyFont="1" applyFill="1" applyBorder="1" applyAlignment="1">
      <alignment horizontal="center" vertical="center" wrapText="1"/>
    </xf>
    <xf numFmtId="0" fontId="5" fillId="0" borderId="62" applyFont="1" applyFill="1" applyBorder="1"/>
    <xf numFmtId="0" fontId="5" fillId="0" borderId="72" applyFont="1" applyFill="1" applyBorder="1"/>
    <xf numFmtId="0" fontId="5" fillId="0" borderId="73" applyFont="1" applyFill="1" applyBorder="1"/>
    <xf numFmtId="0" fontId="5" fillId="33" borderId="62" applyFont="1" applyFill="1" applyBorder="1"/>
    <xf numFmtId="0" fontId="5" fillId="33" borderId="72" applyFont="1" applyFill="1" applyBorder="1"/>
    <xf numFmtId="0" fontId="5" fillId="33" borderId="73" applyFont="1" applyFill="1" applyBorder="1"/>
    <xf numFmtId="0" fontId="83" fillId="0" borderId="59" applyNumberFormat="1" applyFont="1" applyFill="1" applyBorder="1" applyAlignment="1">
      <alignment horizontal="left" wrapText="1"/>
    </xf>
    <xf numFmtId="0" fontId="0" fillId="0" borderId="59" applyFont="1" applyFill="1" applyBorder="1"/>
    <xf numFmtId="0" fontId="39" fillId="0" borderId="59" applyFont="1" applyFill="1" applyBorder="1" applyAlignment="1">
      <alignment horizontal="center"/>
    </xf>
    <xf numFmtId="0" fontId="29" fillId="0" borderId="59" applyFont="1" applyFill="1" applyBorder="1" applyAlignment="1">
      <alignment horizontal="center"/>
    </xf>
    <xf numFmtId="0" fontId="82" fillId="0" borderId="74" applyFont="1" applyFill="1" applyBorder="1" applyAlignment="1">
      <alignment horizontal="center"/>
    </xf>
    <xf numFmtId="0" fontId="82" fillId="0" borderId="75" applyFont="1" applyFill="1" applyBorder="1" applyAlignment="1">
      <alignment horizontal="center"/>
    </xf>
    <xf numFmtId="0" fontId="82" fillId="0" borderId="76" applyFont="1" applyFill="1" applyBorder="1" applyAlignment="1">
      <alignment horizontal="center"/>
    </xf>
    <xf numFmtId="0" fontId="82" fillId="33" borderId="77" applyFont="1" applyFill="1" applyBorder="1" applyAlignment="1">
      <alignment horizontal="center"/>
    </xf>
    <xf numFmtId="0" fontId="82" fillId="33" borderId="59" applyFont="1" applyFill="1" applyBorder="1" applyAlignment="1">
      <alignment horizontal="center"/>
    </xf>
    <xf numFmtId="0" fontId="82" fillId="33" borderId="78" applyFont="1" applyFill="1" applyBorder="1" applyAlignment="1">
      <alignment horizontal="center"/>
    </xf>
    <xf numFmtId="0" fontId="82" fillId="0" borderId="77" applyFont="1" applyFill="1" applyBorder="1" applyAlignment="1">
      <alignment horizontal="center"/>
    </xf>
    <xf numFmtId="0" fontId="82" fillId="0" borderId="59" applyFont="1" applyFill="1" applyBorder="1" applyAlignment="1">
      <alignment horizontal="center"/>
    </xf>
    <xf numFmtId="0" fontId="82" fillId="0" borderId="78" applyFont="1" applyFill="1" applyBorder="1" applyAlignment="1">
      <alignment horizontal="center"/>
    </xf>
    <xf numFmtId="0" fontId="82" fillId="33" borderId="79" applyFont="1" applyFill="1" applyBorder="1" applyAlignment="1">
      <alignment horizontal="center"/>
    </xf>
    <xf numFmtId="0" fontId="82" fillId="33" borderId="80" applyFont="1" applyFill="1" applyBorder="1" applyAlignment="1">
      <alignment horizontal="center"/>
    </xf>
    <xf numFmtId="0" fontId="82" fillId="33" borderId="81" applyFont="1" applyFill="1" applyBorder="1" applyAlignment="1">
      <alignment horizontal="center"/>
    </xf>
    <xf numFmtId="0" fontId="0" fillId="0" borderId="59" applyFont="1" applyFill="1" applyBorder="1" applyAlignment="1">
      <alignment horizontal="center"/>
    </xf>
    <xf numFmtId="0" fontId="43" fillId="0" borderId="59" applyFont="1" applyFill="1" applyBorder="1"/>
    <xf numFmtId="0" fontId="111" fillId="37" borderId="68" applyFont="1" applyFill="1" applyBorder="1" applyAlignment="1">
      <alignment horizontal="center" vertical="center"/>
    </xf>
    <xf numFmtId="0" fontId="111" fillId="37" borderId="69" applyFont="1" applyFill="1" applyBorder="1" applyAlignment="1">
      <alignment horizontal="center" vertical="center"/>
    </xf>
    <xf numFmtId="0" fontId="111" fillId="37" borderId="70" applyFont="1" applyFill="1" applyBorder="1" applyAlignment="1">
      <alignment horizontal="center" vertical="center"/>
    </xf>
    <xf numFmtId="0" fontId="111" fillId="39" borderId="68" applyFont="1" applyFill="1" applyBorder="1" applyAlignment="1">
      <alignment horizontal="center" vertical="center"/>
    </xf>
    <xf numFmtId="0" fontId="111" fillId="39" borderId="69" applyFont="1" applyFill="1" applyBorder="1" applyAlignment="1">
      <alignment horizontal="center" vertical="center"/>
    </xf>
    <xf numFmtId="0" fontId="111" fillId="39" borderId="70" applyFont="1" applyFill="1" applyBorder="1" applyAlignment="1">
      <alignment horizontal="center" vertical="center"/>
    </xf>
    <xf numFmtId="170" fontId="0" fillId="0" borderId="59" applyNumberFormat="1" applyFont="1" applyFill="1" applyBorder="1" applyAlignment="1">
      <alignment horizontal="left" vertical="center"/>
    </xf>
    <xf numFmtId="0" fontId="88" fillId="0" borderId="0" applyFont="1" applyFill="1" applyBorder="1" applyAlignment="1">
      <alignment horizontal="center" vertical="bottom"/>
    </xf>
    <xf numFmtId="0" fontId="88" fillId="0" borderId="0" applyFont="1" applyFill="1" applyBorder="1" applyAlignment="1">
      <alignment horizontal="right" vertical="bottom"/>
    </xf>
    <xf numFmtId="0" fontId="82" fillId="0" borderId="59" applyNumberFormat="1" applyFont="1" applyFill="1" applyBorder="1" applyAlignment="1">
      <alignment horizontal="left" wrapText="1"/>
    </xf>
    <xf numFmtId="0" fontId="88" fillId="30" borderId="59" applyFont="1" applyFill="1" applyBorder="1" applyAlignment="1">
      <alignment horizontal="left"/>
    </xf>
    <xf numFmtId="49" fontId="64" fillId="36" borderId="7" applyNumberFormat="1" applyFont="1" applyFill="1" applyBorder="1" applyAlignment="1">
      <alignment horizontal="center"/>
    </xf>
    <xf numFmtId="164" fontId="88" fillId="30" borderId="59" applyNumberFormat="1" applyFont="1" applyFill="1" applyBorder="1" applyAlignment="1">
      <alignment vertical="center"/>
    </xf>
    <xf numFmtId="0" fontId="88" fillId="30" borderId="59" applyFont="1" applyFill="1" applyBorder="1" applyAlignment="1">
      <alignment vertical="center"/>
    </xf>
    <xf numFmtId="0" fontId="45" fillId="0" borderId="59" applyFont="1" applyFill="1" applyBorder="1" applyAlignment="1">
      <alignment vertical="center"/>
    </xf>
    <xf numFmtId="0" fontId="48" fillId="36" borderId="82" applyFont="1" applyFill="1" applyBorder="1" applyAlignment="1">
      <alignment horizontal="center" vertical="center"/>
    </xf>
    <xf numFmtId="0" fontId="50" fillId="0" borderId="59" applyFont="1" applyFill="1" applyBorder="1" applyAlignment="1">
      <alignment horizontal="center"/>
    </xf>
    <xf numFmtId="0" fontId="43" fillId="0" borderId="83" applyFont="1" applyFill="1" applyBorder="1" applyAlignment="1">
      <alignment horizontal="center" vertical="center" wrapText="1"/>
    </xf>
    <xf numFmtId="0" fontId="43" fillId="30" borderId="83" applyFont="1" applyFill="1" applyBorder="1" applyAlignment="1">
      <alignment horizontal="center" vertical="center" wrapText="1"/>
    </xf>
    <xf numFmtId="0" fontId="43" fillId="0" borderId="59" applyFont="1" applyFill="1" applyBorder="1" applyAlignment="1">
      <alignment horizontal="center"/>
    </xf>
    <xf numFmtId="0" fontId="88" fillId="0" borderId="62" applyFont="1" applyFill="1" applyBorder="1"/>
    <xf numFmtId="0" fontId="88" fillId="33" borderId="72" applyFont="1" applyFill="1" applyBorder="1"/>
    <xf numFmtId="0" fontId="88" fillId="0" borderId="72" applyFont="1" applyFill="1" applyBorder="1"/>
    <xf numFmtId="0" fontId="88" fillId="33" borderId="73" applyFont="1" applyFill="1" applyBorder="1"/>
    <xf numFmtId="0" fontId="48" fillId="36" borderId="62" applyFont="1" applyFill="1" applyBorder="1" applyAlignment="1">
      <alignment horizontal="center" vertical="center"/>
    </xf>
    <xf numFmtId="0" fontId="0" fillId="0" borderId="62" applyFont="1" applyFill="1" applyBorder="1"/>
    <xf numFmtId="0" fontId="0" fillId="33" borderId="72" applyFont="1" applyFill="1" applyBorder="1"/>
    <xf numFmtId="0" fontId="0" fillId="0" borderId="72" applyFont="1" applyFill="1" applyBorder="1"/>
    <xf numFmtId="0" fontId="0" fillId="33" borderId="73" applyFont="1" applyFill="1" applyBorder="1"/>
    <xf numFmtId="0" fontId="0" fillId="33" borderId="62" applyFont="1" applyFill="1" applyBorder="1"/>
    <xf numFmtId="0" fontId="0" fillId="33" borderId="74" applyFont="1" applyFill="1" applyBorder="1" applyAlignment="1">
      <alignment horizontal="right" indent="2"/>
    </xf>
    <xf numFmtId="0" fontId="0" fillId="33" borderId="75" applyFont="1" applyFill="1" applyBorder="1" applyAlignment="1">
      <alignment horizontal="right" indent="2"/>
    </xf>
    <xf numFmtId="166" fontId="0" fillId="33" borderId="76" applyNumberFormat="1" applyFont="1" applyFill="1" applyBorder="1" applyAlignment="1">
      <alignment horizontal="right" indent="2"/>
    </xf>
    <xf numFmtId="0" fontId="0" fillId="0" borderId="77" applyFont="1" applyFill="1" applyBorder="1" applyAlignment="1">
      <alignment horizontal="right" indent="2"/>
    </xf>
    <xf numFmtId="0" fontId="0" fillId="0" borderId="59" applyFont="1" applyFill="1" applyBorder="1" applyAlignment="1">
      <alignment horizontal="right" indent="2"/>
    </xf>
    <xf numFmtId="166" fontId="0" fillId="0" borderId="78" applyNumberFormat="1" applyFont="1" applyFill="1" applyBorder="1" applyAlignment="1">
      <alignment horizontal="right" indent="2"/>
    </xf>
    <xf numFmtId="0" fontId="0" fillId="33" borderId="77" applyFont="1" applyFill="1" applyBorder="1" applyAlignment="1">
      <alignment horizontal="right" indent="2"/>
    </xf>
    <xf numFmtId="0" fontId="0" fillId="33" borderId="59" applyFont="1" applyFill="1" applyBorder="1" applyAlignment="1">
      <alignment horizontal="right" indent="2"/>
    </xf>
    <xf numFmtId="166" fontId="0" fillId="33" borderId="78" applyNumberFormat="1" applyFont="1" applyFill="1" applyBorder="1" applyAlignment="1">
      <alignment horizontal="right" indent="2"/>
    </xf>
    <xf numFmtId="0" fontId="0" fillId="33" borderId="79" applyFont="1" applyFill="1" applyBorder="1" applyAlignment="1">
      <alignment horizontal="right" indent="2"/>
    </xf>
    <xf numFmtId="0" fontId="0" fillId="33" borderId="80" applyFont="1" applyFill="1" applyBorder="1" applyAlignment="1">
      <alignment horizontal="right" indent="2"/>
    </xf>
    <xf numFmtId="166" fontId="0" fillId="33" borderId="81" applyNumberFormat="1" applyFont="1" applyFill="1" applyBorder="1" applyAlignment="1">
      <alignment horizontal="right" indent="2"/>
    </xf>
    <xf numFmtId="0" fontId="43" fillId="30" borderId="59" applyFont="1" applyFill="1" applyBorder="1" applyAlignment="1">
      <alignment horizontal="right"/>
    </xf>
    <xf numFmtId="0" fontId="48" fillId="36" borderId="62" applyFont="1" applyFill="1" applyBorder="1"/>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40" Type="http://schemas.openxmlformats.org/officeDocument/2006/relationships/worksheet" Target="worksheets/sheet26.xml" />
<Relationship Id="rId34" Type="http://schemas.openxmlformats.org/officeDocument/2006/relationships/worksheet" Target="worksheets/sheet3.xml" />
<Relationship Id="rId38" Type="http://schemas.openxmlformats.org/officeDocument/2006/relationships/worksheet" Target="worksheets/sheet21.xml" />
<Relationship Id="rId35" Type="http://schemas.openxmlformats.org/officeDocument/2006/relationships/worksheet" Target="worksheets/sheet7.xml" />
<Relationship Id="rId33" Type="http://schemas.openxmlformats.org/officeDocument/2006/relationships/worksheet" Target="worksheets/sheet2.xml" />
<Relationship Id="rId37" Type="http://schemas.openxmlformats.org/officeDocument/2006/relationships/worksheet" Target="worksheets/sheet20.xml" />
<Relationship Id="rId41" Type="http://schemas.openxmlformats.org/officeDocument/2006/relationships/sharedStrings" Target="/xl/sharedStrings.xml" />
<Relationship Id="rId32" Type="http://schemas.openxmlformats.org/officeDocument/2006/relationships/worksheet" Target="worksheets/sheet1.xml" />
<Relationship Id="rId39" Type="http://schemas.openxmlformats.org/officeDocument/2006/relationships/worksheet" Target="worksheets/sheet23.xml" />
<Relationship Id="rId42" Type="http://schemas.openxmlformats.org/officeDocument/2006/relationships/styles" Target="/xl/styles.xml" />
<Relationship Id="rId36" Type="http://schemas.openxmlformats.org/officeDocument/2006/relationships/worksheet" Target="worksheets/sheet9.xml" />
<Relationship Id="rId43" Type="http://schemas.openxmlformats.org/officeDocument/2006/relationships/theme" Target="/xl/theme/theme1.xml" />
<Relationship Id="rId31" Type="http://schemas.openxmlformats.org/officeDocument/2006/relationships/worksheet" Target="worksheets/sheet28.xml" />
<Relationship Id="rId30" Type="http://schemas.openxmlformats.org/officeDocument/2006/relationships/worksheet" Target="worksheets/sheet32.xml" />
<Relationship Id="rId29" Type="http://schemas.openxmlformats.org/officeDocument/2006/relationships/worksheet" Target="worksheets/sheet36.xml" />
<Relationship Id="rId28" Type="http://schemas.openxmlformats.org/officeDocument/2006/relationships/worksheet" Target="worksheets/sheet40.xml" />
<Relationship Id="rId27" Type="http://schemas.openxmlformats.org/officeDocument/2006/relationships/worksheet" Target="worksheets/sheet44.xml" />
<Relationship Id="rId26" Type="http://schemas.openxmlformats.org/officeDocument/2006/relationships/worksheet" Target="worksheets/sheet48.xml" />
<Relationship Id="rId25" Type="http://schemas.openxmlformats.org/officeDocument/2006/relationships/worksheet" Target="worksheets/sheet52.xml" />
<Relationship Id="rId24" Type="http://schemas.openxmlformats.org/officeDocument/2006/relationships/worksheet" Target="worksheets/sheet56.xml" />
<Relationship Id="rId23" Type="http://schemas.openxmlformats.org/officeDocument/2006/relationships/worksheet" Target="worksheets/sheet59.xml" />
<Relationship Id="rId22" Type="http://schemas.openxmlformats.org/officeDocument/2006/relationships/worksheet" Target="worksheets/sheet62.xml" />
<Relationship Id="rId21" Type="http://schemas.openxmlformats.org/officeDocument/2006/relationships/worksheet" Target="worksheets/sheet65.xml" />
<Relationship Id="rId20" Type="http://schemas.openxmlformats.org/officeDocument/2006/relationships/worksheet" Target="worksheets/sheet69.xml" />
<Relationship Id="rId19" Type="http://schemas.openxmlformats.org/officeDocument/2006/relationships/worksheet" Target="worksheets/sheet73.xml" />
<Relationship Id="rId18" Type="http://schemas.openxmlformats.org/officeDocument/2006/relationships/worksheet" Target="worksheets/sheet77.xml" />
<Relationship Id="rId17" Type="http://schemas.openxmlformats.org/officeDocument/2006/relationships/worksheet" Target="worksheets/sheet80.xml" />
<Relationship Id="rId16" Type="http://schemas.openxmlformats.org/officeDocument/2006/relationships/worksheet" Target="worksheets/sheet84.xml" />
<Relationship Id="rId15" Type="http://schemas.openxmlformats.org/officeDocument/2006/relationships/worksheet" Target="worksheets/sheet88.xml" />
<Relationship Id="rId14" Type="http://schemas.openxmlformats.org/officeDocument/2006/relationships/worksheet" Target="worksheets/sheet92.xml" />
<Relationship Id="rId13" Type="http://schemas.openxmlformats.org/officeDocument/2006/relationships/worksheet" Target="worksheets/sheet95.xml" />
<Relationship Id="rId12" Type="http://schemas.openxmlformats.org/officeDocument/2006/relationships/worksheet" Target="worksheets/sheet98.xml" />
<Relationship Id="rId11" Type="http://schemas.openxmlformats.org/officeDocument/2006/relationships/worksheet" Target="worksheets/sheet101.xml" />
<Relationship Id="rId10" Type="http://schemas.openxmlformats.org/officeDocument/2006/relationships/worksheet" Target="worksheets/sheet104.xml" />
<Relationship Id="rId9" Type="http://schemas.openxmlformats.org/officeDocument/2006/relationships/worksheet" Target="worksheets/sheet107.xml" />
<Relationship Id="rId8" Type="http://schemas.openxmlformats.org/officeDocument/2006/relationships/worksheet" Target="worksheets/sheet110.xml" />
<Relationship Id="rId7" Type="http://schemas.openxmlformats.org/officeDocument/2006/relationships/worksheet" Target="worksheets/sheet113.xml" />
<Relationship Id="rId6" Type="http://schemas.openxmlformats.org/officeDocument/2006/relationships/worksheet" Target="worksheets/sheet116.xml" />
<Relationship Id="rId5" Type="http://schemas.openxmlformats.org/officeDocument/2006/relationships/worksheet" Target="worksheets/sheet119.xml" />
<Relationship Id="rId4" Type="http://schemas.openxmlformats.org/officeDocument/2006/relationships/worksheet" Target="worksheets/sheet122.xml" />
<Relationship Id="rId3" Type="http://schemas.openxmlformats.org/officeDocument/2006/relationships/worksheet" Target="worksheets/sheet126.xml" />
<Relationship Id="rId2" Type="http://schemas.openxmlformats.org/officeDocument/2006/relationships/worksheet" Target="worksheets/sheet130.xml" />
<Relationship Id="rId1" Type="http://schemas.openxmlformats.org/officeDocument/2006/relationships/worksheet" Target="worksheets/sheet133.xml" />
</Relationships>
</file>

<file path=xl/charts/chart13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81.1500028619026</v>
                </pt>
                <pt idx="0">
                  <v>91.0803708774188</v>
                </pt>
                <pt idx="0">
                  <v>88.0537096955007</v>
                </pt>
                <pt idx="0">
                  <v>87.2773689720935</v>
                </pt>
                <pt idx="0">
                  <v>88.8236209661505</v>
                </pt>
                <pt idx="0">
                  <v>109.183007391125</v>
                </pt>
                <pt idx="0">
                  <v>99.360831870232</v>
                </pt>
                <pt idx="0">
                  <v>96.8158751616001</v>
                </pt>
                <pt idx="0">
                  <v>95.3706126008284</v>
                </pt>
                <pt idx="0">
                  <v>0</v>
                </pt>
                <pt idx="0">
                  <v>0</v>
                </pt>
                <pt idx="0">
                  <v>0</v>
                </pt>
                <pt idx="0">
                  <v>0</v>
                </pt>
                <pt idx="0">
                  <v>0</v>
                </pt>
                <pt idx="0">
                  <v>0</v>
                </pt>
                <pt idx="0">
                  <v>0</v>
                </pt>
                <pt idx="0">
                  <v>0</v>
                </pt>
                <pt idx="0">
                  <v>145.055922547272</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84.1078654516398</v>
                </pt>
                <pt idx="0">
                  <v>78.1283786308401</v>
                </pt>
                <pt idx="0">
                  <v>80.3327565182336</v>
                </pt>
                <pt idx="0">
                  <v>81.8944257427933</v>
                </pt>
                <pt idx="0">
                  <v>82.0380578397815</v>
                </pt>
                <pt idx="0">
                  <v>75.2482936825492</v>
                </pt>
                <pt idx="0">
                  <v>94.4075988345076</v>
                </pt>
                <pt idx="0">
                  <v>88.8076050200985</v>
                </pt>
                <pt idx="0">
                  <v>77.122857051025</v>
                </pt>
                <pt idx="0">
                  <v>0</v>
                </pt>
                <pt idx="0">
                  <v>0</v>
                </pt>
                <pt idx="0">
                  <v>0</v>
                </pt>
                <pt idx="0">
                  <v>0</v>
                </pt>
                <pt idx="0">
                  <v>0</v>
                </pt>
                <pt idx="0">
                  <v>0</v>
                </pt>
                <pt idx="0">
                  <v>0</v>
                </pt>
                <pt idx="0">
                  <v>0</v>
                </pt>
                <pt idx="0">
                  <v>73.2168796383938</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68.2535352210909</v>
                </pt>
                <pt idx="0">
                  <v>71.1596170174833</v>
                </pt>
                <pt idx="0">
                  <v>70.7359722149588</v>
                </pt>
                <pt idx="0">
                  <v>71.4753001231148</v>
                </pt>
                <pt idx="0">
                  <v>72.8691735435989</v>
                </pt>
                <pt idx="0">
                  <v>82.158350053113</v>
                </pt>
                <pt idx="0">
                  <v>93.8041755506782</v>
                </pt>
                <pt idx="0">
                  <v>85.9798600102655</v>
                </pt>
                <pt idx="0">
                  <v>73.5525412248237</v>
                </pt>
                <pt idx="0">
                  <v>0</v>
                </pt>
                <pt idx="0">
                  <v>0</v>
                </pt>
                <pt idx="0">
                  <v>0</v>
                </pt>
                <pt idx="0">
                  <v>0</v>
                </pt>
                <pt idx="0">
                  <v>0</v>
                </pt>
                <pt idx="0">
                  <v>0</v>
                </pt>
                <pt idx="0">
                  <v>0</v>
                </pt>
                <pt idx="0">
                  <v>0</v>
                </pt>
                <pt idx="0">
                  <v>106.205420219798</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50"/>
          <min val="6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-22.9008127661385</v>
                </pt>
                <pt idx="0">
                  <v>-43.361291343567</v>
                </pt>
                <pt idx="0">
                  <v>-22.9008127661385</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5"/>
          <min val="-4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Market Scale</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2"/>
          <min val="35"/>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Market Scale</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212"/>
          <min val="130"/>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0.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December</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Month'!$C$38:$AG$38</f>
              <numCache>
                <formatCode>General</formatCode>
                <ptCount val="31"/>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Month'!$C$48:$AG$48</f>
              <numCache>
                <formatCode>General</formatCode>
                <ptCount val="31"/>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5"/>
          <min val="-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'Comp_2'!$C$23:$T$23</f>
              <numCache>
                <formatCode>General</formatCode>
                <ptCount val="18"/>
                <pt idx="0">
                  <v>75.2329718335384</v>
                </pt>
                <pt idx="0">
                  <v>86.7144923520175</v>
                </pt>
                <pt idx="0">
                  <v>80.2474438661209</v>
                </pt>
                <pt idx="0">
                  <v>84.3564717999326</v>
                </pt>
                <pt idx="0">
                  <v>83.5693668977884</v>
                </pt>
                <pt idx="0">
                  <v>98.3084861359971</v>
                </pt>
                <pt idx="0">
                  <v>95.729721577489</v>
                </pt>
                <pt idx="0">
                  <v>94.1945482707791</v>
                </pt>
                <pt idx="0">
                  <v>90.7659548838083</v>
                </pt>
                <pt idx="0">
                  <v>0</v>
                </pt>
                <pt idx="0">
                  <v>0</v>
                </pt>
                <pt idx="0">
                  <v>99.7265619333594</v>
                </pt>
                <pt idx="0">
                  <v>69.0285007195793</v>
                </pt>
                <pt idx="0">
                  <v>78.9193996182544</v>
                </pt>
                <pt idx="0">
                  <v>111.954589887141</v>
                </pt>
                <pt idx="0">
                  <v>113.804508234188</v>
                </pt>
                <pt idx="0">
                  <v>87.1272748360431</v>
                </pt>
                <pt idx="0">
                  <v>107.611687921023</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'Comp_2'!$C$35:$T$35</f>
              <numCache>
                <formatCode>General</formatCode>
                <ptCount val="18"/>
                <pt idx="0">
                  <v>95.2416286035857</v>
                </pt>
                <pt idx="0">
                  <v>91.3185518269526</v>
                </pt>
                <pt idx="0">
                  <v>91.8722465317145</v>
                </pt>
                <pt idx="0">
                  <v>94.0487828898906</v>
                </pt>
                <pt idx="0">
                  <v>94.502566457372</v>
                </pt>
                <pt idx="0">
                  <v>86.7757559172905</v>
                </pt>
                <pt idx="0">
                  <v>104.017701261742</v>
                </pt>
                <pt idx="0">
                  <v>99.7974450573005</v>
                </pt>
                <pt idx="0">
                  <v>87.9270706563466</v>
                </pt>
                <pt idx="0">
                  <v>0</v>
                </pt>
                <pt idx="0">
                  <v>0</v>
                </pt>
                <pt idx="0">
                  <v>107.975118165952</v>
                </pt>
                <pt idx="0">
                  <v>109.945036080554</v>
                </pt>
                <pt idx="0">
                  <v>106.801309841773</v>
                </pt>
                <pt idx="0">
                  <v>90.3399072327347</v>
                </pt>
                <pt idx="0">
                  <v>92.5506963891775</v>
                </pt>
                <pt idx="0">
                  <v>100.286057599828</v>
                </pt>
                <pt idx="0">
                  <v>92.8760956659056</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'Comp_2'!$C$47:$T$47</f>
              <numCache>
                <formatCode>General</formatCode>
                <ptCount val="18"/>
                <pt idx="0">
                  <v>71.6531076211389</v>
                </pt>
                <pt idx="0">
                  <v>79.186418639956</v>
                </pt>
                <pt idx="0">
                  <v>73.7251294640818</v>
                </pt>
                <pt idx="0">
                  <v>79.3362350166904</v>
                </pt>
                <pt idx="0">
                  <v>78.9751964905876</v>
                </pt>
                <pt idx="0">
                  <v>85.3079319753562</v>
                </pt>
                <pt idx="0">
                  <v>99.5758558091697</v>
                </pt>
                <pt idx="0">
                  <v>94.0037525575032</v>
                </pt>
                <pt idx="0">
                  <v>79.8078452825937</v>
                </pt>
                <pt idx="0">
                  <v>0</v>
                </pt>
                <pt idx="0">
                  <v>0</v>
                </pt>
                <pt idx="0">
                  <v>107.679873090386</v>
                </pt>
                <pt idx="0">
                  <v>75.8934100220072</v>
                </pt>
                <pt idx="0">
                  <v>84.2869525115585</v>
                </pt>
                <pt idx="0">
                  <v>101.139672646832</v>
                </pt>
                <pt idx="0">
                  <v>105.32686489302</v>
                </pt>
                <pt idx="0">
                  <v>87.376509027235</v>
                </pt>
                <pt idx="0">
                  <v>99.9455342212252</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19"/>
          <min val="6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'Comp_2'!$B$67:$B$69</f>
            </multiLvlStrRef>
          </cat>
          <val>
            <numRef>
              <f>'Comp_2'!$X$50,'Comp_2'!$AB$50,'Comp_2'!$AF$50</f>
              <numCache>
                <formatCode>General</formatCode>
                <ptCount val="3"/>
                <pt idx="0">
                  <v>-22.9008127661385</v>
                </pt>
                <pt idx="0">
                  <v>-43.361291343567</v>
                </pt>
                <pt idx="0">
                  <v>-22.9008127661385</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'Comp_2'!$B$67:$B$69</f>
            </multiLvlStrRef>
          </cat>
          <val>
            <numRef>
              <f>'Comp_2'!$X$51,'Comp_2'!$AB$51,'Comp_2'!$AF$51</f>
              <numCache>
                <formatCode>General</formatCode>
                <ptCount val="3"/>
                <pt idx="0">
                  <v>-32.4596616004104</v>
                </pt>
                <pt idx="0">
                  <v>-52.3745055376623</v>
                </pt>
                <pt idx="0">
                  <v>-32.4596616004104</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5"/>
          <min val="-5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2"/>
          <min val="53"/>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222"/>
          <min val="139"/>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December</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Month_2'!$C$28:$AG$28</f>
              <numCache>
                <formatCode>General</formatCode>
                <ptCount val="31"/>
                <pt idx="0">
                  <v>111.333600320384</v>
                </pt>
                <pt idx="0">
                  <v>120.854110727528</v>
                </pt>
                <pt idx="0">
                  <v>125.943823618242</v>
                </pt>
                <pt idx="0">
                  <v>128.764327209923</v>
                </pt>
                <pt idx="0">
                  <v>120.486257928118</v>
                </pt>
                <pt idx="0">
                  <v>117.078129538193</v>
                </pt>
                <pt idx="0">
                  <v>117.635817635818</v>
                </pt>
                <pt idx="0">
                  <v>119.712918660287</v>
                </pt>
                <pt idx="0">
                  <v>126.998629511192</v>
                </pt>
                <pt idx="0">
                  <v>132.930061066943</v>
                </pt>
                <pt idx="0">
                  <v>139.979859013092</v>
                </pt>
                <pt idx="0">
                  <v>132.055692055692</v>
                </pt>
                <pt idx="0">
                  <v>136.647410560454</v>
                </pt>
                <pt idx="0">
                  <v>138.398268398268</v>
                </pt>
                <pt idx="0">
                  <v>128.469696969697</v>
                </pt>
                <pt idx="0">
                  <v>119.247267192473</v>
                </pt>
                <pt idx="0">
                  <v>138.691796008869</v>
                </pt>
                <pt idx="0">
                  <v>125.160173160173</v>
                </pt>
                <pt idx="0">
                  <v>121.212121212121</v>
                </pt>
                <pt idx="0">
                  <v>120.839542970691</v>
                </pt>
                <pt idx="0">
                  <v>131.931382793452</v>
                </pt>
                <pt idx="0">
                  <v>137.194805194805</v>
                </pt>
                <pt idx="0">
                  <v>117.078129538193</v>
                </pt>
                <pt idx="0">
                  <v>114.368854103953</v>
                </pt>
                <pt idx="0">
                  <v>126.78625722104</v>
                </pt>
                <pt idx="0">
                  <v>102.759478846435</v>
                </pt>
                <pt idx="0">
                  <v>119.210977701544</v>
                </pt>
                <pt idx="0">
                  <v>121.366204417052</v>
                </pt>
                <pt idx="0">
                  <v>119.928451178451</v>
                </pt>
                <pt idx="0">
                  <v>123.211708925995</v>
                </pt>
                <pt idx="0">
                  <v>117.866298560442</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Month_2'!$C$38:$AG$38</f>
              <numCache>
                <formatCode>General</formatCode>
                <ptCount val="31"/>
                <pt idx="0">
                  <v>80.9905375919652</v>
                </pt>
                <pt idx="0">
                  <v>87.356631841926</v>
                </pt>
                <pt idx="0">
                  <v>81.300414034923</v>
                </pt>
                <pt idx="0">
                  <v>86.7352494890481</v>
                </pt>
                <pt idx="0">
                  <v>88.0267438199889</v>
                </pt>
                <pt idx="0">
                  <v>88.3042487597275</v>
                </pt>
                <pt idx="0">
                  <v>91.5517641504149</v>
                </pt>
                <pt idx="0">
                  <v>94.8309910429718</v>
                </pt>
                <pt idx="0">
                  <v>97.859246171967</v>
                </pt>
                <pt idx="0">
                  <v>95.274695757351</v>
                </pt>
                <pt idx="0">
                  <v>98.4188506265382</v>
                </pt>
                <pt idx="0">
                  <v>97.6749415362475</v>
                </pt>
                <pt idx="0">
                  <v>100.401690903441</v>
                </pt>
                <pt idx="0">
                  <v>121.165597194358</v>
                </pt>
                <pt idx="0">
                  <v>93.3323047956568</v>
                </pt>
                <pt idx="0">
                  <v>81.9159918950361</v>
                </pt>
                <pt idx="0">
                  <v>101.823140970428</v>
                </pt>
                <pt idx="0">
                  <v>112.247631953405</v>
                </pt>
                <pt idx="0">
                  <v>93.3482955828129</v>
                </pt>
                <pt idx="0">
                  <v>96.3811522720117</v>
                </pt>
                <pt idx="0">
                  <v>100.839901796098</v>
                </pt>
                <pt idx="0">
                  <v>97.8090816013062</v>
                </pt>
                <pt idx="0">
                  <v>97.635468775124</v>
                </pt>
                <pt idx="0">
                  <v>105.635410140638</v>
                </pt>
                <pt idx="0">
                  <v>96.3566302319195</v>
                </pt>
                <pt idx="0">
                  <v>99.8680169847375</v>
                </pt>
                <pt idx="0">
                  <v>93.1565999205077</v>
                </pt>
                <pt idx="0">
                  <v>85.0948693565186</v>
                </pt>
                <pt idx="0">
                  <v>84.1597161247032</v>
                </pt>
                <pt idx="0">
                  <v>80.1184168022121</v>
                </pt>
                <pt idx="0">
                  <v>97.3469609131602</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Month_2'!$C$48:$AG$48</f>
              <numCache>
                <formatCode>General</formatCode>
                <ptCount val="31"/>
                <pt idx="0">
                  <v>90.1696814199692</v>
                </pt>
                <pt idx="0">
                  <v>105.574080574081</v>
                </pt>
                <pt idx="0">
                  <v>102.392850053044</v>
                </pt>
                <pt idx="0">
                  <v>111.684060458421</v>
                </pt>
                <pt idx="0">
                  <v>106.060129604676</v>
                </pt>
                <pt idx="0">
                  <v>103.384962750642</v>
                </pt>
                <pt idx="0">
                  <v>107.697666318356</v>
                </pt>
                <pt idx="0">
                  <v>113.524947172017</v>
                </pt>
                <pt idx="0">
                  <v>124.279901488382</v>
                </pt>
                <pt idx="0">
                  <v>126.648711251591</v>
                </pt>
                <pt idx="0">
                  <v>137.766568349333</v>
                </pt>
                <pt idx="0">
                  <v>128.985320010684</v>
                </pt>
                <pt idx="0">
                  <v>137.196310778463</v>
                </pt>
                <pt idx="0">
                  <v>167.691088411412</v>
                </pt>
                <pt idx="0">
                  <v>119.903729145814</v>
                </pt>
                <pt idx="0">
                  <v>97.682581728438</v>
                </pt>
                <pt idx="0">
                  <v>141.220342964529</v>
                </pt>
                <pt idx="0">
                  <v>140.489330521075</v>
                </pt>
                <pt idx="0">
                  <v>113.149449191288</v>
                </pt>
                <pt idx="0">
                  <v>116.466543915384</v>
                </pt>
                <pt idx="0">
                  <v>133.03947684715</v>
                </pt>
                <pt idx="0">
                  <v>134.18897896574</v>
                </pt>
                <pt idx="0">
                  <v>114.309780607762</v>
                </pt>
                <pt idx="0">
                  <v>120.814008105859</v>
                </pt>
                <pt idx="0">
                  <v>122.166965055368</v>
                </pt>
                <pt idx="0">
                  <v>102.623853787786</v>
                </pt>
                <pt idx="0">
                  <v>111.052893558753</v>
                </pt>
                <pt idx="0">
                  <v>103.276413091656</v>
                </pt>
                <pt idx="0">
                  <v>100.931444064538</v>
                </pt>
                <pt idx="0">
                  <v>98.7152705064567</v>
                </pt>
                <pt idx="0">
                  <v>114.739259589422</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73"/>
          <min val="7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140" Type="http://schemas.openxmlformats.org/officeDocument/2006/relationships/chart" Target="/xl/charts/chart136.xml" />
<Relationship Id="rId141" Type="http://schemas.openxmlformats.org/officeDocument/2006/relationships/chart" Target="/xl/charts/chart137.xml" />
</Relationships>
</file>

<file path=xl/drawings/_rels/drawing82.xml.rels><?xml version="1.0" encoding="utf-8" standalone="yes" ?>
<Relationships xmlns="http://schemas.openxmlformats.org/package/2006/relationships">
<Relationship Id="rId145" Type="http://schemas.openxmlformats.org/officeDocument/2006/relationships/chart" Target="/xl/charts/chart141.xml" />
<Relationship Id="rId146" Type="http://schemas.openxmlformats.org/officeDocument/2006/relationships/chart" Target="/xl/charts/chart142.xml" />
</Relationships>
</file>

<file path=xl/drawings/_rels/drawing87.xml.rels><?xml version="1.0" encoding="utf-8" standalone="yes" ?>
<Relationships xmlns="http://schemas.openxmlformats.org/package/2006/relationships">
<Relationship Id="rId142" Type="http://schemas.openxmlformats.org/officeDocument/2006/relationships/chart" Target="/xl/charts/chart138.xml" />
<Relationship Id="rId143" Type="http://schemas.openxmlformats.org/officeDocument/2006/relationships/chart" Target="/xl/charts/chart139.xml" />
</Relationships>
</file>

<file path=xl/drawings/_rels/drawing90.xml.rels><?xml version="1.0" encoding="utf-8" standalone="yes" ?>
<Relationships xmlns="http://schemas.openxmlformats.org/package/2006/relationships">
<Relationship Id="rId147" Type="http://schemas.openxmlformats.org/officeDocument/2006/relationships/chart" Target="/xl/charts/chart143.xml" />
<Relationship Id="rId148" Type="http://schemas.openxmlformats.org/officeDocument/2006/relationships/chart" Target="/xl/charts/chart144.xml" />
</Relationships>
</file>

<file path=xl/drawings/_rels/drawing91.xml.rels><?xml version="1.0" encoding="utf-8" standalone="yes" ?>
<Relationships xmlns="http://schemas.openxmlformats.org/package/2006/relationships">
<Relationship Id="rId144" Type="http://schemas.openxmlformats.org/officeDocument/2006/relationships/chart" Target="/xl/charts/chart140.xml" />
</Relationships>
</file>

<file path=xl/drawings/_rels/drawing94.xml.rels><?xml version="1.0" encoding="utf-8" standalone="yes" ?>
<Relationships xmlns="http://schemas.openxmlformats.org/package/2006/relationships">
<Relationship Id="rId149" Type="http://schemas.openxmlformats.org/officeDocument/2006/relationships/chart" Target="/xl/charts/chart14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0"/>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1"/>
        </a:graphicData>
      </a:graphic>
    </xdr:graphicFrame>
    <xdr:clientData/>
  </xdr:oneCellAnchor>
</xdr:wsDr>
</file>

<file path=xl/drawings/drawing3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5"/>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6"/>
        </a:graphicData>
      </a:graphic>
    </xdr:graphicFrame>
    <xdr:clientData/>
  </xdr:oneCellAnchor>
</xdr:wsDr>
</file>

<file path=xl/drawings/drawing8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2"/>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3"/>
        </a:graphicData>
      </a:graphic>
    </xdr:graphicFrame>
    <xdr:clientData/>
  </xdr:twoCellAnchor>
</xdr:wsDr>
</file>

<file path=xl/drawings/drawing9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7"/>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8"/>
        </a:graphicData>
      </a:graphic>
    </xdr:graphicFrame>
    <xdr:clientData/>
  </xdr:twoCellAnchor>
</xdr:wsDr>
</file>

<file path=xl/drawings/drawing9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4"/>
        </a:graphicData>
      </a:graphic>
    </xdr:graphicFrame>
    <xdr:clientData/>
  </xdr:twoCellAnchor>
</xdr:wsDr>
</file>

<file path=xl/drawings/drawing9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9"/>
        </a:graphicData>
      </a:graphic>
    </xdr:graphicFrame>
    <xdr:clientData/>
  </xdr:twoCellAnchor>
</xdr:wsDr>
</file>

<file path=xl/drawings/drawing9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 Id="rId76" Type="http://schemas.openxmlformats.org/officeDocument/2006/relationships/drawing" Target="../drawings/drawing72.xml"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 Id="rId80" Type="http://schemas.openxmlformats.org/officeDocument/2006/relationships/drawing" Target="../drawings/drawing76.xml"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91" Type="http://schemas.openxmlformats.org/officeDocument/2006/relationships/drawing" Target="../drawings/drawing87.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95" Type="http://schemas.openxmlformats.org/officeDocument/2006/relationships/drawing" Target="../drawings/drawing91.xml" />
</Relationships>
</file>

<file path=xl/worksheets/_rels/sheet20.xml.rels><?xml version="1.0" encoding="utf-8" standalone="yes" ?>
<Relationships xmlns="http://schemas.openxmlformats.org/package/2006/relationships">
<Relationship Id="rId1" Type="http://schemas.openxmlformats.org/officeDocument/2006/relationships/printerSettings" Target="../printerSettings/printerSettings20.bin" />
<Relationship Id="rId129" Type="http://schemas.openxmlformats.org/officeDocument/2006/relationships/drawing" Target="../drawings/drawing125.xml"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1.bin" />
<Relationship Id="rId133" Type="http://schemas.openxmlformats.org/officeDocument/2006/relationships/drawing" Target="../drawings/drawing129.xml"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87" Type="http://schemas.openxmlformats.org/officeDocument/2006/relationships/drawing" Target="../drawings/drawing83.xml"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150" Type="http://schemas.openxmlformats.org/officeDocument/2006/relationships/hyperlink" Target="http://www.str.com/data-insights/resources/glossary" TargetMode="External" />
<Relationship Id="rId151" Type="http://schemas.openxmlformats.org/officeDocument/2006/relationships/hyperlink" Target="http://www.hotelnewsnow.com/" TargetMode="External" />
<Relationship Id="rId152" Type="http://schemas.openxmlformats.org/officeDocument/2006/relationships/hyperlink" Target="http://www.hoteldataconference.com/" TargetMode="External" />
<Relationship Id="rId153" Type="http://schemas.openxmlformats.org/officeDocument/2006/relationships/hyperlink" Target="http://www.str.com/data-insights/resources/FAQ" TargetMode="External" />
<Relationship Id="rId154"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_rels/sheet32.xml.rels><?xml version="1.0" encoding="utf-8" standalone="yes" ?>
<Relationships xmlns="http://schemas.openxmlformats.org/package/2006/relationships">
<Relationship Id="rId1" Type="http://schemas.openxmlformats.org/officeDocument/2006/relationships/printerSettings" Target="../printerSettings/printerSettings33.bin" />
<Relationship Id="rId35" Type="http://schemas.openxmlformats.org/officeDocument/2006/relationships/drawing" Target="../drawings/drawing34.xml" />
</Relationships>
</file>

<file path=xl/worksheets/_rels/sheet36.xml.rels><?xml version="1.0" encoding="utf-8" standalone="yes" ?>
<Relationships xmlns="http://schemas.openxmlformats.org/package/2006/relationships">
<Relationship Id="rId1" Type="http://schemas.openxmlformats.org/officeDocument/2006/relationships/printerSettings" Target="../printerSettings/printerSettings37.bin" />
<Relationship Id="rId39" Type="http://schemas.openxmlformats.org/officeDocument/2006/relationships/drawing" Target="../drawings/drawing38.xml" />
</Relationships>
</file>

<file path=xl/worksheets/_rels/sheet40.xml.rels><?xml version="1.0" encoding="utf-8" standalone="yes" ?>
<Relationships xmlns="http://schemas.openxmlformats.org/package/2006/relationships">
<Relationship Id="rId1" Type="http://schemas.openxmlformats.org/officeDocument/2006/relationships/printerSettings" Target="../printerSettings/printerSettings41.bin" />
<Relationship Id="rId43" Type="http://schemas.openxmlformats.org/officeDocument/2006/relationships/drawing" Target="../drawings/drawing42.xml" />
</Relationships>
</file>

<file path=xl/worksheets/_rels/sheet44.xml.rels><?xml version="1.0" encoding="utf-8" standalone="yes" ?>
<Relationships xmlns="http://schemas.openxmlformats.org/package/2006/relationships">
<Relationship Id="rId1" Type="http://schemas.openxmlformats.org/officeDocument/2006/relationships/printerSettings" Target="../printerSettings/printerSettings45.bin" />
<Relationship Id="rId47" Type="http://schemas.openxmlformats.org/officeDocument/2006/relationships/drawing" Target="../drawings/drawing46.xml" />
</Relationships>
</file>

<file path=xl/worksheets/_rels/sheet48.xml.rels><?xml version="1.0" encoding="utf-8" standalone="yes" ?>
<Relationships xmlns="http://schemas.openxmlformats.org/package/2006/relationships">
<Relationship Id="rId1" Type="http://schemas.openxmlformats.org/officeDocument/2006/relationships/printerSettings" Target="../printerSettings/printerSettings49.bin" />
<Relationship Id="rId51" Type="http://schemas.openxmlformats.org/officeDocument/2006/relationships/drawing" Target="../drawings/drawing50.xml" />
</Relationships>
</file>

<file path=xl/worksheets/_rels/sheet52.xml.rels><?xml version="1.0" encoding="utf-8" standalone="yes" ?>
<Relationships xmlns="http://schemas.openxmlformats.org/package/2006/relationships">
<Relationship Id="rId1" Type="http://schemas.openxmlformats.org/officeDocument/2006/relationships/printerSettings" Target="../printerSettings/printerSettings53.bin" />
<Relationship Id="rId55" Type="http://schemas.openxmlformats.org/officeDocument/2006/relationships/drawing" Target="../drawings/drawing54.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5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59"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59" Type="http://schemas.openxmlformats.org/officeDocument/2006/relationships/drawing" Target="../drawings/drawing64.xml" />
</Relationships>
</file>

<file path=xl/worksheets/_rels/sheet65.xml.rels><?xml version="1.0" encoding="utf-8" standalone="yes" ?>
<Relationships xmlns="http://schemas.openxmlformats.org/package/2006/relationships">
<Relationship Id="rId1" Type="http://schemas.openxmlformats.org/officeDocument/2006/relationships/printerSettings" Target="../printerSettings/printerSettings66.bin" />
<Relationship Id="rId59" Type="http://schemas.openxmlformats.org/officeDocument/2006/relationships/drawing" Target="../drawings/drawing67.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72" Type="http://schemas.openxmlformats.org/officeDocument/2006/relationships/drawing" Target="../drawings/drawing71.xml" />
</Relationships>
</file>

<file path=xl/worksheets/_rels/sheet73.xml.rels><?xml version="1.0" encoding="utf-8" standalone="yes" ?>
<Relationships xmlns="http://schemas.openxmlformats.org/package/2006/relationships">
<Relationship Id="rId1" Type="http://schemas.openxmlformats.org/officeDocument/2006/relationships/printerSettings" Target="../printerSettings/printerSettings74.bin" />
<Relationship Id="rId76" Type="http://schemas.openxmlformats.org/officeDocument/2006/relationships/drawing" Target="../drawings/drawing75.xml" />
</Relationships>
</file>

<file path=xl/worksheets/_rels/sheet77.xml.rels><?xml version="1.0" encoding="utf-8" standalone="yes" ?>
<Relationships xmlns="http://schemas.openxmlformats.org/package/2006/relationships">
<Relationship Id="rId1" Type="http://schemas.openxmlformats.org/officeDocument/2006/relationships/printerSettings" Target="../printerSettings/printerSettings78.bin" />
<Relationship Id="rId80" Type="http://schemas.openxmlformats.org/officeDocument/2006/relationships/drawing" Target="../drawings/drawing79.xml" />
</Relationships>
</file>

<file path=xl/worksheets/_rels/sheet80.xml.rels><?xml version="1.0" encoding="utf-8" standalone="yes" ?>
<Relationships xmlns="http://schemas.openxmlformats.org/package/2006/relationships">
<Relationship Id="rId1" Type="http://schemas.openxmlformats.org/officeDocument/2006/relationships/printerSettings" Target="../printerSettings/printerSettings81.bin" />
<Relationship Id="rId31" Type="http://schemas.openxmlformats.org/officeDocument/2006/relationships/drawing" Target="../drawings/drawing82.xml" />
</Relationships>
</file>

<file path=xl/worksheets/_rels/sheet84.xml.rels><?xml version="1.0" encoding="utf-8" standalone="yes" ?>
<Relationships xmlns="http://schemas.openxmlformats.org/package/2006/relationships">
<Relationship Id="rId1" Type="http://schemas.openxmlformats.org/officeDocument/2006/relationships/printerSettings" Target="../printerSettings/printerSettings85.bin" />
<Relationship Id="rId87" Type="http://schemas.openxmlformats.org/officeDocument/2006/relationships/drawing" Target="../drawings/drawing86.xml" />
</Relationships>
</file>

<file path=xl/worksheets/_rels/sheet88.xml.rels><?xml version="1.0" encoding="utf-8" standalone="yes" ?>
<Relationships xmlns="http://schemas.openxmlformats.org/package/2006/relationships">
<Relationship Id="rId1" Type="http://schemas.openxmlformats.org/officeDocument/2006/relationships/printerSettings" Target="../printerSettings/printerSettings89.bin" />
<Relationship Id="rId91" Type="http://schemas.openxmlformats.org/officeDocument/2006/relationships/drawing" Target="../drawings/drawing90.xml" />
</Relationships>
</file>

<file path=xl/worksheets/_rels/sheet92.xml.rels><?xml version="1.0" encoding="utf-8" standalone="yes" ?>
<Relationships xmlns="http://schemas.openxmlformats.org/package/2006/relationships">
<Relationship Id="rId1" Type="http://schemas.openxmlformats.org/officeDocument/2006/relationships/printerSettings" Target="../printerSettings/printerSettings93.bin" />
<Relationship Id="rId95" Type="http://schemas.openxmlformats.org/officeDocument/2006/relationships/drawing" Target="../drawings/drawing94.xml" />
</Relationships>
</file>

<file path=xl/worksheets/_rels/sheet95.xml.rels><?xml version="1.0" encoding="utf-8" standalone="yes" ?>
<Relationships xmlns="http://schemas.openxmlformats.org/package/2006/relationships">
<Relationship Id="rId1" Type="http://schemas.openxmlformats.org/officeDocument/2006/relationships/printerSettings" Target="../printerSettings/printerSettings96.bin" />
<Relationship Id="rId35" Type="http://schemas.openxmlformats.org/officeDocument/2006/relationships/drawing" Target="../drawings/drawing97.xml" />
</Relationships>
</file>

<file path=xl/worksheets/_rels/sheet98.xml.rels><?xml version="1.0" encoding="utf-8" standalone="yes" ?>
<Relationships xmlns="http://schemas.openxmlformats.org/package/2006/relationships">
<Relationship Id="rId1" Type="http://schemas.openxmlformats.org/officeDocument/2006/relationships/printerSettings" Target="../printerSettings/printerSettings99.bin" />
<Relationship Id="rId39" Type="http://schemas.openxmlformats.org/officeDocument/2006/relationships/drawing" Target="../drawings/drawing100.xml" />
</Relationships>
</file>

<file path=xl/worksheets/_rels/sheet101.xml.rels><?xml version="1.0" encoding="utf-8" standalone="yes" ?>
<Relationships xmlns="http://schemas.openxmlformats.org/package/2006/relationships">
<Relationship Id="rId1" Type="http://schemas.openxmlformats.org/officeDocument/2006/relationships/printerSettings" Target="../printerSettings/printerSettings102.bin" />
<Relationship Id="rId43" Type="http://schemas.openxmlformats.org/officeDocument/2006/relationships/drawing" Target="../drawings/drawing103.xml" />
</Relationships>
</file>

<file path=xl/worksheets/_rels/sheet104.xml.rels><?xml version="1.0" encoding="utf-8" standalone="yes" ?>
<Relationships xmlns="http://schemas.openxmlformats.org/package/2006/relationships">
<Relationship Id="rId1" Type="http://schemas.openxmlformats.org/officeDocument/2006/relationships/printerSettings" Target="../printerSettings/printerSettings105.bin" />
<Relationship Id="rId47" Type="http://schemas.openxmlformats.org/officeDocument/2006/relationships/drawing" Target="../drawings/drawing106.xml" />
</Relationships>
</file>

<file path=xl/worksheets/_rels/sheet107.xml.rels><?xml version="1.0" encoding="utf-8" standalone="yes" ?>
<Relationships xmlns="http://schemas.openxmlformats.org/package/2006/relationships">
<Relationship Id="rId1" Type="http://schemas.openxmlformats.org/officeDocument/2006/relationships/printerSettings" Target="../printerSettings/printerSettings108.bin" />
<Relationship Id="rId51" Type="http://schemas.openxmlformats.org/officeDocument/2006/relationships/drawing" Target="../drawings/drawing109.xml" />
</Relationships>
</file>

<file path=xl/worksheets/_rels/sheet110.xml.rels><?xml version="1.0" encoding="utf-8" standalone="yes" ?>
<Relationships xmlns="http://schemas.openxmlformats.org/package/2006/relationships">
<Relationship Id="rId1" Type="http://schemas.openxmlformats.org/officeDocument/2006/relationships/printerSettings" Target="../printerSettings/printerSettings111.bin" />
<Relationship Id="rId55" Type="http://schemas.openxmlformats.org/officeDocument/2006/relationships/drawing" Target="../drawings/drawing112.xml" />
</Relationships>
</file>

<file path=xl/worksheets/_rels/sheet113.xml.rels><?xml version="1.0" encoding="utf-8" standalone="yes" ?>
<Relationships xmlns="http://schemas.openxmlformats.org/package/2006/relationships">
<Relationship Id="rId1" Type="http://schemas.openxmlformats.org/officeDocument/2006/relationships/printerSettings" Target="../printerSettings/printerSettings114.bin" />
<Relationship Id="rId59" Type="http://schemas.openxmlformats.org/officeDocument/2006/relationships/drawing" Target="../drawings/drawing115.xml" />
</Relationships>
</file>

<file path=xl/worksheets/_rels/sheet116.xml.rels><?xml version="1.0" encoding="utf-8" standalone="yes" ?>
<Relationships xmlns="http://schemas.openxmlformats.org/package/2006/relationships">
<Relationship Id="rId1" Type="http://schemas.openxmlformats.org/officeDocument/2006/relationships/printerSettings" Target="../printerSettings/printerSettings117.bin" />
<Relationship Id="rId59" Type="http://schemas.openxmlformats.org/officeDocument/2006/relationships/drawing" Target="../drawings/drawing118.xml" />
</Relationships>
</file>

<file path=xl/worksheets/_rels/sheet119.xml.rels><?xml version="1.0" encoding="utf-8" standalone="yes" ?>
<Relationships xmlns="http://schemas.openxmlformats.org/package/2006/relationships">
<Relationship Id="rId1" Type="http://schemas.openxmlformats.org/officeDocument/2006/relationships/printerSettings" Target="../printerSettings/printerSettings120.bin" />
<Relationship Id="rId59" Type="http://schemas.openxmlformats.org/officeDocument/2006/relationships/drawing" Target="../drawings/drawing121.xml" />
</Relationships>
</file>

<file path=xl/worksheets/_rels/sheet122.xml.rels><?xml version="1.0" encoding="utf-8" standalone="yes" ?>
<Relationships xmlns="http://schemas.openxmlformats.org/package/2006/relationships">
<Relationship Id="rId1" Type="http://schemas.openxmlformats.org/officeDocument/2006/relationships/printerSettings" Target="../printerSettings/printerSettings123.bin" />
<Relationship Id="rId59" Type="http://schemas.openxmlformats.org/officeDocument/2006/relationships/drawing" Target="../drawings/drawing124.xml" />
</Relationships>
</file>

<file path=xl/worksheets/_rels/sheet126.xml.rels><?xml version="1.0" encoding="utf-8" standalone="yes" ?>
<Relationships xmlns="http://schemas.openxmlformats.org/package/2006/relationships">
<Relationship Id="rId1" Type="http://schemas.openxmlformats.org/officeDocument/2006/relationships/printerSettings" Target="../printerSettings/printerSettings127.bin" />
<Relationship Id="rId129" Type="http://schemas.openxmlformats.org/officeDocument/2006/relationships/drawing" Target="../drawings/drawing128.xml" />
</Relationships>
</file>

<file path=xl/worksheets/_rels/sheet130.xml.rels><?xml version="1.0" encoding="utf-8" standalone="yes" ?>
<Relationships xmlns="http://schemas.openxmlformats.org/package/2006/relationships">
<Relationship Id="rId1" Type="http://schemas.openxmlformats.org/officeDocument/2006/relationships/printerSettings" Target="../printerSettings/printerSettings131.bin" />
<Relationship Id="rId133" Type="http://schemas.openxmlformats.org/officeDocument/2006/relationships/drawing" Target="../drawings/drawing132.xml" />
</Relationships>
</file>

<file path=xl/worksheets/_rels/sheet133.xml.rels><?xml version="1.0" encoding="utf-8" standalone="yes" ?>
<Relationships xmlns="http://schemas.openxmlformats.org/package/2006/relationships">
<Relationship Id="rId1" Type="http://schemas.openxmlformats.org/officeDocument/2006/relationships/printerSettings" Target="../printerSettings/printerSettings134.bin" />
<Relationship Id="rId72" Type="http://schemas.openxmlformats.org/officeDocument/2006/relationships/drawing" Target="../drawings/drawing135.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5"/>
      <c r="B1" s="596"/>
      <c r="C1" s="596"/>
      <c r="D1" s="597"/>
      <c r="E1" s="596"/>
      <c r="F1" s="596"/>
      <c r="G1" s="596"/>
      <c r="H1" s="598"/>
      <c r="O1" s="235"/>
    </row>
    <row r="2" ht="24.75" customHeight="1">
      <c r="A2" s="596"/>
      <c r="B2" s="638" t="s">
        <v>208</v>
      </c>
      <c r="C2" s="606"/>
      <c r="D2" s="605"/>
      <c r="E2" s="605"/>
      <c r="F2" s="606"/>
      <c r="G2" s="599"/>
      <c r="H2" s="600"/>
    </row>
    <row r="3" ht="25.5" customHeight="1">
      <c r="A3" s="596"/>
      <c r="B3" s="639" t="s">
        <v>207</v>
      </c>
      <c r="C3" s="608"/>
      <c r="D3" s="607"/>
      <c r="E3" s="607"/>
      <c r="F3" s="608"/>
      <c r="G3" s="599"/>
      <c r="H3" s="600"/>
    </row>
    <row r="4" ht="15" customHeight="1">
      <c r="A4" s="596"/>
      <c r="B4" s="694" t="s">
        <v>209</v>
      </c>
      <c r="C4" s="694"/>
      <c r="D4" s="694"/>
      <c r="E4" s="694"/>
      <c r="F4" s="609"/>
      <c r="G4" s="599"/>
      <c r="H4" s="600"/>
    </row>
    <row r="5" ht="15" customHeight="1">
      <c r="A5" s="596"/>
      <c r="B5" s="694" t="s">
        <v>210</v>
      </c>
      <c r="C5" s="694"/>
      <c r="D5" s="694"/>
      <c r="E5" s="694"/>
      <c r="F5" s="609"/>
      <c r="G5" s="599"/>
      <c r="H5" s="600"/>
    </row>
    <row r="6" ht="15" customHeight="1">
      <c r="A6" s="596"/>
      <c r="B6" s="610"/>
      <c r="C6" s="611"/>
      <c r="D6" s="610"/>
      <c r="E6" s="610"/>
      <c r="F6" s="611"/>
      <c r="G6" s="599"/>
      <c r="H6" s="600"/>
    </row>
    <row r="7" ht="15.75" customHeight="1">
      <c r="A7" s="596"/>
      <c r="B7" s="640" t="s">
        <v>111</v>
      </c>
      <c r="C7" s="606">
        <v>1</v>
      </c>
      <c r="D7" s="640"/>
      <c r="E7" s="640" t="str">
        <f>HYPERLINK("#'Glance_2'!A1", "Monthly Performance at a Glance - 2nd Comp")</f>
      </c>
      <c r="F7" s="606" t="str">
        <f>HYPERLINK("#'Glance_2'!A1", "21")</f>
      </c>
      <c r="G7" s="599"/>
      <c r="H7" s="600"/>
    </row>
    <row r="8" ht="15.75" customHeight="1">
      <c r="A8" s="596"/>
      <c r="B8" s="640" t="str">
        <f>HYPERLINK("#'Glance'!A1", "Monthly Performance at a Glance")</f>
      </c>
      <c r="C8" s="606" t="str">
        <f>HYPERLINK("#'Glance'!A1", "2")</f>
      </c>
      <c r="D8" s="640"/>
      <c r="E8" s="640" t="str">
        <f>HYPERLINK("#'Summary_2'!A1", "STAR Summary - 2nd Comp")</f>
      </c>
      <c r="F8" s="606" t="str">
        <f>HYPERLINK("#'Summary_2'!A1", "22")</f>
      </c>
      <c r="G8" s="599"/>
      <c r="H8" s="600"/>
    </row>
    <row r="9" ht="15.75" customHeight="1">
      <c r="A9" s="596"/>
      <c r="B9" s="640" t="str">
        <f>HYPERLINK("#'Summary'!A1", "STAR Summary")</f>
      </c>
      <c r="C9" s="606" t="str">
        <f>HYPERLINK("#'Summary'!A1", "3")</f>
      </c>
      <c r="D9" s="640"/>
      <c r="E9" s="640" t="str">
        <f>HYPERLINK("#'Comp_2'!A1", "Competitive Set Report - 2nd Comp")</f>
      </c>
      <c r="F9" s="606" t="str">
        <f>HYPERLINK("#'Comp_2'!A1", "23")</f>
      </c>
      <c r="G9" s="596"/>
      <c r="H9" s="596"/>
    </row>
    <row r="10" ht="15.75" customHeight="1">
      <c r="A10" s="596"/>
      <c r="B10" s="640" t="str">
        <f>HYPERLINK("#'Comp'!A1", "Competitive Set Report")</f>
      </c>
      <c r="C10" s="606" t="str">
        <f>HYPERLINK("#'Comp'!A1", "4")</f>
      </c>
      <c r="D10" s="640"/>
      <c r="E10" s="640" t="str">
        <f>HYPERLINK("#'Response_2'!A1", "Response Report - 2nd Comp")</f>
      </c>
      <c r="F10" s="606" t="str">
        <f>HYPERLINK("#'Response_2'!A1", "24")</f>
      </c>
      <c r="G10" s="596"/>
      <c r="H10" s="596"/>
    </row>
    <row r="11" ht="15.75" customHeight="1">
      <c r="A11" s="601"/>
      <c r="B11" s="640" t="str">
        <f>HYPERLINK("#'Response'!A1", "Response Report")</f>
      </c>
      <c r="C11" s="606" t="str">
        <f>HYPERLINK("#'Response'!A1", "5")</f>
      </c>
      <c r="D11" s="640"/>
      <c r="E11" s="640" t="str">
        <f>HYPERLINK("#'Day of Week_2'!A1", "Day of Week &amp; Weekday/Weekend - 2nd Comp")</f>
      </c>
      <c r="F11" s="606" t="str">
        <f>HYPERLINK("#'Day of Week_2'!A1", "25")</f>
      </c>
      <c r="G11" s="596"/>
      <c r="H11" s="596"/>
    </row>
    <row r="12" ht="15.75" customHeight="1">
      <c r="A12" s="596"/>
      <c r="B12" s="640" t="str">
        <f>HYPERLINK("#'Day of Week'!A1", "Day of Week &amp; Weekday/Weekend")</f>
      </c>
      <c r="C12" s="606" t="str">
        <f>HYPERLINK("#'Day of Week'!A1", "6")</f>
      </c>
      <c r="D12" s="640"/>
      <c r="E12" s="640" t="str">
        <f>HYPERLINK("#'Daily by Month_2'!A1", "Daily Data for the Month - 2nd Comp")</f>
      </c>
      <c r="F12" s="606" t="str">
        <f>HYPERLINK("#'Daily by Month_2'!A1", "26")</f>
      </c>
      <c r="G12" s="596"/>
      <c r="H12" s="596"/>
    </row>
    <row r="13" ht="15.75" customHeight="1">
      <c r="A13" s="596"/>
      <c r="B13" s="640" t="str">
        <f>HYPERLINK("#'Daily by Month'!A1", "Daily Data for the Month")</f>
      </c>
      <c r="C13" s="606" t="str">
        <f>HYPERLINK("#'Daily by Month'!A1", "7")</f>
      </c>
      <c r="D13" s="640"/>
      <c r="E13" s="640" t="str">
        <f>HYPERLINK("#'Segmentation Glance_2'!A1", "Segmentation at a Glance - 2nd Comp")</f>
      </c>
      <c r="F13" s="606" t="str">
        <f>HYPERLINK("#'Segmentation Glance_2'!A1", "27")</f>
      </c>
      <c r="G13" s="596"/>
      <c r="H13" s="596"/>
    </row>
    <row r="14" ht="15.75" customHeight="1">
      <c r="A14" s="596"/>
      <c r="B14" s="640" t="str">
        <f>HYPERLINK("#'Segmentation Glance'!A1", "Segmentation at a Glance")</f>
      </c>
      <c r="C14" s="606" t="str">
        <f>HYPERLINK("#'Segmentation Glance'!A1", "8")</f>
      </c>
      <c r="D14" s="640"/>
      <c r="E14" s="640" t="str">
        <f>HYPERLINK("#'Segmentation Occ_2'!A1", "Segmentation Occupancy Analysis - 2nd Comp")</f>
      </c>
      <c r="F14" s="606" t="str">
        <f>HYPERLINK("#'Segmentation Occ_2'!A1", "28")</f>
      </c>
      <c r="G14" s="596"/>
      <c r="H14" s="596"/>
    </row>
    <row r="15" ht="15.75" customHeight="1">
      <c r="A15" s="596"/>
      <c r="B15" s="640" t="str">
        <f>HYPERLINK("#'Segmentation Occ'!A1", "Segmentation Occupancy Analysis")</f>
      </c>
      <c r="C15" s="606" t="str">
        <f>HYPERLINK("#'Segmentation Occ'!A1", "9")</f>
      </c>
      <c r="D15" s="640"/>
      <c r="E15" s="640" t="str">
        <f>HYPERLINK("#'Segmentation ADR_2'!A1", "Segmentation ADR Analysis - 2nd Comp")</f>
      </c>
      <c r="F15" s="606" t="str">
        <f>HYPERLINK("#'Segmentation ADR_2'!A1", "29")</f>
      </c>
      <c r="G15" s="596"/>
      <c r="H15" s="596"/>
    </row>
    <row r="16" ht="15.75" customHeight="1">
      <c r="A16" s="596"/>
      <c r="B16" s="640" t="str">
        <f>HYPERLINK("#'Segmentation ADR'!A1", "Segmentation ADR Analysis")</f>
      </c>
      <c r="C16" s="606" t="str">
        <f>HYPERLINK("#'Segmentation ADR'!A1", "10")</f>
      </c>
      <c r="D16" s="640"/>
      <c r="E16" s="640" t="str">
        <f>HYPERLINK("#'Segmentation RevPAR_2'!A1", "Segmentation RevPAR Analysis - 2nd Comp")</f>
      </c>
      <c r="F16" s="606" t="str">
        <f>HYPERLINK("#'Segmentation RevPAR_2'!A1", "30")</f>
      </c>
      <c r="G16" s="596"/>
      <c r="H16" s="596"/>
    </row>
    <row r="17" ht="15.75" customHeight="1">
      <c r="A17" s="596"/>
      <c r="B17" s="640" t="str">
        <f>HYPERLINK("#'Segmentation RevPAR'!A1", "Segmentation RevPAR Analysis")</f>
      </c>
      <c r="C17" s="606" t="str">
        <f>HYPERLINK("#'Segmentation RevPAR'!A1", "11")</f>
      </c>
      <c r="D17" s="640"/>
      <c r="E17" s="640" t="str">
        <f>HYPERLINK("#'Segmentation Indexes_2'!A1", "Segmentation Index Analysis - 2nd Comp")</f>
      </c>
      <c r="F17" s="606" t="str">
        <f>HYPERLINK("#'Segmentation Indexes_2'!A1", "31")</f>
      </c>
      <c r="G17" s="596"/>
      <c r="H17" s="596"/>
    </row>
    <row r="18" ht="15.75" customHeight="1">
      <c r="A18" s="596"/>
      <c r="B18" s="640" t="str">
        <f>HYPERLINK("#'Segmentation Indexes'!A1", "Segmentation Index Analysis")</f>
      </c>
      <c r="C18" s="606" t="str">
        <f>HYPERLINK("#'Segmentation Indexes'!A1", "12")</f>
      </c>
      <c r="D18" s="640"/>
      <c r="E18" s="640" t="str">
        <f>HYPERLINK("#'Segmentation Ranking_2'!A1", "Segmentation Ranking Analysis - 2nd Comp")</f>
      </c>
      <c r="F18" s="606" t="str">
        <f>HYPERLINK("#'Segmentation Ranking_2'!A1", "32")</f>
      </c>
      <c r="G18" s="596"/>
      <c r="H18" s="596"/>
    </row>
    <row r="19" ht="15.75" customHeight="1">
      <c r="A19" s="596"/>
      <c r="B19" s="640" t="str">
        <f>HYPERLINK("#'Segmentation Ranking'!A1", "Segmentation Ranking Analysis")</f>
      </c>
      <c r="C19" s="606" t="str">
        <f>HYPERLINK("#'Segmentation Ranking'!A1", "13")</f>
      </c>
      <c r="D19" s="640"/>
      <c r="E19" s="640" t="str">
        <f>HYPERLINK("#'Segmentation DOW Month_2'!A1", "Segmentation Day Of Week - Current Month - 2nd Comp")</f>
      </c>
      <c r="F19" s="606" t="str">
        <f>HYPERLINK("#'Segmentation DOW Month_2'!A1", "33")</f>
      </c>
      <c r="G19" s="596"/>
      <c r="H19" s="596"/>
    </row>
    <row r="20" ht="15.75" customHeight="1">
      <c r="A20" s="596"/>
      <c r="B20" s="640" t="str">
        <f>HYPERLINK("#'Segmentation DOW Month'!A1", "Segmentation Day Of Week - Current Month")</f>
      </c>
      <c r="C20" s="606" t="str">
        <f>HYPERLINK("#'Segmentation DOW Month'!A1", "14")</f>
      </c>
      <c r="D20" s="640"/>
      <c r="E20" s="640" t="str">
        <f>HYPERLINK("#'Segmentation DOW YTD_2'!A1", "Segmentation Day Of Week - Year to Date - 2nd Comp")</f>
      </c>
      <c r="F20" s="606" t="str">
        <f>HYPERLINK("#'Segmentation DOW YTD_2'!A1", "34")</f>
      </c>
      <c r="G20" s="596"/>
      <c r="H20" s="596"/>
    </row>
    <row r="21" ht="15.75" customHeight="1">
      <c r="A21" s="596"/>
      <c r="B21" s="640" t="str">
        <f>HYPERLINK("#'Segmentation DOW YTD'!A1", "Segmentation Day Of Week - Year to Date")</f>
      </c>
      <c r="C21" s="606" t="str">
        <f>HYPERLINK("#'Segmentation DOW YTD'!A1", "15")</f>
      </c>
      <c r="D21" s="640"/>
      <c r="E21" s="640" t="str">
        <f>HYPERLINK("#'Segmentation DOW Run 3_2'!A1", "Segmentation Day Of Week - Running 3 Month - 2nd Comp")</f>
      </c>
      <c r="F21" s="606" t="str">
        <f>HYPERLINK("#'Segmentation DOW Run 3_2'!A1", "35")</f>
      </c>
      <c r="G21" s="596"/>
      <c r="H21" s="596"/>
    </row>
    <row r="22" ht="15.75" customHeight="1">
      <c r="A22" s="596"/>
      <c r="B22" s="640" t="str">
        <f>HYPERLINK("#'Segmentation DOW Run 3'!A1", "Segmentation Day Of Week - Running 3 Month")</f>
      </c>
      <c r="C22" s="606" t="str">
        <f>HYPERLINK("#'Segmentation DOW Run 3'!A1", "16")</f>
      </c>
      <c r="D22" s="640"/>
      <c r="E22" s="640" t="str">
        <f>HYPERLINK("#'Segmentation DOW Run 12_2'!A1", "Segmentation Day Of Week - Running 12 Month - 2nd Comp")</f>
      </c>
      <c r="F22" s="606" t="str">
        <f>HYPERLINK("#'Segmentation DOW Run 12_2'!A1", "36")</f>
      </c>
      <c r="G22" s="596"/>
      <c r="H22" s="596"/>
    </row>
    <row r="23" ht="15.75" customHeight="1">
      <c r="A23" s="596"/>
      <c r="B23" s="640" t="str">
        <f>HYPERLINK("#'Segmentation DOW Run 12'!A1", "Segmentation Day Of Week - Running 12 Month")</f>
      </c>
      <c r="C23" s="606" t="str">
        <f>HYPERLINK("#'Segmentation DOW Run 12'!A1", "17")</f>
      </c>
      <c r="D23" s="640"/>
      <c r="E23" s="640" t="str">
        <f>HYPERLINK("#'Add Rev ADR_2'!A1", "Additional Revenue ADR Analysis (TrevPOR) - 2nd Comp")</f>
      </c>
      <c r="F23" s="606" t="str">
        <f>HYPERLINK("#'Add Rev ADR_2'!A1", "37")</f>
      </c>
      <c r="G23" s="596"/>
      <c r="H23" s="596"/>
    </row>
    <row r="24" ht="15.75" customHeight="1">
      <c r="A24" s="596"/>
      <c r="B24" s="640" t="str">
        <f>HYPERLINK("#'Add Rev ADR'!A1", "Additional Revenue ADR Analysis (TrevPOR)")</f>
      </c>
      <c r="C24" s="606" t="str">
        <f>HYPERLINK("#'Add Rev ADR'!A1", "18")</f>
      </c>
      <c r="D24" s="640"/>
      <c r="E24" s="640" t="str">
        <f>HYPERLINK("#'Add Rev RevPAR_2'!A1", "Additional Revenue RevPAR Analysis (TrevPAR) - 2nd Comp")</f>
      </c>
      <c r="F24" s="606" t="str">
        <f>HYPERLINK("#'Add Rev RevPAR_2'!A1", "38")</f>
      </c>
      <c r="G24" s="596"/>
      <c r="H24" s="596"/>
    </row>
    <row r="25" ht="15.75" customHeight="1">
      <c r="A25" s="596"/>
      <c r="B25" s="640" t="str">
        <f>HYPERLINK("#'Add Rev RevPAR'!A1", "Additional Revenue RevPAR Analysis (TrevPAR)")</f>
      </c>
      <c r="C25" s="606" t="str">
        <f>HYPERLINK("#'Add Rev RevPAR'!A1", "19")</f>
      </c>
      <c r="D25" s="640"/>
      <c r="E25" s="640" t="str">
        <f>HYPERLINK("#'Segmentation Response_2'!A1", "Segmentation Response Report - 2nd Comp")</f>
      </c>
      <c r="F25" s="606" t="str">
        <f>HYPERLINK("#'Segmentation Response_2'!A1", "39")</f>
      </c>
      <c r="G25" s="596"/>
      <c r="H25" s="596"/>
    </row>
    <row r="26" ht="15.75" customHeight="1">
      <c r="A26" s="596"/>
      <c r="B26" s="640" t="str">
        <f>HYPERLINK("#'Segmentation Response'!A1", "Segmentation Response Report")</f>
      </c>
      <c r="C26" s="606" t="str">
        <f>HYPERLINK("#'Segmentation Response'!A1", "20")</f>
      </c>
      <c r="D26" s="640"/>
      <c r="E26" s="640" t="str">
        <f>HYPERLINK("#'Help'!A1", "Help")</f>
      </c>
      <c r="F26" s="606" t="str">
        <f>HYPERLINK("#'Help'!A1", "40")</f>
      </c>
      <c r="G26" s="596"/>
      <c r="H26" s="596"/>
    </row>
    <row r="27" ht="15.75" customHeight="1">
      <c r="A27" s="596"/>
      <c r="B27" s="640"/>
      <c r="C27" s="606"/>
      <c r="D27" s="640"/>
      <c r="E27" s="640"/>
      <c r="F27" s="606"/>
      <c r="G27" s="596"/>
      <c r="H27" s="596"/>
    </row>
    <row r="28" ht="15.75" customHeight="1">
      <c r="A28" s="596"/>
      <c r="B28" s="640"/>
      <c r="C28" s="606"/>
      <c r="D28" s="640"/>
      <c r="E28" s="640"/>
      <c r="F28" s="606"/>
      <c r="G28" s="596"/>
      <c r="H28" s="596"/>
    </row>
    <row r="29" ht="15.75" customHeight="1">
      <c r="A29" s="596"/>
      <c r="B29" s="640"/>
      <c r="C29" s="606"/>
      <c r="D29" s="640"/>
      <c r="E29" s="640"/>
      <c r="F29" s="606"/>
      <c r="G29" s="596"/>
      <c r="H29" s="596"/>
    </row>
    <row r="30" ht="0" hidden="1" customHeight="1">
      <c r="A30" s="596"/>
      <c r="B30" s="640"/>
      <c r="C30" s="606"/>
      <c r="D30" s="640"/>
      <c r="E30" s="640"/>
      <c r="F30" s="606"/>
      <c r="G30" s="596"/>
      <c r="H30" s="596"/>
    </row>
    <row r="31" ht="0" hidden="1" customHeight="1">
      <c r="A31" s="596"/>
      <c r="B31" s="640"/>
      <c r="C31" s="606"/>
      <c r="D31" s="640"/>
      <c r="E31" s="640"/>
      <c r="F31" s="606"/>
      <c r="G31" s="596"/>
      <c r="H31" s="596"/>
    </row>
    <row r="32" ht="0" hidden="1" customHeight="1">
      <c r="A32" s="596"/>
      <c r="B32" s="640"/>
      <c r="C32" s="606"/>
      <c r="D32" s="640"/>
      <c r="E32" s="640"/>
      <c r="F32" s="606"/>
      <c r="G32" s="596"/>
      <c r="H32" s="596"/>
    </row>
    <row r="33" ht="0" hidden="1" customHeight="1">
      <c r="A33" s="596"/>
      <c r="B33" s="640"/>
      <c r="C33" s="606"/>
      <c r="D33" s="640"/>
      <c r="E33" s="640"/>
      <c r="F33" s="606"/>
      <c r="G33" s="596"/>
      <c r="H33" s="596"/>
    </row>
    <row r="34" ht="0" hidden="1" customHeight="1">
      <c r="A34" s="596"/>
      <c r="B34" s="640"/>
      <c r="C34" s="606"/>
      <c r="D34" s="640"/>
      <c r="E34" s="640"/>
      <c r="F34" s="606"/>
      <c r="G34" s="596"/>
      <c r="H34" s="596"/>
    </row>
    <row r="35" ht="0" hidden="1" customHeight="1">
      <c r="A35" s="596"/>
      <c r="B35" s="640"/>
      <c r="C35" s="606"/>
      <c r="D35" s="640"/>
      <c r="E35" s="640"/>
      <c r="F35" s="606"/>
      <c r="G35" s="596"/>
      <c r="H35" s="596"/>
    </row>
    <row r="36" ht="0" hidden="1" customHeight="1">
      <c r="A36" s="596"/>
      <c r="B36" s="640"/>
      <c r="C36" s="606"/>
      <c r="D36" s="640"/>
      <c r="E36" s="640"/>
      <c r="F36" s="606"/>
      <c r="G36" s="596"/>
      <c r="H36" s="596"/>
    </row>
    <row r="37" ht="0" hidden="1" customHeight="1">
      <c r="A37" s="596"/>
      <c r="B37" s="640"/>
      <c r="C37" s="606"/>
      <c r="D37" s="640"/>
      <c r="E37" s="640"/>
      <c r="F37" s="606"/>
      <c r="G37" s="596"/>
      <c r="H37" s="596"/>
    </row>
    <row r="38" ht="0" hidden="1" customHeight="1">
      <c r="A38" s="596"/>
      <c r="B38" s="640"/>
      <c r="C38" s="606"/>
      <c r="D38" s="640"/>
      <c r="E38" s="640"/>
      <c r="F38" s="606"/>
      <c r="G38" s="596"/>
      <c r="H38" s="596"/>
    </row>
    <row r="39" ht="0" hidden="1" customHeight="1">
      <c r="A39" s="596"/>
      <c r="B39" s="640"/>
      <c r="C39" s="606"/>
      <c r="D39" s="640"/>
      <c r="E39" s="640"/>
      <c r="F39" s="606"/>
      <c r="G39" s="596"/>
      <c r="H39" s="596"/>
    </row>
    <row r="40" ht="0" hidden="1" customHeight="1">
      <c r="A40" s="596"/>
      <c r="B40" s="640"/>
      <c r="C40" s="606"/>
      <c r="D40" s="640"/>
      <c r="E40" s="640"/>
      <c r="F40" s="606"/>
      <c r="G40" s="596"/>
      <c r="H40" s="596"/>
    </row>
    <row r="41" ht="0" hidden="1" customHeight="1">
      <c r="A41" s="596"/>
      <c r="B41" s="640"/>
      <c r="C41" s="606"/>
      <c r="D41" s="640"/>
      <c r="E41" s="640"/>
      <c r="F41" s="606"/>
      <c r="G41" s="596"/>
      <c r="H41" s="596"/>
    </row>
    <row r="42" ht="0" hidden="1" customHeight="1">
      <c r="A42" s="596"/>
      <c r="B42" s="640"/>
      <c r="C42" s="606"/>
      <c r="D42" s="640"/>
      <c r="E42" s="640"/>
      <c r="F42" s="606"/>
      <c r="G42" s="596"/>
      <c r="H42" s="596"/>
    </row>
    <row r="43" ht="0" hidden="1" customHeight="1">
      <c r="A43" s="596"/>
      <c r="B43" s="640"/>
      <c r="C43" s="606"/>
      <c r="D43" s="640"/>
      <c r="E43" s="640"/>
      <c r="F43" s="606"/>
      <c r="G43" s="596"/>
      <c r="H43" s="596"/>
    </row>
    <row r="44" ht="0" hidden="1" customHeight="1">
      <c r="A44" s="596"/>
      <c r="B44" s="640"/>
      <c r="C44" s="606"/>
      <c r="D44" s="640"/>
      <c r="E44" s="640"/>
      <c r="F44" s="606"/>
      <c r="G44" s="596"/>
      <c r="H44" s="596"/>
    </row>
    <row r="45" ht="0" hidden="1" customHeight="1">
      <c r="A45" s="596"/>
      <c r="B45" s="640"/>
      <c r="C45" s="606"/>
      <c r="D45" s="640"/>
      <c r="E45" s="640"/>
      <c r="F45" s="606"/>
      <c r="G45" s="596"/>
      <c r="H45" s="596"/>
    </row>
    <row r="46" ht="0" hidden="1" customHeight="1">
      <c r="A46" s="596"/>
      <c r="B46" s="640"/>
      <c r="C46" s="606"/>
      <c r="D46" s="640"/>
      <c r="E46" s="640"/>
      <c r="F46" s="606"/>
      <c r="G46" s="596"/>
      <c r="H46" s="596"/>
    </row>
    <row r="47" ht="0" hidden="1" customHeight="1">
      <c r="A47" s="596"/>
      <c r="B47" s="640"/>
      <c r="C47" s="606"/>
      <c r="D47" s="640"/>
      <c r="E47" s="640"/>
      <c r="F47" s="606"/>
      <c r="G47" s="596"/>
      <c r="H47" s="596"/>
    </row>
    <row r="48" ht="0" hidden="1" customHeight="1">
      <c r="A48" s="596"/>
      <c r="B48" s="640"/>
      <c r="C48" s="606"/>
      <c r="D48" s="640"/>
      <c r="E48" s="640"/>
      <c r="F48" s="606"/>
      <c r="G48" s="596"/>
      <c r="H48" s="596"/>
    </row>
    <row r="49" ht="0" hidden="1" customHeight="1">
      <c r="A49" s="596"/>
      <c r="B49" s="640"/>
      <c r="C49" s="606"/>
      <c r="D49" s="640"/>
      <c r="E49" s="640"/>
      <c r="F49" s="606"/>
      <c r="G49" s="596"/>
      <c r="H49" s="596"/>
    </row>
    <row r="50" ht="15.75" customHeight="1">
      <c r="A50" s="596"/>
      <c r="B50" s="640"/>
      <c r="C50" s="606"/>
      <c r="D50" s="640"/>
      <c r="E50" s="640"/>
      <c r="F50" s="606"/>
      <c r="G50" s="596"/>
      <c r="H50" s="596"/>
    </row>
    <row r="51" ht="15.75" customHeight="1">
      <c r="A51" s="596"/>
      <c r="B51" s="640"/>
      <c r="C51" s="606"/>
      <c r="D51" s="640"/>
      <c r="E51" s="640"/>
      <c r="F51" s="606"/>
      <c r="G51" s="596"/>
      <c r="H51" s="596"/>
    </row>
    <row r="52" ht="15.75" customHeight="1">
      <c r="A52" s="596"/>
      <c r="B52" s="640"/>
      <c r="C52" s="606"/>
      <c r="D52" s="640"/>
      <c r="E52" s="640"/>
      <c r="F52" s="606"/>
      <c r="G52" s="596"/>
      <c r="H52" s="596"/>
    </row>
    <row r="53" ht="15.75" customHeight="1">
      <c r="A53" s="596"/>
      <c r="B53" s="640"/>
      <c r="C53" s="606"/>
      <c r="D53" s="640"/>
      <c r="E53" s="640"/>
      <c r="F53" s="606"/>
      <c r="G53" s="596"/>
      <c r="H53" s="596"/>
    </row>
    <row r="54" ht="15.75" customHeight="1">
      <c r="A54" s="596"/>
      <c r="B54" s="640"/>
      <c r="C54" s="606"/>
      <c r="D54" s="640"/>
      <c r="E54" s="640"/>
      <c r="F54" s="606"/>
      <c r="G54" s="596"/>
      <c r="H54" s="596"/>
    </row>
    <row r="55" ht="15.75" customHeight="1">
      <c r="A55" s="596"/>
      <c r="B55" s="640"/>
      <c r="C55" s="606"/>
      <c r="D55" s="640"/>
      <c r="E55" s="640"/>
      <c r="F55" s="606"/>
      <c r="G55" s="596"/>
      <c r="H55" s="596"/>
    </row>
    <row r="56" ht="15.75" customHeight="1">
      <c r="A56" s="596"/>
      <c r="B56" s="640"/>
      <c r="C56" s="606"/>
      <c r="D56" s="640"/>
      <c r="E56" s="640"/>
      <c r="F56" s="606"/>
      <c r="G56" s="596"/>
      <c r="H56" s="596"/>
    </row>
    <row r="57" ht="10.5" customHeight="1">
      <c r="A57" s="596"/>
      <c r="B57" s="640"/>
      <c r="C57" s="640"/>
      <c r="D57" s="640"/>
      <c r="E57" s="640"/>
      <c r="F57" s="640"/>
      <c r="G57" s="596"/>
      <c r="H57" s="596"/>
    </row>
    <row r="58" ht="10.5" customHeight="1">
      <c r="A58" s="596"/>
      <c r="B58" s="603" t="s">
        <v>121</v>
      </c>
      <c r="C58" s="603"/>
      <c r="D58" s="604"/>
      <c r="E58" s="603" t="s">
        <v>122</v>
      </c>
      <c r="F58" s="603"/>
      <c r="G58" s="596"/>
      <c r="H58" s="596"/>
    </row>
    <row r="59" ht="10.5" customHeight="1">
      <c r="A59" s="596"/>
      <c r="B59" s="603" t="s">
        <v>127</v>
      </c>
      <c r="C59" s="603"/>
      <c r="D59" s="604"/>
      <c r="E59" s="603" t="s">
        <v>123</v>
      </c>
      <c r="F59" s="603"/>
      <c r="G59" s="596"/>
      <c r="H59" s="596"/>
    </row>
    <row r="60" ht="10.5" customHeight="1">
      <c r="A60" s="596"/>
      <c r="B60" s="603" t="s">
        <v>115</v>
      </c>
      <c r="C60" s="603"/>
      <c r="D60" s="604"/>
      <c r="E60" s="603" t="s">
        <v>128</v>
      </c>
      <c r="F60" s="603"/>
      <c r="G60" s="596"/>
      <c r="H60" s="596"/>
    </row>
    <row r="61" ht="20.1" customHeight="1">
      <c r="A61" s="596"/>
      <c r="B61" s="603"/>
      <c r="C61" s="603"/>
      <c r="D61" s="604"/>
      <c r="E61" s="603"/>
      <c r="F61" s="603"/>
      <c r="G61" s="596"/>
      <c r="H61" s="596"/>
    </row>
    <row r="62" ht="48" customHeight="1">
      <c r="A62" s="596"/>
      <c r="B62" s="693" t="s">
        <v>129</v>
      </c>
      <c r="C62" s="693"/>
      <c r="D62" s="693"/>
      <c r="E62" s="693"/>
      <c r="F62" s="693"/>
      <c r="G62" s="596"/>
      <c r="H62" s="596"/>
    </row>
    <row r="63" ht="8.1" customHeight="1">
      <c r="A63" s="596"/>
      <c r="B63" s="595"/>
      <c r="C63" s="596"/>
      <c r="D63" s="602"/>
      <c r="E63" s="596"/>
      <c r="F63" s="596"/>
      <c r="G63" s="596"/>
      <c r="H63" s="596"/>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4"/>
      <c r="D91" s="523"/>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4"/>
      <c r="D92" s="523"/>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4"/>
      <c r="D93" s="523"/>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4"/>
      <c r="D94" s="523"/>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4"/>
      <c r="D95" s="523"/>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4"/>
      <c r="D96" s="523"/>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4"/>
      <c r="D97" s="523"/>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4"/>
      <c r="D98" s="523"/>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4"/>
      <c r="D99" s="523"/>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4"/>
      <c r="D100" s="523"/>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4"/>
      <c r="D101" s="523"/>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4"/>
      <c r="D102" s="523"/>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4"/>
      <c r="D103" s="523"/>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4"/>
      <c r="D104" s="523"/>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4"/>
      <c r="D105" s="523"/>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4"/>
      <c r="D106" s="523"/>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4"/>
      <c r="D107" s="523"/>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4"/>
      <c r="D108" s="523"/>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4"/>
      <c r="D109" s="523"/>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4"/>
      <c r="D110" s="523"/>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4"/>
      <c r="D111" s="523"/>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5"/>
      <c r="D112" s="523"/>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5"/>
      <c r="D113" s="523"/>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5"/>
      <c r="D114" s="523"/>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5"/>
      <c r="D115" s="523"/>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5"/>
      <c r="D116" s="523"/>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5"/>
      <c r="D117" s="521"/>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5"/>
      <c r="D118" s="521"/>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5"/>
      <c r="D119" s="521"/>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5"/>
      <c r="D120" s="521"/>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5"/>
      <c r="D121" s="521"/>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5"/>
      <c r="D122" s="521"/>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5"/>
      <c r="D123" s="521"/>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5"/>
      <c r="D124" s="521"/>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5"/>
      <c r="D125" s="521"/>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5"/>
      <c r="D126" s="521"/>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5"/>
      <c r="D127" s="521"/>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5"/>
      <c r="D128" s="521"/>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5"/>
      <c r="D129" s="521"/>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5"/>
      <c r="D130" s="521"/>
      <c r="I130" s="235"/>
      <c r="J130" s="235"/>
      <c r="K130" s="235"/>
      <c r="L130" s="235"/>
      <c r="M130" s="235"/>
      <c r="N130" s="235"/>
      <c r="O130" s="235"/>
      <c r="P130" s="235"/>
      <c r="Q130" s="235"/>
      <c r="R130" s="235"/>
      <c r="S130" s="235"/>
      <c r="T130" s="235"/>
      <c r="U130" s="235"/>
      <c r="V130" s="235"/>
      <c r="W130" s="235"/>
      <c r="X130" s="235"/>
      <c r="Y130" s="235"/>
      <c r="Z130" s="235"/>
      <c r="AA130" s="235"/>
    </row>
    <row r="131">
      <c r="B131" s="526"/>
      <c r="D131" s="522"/>
    </row>
    <row r="132">
      <c r="B132" s="526"/>
    </row>
    <row r="133">
      <c r="B133" s="526"/>
    </row>
    <row r="134">
      <c r="B134" s="526"/>
    </row>
    <row r="135">
      <c r="B135" s="526"/>
    </row>
    <row r="136">
      <c r="B136" s="526"/>
    </row>
    <row r="137">
      <c r="B137" s="526"/>
    </row>
    <row r="138">
      <c r="B138" s="526"/>
    </row>
    <row r="139">
      <c r="B139" s="526"/>
    </row>
    <row r="140">
      <c r="B140" s="526"/>
    </row>
    <row r="141">
      <c r="B141" s="526"/>
    </row>
    <row r="142">
      <c r="B142" s="526"/>
    </row>
    <row r="143">
      <c r="B143" s="526"/>
    </row>
    <row r="144">
      <c r="B144" s="526"/>
    </row>
    <row r="145">
      <c r="B145" s="526"/>
    </row>
    <row r="146">
      <c r="B146" s="526"/>
    </row>
    <row r="147">
      <c r="B147" s="526"/>
    </row>
    <row r="148">
      <c r="B148" s="526"/>
    </row>
    <row r="149">
      <c r="B149" s="526"/>
    </row>
    <row r="150">
      <c r="B150" s="526"/>
    </row>
    <row r="151">
      <c r="B151" s="526"/>
    </row>
    <row r="152">
      <c r="B152" s="526"/>
    </row>
    <row r="153">
      <c r="B153" s="526"/>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0" t="s">
        <v>130</v>
      </c>
      <c r="C1" s="12"/>
      <c r="D1" s="12"/>
      <c r="E1" s="12"/>
      <c r="F1" s="12"/>
      <c r="G1" s="12"/>
      <c r="H1" s="12"/>
      <c r="I1" s="104"/>
      <c r="J1" s="12"/>
      <c r="K1" s="12"/>
      <c r="L1" s="12"/>
      <c r="M1" s="13"/>
      <c r="N1" s="51"/>
      <c r="O1" s="2"/>
      <c r="P1" s="2"/>
      <c r="Q1" s="2"/>
      <c r="R1" s="22"/>
      <c r="S1" s="51"/>
      <c r="T1" s="2"/>
      <c r="U1" s="2"/>
      <c r="V1" s="236"/>
    </row>
    <row r="2" ht="21.75" customHeight="1">
      <c r="B2" s="945" t="s">
        <v>211</v>
      </c>
      <c r="C2" s="945"/>
      <c r="D2" s="945"/>
      <c r="E2" s="945"/>
      <c r="F2" s="945"/>
      <c r="G2" s="945"/>
      <c r="H2" s="945"/>
      <c r="I2" s="945"/>
      <c r="J2" s="945"/>
      <c r="K2" s="945"/>
      <c r="L2" s="945"/>
      <c r="M2" s="945"/>
      <c r="N2" s="945"/>
      <c r="O2" s="945"/>
      <c r="P2" s="945"/>
      <c r="Q2" s="945"/>
      <c r="R2" s="945"/>
      <c r="S2" s="945"/>
      <c r="T2" s="2"/>
      <c r="U2" s="2"/>
    </row>
    <row r="3" ht="19.5" customHeight="1">
      <c r="A3"/>
      <c r="B3" s="115" t="s">
        <v>212</v>
      </c>
      <c r="C3" s="115"/>
      <c r="D3" s="115"/>
      <c r="E3" s="115"/>
      <c r="F3" s="115"/>
      <c r="G3" s="115"/>
      <c r="H3" s="115"/>
      <c r="I3" s="115"/>
      <c r="J3" s="115"/>
      <c r="K3" s="115"/>
      <c r="L3" s="115"/>
      <c r="M3" s="115"/>
      <c r="N3" s="115"/>
      <c r="O3" s="115"/>
      <c r="P3" s="115"/>
      <c r="Q3" s="115"/>
      <c r="R3" s="115"/>
      <c r="S3" s="115"/>
      <c r="T3" s="2"/>
      <c r="U3" s="2"/>
    </row>
    <row r="4" ht="18.75" customHeight="1">
      <c r="A4"/>
      <c r="B4" s="946" t="s">
        <v>213</v>
      </c>
      <c r="C4" s="946"/>
      <c r="D4" s="946"/>
      <c r="E4" s="946"/>
      <c r="F4" s="946"/>
      <c r="G4" s="946"/>
      <c r="H4" s="946"/>
      <c r="I4" s="946"/>
      <c r="J4" s="946"/>
      <c r="K4" s="946"/>
      <c r="L4" s="946"/>
      <c r="M4" s="946"/>
      <c r="N4" s="946"/>
      <c r="O4" s="946"/>
      <c r="P4" s="946"/>
      <c r="Q4" s="131"/>
      <c r="R4" s="203"/>
      <c r="S4" s="131"/>
      <c r="T4" s="222"/>
      <c r="U4" s="2"/>
    </row>
    <row r="5" ht="12" customHeight="1">
      <c r="A5"/>
      <c r="B5" s="129"/>
      <c r="D5" s="13"/>
      <c r="E5" s="13"/>
      <c r="F5" s="2"/>
      <c r="G5" s="2"/>
      <c r="H5" s="2"/>
      <c r="I5" s="2"/>
      <c r="J5" s="2"/>
      <c r="K5" s="2"/>
      <c r="L5" s="2"/>
      <c r="M5" s="2"/>
      <c r="N5" s="9"/>
      <c r="O5" s="2"/>
      <c r="P5" s="2"/>
      <c r="Q5" s="2"/>
      <c r="R5" s="2"/>
      <c r="S5" s="2"/>
      <c r="T5" s="2"/>
      <c r="U5" s="2"/>
    </row>
    <row r="6" ht="17.1" customHeight="1">
      <c r="B6" s="698" t="s">
        <v>214</v>
      </c>
      <c r="C6" s="947"/>
      <c r="D6" s="947"/>
      <c r="E6" s="947"/>
      <c r="F6" s="947"/>
      <c r="G6" s="947"/>
      <c r="H6" s="947"/>
      <c r="I6" s="947"/>
      <c r="J6" s="947"/>
      <c r="K6" s="947"/>
      <c r="L6" s="947"/>
      <c r="M6" s="947"/>
      <c r="N6" s="947"/>
      <c r="O6" s="947"/>
      <c r="P6" s="947"/>
      <c r="Q6" s="947"/>
      <c r="R6" s="947"/>
      <c r="S6" s="947"/>
      <c r="T6" s="948"/>
      <c r="U6" s="2"/>
    </row>
    <row r="7">
      <c r="B7" s="2"/>
      <c r="C7" s="2"/>
      <c r="D7" s="2"/>
      <c r="E7" s="2"/>
      <c r="F7" s="944" t="s">
        <v>22</v>
      </c>
      <c r="G7" s="944"/>
      <c r="H7" s="944"/>
      <c r="I7" s="944"/>
      <c r="J7" s="944"/>
      <c r="K7" s="944" t="s">
        <v>9</v>
      </c>
      <c r="L7" s="944"/>
      <c r="M7" s="944"/>
      <c r="N7" s="944"/>
      <c r="O7" s="944"/>
      <c r="P7" s="944" t="s">
        <v>10</v>
      </c>
      <c r="Q7" s="944"/>
      <c r="R7" s="944"/>
      <c r="S7" s="944"/>
      <c r="T7" s="944"/>
      <c r="U7" s="2"/>
    </row>
    <row r="8" ht="20.1" customHeight="1">
      <c r="B8" s="2"/>
      <c r="C8" s="2"/>
      <c r="D8" s="2"/>
      <c r="E8" s="2"/>
      <c r="F8" s="944"/>
      <c r="G8" s="944"/>
      <c r="H8" s="944"/>
      <c r="I8" s="944"/>
      <c r="J8" s="944"/>
      <c r="K8" s="944"/>
      <c r="L8" s="944"/>
      <c r="M8" s="944"/>
      <c r="N8" s="944"/>
      <c r="O8" s="944"/>
      <c r="P8" s="944"/>
      <c r="Q8" s="944"/>
      <c r="R8" s="944"/>
      <c r="S8" s="944"/>
      <c r="T8" s="944"/>
      <c r="U8" s="2"/>
    </row>
    <row r="9" ht="20.1" customHeight="1">
      <c r="B9" s="2"/>
      <c r="C9" s="2"/>
      <c r="D9" s="2"/>
      <c r="E9" s="2"/>
      <c r="F9" s="2"/>
      <c r="G9" s="22" t="s">
        <v>25</v>
      </c>
      <c r="H9" s="22" t="s">
        <v>15</v>
      </c>
      <c r="I9" s="594" t="s">
        <v>100</v>
      </c>
      <c r="J9" s="3"/>
      <c r="K9" s="3"/>
      <c r="L9" s="22" t="s">
        <v>25</v>
      </c>
      <c r="M9" s="22" t="s">
        <v>15</v>
      </c>
      <c r="N9" s="594" t="s">
        <v>101</v>
      </c>
      <c r="O9" s="2"/>
      <c r="P9" s="2"/>
      <c r="Q9" s="22" t="s">
        <v>25</v>
      </c>
      <c r="R9" s="22" t="s">
        <v>15</v>
      </c>
      <c r="S9" s="594" t="s">
        <v>102</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71.676441837732160312805474100</v>
      </c>
      <c r="H11" s="193">
        <v>49.412971617462669554314373650</v>
      </c>
      <c r="I11" s="193">
        <v>145.05592254727202824088637237</v>
      </c>
      <c r="J11" s="194"/>
      <c r="K11" s="194"/>
      <c r="L11" s="195">
        <v>165.20900102284350494374360723</v>
      </c>
      <c r="M11" s="195">
        <v>225.64332410611303344867358707</v>
      </c>
      <c r="N11" s="193">
        <v>73.216879638393756760550008220</v>
      </c>
      <c r="O11" s="194"/>
      <c r="P11" s="193"/>
      <c r="Q11" s="195">
        <v>118.41593352883675464320625611</v>
      </c>
      <c r="R11" s="195">
        <v>111.49707169725293514191268665</v>
      </c>
      <c r="S11" s="193">
        <v>106.20542021979783207117921127</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60</v>
      </c>
      <c r="E13" s="188"/>
      <c r="F13" s="169"/>
      <c r="G13" s="196">
        <v>49.336810730253353204172876300</v>
      </c>
      <c r="H13" s="196"/>
      <c r="I13" s="196"/>
      <c r="J13" s="197"/>
      <c r="K13" s="197"/>
      <c r="L13" s="198">
        <v>205.63515078286260887076473846</v>
      </c>
      <c r="M13" s="198"/>
      <c r="N13" s="196"/>
      <c r="O13" s="197"/>
      <c r="P13" s="196"/>
      <c r="Q13" s="198">
        <v>101.45382513661202185792349727</v>
      </c>
      <c r="R13" s="198"/>
      <c r="S13" s="196"/>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58.885046113306982872200263500</v>
      </c>
      <c r="H15" s="193"/>
      <c r="I15" s="193"/>
      <c r="J15" s="194"/>
      <c r="K15" s="194"/>
      <c r="L15" s="195">
        <v>140.13704377010208362466787862</v>
      </c>
      <c r="M15" s="195"/>
      <c r="N15" s="193"/>
      <c r="O15" s="194"/>
      <c r="P15" s="193"/>
      <c r="Q15" s="195">
        <v>82.51976284584980237154150198</v>
      </c>
      <c r="R15" s="195"/>
      <c r="S15" s="193"/>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49.336810730253353204172876300</v>
      </c>
      <c r="H17" s="196"/>
      <c r="I17" s="196"/>
      <c r="J17" s="197"/>
      <c r="K17" s="197"/>
      <c r="L17" s="198">
        <v>205.63515078286260887076473846</v>
      </c>
      <c r="M17" s="198"/>
      <c r="N17" s="196"/>
      <c r="O17" s="197"/>
      <c r="P17" s="196"/>
      <c r="Q17" s="198">
        <v>101.45382513661202185792349727</v>
      </c>
      <c r="R17" s="198"/>
      <c r="S17" s="196"/>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698" t="s">
        <v>215</v>
      </c>
      <c r="C20" s="947"/>
      <c r="D20" s="947"/>
      <c r="E20" s="947"/>
      <c r="F20" s="947"/>
      <c r="G20" s="947"/>
      <c r="H20" s="947"/>
      <c r="I20" s="947"/>
      <c r="J20" s="947"/>
      <c r="K20" s="947"/>
      <c r="L20" s="947"/>
      <c r="M20" s="947"/>
      <c r="N20" s="947"/>
      <c r="O20" s="947"/>
      <c r="P20" s="947"/>
      <c r="Q20" s="947"/>
      <c r="R20" s="947"/>
      <c r="S20" s="947"/>
      <c r="T20" s="948"/>
      <c r="U20" s="2"/>
    </row>
    <row r="21">
      <c r="B21" s="2"/>
      <c r="C21" s="2"/>
      <c r="D21" s="2"/>
      <c r="E21" s="2"/>
      <c r="F21" s="944" t="s">
        <v>75</v>
      </c>
      <c r="G21" s="944"/>
      <c r="H21" s="944"/>
      <c r="I21" s="944"/>
      <c r="J21" s="944"/>
      <c r="K21" s="944" t="s">
        <v>9</v>
      </c>
      <c r="L21" s="944"/>
      <c r="M21" s="944"/>
      <c r="N21" s="944"/>
      <c r="O21" s="944"/>
      <c r="P21" s="944" t="s">
        <v>10</v>
      </c>
      <c r="Q21" s="944"/>
      <c r="R21" s="944"/>
      <c r="S21" s="944"/>
      <c r="T21" s="944"/>
      <c r="U21" s="2"/>
    </row>
    <row r="22" ht="20.1" customHeight="1">
      <c r="B22" s="2"/>
      <c r="C22" s="2"/>
      <c r="D22" s="2"/>
      <c r="E22" s="2"/>
      <c r="F22" s="944"/>
      <c r="G22" s="944"/>
      <c r="H22" s="944"/>
      <c r="I22" s="944"/>
      <c r="J22" s="944"/>
      <c r="K22" s="944"/>
      <c r="L22" s="944"/>
      <c r="M22" s="944"/>
      <c r="N22" s="944"/>
      <c r="O22" s="944"/>
      <c r="P22" s="944"/>
      <c r="Q22" s="944"/>
      <c r="R22" s="944"/>
      <c r="S22" s="944"/>
      <c r="T22" s="944"/>
      <c r="U22" s="2"/>
    </row>
    <row r="23" ht="20.1" customHeight="1">
      <c r="B23" s="2"/>
      <c r="C23" s="2"/>
      <c r="D23" s="2"/>
      <c r="E23" s="2"/>
      <c r="F23" s="2"/>
      <c r="G23" s="22" t="s">
        <v>25</v>
      </c>
      <c r="H23" s="22" t="s">
        <v>15</v>
      </c>
      <c r="I23" s="594" t="s">
        <v>100</v>
      </c>
      <c r="J23" s="3"/>
      <c r="K23" s="3"/>
      <c r="L23" s="22" t="s">
        <v>25</v>
      </c>
      <c r="M23" s="22" t="s">
        <v>15</v>
      </c>
      <c r="N23" s="594" t="s">
        <v>101</v>
      </c>
      <c r="O23" s="2"/>
      <c r="P23" s="2"/>
      <c r="Q23" s="22" t="s">
        <v>25</v>
      </c>
      <c r="R23" s="22" t="s">
        <v>15</v>
      </c>
      <c r="S23" s="594" t="s">
        <v>102</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-15.839311334289813486370157820</v>
      </c>
      <c r="H25" s="193">
        <v>-36.652589351283944740434240420</v>
      </c>
      <c r="I25" s="193">
        <v>32.855767589951178460621986840</v>
      </c>
      <c r="J25" s="193"/>
      <c r="K25" s="193"/>
      <c r="L25" s="193">
        <v>-34.081338107849556950305522910</v>
      </c>
      <c r="M25" s="193">
        <v>-32.252414283166010506540733020</v>
      </c>
      <c r="N25" s="193">
        <v>-2.6996147616653645244544367700</v>
      </c>
      <c r="O25" s="193"/>
      <c r="P25" s="193"/>
      <c r="Q25" s="193">
        <v>-44.522400192345122104805193320</v>
      </c>
      <c r="R25" s="193">
        <v>-57.083658671366268060382971960</v>
      </c>
      <c r="S25" s="193">
        <v>29.269173676369027347970412740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60</v>
      </c>
      <c r="E27" s="188"/>
      <c r="F27" s="169"/>
      <c r="G27" s="196">
        <v>-27.003821981832497316759329930</v>
      </c>
      <c r="H27" s="196"/>
      <c r="I27" s="196"/>
      <c r="J27" s="196"/>
      <c r="K27" s="196"/>
      <c r="L27" s="196">
        <v>5.6208548544456858809412660900</v>
      </c>
      <c r="M27" s="196"/>
      <c r="N27" s="196"/>
      <c r="O27" s="196"/>
      <c r="P27" s="196"/>
      <c r="Q27" s="196">
        <v>-22.900812766138514581284091810</v>
      </c>
      <c r="R27" s="196"/>
      <c r="S27" s="196"/>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-22.119363972990633848834676550</v>
      </c>
      <c r="H29" s="193"/>
      <c r="I29" s="193"/>
      <c r="J29" s="193"/>
      <c r="K29" s="193"/>
      <c r="L29" s="193">
        <v>-27.274979319903842615145905690</v>
      </c>
      <c r="M29" s="193"/>
      <c r="N29" s="193"/>
      <c r="O29" s="193"/>
      <c r="P29" s="193"/>
      <c r="Q29" s="193">
        <v>-43.361291343567020098116790630</v>
      </c>
      <c r="R29" s="193"/>
      <c r="S29" s="193"/>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-27.003821981832497316759329930</v>
      </c>
      <c r="H31" s="196"/>
      <c r="I31" s="196"/>
      <c r="J31" s="196"/>
      <c r="K31" s="196"/>
      <c r="L31" s="196">
        <v>5.6208548544456858809412660900</v>
      </c>
      <c r="M31" s="196"/>
      <c r="N31" s="196"/>
      <c r="O31" s="196"/>
      <c r="P31" s="196"/>
      <c r="Q31" s="196">
        <v>-22.900812766138514581284091810</v>
      </c>
      <c r="R31" s="196"/>
      <c r="S31" s="196"/>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39.95" customHeight="1">
      <c r="B34" s="943" t="s">
        <v>129</v>
      </c>
      <c r="C34" s="943"/>
      <c r="D34" s="943"/>
      <c r="E34" s="943"/>
      <c r="F34" s="943"/>
      <c r="G34" s="943"/>
      <c r="H34" s="943"/>
      <c r="I34" s="943"/>
      <c r="J34" s="943"/>
      <c r="K34" s="943"/>
      <c r="L34" s="943"/>
      <c r="M34" s="943"/>
      <c r="N34" s="943"/>
      <c r="O34" s="943"/>
      <c r="P34" s="943"/>
      <c r="Q34" s="943"/>
      <c r="R34" s="943"/>
      <c r="S34" s="943"/>
      <c r="T34" s="94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132</v>
      </c>
      <c r="E1" s="12"/>
      <c r="F1" s="12"/>
      <c r="G1" s="12"/>
      <c r="H1" s="12"/>
      <c r="I1" s="12"/>
      <c r="J1" s="12"/>
      <c r="K1" s="12"/>
      <c r="L1" s="12"/>
      <c r="M1" s="12"/>
      <c r="N1" s="12"/>
      <c r="O1" s="12"/>
      <c r="Q1" s="231"/>
      <c r="R1" s="2"/>
      <c r="S1" s="2"/>
      <c r="T1" s="2"/>
      <c r="U1" s="2"/>
      <c r="V1" s="236"/>
    </row>
    <row r="2" ht="18" customHeight="1">
      <c r="B2" s="963" t="s">
        <v>211</v>
      </c>
      <c r="C2" s="963"/>
      <c r="D2" s="963"/>
      <c r="E2" s="963"/>
      <c r="F2" s="963"/>
      <c r="G2" s="963"/>
      <c r="H2" s="963"/>
      <c r="I2" s="963"/>
      <c r="J2" s="963"/>
      <c r="K2" s="963"/>
      <c r="L2" s="963"/>
      <c r="M2" s="963"/>
      <c r="N2" s="963"/>
      <c r="O2" s="963"/>
      <c r="P2" s="963"/>
      <c r="Q2" s="963"/>
      <c r="R2" s="963"/>
      <c r="S2" s="963"/>
      <c r="T2" s="963"/>
      <c r="U2" s="2"/>
    </row>
    <row r="3" ht="18" customHeight="1">
      <c r="B3" s="962" t="s">
        <v>212</v>
      </c>
      <c r="C3" s="962"/>
      <c r="D3" s="962"/>
      <c r="E3" s="962"/>
      <c r="F3" s="962"/>
      <c r="G3" s="962"/>
      <c r="H3" s="962"/>
      <c r="I3" s="962"/>
      <c r="J3" s="962"/>
      <c r="K3" s="962"/>
      <c r="L3" s="962"/>
      <c r="M3" s="962"/>
      <c r="N3" s="962"/>
      <c r="O3" s="962"/>
      <c r="P3" s="962"/>
      <c r="Q3" s="962"/>
      <c r="R3" s="962"/>
      <c r="S3" s="962"/>
      <c r="T3" s="962"/>
      <c r="U3" s="2"/>
    </row>
    <row r="4" ht="18" customHeight="1">
      <c r="B4" s="962" t="s">
        <v>213</v>
      </c>
      <c r="C4" s="962"/>
      <c r="D4" s="962"/>
      <c r="E4" s="962"/>
      <c r="F4" s="962"/>
      <c r="G4" s="962"/>
      <c r="H4" s="962"/>
      <c r="I4" s="962"/>
      <c r="J4" s="962"/>
      <c r="K4" s="962"/>
      <c r="L4" s="962"/>
      <c r="M4" s="962"/>
      <c r="N4" s="962"/>
      <c r="O4" s="962"/>
      <c r="P4" s="962"/>
      <c r="Q4" s="962"/>
      <c r="R4" s="962"/>
      <c r="S4" s="962"/>
      <c r="T4" s="962"/>
      <c r="U4" s="2"/>
    </row>
    <row r="5" s="122" customFormat="1" ht="21" customHeight="1">
      <c r="B5" s="163"/>
      <c r="C5" s="163"/>
      <c r="D5" s="163"/>
      <c r="E5" s="718" t="s">
        <v>22</v>
      </c>
      <c r="F5" s="718"/>
      <c r="G5" s="718"/>
      <c r="H5" s="718"/>
      <c r="I5" s="718"/>
      <c r="J5" s="718"/>
      <c r="K5" s="718"/>
      <c r="L5" s="966"/>
      <c r="M5" s="538"/>
      <c r="N5" s="713" t="s">
        <v>28</v>
      </c>
      <c r="O5" s="713"/>
      <c r="P5" s="713"/>
      <c r="Q5" s="713"/>
      <c r="R5" s="713"/>
      <c r="S5" s="713"/>
      <c r="T5" s="714"/>
      <c r="V5" s="236"/>
      <c r="W5" s="236"/>
      <c r="X5" s="236"/>
      <c r="Y5" s="236"/>
      <c r="Z5" s="236"/>
      <c r="AA5" s="236"/>
      <c r="AB5" s="236"/>
      <c r="AC5" s="236"/>
      <c r="AD5" s="236"/>
      <c r="AE5" s="236"/>
      <c r="AF5" s="236"/>
      <c r="AG5" s="236"/>
      <c r="AH5" s="236"/>
      <c r="AI5" s="236"/>
    </row>
    <row r="6" s="122" customFormat="1" ht="15.75" customHeight="1">
      <c r="B6" s="722"/>
      <c r="C6" s="722"/>
      <c r="D6" s="163"/>
      <c r="E6" s="751" t="s">
        <v>42</v>
      </c>
      <c r="F6" s="710" t="s">
        <v>24</v>
      </c>
      <c r="G6" s="753" t="s">
        <v>37</v>
      </c>
      <c r="H6" s="723" t="s">
        <v>24</v>
      </c>
      <c r="I6" s="753" t="s">
        <v>44</v>
      </c>
      <c r="J6" s="710" t="s">
        <v>24</v>
      </c>
      <c r="K6" s="753" t="s">
        <v>45</v>
      </c>
      <c r="L6" s="710" t="s">
        <v>24</v>
      </c>
      <c r="M6" s="539"/>
      <c r="N6" s="710" t="s">
        <v>65</v>
      </c>
      <c r="O6" s="709" t="s">
        <v>66</v>
      </c>
      <c r="P6" s="756"/>
      <c r="Q6" s="709" t="s">
        <v>67</v>
      </c>
      <c r="R6" s="756"/>
      <c r="S6" s="709" t="s">
        <v>68</v>
      </c>
      <c r="T6" s="756"/>
      <c r="V6" s="236"/>
      <c r="W6" s="236"/>
      <c r="X6" s="236"/>
      <c r="Y6" s="236"/>
      <c r="Z6" s="236"/>
      <c r="AA6" s="236"/>
      <c r="AB6" s="236"/>
      <c r="AC6" s="236"/>
      <c r="AD6" s="236"/>
      <c r="AE6" s="236"/>
      <c r="AF6" s="236"/>
      <c r="AG6" s="236"/>
      <c r="AH6" s="236"/>
      <c r="AI6" s="236"/>
    </row>
    <row r="7" s="122" customFormat="1" ht="24" customHeight="1">
      <c r="B7" s="786"/>
      <c r="C7" s="786"/>
      <c r="D7" s="163"/>
      <c r="E7" s="950"/>
      <c r="F7" s="949"/>
      <c r="G7" s="953"/>
      <c r="H7" s="967"/>
      <c r="I7" s="953"/>
      <c r="J7" s="949"/>
      <c r="K7" s="953"/>
      <c r="L7" s="949"/>
      <c r="M7" s="540"/>
      <c r="N7" s="949"/>
      <c r="O7" s="855"/>
      <c r="P7" s="958"/>
      <c r="Q7" s="855"/>
      <c r="R7" s="958"/>
      <c r="S7" s="855"/>
      <c r="T7" s="958"/>
      <c r="V7" s="236"/>
      <c r="W7" s="236"/>
      <c r="X7" s="236"/>
      <c r="Y7" s="236"/>
      <c r="Z7" s="236"/>
      <c r="AA7" s="236"/>
      <c r="AB7" s="236"/>
      <c r="AC7" s="236"/>
      <c r="AD7" s="236"/>
      <c r="AE7" s="236"/>
      <c r="AF7" s="236"/>
      <c r="AG7" s="236"/>
      <c r="AH7" s="236"/>
      <c r="AI7" s="236"/>
    </row>
    <row r="8" ht="20.1" customHeight="1">
      <c r="B8" s="716" t="s">
        <v>217</v>
      </c>
      <c r="C8" s="348"/>
      <c r="D8" s="346"/>
      <c r="E8" s="238">
        <v>71.676441837732160312805474100</v>
      </c>
      <c r="F8" s="239">
        <v>-15.839311334289813486370157820</v>
      </c>
      <c r="G8" s="238">
        <v>49.336810730253353204172876300</v>
      </c>
      <c r="H8" s="239">
        <v>-27.003821981832497316759329930</v>
      </c>
      <c r="I8" s="238">
        <v>58.885046113306982872200263500</v>
      </c>
      <c r="J8" s="239">
        <v>-22.119363972990633848834676550</v>
      </c>
      <c r="K8" s="238">
        <v>49.336810730253353204172876300</v>
      </c>
      <c r="L8" s="239">
        <v>-27.003821981832497316759329930</v>
      </c>
      <c r="M8" s="541"/>
      <c r="N8" s="156">
        <v>0</v>
      </c>
      <c r="O8" s="156"/>
      <c r="P8" s="156">
        <v>-16.438356164383561643835616440</v>
      </c>
      <c r="Q8" s="156"/>
      <c r="R8" s="156">
        <v>0</v>
      </c>
      <c r="S8" s="156"/>
      <c r="T8" s="243">
        <v>-16.438356164383561643835616440</v>
      </c>
    </row>
    <row r="9" ht="20.1" customHeight="1">
      <c r="B9" s="707" t="s">
        <v>216</v>
      </c>
      <c r="C9" s="965"/>
      <c r="D9" s="346"/>
      <c r="E9" s="240">
        <v>48.762582713706585843505554720</v>
      </c>
      <c r="F9" s="241">
        <v>-37.591464375907412886700543990</v>
      </c>
      <c r="G9" s="240">
        <v>46.393439564424639850360991380</v>
      </c>
      <c r="H9" s="241">
        <v>-38.864238798582683717559930750</v>
      </c>
      <c r="I9" s="240">
        <v>44.499190786072824422317878560</v>
      </c>
      <c r="J9" s="241">
        <v>-40.699745386671180627390540640</v>
      </c>
      <c r="K9" s="240">
        <v>46.393439564424639850360991380</v>
      </c>
      <c r="L9" s="241">
        <v>-38.864238798582683717559930750</v>
      </c>
      <c r="M9" s="541"/>
      <c r="N9" s="121">
        <v>-2.4594204130194612050650123200</v>
      </c>
      <c r="O9" s="121"/>
      <c r="P9" s="121">
        <v>-13.632884473898937968628054880</v>
      </c>
      <c r="Q9" s="121"/>
      <c r="R9" s="121">
        <v>-4.1939687157027266008356500600</v>
      </c>
      <c r="S9" s="121"/>
      <c r="T9" s="241">
        <v>-13.632884473898937968628054880</v>
      </c>
    </row>
    <row r="10" ht="20.1" customHeight="1">
      <c r="B10" s="705" t="s">
        <v>218</v>
      </c>
      <c r="C10" s="964"/>
      <c r="D10" s="346"/>
      <c r="E10" s="242">
        <v>45.070591255240865919397621290</v>
      </c>
      <c r="F10" s="243">
        <v>-42.200603572168725469384643480</v>
      </c>
      <c r="G10" s="242">
        <v>42.839170007497095703112067230</v>
      </c>
      <c r="H10" s="243">
        <v>-43.177507979780407416139504420</v>
      </c>
      <c r="I10" s="242">
        <v>38.934836114099150277236851720</v>
      </c>
      <c r="J10" s="243">
        <v>-47.928653557245825692229851440</v>
      </c>
      <c r="K10" s="242">
        <v>42.839170007497095703112067230</v>
      </c>
      <c r="L10" s="243">
        <v>-43.177507979780407416139504420</v>
      </c>
      <c r="M10" s="541"/>
      <c r="N10" s="156">
        <v>-8.291631915485126494300806230</v>
      </c>
      <c r="O10" s="156"/>
      <c r="P10" s="156">
        <v>-20.991023669099960355797993610</v>
      </c>
      <c r="Q10" s="156"/>
      <c r="R10" s="156">
        <v>-9.832591313828820643285480650</v>
      </c>
      <c r="S10" s="156"/>
      <c r="T10" s="243">
        <v>-20.991023669099960355797993610</v>
      </c>
    </row>
    <row r="11" ht="20.1" customHeight="1">
      <c r="B11" s="707" t="s">
        <v>219</v>
      </c>
      <c r="C11" s="965"/>
      <c r="D11" s="346"/>
      <c r="E11" s="240">
        <v>48.945132160080976186763100520</v>
      </c>
      <c r="F11" s="241">
        <v>-35.479353806986686069989518630</v>
      </c>
      <c r="G11" s="240">
        <v>45.545036369574113868344364810</v>
      </c>
      <c r="H11" s="241">
        <v>-39.220621572357199179327485470</v>
      </c>
      <c r="I11" s="240">
        <v>42.056453617745812603942905090</v>
      </c>
      <c r="J11" s="241">
        <v>-42.333469032515766131248679470</v>
      </c>
      <c r="K11" s="240">
        <v>45.545036369574113868344364810</v>
      </c>
      <c r="L11" s="241">
        <v>-39.220621572357199179327485470</v>
      </c>
      <c r="M11" s="541"/>
      <c r="N11" s="121">
        <v>-8.584531999166145507608922240</v>
      </c>
      <c r="O11" s="121"/>
      <c r="P11" s="121">
        <v>-26.225855430219684140668257610</v>
      </c>
      <c r="Q11" s="121"/>
      <c r="R11" s="121">
        <v>-10.336425937846155245865470570</v>
      </c>
      <c r="S11" s="121"/>
      <c r="T11" s="241">
        <v>-26.225855430219684140668257610</v>
      </c>
    </row>
    <row r="12" ht="20.1" customHeight="1">
      <c r="B12" s="705" t="s">
        <v>220</v>
      </c>
      <c r="C12" s="964"/>
      <c r="D12" s="346"/>
      <c r="E12" s="242">
        <v>53.574898208556957871511781040</v>
      </c>
      <c r="F12" s="243">
        <v>-35.137657708917945627357954830</v>
      </c>
      <c r="G12" s="242">
        <v>45.201731894266165663479537980</v>
      </c>
      <c r="H12" s="243">
        <v>-42.283340310899790892469959150</v>
      </c>
      <c r="I12" s="242">
        <v>45.822004793099828648898784580</v>
      </c>
      <c r="J12" s="243">
        <v>-41.493361020983428475925922810</v>
      </c>
      <c r="K12" s="242">
        <v>45.201731894266165663479537980</v>
      </c>
      <c r="L12" s="243">
        <v>-42.283340310899790892469959150</v>
      </c>
      <c r="M12" s="541"/>
      <c r="N12" s="156">
        <v>9.449164957515382361558745970</v>
      </c>
      <c r="O12" s="156"/>
      <c r="P12" s="156">
        <v>-15.451888774937001159186350240</v>
      </c>
      <c r="Q12" s="156"/>
      <c r="R12" s="156">
        <v>5.47318685773986807840446600</v>
      </c>
      <c r="S12" s="156"/>
      <c r="T12" s="243">
        <v>-15.451888774937001159186350240</v>
      </c>
    </row>
    <row r="13" ht="20.1" customHeight="1">
      <c r="B13" s="733" t="s">
        <v>77</v>
      </c>
      <c r="C13" s="961"/>
      <c r="D13" s="346"/>
      <c r="E13" s="244">
        <v>49.412971617462669554314373650</v>
      </c>
      <c r="F13" s="245">
        <v>-36.652589351283944740434240420</v>
      </c>
      <c r="G13" s="244"/>
      <c r="H13" s="245"/>
      <c r="I13" s="244"/>
      <c r="J13" s="245"/>
      <c r="K13" s="244"/>
      <c r="L13" s="245"/>
      <c r="M13" s="541"/>
      <c r="N13" s="250">
        <v>-17.401392111368909512761020880</v>
      </c>
      <c r="O13" s="250"/>
      <c r="P13" s="250"/>
      <c r="Q13" s="250"/>
      <c r="R13" s="250"/>
      <c r="S13" s="250"/>
      <c r="T13" s="245"/>
    </row>
    <row r="14" ht="9.95" customHeight="1">
      <c r="B14" s="4"/>
      <c r="C14" s="4"/>
      <c r="D14" s="4"/>
      <c r="E14" s="536"/>
      <c r="F14" s="536"/>
      <c r="G14" s="536"/>
      <c r="H14" s="536"/>
      <c r="I14" s="536"/>
      <c r="J14" s="536"/>
      <c r="K14" s="536"/>
      <c r="L14" s="536"/>
      <c r="M14" s="156"/>
      <c r="N14" s="156"/>
      <c r="O14" s="156"/>
      <c r="P14" s="156"/>
      <c r="Q14" s="156"/>
      <c r="R14" s="156"/>
      <c r="S14" s="156"/>
      <c r="T14" s="156"/>
    </row>
    <row r="15" ht="21" customHeight="1">
      <c r="B15" s="4"/>
      <c r="C15" s="4"/>
      <c r="D15" s="4"/>
      <c r="E15" s="718" t="s">
        <v>93</v>
      </c>
      <c r="F15" s="718"/>
      <c r="G15" s="718"/>
      <c r="H15" s="718"/>
      <c r="I15" s="718"/>
      <c r="J15" s="718"/>
      <c r="K15" s="718"/>
      <c r="L15" s="952"/>
      <c r="M15" s="538"/>
      <c r="N15" s="718" t="s">
        <v>29</v>
      </c>
      <c r="O15" s="718"/>
      <c r="P15" s="718"/>
      <c r="Q15" s="718"/>
      <c r="R15" s="718"/>
      <c r="S15" s="718"/>
      <c r="T15" s="952"/>
    </row>
    <row r="16" ht="22.5" customHeight="1">
      <c r="B16" s="4"/>
      <c r="C16" s="4"/>
      <c r="D16" s="4"/>
      <c r="E16" s="751" t="s">
        <v>42</v>
      </c>
      <c r="F16" s="710" t="s">
        <v>24</v>
      </c>
      <c r="G16" s="751" t="s">
        <v>37</v>
      </c>
      <c r="H16" s="710" t="s">
        <v>24</v>
      </c>
      <c r="I16" s="751" t="s">
        <v>44</v>
      </c>
      <c r="J16" s="710" t="s">
        <v>24</v>
      </c>
      <c r="K16" s="751" t="s">
        <v>45</v>
      </c>
      <c r="L16" s="710" t="s">
        <v>24</v>
      </c>
      <c r="M16" s="539"/>
      <c r="N16" s="756" t="s">
        <v>65</v>
      </c>
      <c r="O16" s="709" t="s">
        <v>66</v>
      </c>
      <c r="P16" s="756"/>
      <c r="Q16" s="709" t="s">
        <v>67</v>
      </c>
      <c r="R16" s="756"/>
      <c r="S16" s="709" t="s">
        <v>68</v>
      </c>
      <c r="T16" s="756"/>
    </row>
    <row r="17" ht="18.75" customHeight="1">
      <c r="B17" s="4"/>
      <c r="C17" s="4"/>
      <c r="D17" s="4"/>
      <c r="E17" s="950"/>
      <c r="F17" s="949"/>
      <c r="G17" s="950"/>
      <c r="H17" s="949"/>
      <c r="I17" s="950"/>
      <c r="J17" s="949"/>
      <c r="K17" s="950"/>
      <c r="L17" s="949"/>
      <c r="M17" s="540"/>
      <c r="N17" s="958"/>
      <c r="O17" s="855"/>
      <c r="P17" s="958"/>
      <c r="Q17" s="855"/>
      <c r="R17" s="958"/>
      <c r="S17" s="855"/>
      <c r="T17" s="958"/>
    </row>
    <row r="18" ht="20.1" customHeight="1">
      <c r="B18" s="735" t="s">
        <v>217</v>
      </c>
      <c r="C18" s="349"/>
      <c r="D18" s="346"/>
      <c r="E18" s="253">
        <v>165.20900102284350494374360723</v>
      </c>
      <c r="F18" s="239">
        <v>-34.081338107849556950305522910</v>
      </c>
      <c r="G18" s="253">
        <v>205.63515078286260887076473846</v>
      </c>
      <c r="H18" s="239">
        <v>5.6208548544456858809412660900</v>
      </c>
      <c r="I18" s="253">
        <v>140.13704377010208362466787862</v>
      </c>
      <c r="J18" s="239">
        <v>-27.274979319903842615145905690</v>
      </c>
      <c r="K18" s="253">
        <v>205.63515078286260887076473846</v>
      </c>
      <c r="L18" s="239">
        <v>5.6208548544456858809412660900</v>
      </c>
      <c r="M18" s="541"/>
      <c r="N18" s="238">
        <v>-15.839311334289813486370157820</v>
      </c>
      <c r="O18" s="246"/>
      <c r="P18" s="246">
        <v>-39.003193710846333374278344180</v>
      </c>
      <c r="Q18" s="246"/>
      <c r="R18" s="246">
        <v>-22.119363972990633848834676540</v>
      </c>
      <c r="S18" s="246"/>
      <c r="T18" s="239">
        <v>-39.003193710846333374278344180</v>
      </c>
    </row>
    <row r="19" ht="20.1" customHeight="1">
      <c r="B19" s="729" t="s">
        <v>216</v>
      </c>
      <c r="C19" s="951"/>
      <c r="D19" s="346"/>
      <c r="E19" s="254">
        <v>187.01192276657060518731988473</v>
      </c>
      <c r="F19" s="241">
        <v>-26.068887415179134321932079910</v>
      </c>
      <c r="G19" s="254">
        <v>188.02745952818356970349060587</v>
      </c>
      <c r="H19" s="241">
        <v>-4.119720087362142597531704900</v>
      </c>
      <c r="I19" s="254">
        <v>151.92610954027236331784883441</v>
      </c>
      <c r="J19" s="241">
        <v>-23.054799996735604176568724710</v>
      </c>
      <c r="K19" s="254">
        <v>188.02745952818356970349060587</v>
      </c>
      <c r="L19" s="241">
        <v>-4.119720087362142597531704900</v>
      </c>
      <c r="M19" s="541"/>
      <c r="N19" s="240">
        <v>-39.126352640512868373280714180</v>
      </c>
      <c r="O19" s="121"/>
      <c r="P19" s="121">
        <v>-47.198806495410635854811323110</v>
      </c>
      <c r="Q19" s="121"/>
      <c r="R19" s="121">
        <v>-43.186779513486254195487772020</v>
      </c>
      <c r="S19" s="121"/>
      <c r="T19" s="241">
        <v>-47.198806495410635854811323110</v>
      </c>
    </row>
    <row r="20" ht="20.1" customHeight="1">
      <c r="B20" s="533" t="s">
        <v>218</v>
      </c>
      <c r="C20" s="346"/>
      <c r="D20" s="346"/>
      <c r="E20" s="255">
        <v>195.66180658389338193416106618</v>
      </c>
      <c r="F20" s="243">
        <v>-23.203731053167573347560850230</v>
      </c>
      <c r="G20" s="255">
        <v>216.00796999772727402835239962</v>
      </c>
      <c r="H20" s="243">
        <v>6.2734923755262731087948793800</v>
      </c>
      <c r="I20" s="255">
        <v>161.9588210301104906838862181</v>
      </c>
      <c r="J20" s="243">
        <v>-20.54742724161815826952808200</v>
      </c>
      <c r="K20" s="255">
        <v>216.00796999772727402835239962</v>
      </c>
      <c r="L20" s="243">
        <v>6.2734923755262731087948793800</v>
      </c>
      <c r="M20" s="541"/>
      <c r="N20" s="242">
        <v>-46.993116773336553556333776110</v>
      </c>
      <c r="O20" s="156"/>
      <c r="P20" s="156">
        <v>-55.105130729117138326389727750</v>
      </c>
      <c r="Q20" s="156"/>
      <c r="R20" s="156">
        <v>-53.048616244569785221714783350</v>
      </c>
      <c r="S20" s="156"/>
      <c r="T20" s="243">
        <v>-55.105130729117138326389727750</v>
      </c>
    </row>
    <row r="21" ht="20.1" customHeight="1">
      <c r="B21" s="729" t="s">
        <v>219</v>
      </c>
      <c r="C21" s="951"/>
      <c r="D21" s="346"/>
      <c r="E21" s="254">
        <v>319.74479008545672607256757935</v>
      </c>
      <c r="F21" s="241">
        <v>-19.370944352377683763780771800</v>
      </c>
      <c r="G21" s="254">
        <v>298.63045235067876491699897669</v>
      </c>
      <c r="H21" s="241">
        <v>9.195642846989115222552084720</v>
      </c>
      <c r="I21" s="254">
        <v>250.20423139235680930143905461</v>
      </c>
      <c r="J21" s="241">
        <v>-11.829264458770989896738802460</v>
      </c>
      <c r="K21" s="254">
        <v>298.63045235067876491699897669</v>
      </c>
      <c r="L21" s="241">
        <v>9.195642846989115222552084720</v>
      </c>
      <c r="M21" s="541"/>
      <c r="N21" s="240">
        <v>-41.018149325494687461771531600</v>
      </c>
      <c r="O21" s="121"/>
      <c r="P21" s="121">
        <v>-55.160533490176929934562188120</v>
      </c>
      <c r="Q21" s="121"/>
      <c r="R21" s="121">
        <v>-48.294127296894891894134033430</v>
      </c>
      <c r="S21" s="121"/>
      <c r="T21" s="241">
        <v>-55.160533490176929934562188120</v>
      </c>
    </row>
    <row r="22" ht="20.1" customHeight="1">
      <c r="B22" s="533" t="s">
        <v>220</v>
      </c>
      <c r="C22" s="346"/>
      <c r="D22" s="346"/>
      <c r="E22" s="255">
        <v>347.4512653127014829142488717</v>
      </c>
      <c r="F22" s="243">
        <v>-25.310818021346244611988276940</v>
      </c>
      <c r="G22" s="255">
        <v>316.66312815597578300349430442</v>
      </c>
      <c r="H22" s="243">
        <v>3.3588069493338685877182667500</v>
      </c>
      <c r="I22" s="255">
        <v>264.43390710955522932227725168</v>
      </c>
      <c r="J22" s="243">
        <v>-18.149955004809636030121002560</v>
      </c>
      <c r="K22" s="255">
        <v>316.66312815597578300349430442</v>
      </c>
      <c r="L22" s="243">
        <v>3.3588069493338685877182667500</v>
      </c>
      <c r="M22" s="541"/>
      <c r="N22" s="242">
        <v>-29.008707990525340138000480600</v>
      </c>
      <c r="O22" s="156"/>
      <c r="P22" s="156">
        <v>-51.201654370668455175497429020</v>
      </c>
      <c r="Q22" s="156"/>
      <c r="R22" s="156">
        <v>-38.291183345478582549865207640</v>
      </c>
      <c r="S22" s="156"/>
      <c r="T22" s="243">
        <v>-51.201654370668455175497429020</v>
      </c>
    </row>
    <row r="23" ht="20.1" customHeight="1">
      <c r="B23" s="725" t="s">
        <v>77</v>
      </c>
      <c r="C23" s="350"/>
      <c r="D23" s="346"/>
      <c r="E23" s="256">
        <v>225.64332410611303344867358707</v>
      </c>
      <c r="F23" s="245">
        <v>-32.252414283166010506540733020</v>
      </c>
      <c r="G23" s="256"/>
      <c r="H23" s="245"/>
      <c r="I23" s="256"/>
      <c r="J23" s="245"/>
      <c r="K23" s="256"/>
      <c r="L23" s="245"/>
      <c r="M23" s="541"/>
      <c r="N23" s="244">
        <v>-47.675920670666088927133618540</v>
      </c>
      <c r="O23" s="250"/>
      <c r="P23" s="250"/>
      <c r="Q23" s="250"/>
      <c r="R23" s="250"/>
      <c r="S23" s="250"/>
      <c r="T23" s="245"/>
    </row>
    <row r="24" ht="9.95" customHeight="1">
      <c r="B24" s="4"/>
      <c r="C24" s="4"/>
      <c r="D24" s="4"/>
      <c r="E24" s="536"/>
      <c r="F24" s="536"/>
      <c r="G24" s="536"/>
      <c r="H24" s="536"/>
      <c r="I24" s="536"/>
      <c r="J24" s="536"/>
      <c r="K24" s="536"/>
      <c r="L24" s="536"/>
      <c r="M24" s="156"/>
      <c r="N24" s="156"/>
      <c r="O24" s="156"/>
      <c r="P24" s="156"/>
      <c r="Q24" s="156"/>
      <c r="R24" s="156"/>
      <c r="S24" s="156"/>
      <c r="T24" s="156"/>
    </row>
    <row r="25" s="122" customFormat="1" ht="21" customHeight="1">
      <c r="B25" s="163"/>
      <c r="C25" s="163"/>
      <c r="D25" s="163"/>
      <c r="E25" s="718" t="s">
        <v>10</v>
      </c>
      <c r="F25" s="718"/>
      <c r="G25" s="718"/>
      <c r="H25" s="718"/>
      <c r="I25" s="718"/>
      <c r="J25" s="718"/>
      <c r="K25" s="718"/>
      <c r="L25" s="952"/>
      <c r="M25" s="538"/>
      <c r="N25" s="718" t="s">
        <v>38</v>
      </c>
      <c r="O25" s="718"/>
      <c r="P25" s="718"/>
      <c r="Q25" s="718"/>
      <c r="R25" s="718"/>
      <c r="S25" s="718"/>
      <c r="T25" s="952"/>
      <c r="V25" s="236"/>
      <c r="W25" s="236"/>
      <c r="X25" s="236"/>
      <c r="Y25" s="236"/>
      <c r="Z25" s="236"/>
      <c r="AA25" s="236"/>
      <c r="AB25" s="236"/>
      <c r="AC25" s="236"/>
      <c r="AD25" s="236"/>
      <c r="AE25" s="236"/>
      <c r="AF25" s="236"/>
      <c r="AG25" s="236"/>
      <c r="AH25" s="236"/>
      <c r="AI25" s="236"/>
    </row>
    <row r="26" s="122" customFormat="1" ht="19.5" customHeight="1">
      <c r="B26" s="163"/>
      <c r="C26" s="163"/>
      <c r="D26" s="163"/>
      <c r="E26" s="751" t="s">
        <v>42</v>
      </c>
      <c r="F26" s="710" t="s">
        <v>24</v>
      </c>
      <c r="G26" s="751" t="s">
        <v>37</v>
      </c>
      <c r="H26" s="710" t="s">
        <v>24</v>
      </c>
      <c r="I26" s="751" t="s">
        <v>44</v>
      </c>
      <c r="J26" s="710" t="s">
        <v>24</v>
      </c>
      <c r="K26" s="751" t="s">
        <v>45</v>
      </c>
      <c r="L26" s="710" t="s">
        <v>24</v>
      </c>
      <c r="M26" s="539"/>
      <c r="N26" s="756" t="s">
        <v>65</v>
      </c>
      <c r="O26" s="709" t="s">
        <v>66</v>
      </c>
      <c r="P26" s="756"/>
      <c r="Q26" s="709" t="s">
        <v>67</v>
      </c>
      <c r="R26" s="756"/>
      <c r="S26" s="709" t="s">
        <v>68</v>
      </c>
      <c r="T26" s="756"/>
      <c r="V26" s="236"/>
      <c r="W26" s="236"/>
      <c r="X26" s="236"/>
      <c r="Y26" s="236"/>
      <c r="Z26" s="236"/>
      <c r="AA26" s="236"/>
      <c r="AB26" s="236"/>
      <c r="AC26" s="236"/>
      <c r="AD26" s="236"/>
      <c r="AE26" s="236"/>
      <c r="AF26" s="236"/>
      <c r="AG26" s="236"/>
      <c r="AH26" s="236"/>
      <c r="AI26" s="236"/>
    </row>
    <row r="27" s="122" customFormat="1" ht="25.5" customHeight="1">
      <c r="B27" s="163"/>
      <c r="C27" s="163"/>
      <c r="D27" s="163"/>
      <c r="E27" s="950"/>
      <c r="F27" s="949"/>
      <c r="G27" s="950"/>
      <c r="H27" s="949"/>
      <c r="I27" s="950"/>
      <c r="J27" s="949"/>
      <c r="K27" s="950"/>
      <c r="L27" s="949"/>
      <c r="M27" s="540"/>
      <c r="N27" s="958"/>
      <c r="O27" s="855"/>
      <c r="P27" s="958"/>
      <c r="Q27" s="855"/>
      <c r="R27" s="958"/>
      <c r="S27" s="855"/>
      <c r="T27" s="958"/>
      <c r="V27" s="236"/>
      <c r="W27" s="236"/>
      <c r="X27" s="236"/>
      <c r="Y27" s="236"/>
      <c r="Z27" s="236"/>
      <c r="AA27" s="236"/>
      <c r="AB27" s="236"/>
      <c r="AC27" s="236"/>
      <c r="AD27" s="236"/>
      <c r="AE27" s="236"/>
      <c r="AF27" s="236"/>
      <c r="AG27" s="236"/>
      <c r="AH27" s="236"/>
      <c r="AI27" s="236"/>
    </row>
    <row r="28" ht="20.1" customHeight="1">
      <c r="B28" s="735" t="s">
        <v>217</v>
      </c>
      <c r="C28" s="349"/>
      <c r="D28" s="346"/>
      <c r="E28" s="253">
        <v>118.41593352883675464320625611</v>
      </c>
      <c r="F28" s="239">
        <v>-44.522400192345122104805193320</v>
      </c>
      <c r="G28" s="253">
        <v>101.45382513661202185792349727</v>
      </c>
      <c r="H28" s="239">
        <v>-22.900812766138514581284091810</v>
      </c>
      <c r="I28" s="253">
        <v>82.51976284584980237154150198</v>
      </c>
      <c r="J28" s="239">
        <v>-43.361291343567020098116790630</v>
      </c>
      <c r="K28" s="253">
        <v>101.45382513661202185792349727</v>
      </c>
      <c r="L28" s="239">
        <v>-22.900812766138514581284091810</v>
      </c>
      <c r="M28" s="541"/>
      <c r="N28" s="238">
        <v>-44.522400192345122104805193320</v>
      </c>
      <c r="O28" s="246"/>
      <c r="P28" s="246">
        <v>-35.574651763485608074771638360</v>
      </c>
      <c r="Q28" s="246"/>
      <c r="R28" s="246">
        <v>-43.361291343567020098116790630</v>
      </c>
      <c r="S28" s="246"/>
      <c r="T28" s="239">
        <v>-35.574651763485608074771638360</v>
      </c>
    </row>
    <row r="29" ht="20.1" customHeight="1">
      <c r="B29" s="729" t="s">
        <v>216</v>
      </c>
      <c r="C29" s="951"/>
      <c r="D29" s="346"/>
      <c r="E29" s="254">
        <v>91.19184352354206903994765681</v>
      </c>
      <c r="F29" s="241">
        <v>-53.860675265214072143745336460</v>
      </c>
      <c r="G29" s="254">
        <v>87.23240580073084348014478057</v>
      </c>
      <c r="H29" s="241">
        <v>-41.382861033359224058779528840</v>
      </c>
      <c r="I29" s="254">
        <v>67.605889338183785768463363141</v>
      </c>
      <c r="J29" s="241">
        <v>-54.371300485329118241225288160</v>
      </c>
      <c r="K29" s="254">
        <v>87.23240580073084348014478057</v>
      </c>
      <c r="L29" s="241">
        <v>-41.382861033359224058779528840</v>
      </c>
      <c r="M29" s="541"/>
      <c r="N29" s="240">
        <v>-54.995435236170734633895765600</v>
      </c>
      <c r="O29" s="121"/>
      <c r="P29" s="121">
        <v>-49.374067870586158770051498650</v>
      </c>
      <c r="Q29" s="121"/>
      <c r="R29" s="121">
        <v>-56.284953868356416866507900780</v>
      </c>
      <c r="S29" s="121"/>
      <c r="T29" s="241">
        <v>-49.374067870586158770051498650</v>
      </c>
    </row>
    <row r="30" ht="20.1" customHeight="1">
      <c r="B30" s="533" t="s">
        <v>218</v>
      </c>
      <c r="C30" s="346"/>
      <c r="D30" s="346"/>
      <c r="E30" s="255">
        <v>88.18593308804654744588003765</v>
      </c>
      <c r="F30" s="243">
        <v>-55.612220069636840035554802310</v>
      </c>
      <c r="G30" s="255">
        <v>92.53602149706970729445094749</v>
      </c>
      <c r="H30" s="243">
        <v>-39.612753275307906321885418830</v>
      </c>
      <c r="I30" s="255">
        <v>63.05840154040066876095322788</v>
      </c>
      <c r="J30" s="243">
        <v>-58.627975581301664708699739820</v>
      </c>
      <c r="K30" s="255">
        <v>92.53602149706970729445094749</v>
      </c>
      <c r="L30" s="243">
        <v>-39.612753275307906321885418830</v>
      </c>
      <c r="M30" s="541"/>
      <c r="N30" s="242">
        <v>-59.292691396918133463243370620</v>
      </c>
      <c r="O30" s="156"/>
      <c r="P30" s="156">
        <v>-52.288654528405814279912717700</v>
      </c>
      <c r="Q30" s="156"/>
      <c r="R30" s="156">
        <v>-62.695917660649735851155024120</v>
      </c>
      <c r="S30" s="156"/>
      <c r="T30" s="243">
        <v>-52.288654528405814279912717700</v>
      </c>
    </row>
    <row r="31" ht="20.1" customHeight="1">
      <c r="B31" s="729" t="s">
        <v>219</v>
      </c>
      <c r="C31" s="951"/>
      <c r="D31" s="346"/>
      <c r="E31" s="254">
        <v>156.49951008230028865421226236</v>
      </c>
      <c r="F31" s="241">
        <v>-47.977612276829785628280361150</v>
      </c>
      <c r="G31" s="254">
        <v>136.01134813374033774185195356</v>
      </c>
      <c r="H31" s="241">
        <v>-33.631567007531218595026931230</v>
      </c>
      <c r="I31" s="254">
        <v>105.22702652516394948032352562</v>
      </c>
      <c r="J31" s="241">
        <v>-49.154995484858545272597534030</v>
      </c>
      <c r="K31" s="254">
        <v>136.01134813374033774185195356</v>
      </c>
      <c r="L31" s="241">
        <v>-33.631567007531218595026931230</v>
      </c>
      <c r="M31" s="541"/>
      <c r="N31" s="240">
        <v>-52.443490797655613078410473150</v>
      </c>
      <c r="O31" s="121"/>
      <c r="P31" s="121">
        <v>-51.037256295438304915872384490</v>
      </c>
      <c r="Q31" s="121"/>
      <c r="R31" s="121">
        <v>-54.410551719660675364245279950</v>
      </c>
      <c r="S31" s="121"/>
      <c r="T31" s="241">
        <v>-51.037256295438304915872384490</v>
      </c>
    </row>
    <row r="32" ht="20.1" customHeight="1">
      <c r="B32" s="533" t="s">
        <v>220</v>
      </c>
      <c r="C32" s="346"/>
      <c r="D32" s="346"/>
      <c r="E32" s="255">
        <v>186.1466617156229895380417183</v>
      </c>
      <c r="F32" s="243">
        <v>-51.554847130596428886797921220</v>
      </c>
      <c r="G32" s="255">
        <v>143.13721819706064808885812872</v>
      </c>
      <c r="H32" s="243">
        <v>-40.344749134338913476810552220</v>
      </c>
      <c r="I32" s="255">
        <v>121.16891759032154573773375972</v>
      </c>
      <c r="J32" s="243">
        <v>-52.112289670501352038435781680</v>
      </c>
      <c r="K32" s="255">
        <v>143.13721819706064808885812872</v>
      </c>
      <c r="L32" s="243">
        <v>-40.344749134338913476810552220</v>
      </c>
      <c r="M32" s="541"/>
      <c r="N32" s="242">
        <v>-46.977184722045988897343578880</v>
      </c>
      <c r="O32" s="156"/>
      <c r="P32" s="156">
        <v>-49.562612146510507118300459030</v>
      </c>
      <c r="Q32" s="156"/>
      <c r="R32" s="156">
        <v>-49.491305802274694762003991860</v>
      </c>
      <c r="S32" s="156"/>
      <c r="T32" s="243">
        <v>-49.562612146510507118300459030</v>
      </c>
    </row>
    <row r="33" ht="20.1" customHeight="1">
      <c r="B33" s="725" t="s">
        <v>77</v>
      </c>
      <c r="C33" s="350"/>
      <c r="D33" s="346"/>
      <c r="E33" s="256">
        <v>111.49707169725293514191268665</v>
      </c>
      <c r="F33" s="245">
        <v>-57.083658671366268060382971960</v>
      </c>
      <c r="G33" s="256"/>
      <c r="H33" s="245"/>
      <c r="I33" s="256"/>
      <c r="J33" s="245"/>
      <c r="K33" s="256"/>
      <c r="L33" s="245"/>
      <c r="M33" s="541"/>
      <c r="N33" s="244">
        <v>-64.551699505815293339898696100</v>
      </c>
      <c r="O33" s="250"/>
      <c r="P33" s="250"/>
      <c r="Q33" s="250"/>
      <c r="R33" s="250"/>
      <c r="S33" s="250"/>
      <c r="T33" s="245"/>
    </row>
    <row r="34" ht="9.95" customHeight="1">
      <c r="B34" s="4"/>
      <c r="C34" s="4"/>
      <c r="D34" s="4"/>
      <c r="E34" s="536"/>
      <c r="F34" s="536"/>
      <c r="G34" s="536"/>
      <c r="H34" s="536"/>
      <c r="I34" s="536"/>
      <c r="J34" s="536"/>
      <c r="K34" s="536"/>
      <c r="L34" s="536"/>
      <c r="M34" s="156"/>
      <c r="N34" s="156"/>
      <c r="O34" s="156"/>
      <c r="P34" s="156"/>
      <c r="Q34" s="156"/>
      <c r="R34" s="156"/>
      <c r="S34" s="156"/>
      <c r="T34" s="156"/>
    </row>
    <row r="35" ht="21" customHeight="1">
      <c r="B35" s="9"/>
      <c r="C35" s="155"/>
      <c r="D35" s="252"/>
      <c r="E35" s="718" t="s">
        <v>30</v>
      </c>
      <c r="F35" s="718"/>
      <c r="G35" s="718"/>
      <c r="H35" s="718"/>
      <c r="I35" s="718"/>
      <c r="J35" s="718"/>
      <c r="K35" s="718"/>
      <c r="L35" s="952"/>
      <c r="M35" s="113"/>
      <c r="N35" s="718" t="s">
        <v>56</v>
      </c>
      <c r="O35" s="718"/>
      <c r="P35" s="718"/>
      <c r="Q35" s="718"/>
      <c r="R35" s="718"/>
      <c r="S35" s="718"/>
      <c r="T35" s="952"/>
      <c r="U35" s="123"/>
    </row>
    <row r="36" ht="24.95" customHeight="1">
      <c r="B36" s="9"/>
      <c r="C36" s="155"/>
      <c r="D36" s="252"/>
      <c r="E36" s="747" t="s">
        <v>31</v>
      </c>
      <c r="F36" s="749"/>
      <c r="G36" s="748"/>
      <c r="H36" s="747" t="s">
        <v>32</v>
      </c>
      <c r="I36" s="749"/>
      <c r="J36" s="748"/>
      <c r="K36" s="747" t="s">
        <v>36</v>
      </c>
      <c r="L36" s="748"/>
      <c r="M36" s="113"/>
      <c r="N36" s="741" t="s">
        <v>216</v>
      </c>
      <c r="O36" s="741"/>
      <c r="P36" s="741"/>
      <c r="Q36" s="741"/>
      <c r="R36" s="741"/>
      <c r="S36" s="741"/>
      <c r="T36" s="957"/>
      <c r="U36" s="123"/>
    </row>
    <row r="37" ht="24.95" customHeight="1">
      <c r="B37" s="9"/>
      <c r="C37" s="155"/>
      <c r="D37" s="252"/>
      <c r="E37" s="747" t="s">
        <v>33</v>
      </c>
      <c r="F37" s="748"/>
      <c r="G37" s="257" t="s">
        <v>34</v>
      </c>
      <c r="H37" s="747" t="s">
        <v>33</v>
      </c>
      <c r="I37" s="748"/>
      <c r="J37" s="257" t="s">
        <v>34</v>
      </c>
      <c r="K37" s="747" t="s">
        <v>34</v>
      </c>
      <c r="L37" s="748"/>
      <c r="M37" s="113"/>
      <c r="N37" s="741" t="s">
        <v>57</v>
      </c>
      <c r="O37" s="741"/>
      <c r="P37" s="957"/>
      <c r="Q37" s="741" t="s">
        <v>58</v>
      </c>
      <c r="R37" s="741"/>
      <c r="S37" s="741"/>
      <c r="T37" s="957"/>
      <c r="U37" s="123"/>
    </row>
    <row r="38" ht="18.95" customHeight="1">
      <c r="B38" s="745" t="s">
        <v>216</v>
      </c>
      <c r="C38" s="960"/>
      <c r="D38" s="4"/>
      <c r="E38" s="779">
        <v>448</v>
      </c>
      <c r="F38" s="779"/>
      <c r="G38" s="258">
        <v>57388</v>
      </c>
      <c r="H38" s="760">
        <v>280</v>
      </c>
      <c r="I38" s="760"/>
      <c r="J38" s="258">
        <v>47247</v>
      </c>
      <c r="K38" s="763">
        <v>82.32905833972259008852024814</v>
      </c>
      <c r="L38" s="764"/>
      <c r="N38" s="261" t="s">
        <v>33</v>
      </c>
      <c r="O38" s="741" t="s">
        <v>34</v>
      </c>
      <c r="P38" s="957"/>
      <c r="Q38" s="743" t="s">
        <v>33</v>
      </c>
      <c r="R38" s="261"/>
      <c r="S38" s="741" t="s">
        <v>34</v>
      </c>
      <c r="T38" s="957"/>
      <c r="U38" s="123"/>
    </row>
    <row r="39" ht="18.95" customHeight="1">
      <c r="B39" s="533" t="s">
        <v>218</v>
      </c>
      <c r="C39" s="346"/>
      <c r="D39" s="4"/>
      <c r="E39" s="782">
        <v>81</v>
      </c>
      <c r="F39" s="782"/>
      <c r="G39" s="4">
        <v>13195</v>
      </c>
      <c r="H39" s="775">
        <v>56</v>
      </c>
      <c r="I39" s="775"/>
      <c r="J39" s="4">
        <v>11008</v>
      </c>
      <c r="K39" s="776">
        <v>83.42553997726411519514967791</v>
      </c>
      <c r="L39" s="777"/>
      <c r="N39" s="262">
        <v>26</v>
      </c>
      <c r="O39" s="739">
        <v>4244</v>
      </c>
      <c r="P39" s="959"/>
      <c r="Q39" s="739">
        <v>59</v>
      </c>
      <c r="R39" s="959"/>
      <c r="S39" s="739">
        <v>11632</v>
      </c>
      <c r="T39" s="959"/>
      <c r="U39" s="123"/>
    </row>
    <row r="40" ht="18.95" customHeight="1">
      <c r="B40" s="729" t="s">
        <v>219</v>
      </c>
      <c r="C40" s="951"/>
      <c r="D40" s="4"/>
      <c r="E40" s="780">
        <v>186</v>
      </c>
      <c r="F40" s="780"/>
      <c r="G40" s="120">
        <v>21926</v>
      </c>
      <c r="H40" s="781">
        <v>100</v>
      </c>
      <c r="I40" s="781"/>
      <c r="J40" s="120">
        <v>16927</v>
      </c>
      <c r="K40" s="761">
        <v>77.200583781811547933959682570</v>
      </c>
      <c r="L40" s="762"/>
      <c r="N40" s="765" t="s">
        <v>74</v>
      </c>
      <c r="O40" s="765"/>
      <c r="P40" s="765"/>
      <c r="Q40" s="765"/>
      <c r="R40" s="765"/>
      <c r="S40" s="765"/>
      <c r="T40" s="955"/>
      <c r="U40" s="123"/>
    </row>
    <row r="41" ht="18.95" customHeight="1">
      <c r="B41" s="533" t="s">
        <v>220</v>
      </c>
      <c r="C41" s="346"/>
      <c r="D41" s="4"/>
      <c r="E41" s="782">
        <v>38</v>
      </c>
      <c r="F41" s="782"/>
      <c r="G41" s="4">
        <v>7471</v>
      </c>
      <c r="H41" s="775">
        <v>36</v>
      </c>
      <c r="I41" s="775"/>
      <c r="J41" s="4">
        <v>7268</v>
      </c>
      <c r="K41" s="776">
        <v>97.28282693079908981394726275</v>
      </c>
      <c r="L41" s="777"/>
      <c r="N41" s="765"/>
      <c r="O41" s="765"/>
      <c r="P41" s="765"/>
      <c r="Q41" s="765"/>
      <c r="R41" s="765"/>
      <c r="S41" s="765"/>
      <c r="T41" s="955"/>
      <c r="U41" s="123"/>
    </row>
    <row r="42" ht="18.95" customHeight="1">
      <c r="B42" s="725" t="s">
        <v>77</v>
      </c>
      <c r="C42" s="350"/>
      <c r="D42" s="4"/>
      <c r="E42" s="778">
        <v>4</v>
      </c>
      <c r="F42" s="778"/>
      <c r="G42" s="260">
        <v>356</v>
      </c>
      <c r="H42" s="774">
        <v>3</v>
      </c>
      <c r="I42" s="774"/>
      <c r="J42" s="260">
        <v>283</v>
      </c>
      <c r="K42" s="784">
        <v>79.49438202247191011235955056</v>
      </c>
      <c r="L42" s="785"/>
      <c r="N42" s="954"/>
      <c r="O42" s="954"/>
      <c r="P42" s="954"/>
      <c r="Q42" s="954"/>
      <c r="R42" s="954"/>
      <c r="S42" s="954"/>
      <c r="T42" s="956"/>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39.95" customHeight="1">
      <c r="B44" s="943" t="s">
        <v>129</v>
      </c>
      <c r="C44" s="943"/>
      <c r="D44" s="943"/>
      <c r="E44" s="943"/>
      <c r="F44" s="943"/>
      <c r="G44" s="943"/>
      <c r="H44" s="943"/>
      <c r="I44" s="943"/>
      <c r="J44" s="943"/>
      <c r="K44" s="943"/>
      <c r="L44" s="943"/>
      <c r="M44" s="943"/>
      <c r="N44" s="943"/>
      <c r="O44" s="943"/>
      <c r="P44" s="943"/>
      <c r="Q44" s="943"/>
      <c r="R44" s="943"/>
      <c r="S44" s="943"/>
      <c r="T44" s="94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2" customWidth="1"/>
  </cols>
  <sheetData>
    <row r="1" s="2" customFormat="1" ht="23.25">
      <c r="B1" s="658" t="s">
        <v>138</v>
      </c>
      <c r="C1" s="130"/>
      <c r="P1" s="222"/>
      <c r="Q1" s="222"/>
      <c r="R1" s="222"/>
      <c r="S1" s="222"/>
      <c r="T1" s="222"/>
      <c r="U1" s="222"/>
      <c r="W1" s="282"/>
      <c r="X1" s="282"/>
      <c r="Y1" s="282"/>
      <c r="Z1" s="282"/>
      <c r="AA1" s="282"/>
      <c r="AB1" s="282"/>
      <c r="AC1" s="282"/>
      <c r="AD1" s="282"/>
      <c r="AE1" s="282"/>
      <c r="AF1" s="282"/>
      <c r="AG1" s="282"/>
      <c r="AH1" s="282"/>
      <c r="AI1" s="282"/>
      <c r="AJ1" s="282"/>
      <c r="AK1" s="282"/>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211</v>
      </c>
      <c r="C2" s="130"/>
      <c r="W2" s="282"/>
      <c r="X2" s="282"/>
      <c r="Y2" s="282"/>
      <c r="Z2" s="282"/>
      <c r="AA2" s="282"/>
      <c r="AB2" s="282"/>
      <c r="AC2" s="282"/>
      <c r="AD2" s="282"/>
      <c r="AE2" s="282"/>
      <c r="AF2" s="282"/>
      <c r="AG2" s="282"/>
      <c r="AH2" s="282"/>
      <c r="AI2" s="282"/>
      <c r="AJ2" s="282"/>
      <c r="AK2" s="282"/>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212</v>
      </c>
      <c r="C3" s="130"/>
      <c r="O3" s="976" t="s">
        <v>298</v>
      </c>
      <c r="P3" s="976"/>
      <c r="Q3" s="976"/>
      <c r="R3" s="976"/>
      <c r="S3" s="976"/>
      <c r="T3" s="976"/>
      <c r="U3" s="976"/>
      <c r="W3" s="282"/>
      <c r="X3" s="282"/>
      <c r="Y3" s="282"/>
      <c r="Z3" s="282"/>
      <c r="AA3" s="282"/>
      <c r="AB3" s="282"/>
      <c r="AC3" s="282"/>
      <c r="AD3" s="282"/>
      <c r="AE3" s="282"/>
      <c r="AF3" s="282"/>
      <c r="AG3" s="282"/>
      <c r="AH3" s="282"/>
      <c r="AI3" s="282"/>
      <c r="AJ3" s="282"/>
      <c r="AK3" s="282"/>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242</v>
      </c>
      <c r="C4" s="131"/>
      <c r="D4" s="131"/>
      <c r="E4" s="131"/>
      <c r="G4" s="132"/>
      <c r="H4" s="132"/>
      <c r="I4" s="132"/>
      <c r="J4" s="132"/>
      <c r="K4" s="132"/>
      <c r="L4" s="132"/>
      <c r="M4" s="132"/>
      <c r="N4" s="132"/>
      <c r="O4" s="132"/>
      <c r="P4" s="132"/>
      <c r="Q4" s="132"/>
      <c r="R4" s="132"/>
      <c r="S4" s="132"/>
      <c r="T4" s="132"/>
      <c r="U4" s="132"/>
      <c r="V4" s="132"/>
      <c r="W4" s="282"/>
      <c r="X4" s="282"/>
      <c r="Y4" s="282"/>
      <c r="Z4" s="282"/>
      <c r="AA4" s="282"/>
      <c r="AB4" s="282"/>
      <c r="AC4" s="282"/>
      <c r="AD4" s="282"/>
      <c r="AE4" s="282"/>
      <c r="AF4" s="282"/>
      <c r="AG4" s="282"/>
      <c r="AH4" s="282"/>
      <c r="AI4" s="282"/>
      <c r="AJ4" s="282"/>
      <c r="AK4" s="282"/>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2"/>
      <c r="X5" s="282"/>
      <c r="Y5" s="282"/>
      <c r="Z5" s="282"/>
      <c r="AA5" s="282"/>
      <c r="AB5" s="282"/>
      <c r="AC5" s="282"/>
      <c r="AD5" s="282"/>
      <c r="AE5" s="282"/>
      <c r="AF5" s="282"/>
      <c r="AG5" s="282"/>
      <c r="AH5" s="282"/>
      <c r="AI5" s="282"/>
      <c r="AJ5" s="282"/>
      <c r="AK5" s="282"/>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2"/>
      <c r="X6" s="282"/>
      <c r="Y6" s="282"/>
      <c r="Z6" s="282"/>
      <c r="AA6" s="282"/>
      <c r="AB6" s="282"/>
      <c r="AC6" s="282"/>
      <c r="AD6" s="282"/>
      <c r="AE6" s="282"/>
      <c r="AF6" s="282"/>
      <c r="AG6" s="282"/>
      <c r="AH6" s="282"/>
      <c r="AI6" s="282"/>
      <c r="AJ6" s="282"/>
      <c r="AK6" s="282"/>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2"/>
      <c r="X7" s="282"/>
      <c r="Y7" s="282"/>
      <c r="Z7" s="282"/>
      <c r="AA7" s="282"/>
      <c r="AB7" s="282"/>
      <c r="AC7" s="282"/>
      <c r="AD7" s="282"/>
      <c r="AE7" s="282"/>
      <c r="AF7" s="282"/>
      <c r="AG7" s="282"/>
      <c r="AH7" s="282"/>
      <c r="AI7" s="282"/>
      <c r="AJ7" s="282"/>
      <c r="AK7" s="282"/>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2"/>
      <c r="X8" s="282"/>
      <c r="Y8" s="282"/>
      <c r="Z8" s="282"/>
      <c r="AA8" s="282"/>
      <c r="AB8" s="282"/>
      <c r="AC8" s="282"/>
      <c r="AD8" s="282"/>
      <c r="AE8" s="282"/>
      <c r="AF8" s="282"/>
      <c r="AG8" s="282"/>
      <c r="AH8" s="282"/>
      <c r="AI8" s="282"/>
      <c r="AJ8" s="282"/>
      <c r="AK8" s="282"/>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2"/>
      <c r="X9" s="282"/>
      <c r="Y9" s="282"/>
      <c r="Z9" s="282"/>
      <c r="AA9" s="282"/>
      <c r="AB9" s="282"/>
      <c r="AC9" s="282"/>
      <c r="AD9" s="282"/>
      <c r="AE9" s="282"/>
      <c r="AF9" s="282"/>
      <c r="AG9" s="282"/>
      <c r="AH9" s="282"/>
      <c r="AI9" s="282"/>
      <c r="AJ9" s="282"/>
      <c r="AK9" s="282"/>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2"/>
      <c r="X10" s="282"/>
      <c r="Y10" s="282"/>
      <c r="Z10" s="282"/>
      <c r="AA10" s="282"/>
      <c r="AB10" s="282"/>
      <c r="AC10" s="282"/>
      <c r="AD10" s="282"/>
      <c r="AE10" s="282"/>
      <c r="AF10" s="282"/>
      <c r="AG10" s="282"/>
      <c r="AH10" s="282"/>
      <c r="AI10" s="282"/>
      <c r="AJ10" s="282"/>
      <c r="AK10" s="282"/>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2"/>
      <c r="X11" s="282"/>
      <c r="Y11" s="282"/>
      <c r="Z11" s="282"/>
      <c r="AA11" s="282"/>
      <c r="AB11" s="282"/>
      <c r="AC11" s="282"/>
      <c r="AD11" s="282"/>
      <c r="AE11" s="282"/>
      <c r="AF11" s="282"/>
      <c r="AG11" s="282"/>
      <c r="AH11" s="282"/>
      <c r="AI11" s="282"/>
      <c r="AJ11" s="282"/>
      <c r="AK11" s="282"/>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2"/>
      <c r="X12" s="282"/>
      <c r="Y12" s="282"/>
      <c r="Z12" s="282"/>
      <c r="AA12" s="282"/>
      <c r="AB12" s="282"/>
      <c r="AC12" s="282"/>
      <c r="AD12" s="282"/>
      <c r="AE12" s="282"/>
      <c r="AF12" s="282"/>
      <c r="AG12" s="282"/>
      <c r="AH12" s="282"/>
      <c r="AI12" s="282"/>
      <c r="AJ12" s="282"/>
      <c r="AK12" s="282"/>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2"/>
      <c r="X13" s="1029" t="s">
        <v>43</v>
      </c>
      <c r="Y13" s="1029" t="s">
        <v>46</v>
      </c>
      <c r="Z13" s="1029" t="s">
        <v>47</v>
      </c>
      <c r="AA13" s="1029" t="s">
        <v>48</v>
      </c>
      <c r="AB13" s="1029" t="s">
        <v>49</v>
      </c>
      <c r="AC13" s="1029" t="s">
        <v>50</v>
      </c>
      <c r="AD13" s="1029" t="s">
        <v>51</v>
      </c>
      <c r="AE13" s="1029" t="s">
        <v>40</v>
      </c>
      <c r="AF13" s="1029" t="s">
        <v>52</v>
      </c>
      <c r="AG13" s="282"/>
      <c r="AH13" s="282"/>
      <c r="AI13" s="282"/>
      <c r="AJ13" s="282"/>
      <c r="AK13" s="282"/>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2"/>
      <c r="X14" s="1029" t="str">
        <f>D18</f>
      </c>
      <c r="Y14" s="1029" t="str">
        <f>D24</f>
      </c>
      <c r="Z14" s="1029" t="str">
        <f>D30</f>
      </c>
      <c r="AA14" s="1029" t="str">
        <f>D36</f>
      </c>
      <c r="AB14" s="1029" t="str">
        <f>D42</f>
      </c>
      <c r="AC14" s="1029" t="str">
        <f>D48</f>
      </c>
      <c r="AD14" s="1029" t="str">
        <f>D54</f>
      </c>
      <c r="AE14" s="1029" t="str">
        <f>D60</f>
      </c>
      <c r="AF14" s="1029" t="str">
        <f>D66</f>
      </c>
      <c r="AG14" s="282"/>
      <c r="AH14" s="282"/>
      <c r="AI14" s="282"/>
      <c r="AJ14" s="282"/>
      <c r="AK14" s="282"/>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820" t="s">
        <v>22</v>
      </c>
      <c r="E15" s="820"/>
      <c r="F15" s="820"/>
      <c r="G15" s="820"/>
      <c r="H15" s="820"/>
      <c r="I15" s="977"/>
      <c r="J15" s="820" t="s">
        <v>93</v>
      </c>
      <c r="K15" s="820"/>
      <c r="L15" s="820"/>
      <c r="M15" s="820"/>
      <c r="N15" s="820"/>
      <c r="O15" s="977"/>
      <c r="P15" s="820" t="s">
        <v>10</v>
      </c>
      <c r="Q15" s="820"/>
      <c r="R15" s="820"/>
      <c r="S15" s="820"/>
      <c r="T15" s="820"/>
      <c r="U15" s="977"/>
      <c r="W15" s="282"/>
      <c r="X15" s="1029" t="str">
        <f>F18</f>
      </c>
      <c r="Y15" s="1029" t="str">
        <f>F24</f>
      </c>
      <c r="Z15" s="1029" t="str">
        <f>F30</f>
      </c>
      <c r="AA15" s="1029" t="str">
        <f>F36</f>
      </c>
      <c r="AB15" s="1029" t="str">
        <f>F42</f>
      </c>
      <c r="AC15" s="1029" t="str">
        <f>F48</f>
      </c>
      <c r="AD15" s="1029" t="str">
        <f>F54</f>
      </c>
      <c r="AE15" s="1029" t="str">
        <f>F60</f>
      </c>
      <c r="AF15" s="1029" t="str">
        <f>F66</f>
      </c>
      <c r="AG15" s="282"/>
      <c r="AH15" s="282"/>
      <c r="AI15" s="282"/>
      <c r="AJ15" s="282"/>
      <c r="AK15" s="282"/>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818" t="s">
        <v>19</v>
      </c>
      <c r="E16" s="819"/>
      <c r="F16" s="818" t="s">
        <v>26</v>
      </c>
      <c r="G16" s="819"/>
      <c r="H16" s="818" t="s">
        <v>100</v>
      </c>
      <c r="I16" s="819"/>
      <c r="J16" s="818" t="s">
        <v>19</v>
      </c>
      <c r="K16" s="819"/>
      <c r="L16" s="818" t="s">
        <v>26</v>
      </c>
      <c r="M16" s="819"/>
      <c r="N16" s="818" t="s">
        <v>101</v>
      </c>
      <c r="O16" s="819"/>
      <c r="P16" s="818" t="s">
        <v>19</v>
      </c>
      <c r="Q16" s="819"/>
      <c r="R16" s="818" t="s">
        <v>26</v>
      </c>
      <c r="S16" s="819"/>
      <c r="T16" s="818" t="s">
        <v>102</v>
      </c>
      <c r="U16" s="819"/>
      <c r="W16" s="282"/>
      <c r="X16" s="1029" t="str">
        <f>J18</f>
      </c>
      <c r="Y16" s="1029" t="str">
        <f>J24</f>
      </c>
      <c r="Z16" s="1029" t="str">
        <f>J30</f>
      </c>
      <c r="AA16" s="1029" t="str">
        <f>J36</f>
      </c>
      <c r="AB16" s="1029" t="str">
        <f>J42</f>
      </c>
      <c r="AC16" s="1029" t="str">
        <f>J48</f>
      </c>
      <c r="AD16" s="1029" t="str">
        <f>J54</f>
      </c>
      <c r="AE16" s="1029" t="str">
        <f>J60</f>
      </c>
      <c r="AF16" s="1029" t="str">
        <f>J66</f>
      </c>
      <c r="AG16" s="282"/>
      <c r="AH16" s="282"/>
      <c r="AI16" s="282"/>
      <c r="AJ16" s="282"/>
      <c r="AK16" s="282"/>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2" t="s">
        <v>39</v>
      </c>
      <c r="C17" s="612" t="s">
        <v>41</v>
      </c>
      <c r="D17" s="299"/>
      <c r="E17" s="299" t="s">
        <v>24</v>
      </c>
      <c r="F17" s="300"/>
      <c r="G17" s="299" t="s">
        <v>24</v>
      </c>
      <c r="H17" s="300"/>
      <c r="I17" s="299" t="s">
        <v>24</v>
      </c>
      <c r="J17" s="300"/>
      <c r="K17" s="299" t="s">
        <v>24</v>
      </c>
      <c r="L17" s="300"/>
      <c r="M17" s="299" t="s">
        <v>24</v>
      </c>
      <c r="N17" s="300"/>
      <c r="O17" s="299" t="s">
        <v>24</v>
      </c>
      <c r="P17" s="300"/>
      <c r="Q17" s="299" t="s">
        <v>24</v>
      </c>
      <c r="R17" s="300"/>
      <c r="S17" s="299" t="s">
        <v>24</v>
      </c>
      <c r="T17" s="300"/>
      <c r="U17" s="299" t="s">
        <v>24</v>
      </c>
      <c r="W17" s="282"/>
      <c r="X17" s="1029" t="str">
        <f>L18</f>
      </c>
      <c r="Y17" s="1029" t="str">
        <f>L24</f>
      </c>
      <c r="Z17" s="1029" t="str">
        <f>L30</f>
      </c>
      <c r="AA17" s="1029" t="str">
        <f>L36</f>
      </c>
      <c r="AB17" s="1029" t="str">
        <f>L42</f>
      </c>
      <c r="AC17" s="1029" t="str">
        <f>L48</f>
      </c>
      <c r="AD17" s="1029" t="str">
        <f>L54</f>
      </c>
      <c r="AE17" s="1029" t="str">
        <f>L60</f>
      </c>
      <c r="AF17" s="1029" t="str">
        <f>L66</f>
      </c>
      <c r="AG17" s="282"/>
      <c r="AH17" s="282"/>
      <c r="AI17" s="282"/>
      <c r="AJ17" s="282"/>
      <c r="AK17" s="282"/>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1" t="s">
        <v>43</v>
      </c>
      <c r="C18" s="304" t="s">
        <v>42</v>
      </c>
      <c r="D18" s="308">
        <v>77.462121212121212121212121290</v>
      </c>
      <c r="E18" s="309">
        <v>-5.9011786900449439983512607300</v>
      </c>
      <c r="F18" s="309">
        <v>46.505726788526112064230139990</v>
      </c>
      <c r="G18" s="309">
        <v>-40.351327003153400838606613650</v>
      </c>
      <c r="H18" s="309"/>
      <c r="I18" s="310"/>
      <c r="J18" s="318">
        <v>143.87870756690630148514767496</v>
      </c>
      <c r="K18" s="309">
        <v>-31.376859160711133174707322230</v>
      </c>
      <c r="L18" s="319">
        <v>136.11112163405226475072983034</v>
      </c>
      <c r="M18" s="309">
        <v>-29.979786450192002601707695770</v>
      </c>
      <c r="N18" s="309"/>
      <c r="O18" s="310"/>
      <c r="P18" s="318">
        <v>111.45149885391037368830568015</v>
      </c>
      <c r="Q18" s="309">
        <v>-35.426433324358776914631366570</v>
      </c>
      <c r="R18" s="319">
        <v>63.299466355930804449776553146</v>
      </c>
      <c r="S18" s="309">
        <v>-58.233871787981353505317902980</v>
      </c>
      <c r="T18" s="309"/>
      <c r="U18" s="310"/>
      <c r="W18" s="282"/>
      <c r="X18" s="1029"/>
      <c r="Y18" s="1029"/>
      <c r="Z18" s="1029"/>
      <c r="AA18" s="1029"/>
      <c r="AB18" s="1029"/>
      <c r="AC18" s="1029"/>
      <c r="AD18" s="1029"/>
      <c r="AE18" s="1029"/>
      <c r="AF18" s="1029"/>
      <c r="AG18" s="282"/>
      <c r="AH18" s="282"/>
      <c r="AI18" s="282"/>
      <c r="AJ18" s="282"/>
      <c r="AK18" s="282"/>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2"/>
      <c r="C19" s="305" t="s">
        <v>60</v>
      </c>
      <c r="D19" s="311">
        <v>50.317098822904803950362969820</v>
      </c>
      <c r="E19" s="134">
        <v>-22.535742898665066865214441050</v>
      </c>
      <c r="F19" s="134">
        <v>42.339106202597981423057364690</v>
      </c>
      <c r="G19" s="134">
        <v>-41.291376656801285353959080650</v>
      </c>
      <c r="H19" s="134"/>
      <c r="I19" s="312"/>
      <c r="J19" s="320">
        <v>201.2587547643269876538852591</v>
      </c>
      <c r="K19" s="134">
        <v>12.221166044128604312493979770</v>
      </c>
      <c r="L19" s="135">
        <v>181.40019929086953243385409168</v>
      </c>
      <c r="M19" s="134">
        <v>5.6449573765265501646137040600</v>
      </c>
      <c r="N19" s="134"/>
      <c r="O19" s="312"/>
      <c r="P19" s="320">
        <v>101.26756652451404074458013745</v>
      </c>
      <c r="Q19" s="134">
        <v>-13.068707413460240970962182890</v>
      </c>
      <c r="R19" s="135">
        <v>76.803223029485641719578756472</v>
      </c>
      <c r="S19" s="134">
        <v>-37.977299892732201364354149170</v>
      </c>
      <c r="T19" s="134"/>
      <c r="U19" s="312"/>
      <c r="W19" s="282"/>
      <c r="X19" s="282"/>
      <c r="Y19" s="282"/>
      <c r="Z19" s="282"/>
      <c r="AA19" s="282"/>
      <c r="AB19" s="282"/>
      <c r="AC19" s="282"/>
      <c r="AD19" s="282"/>
      <c r="AE19" s="282"/>
      <c r="AF19" s="282"/>
      <c r="AG19" s="282"/>
      <c r="AH19" s="282"/>
      <c r="AI19" s="282"/>
      <c r="AJ19" s="282"/>
      <c r="AK19" s="282"/>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2"/>
      <c r="C20" s="306" t="s">
        <v>44</v>
      </c>
      <c r="D20" s="313">
        <v>59.416852087306632761178215780</v>
      </c>
      <c r="E20" s="159">
        <v>-16.240917108701201769042505980</v>
      </c>
      <c r="F20" s="159">
        <v>40.743277529119033190917301280</v>
      </c>
      <c r="G20" s="159">
        <v>-43.868017010689519503948113040</v>
      </c>
      <c r="H20" s="159"/>
      <c r="I20" s="314"/>
      <c r="J20" s="321">
        <v>125.71911171077335843802792581</v>
      </c>
      <c r="K20" s="159">
        <v>-26.770964970724067206522282200</v>
      </c>
      <c r="L20" s="160">
        <v>119.86408022683814589287412464</v>
      </c>
      <c r="M20" s="159">
        <v>-29.049930606350290587612056280</v>
      </c>
      <c r="N20" s="159"/>
      <c r="O20" s="314"/>
      <c r="P20" s="321">
        <v>74.698338650665997610492856219</v>
      </c>
      <c r="Q20" s="159">
        <v>-38.664031849330538273182826410</v>
      </c>
      <c r="R20" s="160">
        <v>48.836554864546556562229299056</v>
      </c>
      <c r="S20" s="159">
        <v>-60.174319117052563538987905930</v>
      </c>
      <c r="T20" s="159"/>
      <c r="U20" s="314"/>
      <c r="W20" s="282"/>
      <c r="X20" s="282"/>
      <c r="Y20" s="282"/>
      <c r="Z20" s="282"/>
      <c r="AA20" s="282"/>
      <c r="AB20" s="282"/>
      <c r="AC20" s="282"/>
      <c r="AD20" s="282"/>
      <c r="AE20" s="282"/>
      <c r="AF20" s="282"/>
      <c r="AG20" s="282"/>
      <c r="AH20" s="282"/>
      <c r="AI20" s="282"/>
      <c r="AJ20" s="282"/>
      <c r="AK20" s="282"/>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3"/>
      <c r="C21" s="307" t="s">
        <v>45</v>
      </c>
      <c r="D21" s="315">
        <v>50.317098822904803950362969820</v>
      </c>
      <c r="E21" s="316">
        <v>-22.535742898665066865214441050</v>
      </c>
      <c r="F21" s="316">
        <v>42.339106202597981423057364690</v>
      </c>
      <c r="G21" s="316">
        <v>-41.291376656801285353959080650</v>
      </c>
      <c r="H21" s="316"/>
      <c r="I21" s="317"/>
      <c r="J21" s="322">
        <v>201.2587547643269876538852591</v>
      </c>
      <c r="K21" s="316">
        <v>12.221166044128604312493979770</v>
      </c>
      <c r="L21" s="323">
        <v>181.40019929086953243385409168</v>
      </c>
      <c r="M21" s="316">
        <v>5.6449573765265501646137040600</v>
      </c>
      <c r="N21" s="316"/>
      <c r="O21" s="317"/>
      <c r="P21" s="322">
        <v>101.26756652451404074458013745</v>
      </c>
      <c r="Q21" s="316">
        <v>-13.068707413460240970962182890</v>
      </c>
      <c r="R21" s="323">
        <v>76.803223029485641719578756472</v>
      </c>
      <c r="S21" s="316">
        <v>-37.977299892732201364354149170</v>
      </c>
      <c r="T21" s="316"/>
      <c r="U21" s="317"/>
      <c r="W21" s="282"/>
      <c r="X21" s="282"/>
      <c r="Y21" s="282"/>
      <c r="Z21" s="282"/>
      <c r="AA21" s="282"/>
      <c r="AB21" s="282"/>
      <c r="AC21" s="282"/>
      <c r="AD21" s="282"/>
      <c r="AE21" s="282"/>
      <c r="AF21" s="282"/>
      <c r="AG21" s="282"/>
      <c r="AH21" s="282"/>
      <c r="AI21" s="282"/>
      <c r="AJ21" s="282"/>
      <c r="AK21" s="282"/>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8"/>
      <c r="C22" s="298"/>
      <c r="D22" s="159"/>
      <c r="E22" s="159"/>
      <c r="F22" s="159"/>
      <c r="G22" s="159"/>
      <c r="H22" s="159"/>
      <c r="I22" s="159"/>
      <c r="J22" s="160"/>
      <c r="K22" s="159"/>
      <c r="L22" s="160"/>
      <c r="M22" s="159"/>
      <c r="N22" s="159"/>
      <c r="O22" s="159"/>
      <c r="P22" s="160"/>
      <c r="Q22" s="159"/>
      <c r="R22" s="160"/>
      <c r="S22" s="159"/>
      <c r="T22" s="159"/>
      <c r="U22" s="159"/>
      <c r="W22" s="282"/>
      <c r="X22" s="282"/>
      <c r="Y22" s="282"/>
      <c r="Z22" s="282"/>
      <c r="AA22" s="282"/>
      <c r="AB22" s="282"/>
      <c r="AC22" s="282"/>
      <c r="AD22" s="282"/>
      <c r="AE22" s="282"/>
      <c r="AF22" s="282"/>
      <c r="AG22" s="282"/>
      <c r="AH22" s="282"/>
      <c r="AI22" s="282"/>
      <c r="AJ22" s="282"/>
      <c r="AK22" s="282"/>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8"/>
      <c r="C23" s="298"/>
      <c r="D23" s="159"/>
      <c r="E23" s="159"/>
      <c r="F23" s="159"/>
      <c r="G23" s="159"/>
      <c r="H23" s="159"/>
      <c r="I23" s="159"/>
      <c r="J23" s="160"/>
      <c r="K23" s="159"/>
      <c r="L23" s="160"/>
      <c r="M23" s="159"/>
      <c r="N23" s="159"/>
      <c r="O23" s="159"/>
      <c r="P23" s="160"/>
      <c r="Q23" s="159"/>
      <c r="R23" s="160"/>
      <c r="S23" s="159"/>
      <c r="T23" s="159"/>
      <c r="U23" s="159"/>
      <c r="W23" s="282"/>
      <c r="X23" s="282"/>
      <c r="Y23" s="282"/>
      <c r="Z23" s="282"/>
      <c r="AA23" s="282"/>
      <c r="AB23" s="282"/>
      <c r="AC23" s="282"/>
      <c r="AD23" s="282"/>
      <c r="AE23" s="282"/>
      <c r="AF23" s="282"/>
      <c r="AG23" s="282"/>
      <c r="AH23" s="282"/>
      <c r="AI23" s="282"/>
      <c r="AJ23" s="282"/>
      <c r="AK23" s="282"/>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4" t="s">
        <v>46</v>
      </c>
      <c r="C24" s="304" t="s">
        <v>42</v>
      </c>
      <c r="D24" s="308">
        <v>67.992424242424242424242424290</v>
      </c>
      <c r="E24" s="309">
        <v>-19.335887100936180754105467410</v>
      </c>
      <c r="F24" s="309">
        <v>41.704904838510570341907305510</v>
      </c>
      <c r="G24" s="309">
        <v>-46.091247398448862343521952790</v>
      </c>
      <c r="H24" s="309"/>
      <c r="I24" s="310"/>
      <c r="J24" s="318">
        <v>154.63975118280306448500920085</v>
      </c>
      <c r="K24" s="309">
        <v>-29.673165156180401770917929270</v>
      </c>
      <c r="L24" s="319">
        <v>142.0359794293295391158969013</v>
      </c>
      <c r="M24" s="309">
        <v>-27.357224058659596118284696160</v>
      </c>
      <c r="N24" s="309"/>
      <c r="O24" s="310"/>
      <c r="P24" s="318">
        <v>105.14331567164071998128466505</v>
      </c>
      <c r="Q24" s="309">
        <v>-43.271482543243206904946214760</v>
      </c>
      <c r="R24" s="319">
        <v>59.235970057448333335512507159</v>
      </c>
      <c r="S24" s="309">
        <v>-60.839185634883691095228193990</v>
      </c>
      <c r="T24" s="309"/>
      <c r="U24" s="310"/>
      <c r="W24" s="282"/>
      <c r="X24" s="282"/>
      <c r="Y24" s="282"/>
      <c r="Z24" s="282"/>
      <c r="AA24" s="282"/>
      <c r="AB24" s="282"/>
      <c r="AC24" s="282"/>
      <c r="AD24" s="282"/>
      <c r="AE24" s="282"/>
      <c r="AF24" s="282"/>
      <c r="AG24" s="282"/>
      <c r="AH24" s="282"/>
      <c r="AI24" s="282"/>
      <c r="AJ24" s="282"/>
      <c r="AK24" s="282"/>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5"/>
      <c r="C25" s="305" t="s">
        <v>60</v>
      </c>
      <c r="D25" s="311">
        <v>42.922064678779111637021941900</v>
      </c>
      <c r="E25" s="134">
        <v>-34.353051131387267767691811530</v>
      </c>
      <c r="F25" s="134">
        <v>38.105868421568032135758297800</v>
      </c>
      <c r="G25" s="134">
        <v>-48.518284288990325014277755460</v>
      </c>
      <c r="H25" s="134"/>
      <c r="I25" s="312"/>
      <c r="J25" s="320">
        <v>174.77720619306342929545428943</v>
      </c>
      <c r="K25" s="134">
        <v>0.699411867593999788931054100</v>
      </c>
      <c r="L25" s="135">
        <v>170.49678171824438525381491686</v>
      </c>
      <c r="M25" s="134">
        <v>-1.5673303557268735736323984400</v>
      </c>
      <c r="N25" s="134"/>
      <c r="O25" s="312"/>
      <c r="P25" s="320">
        <v>75.01798548594981622407168113</v>
      </c>
      <c r="Q25" s="134">
        <v>-33.893908580286825342466877410</v>
      </c>
      <c r="R25" s="135">
        <v>64.969279304562264906632345706</v>
      </c>
      <c r="S25" s="134">
        <v>-49.325172846977990714071710070</v>
      </c>
      <c r="T25" s="134"/>
      <c r="U25" s="312"/>
      <c r="W25" s="282"/>
      <c r="X25" s="282"/>
      <c r="Y25" s="282"/>
      <c r="Z25" s="282"/>
      <c r="AA25" s="282"/>
      <c r="AB25" s="282"/>
      <c r="AC25" s="282"/>
      <c r="AD25" s="282"/>
      <c r="AE25" s="282"/>
      <c r="AF25" s="282"/>
      <c r="AG25" s="282"/>
      <c r="AH25" s="282"/>
      <c r="AI25" s="282"/>
      <c r="AJ25" s="282"/>
      <c r="AK25" s="282"/>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5"/>
      <c r="C26" s="306" t="s">
        <v>44</v>
      </c>
      <c r="D26" s="313">
        <v>45.992530197075651621106166630</v>
      </c>
      <c r="E26" s="159">
        <v>-38.780092659992662545975191380</v>
      </c>
      <c r="F26" s="159">
        <v>34.770331756238771582785373220</v>
      </c>
      <c r="G26" s="159">
        <v>-52.717226440397904387960510220</v>
      </c>
      <c r="H26" s="159"/>
      <c r="I26" s="314"/>
      <c r="J26" s="321">
        <v>136.38049168547887651684332009</v>
      </c>
      <c r="K26" s="159">
        <v>-19.146463657273816990377443970</v>
      </c>
      <c r="L26" s="160">
        <v>121.99628788182187760121487333</v>
      </c>
      <c r="M26" s="159">
        <v>-28.617544712104838615439984760</v>
      </c>
      <c r="N26" s="159"/>
      <c r="O26" s="314"/>
      <c r="P26" s="321">
        <v>62.724838821364120598898131343</v>
      </c>
      <c r="Q26" s="159">
        <v>-50.501539969863873340533668460</v>
      </c>
      <c r="R26" s="160">
        <v>42.418514026805584526445492707</v>
      </c>
      <c r="S26" s="159">
        <v>-66.248395304940318674166411290</v>
      </c>
      <c r="T26" s="159"/>
      <c r="U26" s="314"/>
      <c r="W26" s="282"/>
      <c r="X26" s="282"/>
      <c r="Y26" s="282"/>
      <c r="Z26" s="282"/>
      <c r="AA26" s="282"/>
      <c r="AB26" s="282"/>
      <c r="AC26" s="282"/>
      <c r="AD26" s="282"/>
      <c r="AE26" s="282"/>
      <c r="AF26" s="282"/>
      <c r="AG26" s="282"/>
      <c r="AH26" s="282"/>
      <c r="AI26" s="282"/>
      <c r="AJ26" s="282"/>
      <c r="AK26" s="282"/>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6"/>
      <c r="C27" s="307" t="s">
        <v>45</v>
      </c>
      <c r="D27" s="315">
        <v>42.922064678779111637021941900</v>
      </c>
      <c r="E27" s="316">
        <v>-34.353051131387267767691811530</v>
      </c>
      <c r="F27" s="316">
        <v>38.105868421568032135758297800</v>
      </c>
      <c r="G27" s="316">
        <v>-48.518284288990325014277755460</v>
      </c>
      <c r="H27" s="316"/>
      <c r="I27" s="317"/>
      <c r="J27" s="322">
        <v>174.77720619306342929545428943</v>
      </c>
      <c r="K27" s="316">
        <v>0.699411867593999788931054100</v>
      </c>
      <c r="L27" s="323">
        <v>170.49678171824438525381491686</v>
      </c>
      <c r="M27" s="316">
        <v>-1.5673303557268735736323984400</v>
      </c>
      <c r="N27" s="316"/>
      <c r="O27" s="317"/>
      <c r="P27" s="322">
        <v>75.01798548594981622407168113</v>
      </c>
      <c r="Q27" s="316">
        <v>-33.893908580286825342466877410</v>
      </c>
      <c r="R27" s="323">
        <v>64.969279304562264906632345706</v>
      </c>
      <c r="S27" s="316">
        <v>-49.325172846977990714071710070</v>
      </c>
      <c r="T27" s="316"/>
      <c r="U27" s="317"/>
      <c r="W27" s="282"/>
      <c r="X27" s="282"/>
      <c r="Y27" s="282"/>
      <c r="Z27" s="282"/>
      <c r="AA27" s="282"/>
      <c r="AB27" s="282"/>
      <c r="AC27" s="282"/>
      <c r="AD27" s="282"/>
      <c r="AE27" s="282"/>
      <c r="AF27" s="282"/>
      <c r="AG27" s="282"/>
      <c r="AH27" s="282"/>
      <c r="AI27" s="282"/>
      <c r="AJ27" s="282"/>
      <c r="AK27" s="282"/>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8"/>
      <c r="D28" s="159"/>
      <c r="E28" s="159"/>
      <c r="F28" s="159"/>
      <c r="G28" s="159"/>
      <c r="H28" s="159"/>
      <c r="I28" s="159"/>
      <c r="J28" s="160"/>
      <c r="K28" s="159"/>
      <c r="L28" s="160"/>
      <c r="M28" s="159"/>
      <c r="N28" s="159"/>
      <c r="O28" s="159"/>
      <c r="P28" s="160"/>
      <c r="Q28" s="159"/>
      <c r="R28" s="160"/>
      <c r="S28" s="159"/>
      <c r="T28" s="159"/>
      <c r="U28" s="159"/>
      <c r="W28" s="282"/>
      <c r="X28" s="282"/>
      <c r="Y28" s="282"/>
      <c r="Z28" s="282"/>
      <c r="AA28" s="282"/>
      <c r="AB28" s="282"/>
      <c r="AC28" s="282"/>
      <c r="AD28" s="282"/>
      <c r="AE28" s="282"/>
      <c r="AF28" s="282"/>
      <c r="AG28" s="282"/>
      <c r="AH28" s="282"/>
      <c r="AI28" s="282"/>
      <c r="AJ28" s="282"/>
      <c r="AK28" s="282"/>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8"/>
      <c r="D29" s="159"/>
      <c r="E29" s="159"/>
      <c r="F29" s="159"/>
      <c r="G29" s="159"/>
      <c r="H29" s="159"/>
      <c r="I29" s="159"/>
      <c r="J29" s="160"/>
      <c r="K29" s="159"/>
      <c r="L29" s="160"/>
      <c r="M29" s="159"/>
      <c r="N29" s="159"/>
      <c r="O29" s="159"/>
      <c r="P29" s="160"/>
      <c r="Q29" s="159"/>
      <c r="R29" s="160"/>
      <c r="S29" s="159"/>
      <c r="T29" s="159"/>
      <c r="U29" s="159"/>
      <c r="W29" s="282"/>
      <c r="X29" s="282"/>
      <c r="Y29" s="282"/>
      <c r="Z29" s="282"/>
      <c r="AA29" s="282"/>
      <c r="AB29" s="282"/>
      <c r="AC29" s="282"/>
      <c r="AD29" s="282"/>
      <c r="AE29" s="282"/>
      <c r="AF29" s="282"/>
      <c r="AG29" s="282"/>
      <c r="AH29" s="282"/>
      <c r="AI29" s="282"/>
      <c r="AJ29" s="282"/>
      <c r="AK29" s="282"/>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4" t="s">
        <v>47</v>
      </c>
      <c r="C30" s="304" t="s">
        <v>42</v>
      </c>
      <c r="D30" s="308">
        <v>62.424242424242424242424242490</v>
      </c>
      <c r="E30" s="309">
        <v>-24.585428918284011540826461900</v>
      </c>
      <c r="F30" s="309">
        <v>40.472860814974540111528777770</v>
      </c>
      <c r="G30" s="309">
        <v>-50.315059234216593840616029540</v>
      </c>
      <c r="H30" s="309"/>
      <c r="I30" s="309"/>
      <c r="J30" s="318">
        <v>152.15775097123465251922231805</v>
      </c>
      <c r="K30" s="309">
        <v>-40.664839290530697830015380260</v>
      </c>
      <c r="L30" s="319">
        <v>142.70530072016179798137780103</v>
      </c>
      <c r="M30" s="309">
        <v>-32.984993824193767347547412090</v>
      </c>
      <c r="N30" s="309"/>
      <c r="O30" s="310"/>
      <c r="P30" s="318">
        <v>94.98332333355860126957514409</v>
      </c>
      <c r="Q30" s="309">
        <v>-55.252643050306856314230401670</v>
      </c>
      <c r="R30" s="319">
        <v>57.756917736061944529398641547</v>
      </c>
      <c r="S30" s="309">
        <v>-66.703633877364581859358029150</v>
      </c>
      <c r="T30" s="309"/>
      <c r="U30" s="310"/>
      <c r="W30" s="282"/>
      <c r="X30" s="282"/>
      <c r="Y30" s="282"/>
      <c r="Z30" s="282"/>
      <c r="AA30" s="282"/>
      <c r="AB30" s="282"/>
      <c r="AC30" s="282"/>
      <c r="AD30" s="282"/>
      <c r="AE30" s="282"/>
      <c r="AF30" s="282"/>
      <c r="AG30" s="282"/>
      <c r="AH30" s="282"/>
      <c r="AI30" s="282"/>
      <c r="AJ30" s="282"/>
      <c r="AK30" s="282"/>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5"/>
      <c r="C31" s="305" t="s">
        <v>60</v>
      </c>
      <c r="D31" s="311">
        <v>38.413070008479988698744432120</v>
      </c>
      <c r="E31" s="134">
        <v>-40.187335979421552163437295040</v>
      </c>
      <c r="F31" s="134">
        <v>38.724552448621912675310882500</v>
      </c>
      <c r="G31" s="134">
        <v>-50.220029322135095503518891940</v>
      </c>
      <c r="H31" s="134"/>
      <c r="I31" s="134"/>
      <c r="J31" s="320">
        <v>177.05039109812616512288499814</v>
      </c>
      <c r="K31" s="134">
        <v>-2.5686079697419326664931111300</v>
      </c>
      <c r="L31" s="135">
        <v>175.18944230542494309999515314</v>
      </c>
      <c r="M31" s="134">
        <v>-1.8672748326236480785697805600</v>
      </c>
      <c r="N31" s="134"/>
      <c r="O31" s="312"/>
      <c r="P31" s="320">
        <v>68.010490682810825653173317224</v>
      </c>
      <c r="Q31" s="134">
        <v>-41.723688834369095667532196150</v>
      </c>
      <c r="R31" s="135">
        <v>67.841327470012507787535663416</v>
      </c>
      <c r="S31" s="134">
        <v>-51.149558186290298490787624640</v>
      </c>
      <c r="T31" s="134"/>
      <c r="U31" s="312"/>
      <c r="W31" s="282"/>
      <c r="X31" s="282"/>
      <c r="Y31" s="282"/>
      <c r="Z31" s="282"/>
      <c r="AA31" s="282"/>
      <c r="AB31" s="282"/>
      <c r="AC31" s="282"/>
      <c r="AD31" s="282"/>
      <c r="AE31" s="282"/>
      <c r="AF31" s="282"/>
      <c r="AG31" s="282"/>
      <c r="AH31" s="282"/>
      <c r="AI31" s="282"/>
      <c r="AJ31" s="282"/>
      <c r="AK31" s="282"/>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5"/>
      <c r="C32" s="306" t="s">
        <v>44</v>
      </c>
      <c r="D32" s="313">
        <v>43.845624072896800169527442310</v>
      </c>
      <c r="E32" s="159">
        <v>-38.103020729009173899906340390</v>
      </c>
      <c r="F32" s="159">
        <v>34.375132727637733153243812670</v>
      </c>
      <c r="G32" s="159">
        <v>-54.633054759466054514576457620</v>
      </c>
      <c r="H32" s="159"/>
      <c r="I32" s="159"/>
      <c r="J32" s="321">
        <v>130.21725789962628818831209298</v>
      </c>
      <c r="K32" s="159">
        <v>-30.712082600435161452316928790</v>
      </c>
      <c r="L32" s="160">
        <v>125.47892210790025666985754009</v>
      </c>
      <c r="M32" s="159">
        <v>-29.978965157230637643623028890</v>
      </c>
      <c r="N32" s="159"/>
      <c r="O32" s="314"/>
      <c r="P32" s="321">
        <v>57.094569376704654001532495044</v>
      </c>
      <c r="Q32" s="159">
        <v>-57.112872129890106044125415850</v>
      </c>
      <c r="R32" s="160">
        <v>43.133546019799880069652259483</v>
      </c>
      <c r="S32" s="159">
        <v>-68.233595466025629125895473260</v>
      </c>
      <c r="T32" s="159"/>
      <c r="U32" s="314"/>
      <c r="W32" s="282"/>
      <c r="X32" s="282"/>
      <c r="Y32" s="282"/>
      <c r="Z32" s="282"/>
      <c r="AA32" s="282"/>
      <c r="AB32" s="282"/>
      <c r="AC32" s="282"/>
      <c r="AD32" s="282"/>
      <c r="AE32" s="282"/>
      <c r="AF32" s="282"/>
      <c r="AG32" s="282"/>
      <c r="AH32" s="282"/>
      <c r="AI32" s="282"/>
      <c r="AJ32" s="282"/>
      <c r="AK32" s="282"/>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6"/>
      <c r="C33" s="307" t="s">
        <v>45</v>
      </c>
      <c r="D33" s="315">
        <v>38.413070008479988698744432120</v>
      </c>
      <c r="E33" s="316">
        <v>-40.187335979421552163437295040</v>
      </c>
      <c r="F33" s="316">
        <v>38.724552448621912675310882500</v>
      </c>
      <c r="G33" s="316">
        <v>-50.220029322135095503518891940</v>
      </c>
      <c r="H33" s="316"/>
      <c r="I33" s="316"/>
      <c r="J33" s="322">
        <v>177.05039109812616512288499814</v>
      </c>
      <c r="K33" s="316">
        <v>-2.5686079697419326664931111300</v>
      </c>
      <c r="L33" s="323">
        <v>175.18944230542494309999515314</v>
      </c>
      <c r="M33" s="316">
        <v>-1.8672748326236480785697805600</v>
      </c>
      <c r="N33" s="316"/>
      <c r="O33" s="317"/>
      <c r="P33" s="322">
        <v>68.010490682810825653173317224</v>
      </c>
      <c r="Q33" s="316">
        <v>-41.723688834369095667532196150</v>
      </c>
      <c r="R33" s="323">
        <v>67.841327470012507787535663416</v>
      </c>
      <c r="S33" s="316">
        <v>-51.149558186290298490787624640</v>
      </c>
      <c r="T33" s="316"/>
      <c r="U33" s="317"/>
      <c r="W33" s="282"/>
      <c r="X33" s="282"/>
      <c r="Y33" s="282"/>
      <c r="Z33" s="282"/>
      <c r="AA33" s="282"/>
      <c r="AB33" s="282"/>
      <c r="AC33" s="282"/>
      <c r="AD33" s="282"/>
      <c r="AE33" s="282"/>
      <c r="AF33" s="282"/>
      <c r="AG33" s="282"/>
      <c r="AH33" s="282"/>
      <c r="AI33" s="282"/>
      <c r="AJ33" s="282"/>
      <c r="AK33" s="282"/>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8"/>
      <c r="D34" s="159"/>
      <c r="E34" s="159"/>
      <c r="F34" s="159"/>
      <c r="G34" s="159"/>
      <c r="H34" s="159"/>
      <c r="I34" s="159"/>
      <c r="J34" s="160"/>
      <c r="K34" s="159"/>
      <c r="L34" s="160"/>
      <c r="M34" s="159"/>
      <c r="N34" s="159"/>
      <c r="O34" s="159"/>
      <c r="P34" s="160"/>
      <c r="Q34" s="159"/>
      <c r="R34" s="160"/>
      <c r="S34" s="159"/>
      <c r="T34" s="159"/>
      <c r="U34" s="159"/>
      <c r="W34" s="282"/>
      <c r="X34" s="282"/>
      <c r="Y34" s="282"/>
      <c r="Z34" s="282"/>
      <c r="AA34" s="282"/>
      <c r="AB34" s="282"/>
      <c r="AC34" s="282"/>
      <c r="AD34" s="282"/>
      <c r="AE34" s="282"/>
      <c r="AF34" s="282"/>
      <c r="AG34" s="282"/>
      <c r="AH34" s="282"/>
      <c r="AI34" s="282"/>
      <c r="AJ34" s="282"/>
      <c r="AK34" s="282"/>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8"/>
      <c r="D35" s="159"/>
      <c r="E35" s="159"/>
      <c r="F35" s="159"/>
      <c r="G35" s="159"/>
      <c r="H35" s="159"/>
      <c r="I35" s="159"/>
      <c r="J35" s="160"/>
      <c r="K35" s="159"/>
      <c r="L35" s="160"/>
      <c r="M35" s="159"/>
      <c r="N35" s="159"/>
      <c r="O35" s="159"/>
      <c r="P35" s="160"/>
      <c r="Q35" s="159"/>
      <c r="R35" s="160"/>
      <c r="S35" s="159"/>
      <c r="T35" s="159"/>
      <c r="U35" s="159"/>
      <c r="W35" s="282"/>
      <c r="X35" s="282"/>
      <c r="Y35" s="282"/>
      <c r="Z35" s="282"/>
      <c r="AA35" s="282"/>
      <c r="AB35" s="282"/>
      <c r="AC35" s="282"/>
      <c r="AD35" s="282"/>
      <c r="AE35" s="282"/>
      <c r="AF35" s="282"/>
      <c r="AG35" s="282"/>
      <c r="AH35" s="282"/>
      <c r="AI35" s="282"/>
      <c r="AJ35" s="282"/>
      <c r="AK35" s="282"/>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4" t="s">
        <v>48</v>
      </c>
      <c r="C36" s="304" t="s">
        <v>42</v>
      </c>
      <c r="D36" s="308">
        <v>61.515151515151515151515151580</v>
      </c>
      <c r="E36" s="309">
        <v>-22.711047345767575322812051630</v>
      </c>
      <c r="F36" s="309">
        <v>44.170423831022277759958644920</v>
      </c>
      <c r="G36" s="309">
        <v>-45.691406771729605986337658200</v>
      </c>
      <c r="H36" s="309"/>
      <c r="I36" s="309"/>
      <c r="J36" s="318">
        <v>169.20409659942943338620633048</v>
      </c>
      <c r="K36" s="309">
        <v>-24.356995926914996599357906510</v>
      </c>
      <c r="L36" s="319">
        <v>155.65707937276526937276750208</v>
      </c>
      <c r="M36" s="309">
        <v>-22.297076439391839454822362300</v>
      </c>
      <c r="N36" s="309"/>
      <c r="O36" s="310"/>
      <c r="P36" s="318">
        <v>104.08615639298234841636328825</v>
      </c>
      <c r="Q36" s="309">
        <v>-41.536314395714227156471307980</v>
      </c>
      <c r="R36" s="319">
        <v>68.75439168194117277722154301</v>
      </c>
      <c r="S36" s="309">
        <v>-57.800635316995435992797779730</v>
      </c>
      <c r="T36" s="309"/>
      <c r="U36" s="310"/>
      <c r="W36" s="282"/>
      <c r="X36" s="282"/>
      <c r="Y36" s="282"/>
      <c r="Z36" s="282"/>
      <c r="AA36" s="282"/>
      <c r="AB36" s="282"/>
      <c r="AC36" s="282"/>
      <c r="AD36" s="282"/>
      <c r="AE36" s="282"/>
      <c r="AF36" s="282"/>
      <c r="AG36" s="282"/>
      <c r="AH36" s="282"/>
      <c r="AI36" s="282"/>
      <c r="AJ36" s="282"/>
      <c r="AK36" s="282"/>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5"/>
      <c r="C37" s="305" t="s">
        <v>60</v>
      </c>
      <c r="D37" s="311">
        <v>41.565584815630140396655707910</v>
      </c>
      <c r="E37" s="134">
        <v>-35.791759599269602175972826380</v>
      </c>
      <c r="F37" s="134">
        <v>41.341119206346437821399109410</v>
      </c>
      <c r="G37" s="134">
        <v>-47.777624021302695909837627780</v>
      </c>
      <c r="H37" s="134"/>
      <c r="I37" s="134"/>
      <c r="J37" s="320">
        <v>203.94021184793049324722075682</v>
      </c>
      <c r="K37" s="134">
        <v>20.053054120307851937866955040</v>
      </c>
      <c r="L37" s="135">
        <v>180.90810934320475611941998387</v>
      </c>
      <c r="M37" s="134">
        <v>1.4980336592530630111867473900</v>
      </c>
      <c r="N37" s="134"/>
      <c r="O37" s="312"/>
      <c r="P37" s="320">
        <v>84.76894172882733765280043153</v>
      </c>
      <c r="Q37" s="134">
        <v>-22.916046402013764312685433230</v>
      </c>
      <c r="R37" s="135">
        <v>74.789437137521836000733912504</v>
      </c>
      <c r="S37" s="134">
        <v>-46.995315251480124107676455690</v>
      </c>
      <c r="T37" s="134"/>
      <c r="U37" s="312"/>
      <c r="W37" s="282"/>
      <c r="X37" s="282"/>
      <c r="Y37" s="282"/>
      <c r="Z37" s="282"/>
      <c r="AA37" s="282"/>
      <c r="AB37" s="282"/>
      <c r="AC37" s="282"/>
      <c r="AD37" s="282"/>
      <c r="AE37" s="282"/>
      <c r="AF37" s="282"/>
      <c r="AG37" s="282"/>
      <c r="AH37" s="282"/>
      <c r="AI37" s="282"/>
      <c r="AJ37" s="282"/>
      <c r="AK37" s="282"/>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5"/>
      <c r="C38" s="306" t="s">
        <v>44</v>
      </c>
      <c r="D38" s="313">
        <v>45.508714770078406442042805710</v>
      </c>
      <c r="E38" s="159">
        <v>-36.032104363363446568842104750</v>
      </c>
      <c r="F38" s="159">
        <v>36.932614407775809477688208410</v>
      </c>
      <c r="G38" s="159">
        <v>-52.483413806751594399805392280</v>
      </c>
      <c r="H38" s="159"/>
      <c r="I38" s="159"/>
      <c r="J38" s="321">
        <v>141.27614429986593924327130434</v>
      </c>
      <c r="K38" s="159">
        <v>-15.641231237464167520367898150</v>
      </c>
      <c r="L38" s="160">
        <v>131.48722343183497334222374347</v>
      </c>
      <c r="M38" s="159">
        <v>-24.798783236364662859390556080</v>
      </c>
      <c r="N38" s="159"/>
      <c r="O38" s="314"/>
      <c r="P38" s="321">
        <v>64.292957547590373380802619258</v>
      </c>
      <c r="Q38" s="159">
        <v>-46.037470837629521375284669560</v>
      </c>
      <c r="R38" s="160">
        <v>48.561669225570253530387982187</v>
      </c>
      <c r="S38" s="159">
        <v>-64.266949018135645913520815660</v>
      </c>
      <c r="T38" s="159"/>
      <c r="U38" s="314"/>
      <c r="W38" s="282"/>
      <c r="X38" s="282"/>
      <c r="Y38" s="282"/>
      <c r="Z38" s="282"/>
      <c r="AA38" s="282"/>
      <c r="AB38" s="282"/>
      <c r="AC38" s="282"/>
      <c r="AD38" s="282"/>
      <c r="AE38" s="282"/>
      <c r="AF38" s="282"/>
      <c r="AG38" s="282"/>
      <c r="AH38" s="282"/>
      <c r="AI38" s="282"/>
      <c r="AJ38" s="282"/>
      <c r="AK38" s="282"/>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6"/>
      <c r="C39" s="307" t="s">
        <v>45</v>
      </c>
      <c r="D39" s="315">
        <v>41.565584815630140396655707910</v>
      </c>
      <c r="E39" s="316">
        <v>-35.791759599269602175972826380</v>
      </c>
      <c r="F39" s="316">
        <v>41.341119206346437821399109410</v>
      </c>
      <c r="G39" s="316">
        <v>-47.777624021302695909837627780</v>
      </c>
      <c r="H39" s="316"/>
      <c r="I39" s="316"/>
      <c r="J39" s="322">
        <v>203.94021184793049324722075682</v>
      </c>
      <c r="K39" s="316">
        <v>20.053054120307851937866955040</v>
      </c>
      <c r="L39" s="323">
        <v>180.90810934320475611941998387</v>
      </c>
      <c r="M39" s="316">
        <v>1.4980336592530630111867473900</v>
      </c>
      <c r="N39" s="316"/>
      <c r="O39" s="317"/>
      <c r="P39" s="322">
        <v>84.76894172882733765280043153</v>
      </c>
      <c r="Q39" s="316">
        <v>-22.916046402013764312685433230</v>
      </c>
      <c r="R39" s="323">
        <v>74.789437137521836000733912504</v>
      </c>
      <c r="S39" s="316">
        <v>-46.995315251480124107676455690</v>
      </c>
      <c r="T39" s="316"/>
      <c r="U39" s="317"/>
      <c r="W39" s="282"/>
      <c r="X39" s="282"/>
      <c r="Y39" s="282"/>
      <c r="Z39" s="282"/>
      <c r="AA39" s="282"/>
      <c r="AB39" s="282"/>
      <c r="AC39" s="282"/>
      <c r="AD39" s="282"/>
      <c r="AE39" s="282"/>
      <c r="AF39" s="282"/>
      <c r="AG39" s="282"/>
      <c r="AH39" s="282"/>
      <c r="AI39" s="282"/>
      <c r="AJ39" s="282"/>
      <c r="AK39" s="282"/>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8"/>
      <c r="D40" s="159"/>
      <c r="E40" s="159"/>
      <c r="F40" s="159"/>
      <c r="G40" s="159"/>
      <c r="H40" s="159"/>
      <c r="I40" s="159"/>
      <c r="J40" s="160"/>
      <c r="K40" s="159"/>
      <c r="L40" s="160"/>
      <c r="M40" s="159"/>
      <c r="N40" s="159"/>
      <c r="O40" s="159"/>
      <c r="P40" s="160"/>
      <c r="Q40" s="159"/>
      <c r="R40" s="160"/>
      <c r="S40" s="159"/>
      <c r="T40" s="159"/>
      <c r="U40" s="159"/>
      <c r="W40" s="282"/>
      <c r="X40" s="282"/>
      <c r="Y40" s="282"/>
      <c r="Z40" s="282"/>
      <c r="AA40" s="282"/>
      <c r="AB40" s="282"/>
      <c r="AC40" s="282"/>
      <c r="AD40" s="282"/>
      <c r="AE40" s="282"/>
      <c r="AF40" s="282"/>
      <c r="AG40" s="282"/>
      <c r="AH40" s="282"/>
      <c r="AI40" s="282"/>
      <c r="AJ40" s="282"/>
      <c r="AK40" s="282"/>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8"/>
      <c r="D41" s="159"/>
      <c r="E41" s="159"/>
      <c r="F41" s="159"/>
      <c r="G41" s="159"/>
      <c r="H41" s="159"/>
      <c r="I41" s="159"/>
      <c r="J41" s="160"/>
      <c r="K41" s="159"/>
      <c r="L41" s="160"/>
      <c r="M41" s="159"/>
      <c r="N41" s="159"/>
      <c r="O41" s="159"/>
      <c r="P41" s="160"/>
      <c r="Q41" s="159"/>
      <c r="R41" s="160"/>
      <c r="S41" s="159"/>
      <c r="T41" s="159"/>
      <c r="U41" s="159"/>
      <c r="W41" s="282"/>
      <c r="X41" s="282"/>
      <c r="Y41" s="282"/>
      <c r="Z41" s="282"/>
      <c r="AA41" s="282"/>
      <c r="AB41" s="282"/>
      <c r="AC41" s="282"/>
      <c r="AD41" s="282"/>
      <c r="AE41" s="282"/>
      <c r="AF41" s="282"/>
      <c r="AG41" s="282"/>
      <c r="AH41" s="282"/>
      <c r="AI41" s="282"/>
      <c r="AJ41" s="282"/>
      <c r="AK41" s="282"/>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4" t="s">
        <v>49</v>
      </c>
      <c r="C42" s="304" t="s">
        <v>42</v>
      </c>
      <c r="D42" s="308">
        <v>70.454545454545454545454545500</v>
      </c>
      <c r="E42" s="309">
        <v>-20.727822253764993438219845620</v>
      </c>
      <c r="F42" s="309">
        <v>49.862724789937873876620414070</v>
      </c>
      <c r="G42" s="309">
        <v>-41.860625101121448809907745440</v>
      </c>
      <c r="H42" s="309"/>
      <c r="I42" s="309"/>
      <c r="J42" s="318">
        <v>206.67519372816061225824209759</v>
      </c>
      <c r="K42" s="309">
        <v>-22.823567990437102153447259900</v>
      </c>
      <c r="L42" s="319">
        <v>173.06453106258997981328037796</v>
      </c>
      <c r="M42" s="309">
        <v>-20.003757692258405348199813560</v>
      </c>
      <c r="N42" s="309"/>
      <c r="O42" s="310"/>
      <c r="P42" s="318">
        <v>145.6120683084767950001251143</v>
      </c>
      <c r="Q42" s="309">
        <v>-38.820561639177090222042033260</v>
      </c>
      <c r="R42" s="319">
        <v>86.29469083273578599631830426</v>
      </c>
      <c r="S42" s="309">
        <v>-53.490684779686819469482624490</v>
      </c>
      <c r="T42" s="309"/>
      <c r="U42" s="310"/>
      <c r="W42" s="282"/>
      <c r="X42" s="282"/>
      <c r="Y42" s="282"/>
      <c r="Z42" s="282"/>
      <c r="AA42" s="282"/>
      <c r="AB42" s="282"/>
      <c r="AC42" s="282"/>
      <c r="AD42" s="282"/>
      <c r="AE42" s="282"/>
      <c r="AF42" s="282"/>
      <c r="AG42" s="282"/>
      <c r="AH42" s="282"/>
      <c r="AI42" s="282"/>
      <c r="AJ42" s="282"/>
      <c r="AK42" s="282"/>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5"/>
      <c r="C43" s="305" t="s">
        <v>60</v>
      </c>
      <c r="D43" s="311">
        <v>49.876854078455981184975680320</v>
      </c>
      <c r="E43" s="134">
        <v>-29.018933178746750359482547080</v>
      </c>
      <c r="F43" s="134">
        <v>43.713129046583344528344513990</v>
      </c>
      <c r="G43" s="134">
        <v>-45.733357756165182118591719890</v>
      </c>
      <c r="H43" s="134"/>
      <c r="I43" s="134"/>
      <c r="J43" s="320">
        <v>215.35027997796295386448017629</v>
      </c>
      <c r="K43" s="134">
        <v>16.919310981717857227377099960</v>
      </c>
      <c r="L43" s="135">
        <v>191.57397412782934973253866267</v>
      </c>
      <c r="M43" s="134">
        <v>5.907521746057228404307173600</v>
      </c>
      <c r="N43" s="134"/>
      <c r="O43" s="312"/>
      <c r="P43" s="320">
        <v>107.40994490215498981437720011</v>
      </c>
      <c r="Q43" s="134">
        <v>-17.009425745117958932989399450</v>
      </c>
      <c r="R43" s="135">
        <v>83.74297853016623294305410883</v>
      </c>
      <c r="S43" s="134">
        <v>-42.527544064755561974500800010</v>
      </c>
      <c r="T43" s="134"/>
      <c r="U43" s="312"/>
      <c r="W43" s="282"/>
      <c r="X43" s="282"/>
      <c r="Y43" s="282"/>
      <c r="Z43" s="282"/>
      <c r="AA43" s="282"/>
      <c r="AB43" s="282"/>
      <c r="AC43" s="282"/>
      <c r="AD43" s="282"/>
      <c r="AE43" s="282"/>
      <c r="AF43" s="282"/>
      <c r="AG43" s="282"/>
      <c r="AH43" s="282"/>
      <c r="AI43" s="282"/>
      <c r="AJ43" s="282"/>
      <c r="AK43" s="282"/>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5"/>
      <c r="C44" s="306" t="s">
        <v>44</v>
      </c>
      <c r="D44" s="313">
        <v>58.089580873671782762691853650</v>
      </c>
      <c r="E44" s="159">
        <v>-25.979676240191563555028606540</v>
      </c>
      <c r="F44" s="159">
        <v>41.734621995294858636848493770</v>
      </c>
      <c r="G44" s="159">
        <v>-49.041906570008725397895938250</v>
      </c>
      <c r="H44" s="159"/>
      <c r="I44" s="159"/>
      <c r="J44" s="321">
        <v>150.18058454016212880150712416</v>
      </c>
      <c r="K44" s="159">
        <v>-17.609339542408983159905940500</v>
      </c>
      <c r="L44" s="160">
        <v>139.6743700490289233823674323</v>
      </c>
      <c r="M44" s="159">
        <v>-22.337220831290148701176243340</v>
      </c>
      <c r="N44" s="159"/>
      <c r="O44" s="314"/>
      <c r="P44" s="321">
        <v>87.23927211301050225532058253</v>
      </c>
      <c r="Q44" s="159">
        <v>-39.014166381446662316470365410</v>
      </c>
      <c r="R44" s="160">
        <v>58.292570364271559285402503891</v>
      </c>
      <c r="S44" s="159">
        <v>-60.424528430881033036030835370</v>
      </c>
      <c r="T44" s="159"/>
      <c r="U44" s="314"/>
      <c r="W44" s="282"/>
      <c r="X44" s="282"/>
      <c r="Y44" s="282"/>
      <c r="Z44" s="282"/>
      <c r="AA44" s="282"/>
      <c r="AB44" s="282"/>
      <c r="AC44" s="282"/>
      <c r="AD44" s="282"/>
      <c r="AE44" s="282"/>
      <c r="AF44" s="282"/>
      <c r="AG44" s="282"/>
      <c r="AH44" s="282"/>
      <c r="AI44" s="282"/>
      <c r="AJ44" s="282"/>
      <c r="AK44" s="282"/>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6"/>
      <c r="C45" s="307" t="s">
        <v>45</v>
      </c>
      <c r="D45" s="315">
        <v>49.876854078455981184975680320</v>
      </c>
      <c r="E45" s="316">
        <v>-29.018933178746750359482547080</v>
      </c>
      <c r="F45" s="316">
        <v>43.713129046583344528344513990</v>
      </c>
      <c r="G45" s="316">
        <v>-45.733357756165182118591719890</v>
      </c>
      <c r="H45" s="316"/>
      <c r="I45" s="316"/>
      <c r="J45" s="322">
        <v>215.35027997796295386448017629</v>
      </c>
      <c r="K45" s="316">
        <v>16.919310981717857227377099960</v>
      </c>
      <c r="L45" s="323">
        <v>191.57397412782934973253866267</v>
      </c>
      <c r="M45" s="316">
        <v>5.907521746057228404307173600</v>
      </c>
      <c r="N45" s="316"/>
      <c r="O45" s="317"/>
      <c r="P45" s="322">
        <v>107.40994490215498981437720011</v>
      </c>
      <c r="Q45" s="316">
        <v>-17.009425745117958932989399450</v>
      </c>
      <c r="R45" s="323">
        <v>83.74297853016623294305410883</v>
      </c>
      <c r="S45" s="316">
        <v>-42.527544064755561974500800010</v>
      </c>
      <c r="T45" s="316"/>
      <c r="U45" s="317"/>
      <c r="W45" s="282"/>
      <c r="X45" s="282"/>
      <c r="Y45" s="282"/>
      <c r="Z45" s="282"/>
      <c r="AA45" s="282"/>
      <c r="AB45" s="282"/>
      <c r="AC45" s="282"/>
      <c r="AD45" s="282"/>
      <c r="AE45" s="282"/>
      <c r="AF45" s="282"/>
      <c r="AG45" s="282"/>
      <c r="AH45" s="282"/>
      <c r="AI45" s="282"/>
      <c r="AJ45" s="282"/>
      <c r="AK45" s="282"/>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8"/>
      <c r="D46" s="159"/>
      <c r="E46" s="159"/>
      <c r="F46" s="159"/>
      <c r="G46" s="159"/>
      <c r="H46" s="159"/>
      <c r="I46" s="159"/>
      <c r="J46" s="160"/>
      <c r="K46" s="159"/>
      <c r="L46" s="160"/>
      <c r="M46" s="159"/>
      <c r="N46" s="159"/>
      <c r="O46" s="159"/>
      <c r="P46" s="160"/>
      <c r="Q46" s="159"/>
      <c r="R46" s="160"/>
      <c r="S46" s="159"/>
      <c r="T46" s="159"/>
      <c r="U46" s="159"/>
      <c r="W46" s="282"/>
      <c r="X46" s="282"/>
      <c r="Y46" s="282"/>
      <c r="Z46" s="282"/>
      <c r="AA46" s="282"/>
      <c r="AB46" s="282"/>
      <c r="AC46" s="282"/>
      <c r="AD46" s="282"/>
      <c r="AE46" s="282"/>
      <c r="AF46" s="282"/>
      <c r="AG46" s="282"/>
      <c r="AH46" s="282"/>
      <c r="AI46" s="282"/>
      <c r="AJ46" s="282"/>
      <c r="AK46" s="282"/>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8"/>
      <c r="D47" s="159"/>
      <c r="E47" s="159"/>
      <c r="F47" s="159"/>
      <c r="G47" s="159"/>
      <c r="H47" s="159"/>
      <c r="I47" s="159"/>
      <c r="J47" s="160"/>
      <c r="K47" s="159"/>
      <c r="L47" s="160"/>
      <c r="M47" s="159"/>
      <c r="N47" s="159"/>
      <c r="O47" s="159"/>
      <c r="P47" s="160"/>
      <c r="Q47" s="159"/>
      <c r="R47" s="160"/>
      <c r="S47" s="159"/>
      <c r="T47" s="159"/>
      <c r="U47" s="159"/>
      <c r="W47" s="282"/>
      <c r="X47" s="282"/>
      <c r="Y47" s="282"/>
      <c r="Z47" s="282"/>
      <c r="AA47" s="282"/>
      <c r="AB47" s="282"/>
      <c r="AC47" s="282"/>
      <c r="AD47" s="282"/>
      <c r="AE47" s="282"/>
      <c r="AF47" s="282"/>
      <c r="AG47" s="282"/>
      <c r="AH47" s="282"/>
      <c r="AI47" s="282"/>
      <c r="AJ47" s="282"/>
      <c r="AK47" s="282"/>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4" t="s">
        <v>50</v>
      </c>
      <c r="C48" s="304" t="s">
        <v>42</v>
      </c>
      <c r="D48" s="308">
        <v>79.92424242424242424242424246</v>
      </c>
      <c r="E48" s="309">
        <v>-9.299393714999768593511362100</v>
      </c>
      <c r="F48" s="309">
        <v>51.013204923414027541224753490</v>
      </c>
      <c r="G48" s="309">
        <v>-43.775364767638068105831746460</v>
      </c>
      <c r="H48" s="309"/>
      <c r="I48" s="309"/>
      <c r="J48" s="318">
        <v>162.41045529932034379637642212</v>
      </c>
      <c r="K48" s="309">
        <v>-45.774872431385509641120387510</v>
      </c>
      <c r="L48" s="319">
        <v>134.87694305663041790082866906</v>
      </c>
      <c r="M48" s="309">
        <v>-41.967158213085086579075267290</v>
      </c>
      <c r="N48" s="309"/>
      <c r="O48" s="310"/>
      <c r="P48" s="318">
        <v>129.80532601574466871604327683</v>
      </c>
      <c r="Q48" s="309">
        <v>-50.817480536451852389669653180</v>
      </c>
      <c r="R48" s="319">
        <v>68.805051355915322713517481652</v>
      </c>
      <c r="S48" s="309">
        <v>-67.371246390333379859357409370</v>
      </c>
      <c r="T48" s="309"/>
      <c r="U48" s="310"/>
      <c r="W48" s="282"/>
      <c r="X48" s="282"/>
      <c r="Y48" s="282"/>
      <c r="Z48" s="282"/>
      <c r="AA48" s="282"/>
      <c r="AB48" s="282"/>
      <c r="AC48" s="282"/>
      <c r="AD48" s="282"/>
      <c r="AE48" s="282"/>
      <c r="AF48" s="282"/>
      <c r="AG48" s="282"/>
      <c r="AH48" s="282"/>
      <c r="AI48" s="282"/>
      <c r="AJ48" s="282"/>
      <c r="AK48" s="282"/>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5"/>
      <c r="C49" s="305" t="s">
        <v>60</v>
      </c>
      <c r="D49" s="311">
        <v>57.760214226031940517556561380</v>
      </c>
      <c r="E49" s="134">
        <v>-18.957667709744023867610888240</v>
      </c>
      <c r="F49" s="134">
        <v>48.862237363304583873882275050</v>
      </c>
      <c r="G49" s="134">
        <v>-42.998933918997779396337199440</v>
      </c>
      <c r="H49" s="134"/>
      <c r="I49" s="134"/>
      <c r="J49" s="320">
        <v>228.12048911362302945878163108</v>
      </c>
      <c r="K49" s="134">
        <v>-2.268467553855963881040221700</v>
      </c>
      <c r="L49" s="135">
        <v>193.68197962734302300148904429</v>
      </c>
      <c r="M49" s="134">
        <v>1.026152469347339473981299400</v>
      </c>
      <c r="N49" s="134"/>
      <c r="O49" s="312"/>
      <c r="P49" s="320">
        <v>131.76288320550053323033880893</v>
      </c>
      <c r="Q49" s="134">
        <v>-20.796086722636615559574747410</v>
      </c>
      <c r="R49" s="135">
        <v>94.63734861545957482576810397</v>
      </c>
      <c r="S49" s="134">
        <v>-42.414016071853266366578400930</v>
      </c>
      <c r="T49" s="134"/>
      <c r="U49" s="312"/>
      <c r="W49" s="282"/>
      <c r="X49" s="282"/>
      <c r="Y49" s="282"/>
      <c r="Z49" s="282"/>
      <c r="AA49" s="282"/>
      <c r="AB49" s="282"/>
      <c r="AC49" s="282"/>
      <c r="AD49" s="282"/>
      <c r="AE49" s="282"/>
      <c r="AF49" s="282"/>
      <c r="AG49" s="282"/>
      <c r="AH49" s="282"/>
      <c r="AI49" s="282"/>
      <c r="AJ49" s="282"/>
      <c r="AK49" s="282"/>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5"/>
      <c r="C50" s="306" t="s">
        <v>44</v>
      </c>
      <c r="D50" s="313">
        <v>75.593743377834286925196016170</v>
      </c>
      <c r="E50" s="159">
        <v>-6.0987990183472284437575818200</v>
      </c>
      <c r="F50" s="159">
        <v>48.243250242505029923827737920</v>
      </c>
      <c r="G50" s="159">
        <v>-45.502535709339124685477525320</v>
      </c>
      <c r="H50" s="159"/>
      <c r="I50" s="159"/>
      <c r="J50" s="321">
        <v>144.82009370425541999435412923</v>
      </c>
      <c r="K50" s="159">
        <v>-37.621298462934052997515377240</v>
      </c>
      <c r="L50" s="160">
        <v>127.25831491371296694427771561</v>
      </c>
      <c r="M50" s="159">
        <v>-33.435062259952029697436945540</v>
      </c>
      <c r="N50" s="159"/>
      <c r="O50" s="314"/>
      <c r="P50" s="321">
        <v>109.47492999433399062597683027</v>
      </c>
      <c r="Q50" s="159">
        <v>-41.425650099934378473898650710</v>
      </c>
      <c r="R50" s="160">
        <v>61.393547318217645587403826484</v>
      </c>
      <c r="S50" s="159">
        <v>-63.723796825016713113839662970</v>
      </c>
      <c r="T50" s="159"/>
      <c r="U50" s="314"/>
      <c r="W50" s="282"/>
      <c r="X50" s="282"/>
      <c r="Y50" s="282"/>
      <c r="Z50" s="282"/>
      <c r="AA50" s="282"/>
      <c r="AB50" s="282"/>
      <c r="AC50" s="282"/>
      <c r="AD50" s="282"/>
      <c r="AE50" s="282"/>
      <c r="AF50" s="282"/>
      <c r="AG50" s="282"/>
      <c r="AH50" s="282"/>
      <c r="AI50" s="282"/>
      <c r="AJ50" s="282"/>
      <c r="AK50" s="282"/>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6"/>
      <c r="C51" s="307" t="s">
        <v>45</v>
      </c>
      <c r="D51" s="315">
        <v>57.760214226031940517556561380</v>
      </c>
      <c r="E51" s="316">
        <v>-18.957667709744023867610888240</v>
      </c>
      <c r="F51" s="316">
        <v>48.862237363304583873882275050</v>
      </c>
      <c r="G51" s="316">
        <v>-42.998933918997779396337199440</v>
      </c>
      <c r="H51" s="316"/>
      <c r="I51" s="316"/>
      <c r="J51" s="322">
        <v>228.12048911362302945878163108</v>
      </c>
      <c r="K51" s="316">
        <v>-2.268467553855963881040221700</v>
      </c>
      <c r="L51" s="323">
        <v>193.68197962734302300148904429</v>
      </c>
      <c r="M51" s="316">
        <v>1.026152469347339473981299400</v>
      </c>
      <c r="N51" s="316"/>
      <c r="O51" s="317"/>
      <c r="P51" s="322">
        <v>131.76288320550053323033880893</v>
      </c>
      <c r="Q51" s="316">
        <v>-20.796086722636615559574747410</v>
      </c>
      <c r="R51" s="323">
        <v>94.63734861545957482576810397</v>
      </c>
      <c r="S51" s="316">
        <v>-42.414016071853266366578400930</v>
      </c>
      <c r="T51" s="316"/>
      <c r="U51" s="317"/>
      <c r="W51" s="282"/>
      <c r="X51" s="282"/>
      <c r="Y51" s="282"/>
      <c r="Z51" s="282"/>
      <c r="AA51" s="282"/>
      <c r="AB51" s="282"/>
      <c r="AC51" s="282"/>
      <c r="AD51" s="282"/>
      <c r="AE51" s="282"/>
      <c r="AF51" s="282"/>
      <c r="AG51" s="282"/>
      <c r="AH51" s="282"/>
      <c r="AI51" s="282"/>
      <c r="AJ51" s="282"/>
      <c r="AK51" s="282"/>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8"/>
      <c r="D52" s="159"/>
      <c r="E52" s="159"/>
      <c r="F52" s="159"/>
      <c r="G52" s="159"/>
      <c r="H52" s="159"/>
      <c r="I52" s="159"/>
      <c r="J52" s="160"/>
      <c r="K52" s="159"/>
      <c r="L52" s="160"/>
      <c r="M52" s="159"/>
      <c r="N52" s="159"/>
      <c r="O52" s="159"/>
      <c r="P52" s="160"/>
      <c r="Q52" s="159"/>
      <c r="R52" s="160"/>
      <c r="S52" s="159"/>
      <c r="T52" s="159"/>
      <c r="U52" s="159"/>
      <c r="W52" s="282"/>
      <c r="X52" s="282"/>
      <c r="Y52" s="282"/>
      <c r="Z52" s="282"/>
      <c r="AA52" s="282"/>
      <c r="AB52" s="282"/>
      <c r="AC52" s="282"/>
      <c r="AD52" s="282"/>
      <c r="AE52" s="282"/>
      <c r="AF52" s="282"/>
      <c r="AG52" s="282"/>
      <c r="AH52" s="282"/>
      <c r="AI52" s="282"/>
      <c r="AJ52" s="282"/>
      <c r="AK52" s="282"/>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8"/>
      <c r="D53" s="159"/>
      <c r="E53" s="159"/>
      <c r="F53" s="159"/>
      <c r="G53" s="159"/>
      <c r="H53" s="159"/>
      <c r="I53" s="159"/>
      <c r="J53" s="160"/>
      <c r="K53" s="159"/>
      <c r="L53" s="160"/>
      <c r="M53" s="159"/>
      <c r="N53" s="159"/>
      <c r="O53" s="159"/>
      <c r="P53" s="160"/>
      <c r="Q53" s="159"/>
      <c r="R53" s="160"/>
      <c r="S53" s="159"/>
      <c r="T53" s="159"/>
      <c r="U53" s="159"/>
      <c r="W53" s="282"/>
      <c r="X53" s="282"/>
      <c r="Y53" s="282"/>
      <c r="Z53" s="282"/>
      <c r="AA53" s="282"/>
      <c r="AB53" s="282"/>
      <c r="AC53" s="282"/>
      <c r="AD53" s="282"/>
      <c r="AE53" s="282"/>
      <c r="AF53" s="282"/>
      <c r="AG53" s="282"/>
      <c r="AH53" s="282"/>
      <c r="AI53" s="282"/>
      <c r="AJ53" s="282"/>
      <c r="AK53" s="282"/>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4" t="s">
        <v>51</v>
      </c>
      <c r="C54" s="304" t="s">
        <v>42</v>
      </c>
      <c r="D54" s="308">
        <v>87.12121212121212121212121225</v>
      </c>
      <c r="E54" s="309">
        <v>-5.0132207690574718095260679800</v>
      </c>
      <c r="F54" s="309">
        <v>56.16103114254395640741145900</v>
      </c>
      <c r="G54" s="309">
        <v>-38.384774084947707939795863850</v>
      </c>
      <c r="H54" s="309"/>
      <c r="I54" s="309"/>
      <c r="J54" s="318">
        <v>161.23674802409592601648588503</v>
      </c>
      <c r="K54" s="309">
        <v>-43.446397046314727393154086590</v>
      </c>
      <c r="L54" s="319">
        <v>140.43725010836529535217915988</v>
      </c>
      <c r="M54" s="309">
        <v>-38.382231986659291931067243870</v>
      </c>
      <c r="N54" s="309"/>
      <c r="O54" s="310"/>
      <c r="P54" s="318">
        <v>140.47140926341690524163543035</v>
      </c>
      <c r="Q54" s="309">
        <v>-46.281554015239177309344424390</v>
      </c>
      <c r="R54" s="319">
        <v>78.871007769091379690214525732</v>
      </c>
      <c r="S54" s="309">
        <v>-62.034073034767294184320467320</v>
      </c>
      <c r="T54" s="309"/>
      <c r="U54" s="310"/>
      <c r="W54" s="282"/>
      <c r="X54" s="282"/>
      <c r="Y54" s="282"/>
      <c r="Z54" s="282"/>
      <c r="AA54" s="282"/>
      <c r="AB54" s="282"/>
      <c r="AC54" s="282"/>
      <c r="AD54" s="282"/>
      <c r="AE54" s="282"/>
      <c r="AF54" s="282"/>
      <c r="AG54" s="282"/>
      <c r="AH54" s="282"/>
      <c r="AI54" s="282"/>
      <c r="AJ54" s="282"/>
      <c r="AK54" s="282"/>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5"/>
      <c r="C55" s="305" t="s">
        <v>60</v>
      </c>
      <c r="D55" s="311">
        <v>64.004063830235333711956095940</v>
      </c>
      <c r="E55" s="134">
        <v>-11.533296251829920740451451380</v>
      </c>
      <c r="F55" s="134">
        <v>51.614398982939775995095678320</v>
      </c>
      <c r="G55" s="134">
        <v>-39.321265230608493727493827720</v>
      </c>
      <c r="H55" s="134"/>
      <c r="I55" s="134"/>
      <c r="J55" s="320">
        <v>219.41952413529581671679389451</v>
      </c>
      <c r="K55" s="134">
        <v>-6.0666392182477095645467311300</v>
      </c>
      <c r="L55" s="135">
        <v>192.20793647387698972539516132</v>
      </c>
      <c r="M55" s="134">
        <v>0.9697800244836039707847281800</v>
      </c>
      <c r="N55" s="134"/>
      <c r="O55" s="312"/>
      <c r="P55" s="320">
        <v>140.43741228355335820164056803</v>
      </c>
      <c r="Q55" s="134">
        <v>-16.900251996507423212776346420</v>
      </c>
      <c r="R55" s="135">
        <v>99.20697120850229572840685145</v>
      </c>
      <c r="S55" s="134">
        <v>-38.732814981705547662543645070</v>
      </c>
      <c r="T55" s="134"/>
      <c r="U55" s="312"/>
      <c r="W55" s="282"/>
      <c r="X55" s="282"/>
      <c r="Y55" s="282"/>
      <c r="Z55" s="282"/>
      <c r="AA55" s="282"/>
      <c r="AB55" s="282"/>
      <c r="AC55" s="282"/>
      <c r="AD55" s="282"/>
      <c r="AE55" s="282"/>
      <c r="AF55" s="282"/>
      <c r="AG55" s="282"/>
      <c r="AH55" s="282"/>
      <c r="AI55" s="282"/>
      <c r="AJ55" s="282"/>
      <c r="AK55" s="282"/>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5"/>
      <c r="C56" s="306" t="s">
        <v>44</v>
      </c>
      <c r="D56" s="313">
        <v>83.80946704810341173977537623</v>
      </c>
      <c r="E56" s="159">
        <v>1.4554095780549064692200104600</v>
      </c>
      <c r="F56" s="159">
        <v>52.564371762158372203430322010</v>
      </c>
      <c r="G56" s="159">
        <v>-39.948874955776746644467384520</v>
      </c>
      <c r="H56" s="159"/>
      <c r="I56" s="159"/>
      <c r="J56" s="321">
        <v>145.27045515395290132877046498</v>
      </c>
      <c r="K56" s="159">
        <v>-36.875501499595008279968108900</v>
      </c>
      <c r="L56" s="160">
        <v>130.04030591237843569638182619</v>
      </c>
      <c r="M56" s="159">
        <v>-31.161501276125732333357170320</v>
      </c>
      <c r="N56" s="159"/>
      <c r="O56" s="314"/>
      <c r="P56" s="321">
        <v>121.75039424288200121363014738</v>
      </c>
      <c r="Q56" s="159">
        <v>-35.956781502320988228345246990</v>
      </c>
      <c r="R56" s="160">
        <v>68.354869840430614613587221743</v>
      </c>
      <c r="S56" s="159">
        <v>-58.661707052760234983865727280</v>
      </c>
      <c r="T56" s="159"/>
      <c r="U56" s="314"/>
      <c r="W56" s="282"/>
      <c r="X56" s="282"/>
      <c r="Y56" s="282"/>
      <c r="Z56" s="282"/>
      <c r="AA56" s="282"/>
      <c r="AB56" s="282"/>
      <c r="AC56" s="282"/>
      <c r="AD56" s="282"/>
      <c r="AE56" s="282"/>
      <c r="AF56" s="282"/>
      <c r="AG56" s="282"/>
      <c r="AH56" s="282"/>
      <c r="AI56" s="282"/>
      <c r="AJ56" s="282"/>
      <c r="AK56" s="282"/>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6"/>
      <c r="C57" s="307" t="s">
        <v>45</v>
      </c>
      <c r="D57" s="315">
        <v>64.004063830235333711956095940</v>
      </c>
      <c r="E57" s="316">
        <v>-11.533296251829920740451451380</v>
      </c>
      <c r="F57" s="316">
        <v>51.614398982939775995095678320</v>
      </c>
      <c r="G57" s="316">
        <v>-39.321265230608493727493827720</v>
      </c>
      <c r="H57" s="316"/>
      <c r="I57" s="316"/>
      <c r="J57" s="322">
        <v>219.41952413529581671679389451</v>
      </c>
      <c r="K57" s="316">
        <v>-6.0666392182477095645467311300</v>
      </c>
      <c r="L57" s="323">
        <v>192.20793647387698972539516132</v>
      </c>
      <c r="M57" s="316">
        <v>0.9697800244836039707847281800</v>
      </c>
      <c r="N57" s="316"/>
      <c r="O57" s="317"/>
      <c r="P57" s="322">
        <v>140.43741228355335820164056803</v>
      </c>
      <c r="Q57" s="316">
        <v>-16.900251996507423212776346420</v>
      </c>
      <c r="R57" s="323">
        <v>99.20697120850229572840685145</v>
      </c>
      <c r="S57" s="316">
        <v>-38.732814981705547662543645070</v>
      </c>
      <c r="T57" s="316"/>
      <c r="U57" s="317"/>
      <c r="W57" s="282"/>
      <c r="X57" s="282"/>
      <c r="Y57" s="282"/>
      <c r="Z57" s="282"/>
      <c r="AA57" s="282"/>
      <c r="AB57" s="282"/>
      <c r="AC57" s="282"/>
      <c r="AD57" s="282"/>
      <c r="AE57" s="282"/>
      <c r="AF57" s="282"/>
      <c r="AG57" s="282"/>
      <c r="AH57" s="282"/>
      <c r="AI57" s="282"/>
      <c r="AJ57" s="282"/>
      <c r="AK57" s="282"/>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8"/>
      <c r="D58" s="159"/>
      <c r="E58" s="159"/>
      <c r="F58" s="159"/>
      <c r="G58" s="159"/>
      <c r="H58" s="159"/>
      <c r="I58" s="159"/>
      <c r="J58" s="160"/>
      <c r="K58" s="159"/>
      <c r="L58" s="160"/>
      <c r="M58" s="159"/>
      <c r="N58" s="159"/>
      <c r="O58" s="159"/>
      <c r="P58" s="160"/>
      <c r="Q58" s="159"/>
      <c r="R58" s="160"/>
      <c r="S58" s="159"/>
      <c r="T58" s="159"/>
      <c r="U58" s="159"/>
      <c r="W58" s="282"/>
      <c r="X58" s="282"/>
      <c r="Y58" s="282"/>
      <c r="Z58" s="282"/>
      <c r="AA58" s="282"/>
      <c r="AB58" s="282"/>
      <c r="AC58" s="282"/>
      <c r="AD58" s="282"/>
      <c r="AE58" s="282"/>
      <c r="AF58" s="282"/>
      <c r="AG58" s="282"/>
      <c r="AH58" s="282"/>
      <c r="AI58" s="282"/>
      <c r="AJ58" s="282"/>
      <c r="AK58" s="282"/>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816" t="s">
        <v>59</v>
      </c>
      <c r="C59" s="612"/>
      <c r="D59" s="527"/>
      <c r="E59" s="528"/>
      <c r="F59" s="528"/>
      <c r="G59" s="528"/>
      <c r="H59" s="528"/>
      <c r="I59" s="528"/>
      <c r="J59" s="528"/>
      <c r="K59" s="528"/>
      <c r="L59" s="528"/>
      <c r="M59" s="528"/>
      <c r="N59" s="528"/>
      <c r="O59" s="528"/>
      <c r="P59" s="528"/>
      <c r="Q59" s="528"/>
      <c r="R59" s="528"/>
      <c r="S59" s="528"/>
      <c r="T59" s="528"/>
      <c r="U59" s="529"/>
      <c r="W59" s="282"/>
      <c r="X59" s="282"/>
      <c r="Y59" s="282"/>
      <c r="Z59" s="282"/>
      <c r="AA59" s="282"/>
      <c r="AB59" s="282"/>
      <c r="AC59" s="282"/>
      <c r="AD59" s="282"/>
      <c r="AE59" s="282"/>
      <c r="AF59" s="282"/>
      <c r="AG59" s="282"/>
      <c r="AH59" s="282"/>
      <c r="AI59" s="282"/>
      <c r="AJ59" s="282"/>
      <c r="AK59" s="282"/>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5" t="s">
        <v>40</v>
      </c>
      <c r="C60" s="349" t="s">
        <v>42</v>
      </c>
      <c r="D60" s="238">
        <v>67.555994729907773386034255650</v>
      </c>
      <c r="E60" s="246">
        <v>-19.107223538923722028900496990</v>
      </c>
      <c r="F60" s="246">
        <v>44.581416247296529928916911570</v>
      </c>
      <c r="G60" s="246">
        <v>-44.643911213412446801322861140</v>
      </c>
      <c r="H60" s="246"/>
      <c r="I60" s="239"/>
      <c r="J60" s="327">
        <v>166.6757112494406089470237166</v>
      </c>
      <c r="K60" s="246">
        <v>-29.095057133076800886484220060</v>
      </c>
      <c r="L60" s="329">
        <v>151.5714177255131493309981772</v>
      </c>
      <c r="M60" s="246">
        <v>-25.632651530391985420867555370</v>
      </c>
      <c r="N60" s="246"/>
      <c r="O60" s="239"/>
      <c r="P60" s="327">
        <v>112.59943470770839556994257016</v>
      </c>
      <c r="Q60" s="246">
        <v>-42.643023066805966980725595690</v>
      </c>
      <c r="R60" s="329">
        <v>67.572684648139611637210812418</v>
      </c>
      <c r="S60" s="246">
        <v>-58.833144552932827488699063560</v>
      </c>
      <c r="T60" s="246"/>
      <c r="U60" s="239"/>
    </row>
    <row r="61" ht="15.95" customHeight="1">
      <c r="B61" s="346" t="s">
        <v>69</v>
      </c>
      <c r="C61" s="305" t="s">
        <v>60</v>
      </c>
      <c r="D61" s="240">
        <v>44.660199503614621555768888870</v>
      </c>
      <c r="E61" s="121">
        <v>-32.237034081836137956641274830</v>
      </c>
      <c r="F61" s="121">
        <v>40.849543871218995096640197110</v>
      </c>
      <c r="G61" s="121">
        <v>-46.762912933613031521267924300</v>
      </c>
      <c r="H61" s="121"/>
      <c r="I61" s="241"/>
      <c r="J61" s="330">
        <v>195.74432040068082358949405396</v>
      </c>
      <c r="K61" s="121">
        <v>10.063734294749888654969314450</v>
      </c>
      <c r="L61" s="136">
        <v>180.29556320341595105674557109</v>
      </c>
      <c r="M61" s="121">
        <v>2.0575793308899373668158975500</v>
      </c>
      <c r="N61" s="121"/>
      <c r="O61" s="241"/>
      <c r="P61" s="330">
        <v>87.41980400793867157270743325</v>
      </c>
      <c r="Q61" s="121">
        <v>-25.417549241590202603377899710</v>
      </c>
      <c r="R61" s="136">
        <v>73.649915188640770340412478593</v>
      </c>
      <c r="S61" s="121">
        <v>-45.667517633767173149227826720</v>
      </c>
      <c r="T61" s="121"/>
      <c r="U61" s="241"/>
    </row>
    <row r="62" ht="15.95" customHeight="1">
      <c r="B62" s="346"/>
      <c r="C62" s="306" t="s">
        <v>44</v>
      </c>
      <c r="D62" s="242">
        <v>50.684583437682611236330244640</v>
      </c>
      <c r="E62" s="156">
        <v>-30.822080394312249984996321620</v>
      </c>
      <c r="F62" s="156">
        <v>37.770066665385660171199546860</v>
      </c>
      <c r="G62" s="156">
        <v>-50.494450855968053050986230430</v>
      </c>
      <c r="H62" s="156"/>
      <c r="I62" s="243"/>
      <c r="J62" s="331">
        <v>137.08935035062985684226996171</v>
      </c>
      <c r="K62" s="156">
        <v>-22.036604502567119465434555650</v>
      </c>
      <c r="L62" s="186">
        <v>128.13198252808441351791031015</v>
      </c>
      <c r="M62" s="156">
        <v>-26.767244619334736062514790320</v>
      </c>
      <c r="N62" s="156"/>
      <c r="O62" s="243"/>
      <c r="P62" s="331">
        <v>69.483166162642029155559507256</v>
      </c>
      <c r="Q62" s="156">
        <v>-46.066544940921498800731650930</v>
      </c>
      <c r="R62" s="186">
        <v>48.395535220537789356368179675</v>
      </c>
      <c r="S62" s="156">
        <v>-63.745722295496057856268110360</v>
      </c>
      <c r="T62" s="156"/>
      <c r="U62" s="243"/>
    </row>
    <row r="63" ht="15.95" customHeight="1">
      <c r="B63" s="347"/>
      <c r="C63" s="350" t="s">
        <v>45</v>
      </c>
      <c r="D63" s="244">
        <v>44.660199503614621555768888870</v>
      </c>
      <c r="E63" s="250">
        <v>-32.237034081836137956641274830</v>
      </c>
      <c r="F63" s="250">
        <v>40.849543871218995096640197110</v>
      </c>
      <c r="G63" s="250">
        <v>-46.762912933613031521267924300</v>
      </c>
      <c r="H63" s="250"/>
      <c r="I63" s="245"/>
      <c r="J63" s="333">
        <v>195.74432040068082358949405396</v>
      </c>
      <c r="K63" s="250">
        <v>10.063734294749888654969314450</v>
      </c>
      <c r="L63" s="335">
        <v>180.29556320341595105674557109</v>
      </c>
      <c r="M63" s="250">
        <v>2.0575793308899373668158975500</v>
      </c>
      <c r="N63" s="250"/>
      <c r="O63" s="245"/>
      <c r="P63" s="333">
        <v>87.41980400793867157270743325</v>
      </c>
      <c r="Q63" s="250">
        <v>-25.417549241590202603377899710</v>
      </c>
      <c r="R63" s="335">
        <v>73.649915188640770340412478593</v>
      </c>
      <c r="S63" s="250">
        <v>-45.667517633767173149227826720</v>
      </c>
      <c r="T63" s="250"/>
      <c r="U63" s="245"/>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2"/>
      <c r="X65" s="282"/>
      <c r="Y65" s="282"/>
      <c r="Z65" s="282"/>
      <c r="AA65" s="282"/>
      <c r="AB65" s="282"/>
      <c r="AC65" s="282"/>
      <c r="AD65" s="282"/>
      <c r="AE65" s="282"/>
      <c r="AF65" s="282"/>
      <c r="AG65" s="282"/>
      <c r="AH65" s="282"/>
      <c r="AI65" s="282"/>
      <c r="AJ65" s="282"/>
      <c r="AK65" s="282"/>
    </row>
    <row r="66" ht="15.95" customHeight="1">
      <c r="B66" s="348" t="s">
        <v>52</v>
      </c>
      <c r="C66" s="349" t="s">
        <v>42</v>
      </c>
      <c r="D66" s="238">
        <v>83.52272727272727272727272735</v>
      </c>
      <c r="E66" s="246">
        <v>-7.1134003474169744486758696300</v>
      </c>
      <c r="F66" s="246">
        <v>53.587118032978991974318106240</v>
      </c>
      <c r="G66" s="246">
        <v>-41.073891015225782669844773190</v>
      </c>
      <c r="H66" s="246"/>
      <c r="I66" s="239"/>
      <c r="J66" s="327">
        <v>161.79831771813754087262398782</v>
      </c>
      <c r="K66" s="246">
        <v>-44.620651830130648816473525630</v>
      </c>
      <c r="L66" s="329">
        <v>137.7906337807929680897118546</v>
      </c>
      <c r="M66" s="246">
        <v>-40.132851044372050820461030510</v>
      </c>
      <c r="N66" s="246"/>
      <c r="O66" s="239"/>
      <c r="P66" s="327">
        <v>135.13836763958078697883935359</v>
      </c>
      <c r="Q66" s="246">
        <v>-48.560006575243391124720749490</v>
      </c>
      <c r="R66" s="329">
        <v>73.838029562503351201866003691</v>
      </c>
      <c r="S66" s="246">
        <v>-64.722618560329555022616417550</v>
      </c>
      <c r="T66" s="246"/>
      <c r="U66" s="239"/>
    </row>
    <row r="67" ht="15.95" customHeight="1">
      <c r="B67" s="346" t="s">
        <v>55</v>
      </c>
      <c r="C67" s="305" t="s">
        <v>60</v>
      </c>
      <c r="D67" s="240">
        <v>60.882139028133637114756328640</v>
      </c>
      <c r="E67" s="121">
        <v>-15.217656399750932810134524950</v>
      </c>
      <c r="F67" s="121">
        <v>50.237083437059643043170816730</v>
      </c>
      <c r="G67" s="121">
        <v>-41.168631615828770583547535880</v>
      </c>
      <c r="H67" s="121"/>
      <c r="I67" s="241"/>
      <c r="J67" s="330">
        <v>223.54692183471915457142828247</v>
      </c>
      <c r="K67" s="121">
        <v>-4.2640732368454780100564198900</v>
      </c>
      <c r="L67" s="136">
        <v>192.92543108620621588980737088</v>
      </c>
      <c r="M67" s="121">
        <v>0.9864923987137542868963365700</v>
      </c>
      <c r="N67" s="121"/>
      <c r="O67" s="241"/>
      <c r="P67" s="330">
        <v>136.10014774452694571598968842</v>
      </c>
      <c r="Q67" s="121">
        <v>-18.832837622779528185067818260</v>
      </c>
      <c r="R67" s="136">
        <v>96.92010978608441867259311114</v>
      </c>
      <c r="S67" s="121">
        <v>-40.588264638659634556169294400</v>
      </c>
      <c r="T67" s="121"/>
      <c r="U67" s="241"/>
    </row>
    <row r="68" ht="15.95" customHeight="1">
      <c r="B68" s="346"/>
      <c r="C68" s="306" t="s">
        <v>44</v>
      </c>
      <c r="D68" s="343">
        <v>79.70160521296884933248569620</v>
      </c>
      <c r="E68" s="161">
        <v>-2.2729798741807672922107622900</v>
      </c>
      <c r="F68" s="161">
        <v>50.403811002331701063629029970</v>
      </c>
      <c r="G68" s="161">
        <v>-42.741338012943411502104567090</v>
      </c>
      <c r="H68" s="161"/>
      <c r="I68" s="337"/>
      <c r="J68" s="336">
        <v>145.05688035978952612053332888</v>
      </c>
      <c r="K68" s="161">
        <v>-37.241462642108049676236260470</v>
      </c>
      <c r="L68" s="162">
        <v>128.70893547379388134573290565</v>
      </c>
      <c r="M68" s="161">
        <v>-32.275984822074672700905235390</v>
      </c>
      <c r="N68" s="161"/>
      <c r="O68" s="337"/>
      <c r="P68" s="336">
        <v>115.61266211860799591980348882</v>
      </c>
      <c r="Q68" s="161">
        <v>-38.667951565583151966374429070</v>
      </c>
      <c r="R68" s="162">
        <v>64.874208579324130100495524131</v>
      </c>
      <c r="S68" s="161">
        <v>-61.222135065208836199644229280</v>
      </c>
      <c r="T68" s="161"/>
      <c r="U68" s="337"/>
    </row>
    <row r="69" ht="15.95" customHeight="1">
      <c r="B69" s="347"/>
      <c r="C69" s="350" t="s">
        <v>45</v>
      </c>
      <c r="D69" s="344">
        <v>60.882139028133637114756328640</v>
      </c>
      <c r="E69" s="339">
        <v>-15.217656399750932810134524950</v>
      </c>
      <c r="F69" s="339">
        <v>50.237083437059643043170816730</v>
      </c>
      <c r="G69" s="339">
        <v>-41.168631615828770583547535880</v>
      </c>
      <c r="H69" s="339"/>
      <c r="I69" s="341"/>
      <c r="J69" s="338">
        <v>223.54692183471915457142828247</v>
      </c>
      <c r="K69" s="339">
        <v>-4.2640732368454780100564198900</v>
      </c>
      <c r="L69" s="340">
        <v>192.92543108620621588980737088</v>
      </c>
      <c r="M69" s="339">
        <v>0.9864923987137542868963365700</v>
      </c>
      <c r="N69" s="339"/>
      <c r="O69" s="341"/>
      <c r="P69" s="338">
        <v>136.10014774452694571598968842</v>
      </c>
      <c r="Q69" s="339">
        <v>-18.832837622779528185067818260</v>
      </c>
      <c r="R69" s="340">
        <v>96.92010978608441867259311114</v>
      </c>
      <c r="S69" s="339">
        <v>-40.588264638659634556169294400</v>
      </c>
      <c r="T69" s="339"/>
      <c r="U69" s="341"/>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2"/>
      <c r="X71" s="282"/>
      <c r="Y71" s="282"/>
      <c r="Z71" s="282"/>
      <c r="AA71" s="282"/>
      <c r="AB71" s="282"/>
      <c r="AC71" s="282"/>
      <c r="AD71" s="282"/>
      <c r="AE71" s="282"/>
      <c r="AF71" s="282"/>
      <c r="AG71" s="282"/>
      <c r="AH71" s="282"/>
      <c r="AI71" s="282"/>
      <c r="AJ71" s="282"/>
      <c r="AK71" s="282"/>
    </row>
    <row r="72" ht="15.95" customHeight="1">
      <c r="B72" s="348" t="s">
        <v>12</v>
      </c>
      <c r="C72" s="349" t="s">
        <v>42</v>
      </c>
      <c r="D72" s="238">
        <v>71.676441837732160312805474100</v>
      </c>
      <c r="E72" s="246">
        <v>-15.839311334289813486370157820</v>
      </c>
      <c r="F72" s="246">
        <v>46.905468321021036263213994030</v>
      </c>
      <c r="G72" s="246">
        <v>-43.637162755475441788311416240</v>
      </c>
      <c r="H72" s="246"/>
      <c r="I72" s="239"/>
      <c r="J72" s="327">
        <v>165.20900102284350494374360723</v>
      </c>
      <c r="K72" s="246">
        <v>-34.081338107849556950305522910</v>
      </c>
      <c r="L72" s="329">
        <v>147.50848958230861549963602023</v>
      </c>
      <c r="M72" s="246">
        <v>-30.171552624511970030498361300</v>
      </c>
      <c r="N72" s="246"/>
      <c r="O72" s="239"/>
      <c r="P72" s="327">
        <v>118.41593352883675464320625611</v>
      </c>
      <c r="Q72" s="246">
        <v>-44.522400192345122104805193320</v>
      </c>
      <c r="R72" s="329">
        <v>69.189547851846383137766990739</v>
      </c>
      <c r="S72" s="246">
        <v>-60.642705855375201262785084730</v>
      </c>
      <c r="T72" s="246"/>
      <c r="U72" s="239"/>
    </row>
    <row r="73" ht="15.95" customHeight="1">
      <c r="B73" s="346"/>
      <c r="C73" s="305" t="s">
        <v>60</v>
      </c>
      <c r="D73" s="240">
        <v>49.336810730253353204172876300</v>
      </c>
      <c r="E73" s="121">
        <v>-27.003821981832497316759329930</v>
      </c>
      <c r="F73" s="121">
        <v>43.500807654430156881220135560</v>
      </c>
      <c r="G73" s="121">
        <v>-45.074361567892895416860372960</v>
      </c>
      <c r="H73" s="121"/>
      <c r="I73" s="241"/>
      <c r="J73" s="330">
        <v>205.63515078286260887076473846</v>
      </c>
      <c r="K73" s="121">
        <v>5.6208548544456858809412660900</v>
      </c>
      <c r="L73" s="136">
        <v>184.41489775093437710379937967</v>
      </c>
      <c r="M73" s="121">
        <v>1.8420923702806671567535338300</v>
      </c>
      <c r="N73" s="121"/>
      <c r="O73" s="241"/>
      <c r="P73" s="330">
        <v>101.45382513661202185792349727</v>
      </c>
      <c r="Q73" s="121">
        <v>-22.900812766138514581284091810</v>
      </c>
      <c r="R73" s="136">
        <v>80.2219699567480087443575053</v>
      </c>
      <c r="S73" s="121">
        <v>-44.062580573007104585390316320</v>
      </c>
      <c r="T73" s="121"/>
      <c r="U73" s="241"/>
    </row>
    <row r="74" ht="15.95" customHeight="1">
      <c r="B74" s="346"/>
      <c r="C74" s="306" t="s">
        <v>44</v>
      </c>
      <c r="D74" s="242">
        <v>58.885046113306982872200263500</v>
      </c>
      <c r="E74" s="156">
        <v>-22.119363972990633848834676550</v>
      </c>
      <c r="F74" s="156">
        <v>41.331908178721977844748800690</v>
      </c>
      <c r="G74" s="156">
        <v>-48.083102724006520820136652180</v>
      </c>
      <c r="H74" s="156"/>
      <c r="I74" s="243"/>
      <c r="J74" s="331">
        <v>140.13704377010208362466787862</v>
      </c>
      <c r="K74" s="156">
        <v>-27.274979319903842615145905690</v>
      </c>
      <c r="L74" s="186">
        <v>128.33034559796788088844002724</v>
      </c>
      <c r="M74" s="156">
        <v>-28.578521554480756934906488100</v>
      </c>
      <c r="N74" s="156"/>
      <c r="O74" s="243"/>
      <c r="P74" s="331">
        <v>82.51976284584980237154150198</v>
      </c>
      <c r="Q74" s="156">
        <v>-43.361291343567020098116790630</v>
      </c>
      <c r="R74" s="186">
        <v>53.0413806079886662260493386</v>
      </c>
      <c r="S74" s="156">
        <v>-62.920184402443950219231017730</v>
      </c>
      <c r="T74" s="156"/>
      <c r="U74" s="243"/>
    </row>
    <row r="75" ht="15.95" customHeight="1">
      <c r="B75" s="347"/>
      <c r="C75" s="350" t="s">
        <v>45</v>
      </c>
      <c r="D75" s="244">
        <v>49.336810730253353204172876300</v>
      </c>
      <c r="E75" s="250">
        <v>-27.003821981832497316759329930</v>
      </c>
      <c r="F75" s="250">
        <v>43.500807654430156881220135560</v>
      </c>
      <c r="G75" s="250">
        <v>-45.074361567892895416860372960</v>
      </c>
      <c r="H75" s="250"/>
      <c r="I75" s="245"/>
      <c r="J75" s="333">
        <v>205.63515078286260887076473846</v>
      </c>
      <c r="K75" s="250">
        <v>5.6208548544456858809412660900</v>
      </c>
      <c r="L75" s="335">
        <v>184.41489775093437710379937967</v>
      </c>
      <c r="M75" s="250">
        <v>1.8420923702806671567535338300</v>
      </c>
      <c r="N75" s="250"/>
      <c r="O75" s="245"/>
      <c r="P75" s="333">
        <v>101.45382513661202185792349727</v>
      </c>
      <c r="Q75" s="250">
        <v>-22.900812766138514581284091810</v>
      </c>
      <c r="R75" s="335">
        <v>80.2219699567480087443575053</v>
      </c>
      <c r="S75" s="250">
        <v>-44.062580573007104585390316320</v>
      </c>
      <c r="T75" s="250"/>
      <c r="U75" s="245"/>
    </row>
    <row r="76" ht="9.95" customHeight="1"/>
    <row r="77" ht="24" customHeight="1">
      <c r="B77" s="826" t="s">
        <v>129</v>
      </c>
      <c r="C77" s="826"/>
      <c r="D77" s="826"/>
      <c r="E77" s="826"/>
      <c r="F77" s="826"/>
      <c r="G77" s="826"/>
      <c r="H77" s="826"/>
      <c r="I77" s="826"/>
      <c r="J77" s="826"/>
      <c r="K77" s="826"/>
      <c r="L77" s="826"/>
      <c r="M77" s="826"/>
      <c r="N77" s="826"/>
      <c r="O77" s="826"/>
      <c r="P77" s="826"/>
      <c r="Q77" s="826"/>
      <c r="R77" s="826"/>
      <c r="S77" s="826"/>
      <c r="T77" s="826"/>
      <c r="U77" s="82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3" width="10.28515625" customWidth="1"/>
    <col min="34" max="34" width="2.7109375" customWidth="1"/>
    <col min="35" max="38" width="9.28515625" style="236" customWidth="1"/>
    <col min="39" max="49" width="9.140625" style="236" customWidth="1"/>
  </cols>
  <sheetData>
    <row r="1" ht="39.95" customHeight="1">
      <c r="A1" s="7"/>
      <c r="B1" s="657" t="s">
        <v>140</v>
      </c>
      <c r="AA1" s="968"/>
      <c r="AB1" s="968"/>
      <c r="AC1" s="968"/>
      <c r="AD1" s="968"/>
      <c r="AE1" s="968"/>
      <c r="AF1" s="968"/>
      <c r="AG1" s="968"/>
      <c r="AH1"/>
    </row>
    <row r="2" ht="21.95" customHeight="1">
      <c r="A2" s="6"/>
      <c r="B2" s="945" t="s">
        <v>211</v>
      </c>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c r="AE2" s="945"/>
      <c r="AF2" s="945"/>
      <c r="AG2" s="945"/>
    </row>
    <row r="3" ht="21.95" customHeight="1">
      <c r="A3" s="6"/>
      <c r="B3" s="945" t="s">
        <v>212</v>
      </c>
      <c r="C3" s="945"/>
      <c r="D3" s="945"/>
      <c r="E3" s="945"/>
      <c r="F3" s="945"/>
      <c r="G3" s="945"/>
      <c r="H3" s="945"/>
      <c r="I3" s="945"/>
      <c r="J3" s="945"/>
      <c r="K3" s="945"/>
      <c r="L3" s="945"/>
      <c r="M3" s="945"/>
      <c r="N3" s="945"/>
      <c r="O3" s="945"/>
      <c r="P3" s="945"/>
      <c r="Q3" s="945"/>
      <c r="R3" s="945"/>
      <c r="S3" s="945"/>
      <c r="T3" s="945"/>
      <c r="U3" s="971" t="s">
        <v>298</v>
      </c>
      <c r="V3" s="971"/>
      <c r="W3" s="971"/>
      <c r="X3" s="971"/>
      <c r="Y3" s="971"/>
      <c r="Z3" s="971"/>
      <c r="AA3" s="971"/>
      <c r="AB3" s="971"/>
      <c r="AC3" s="971"/>
      <c r="AD3" s="971"/>
      <c r="AE3" s="971"/>
      <c r="AF3" s="971"/>
      <c r="AG3" s="971"/>
    </row>
    <row r="4" ht="21.95" customHeight="1">
      <c r="A4" s="6"/>
      <c r="B4" s="945" t="s">
        <v>242</v>
      </c>
      <c r="C4" s="945"/>
      <c r="D4" s="945"/>
      <c r="E4" s="945"/>
      <c r="F4" s="945"/>
      <c r="G4" s="945"/>
      <c r="H4" s="945"/>
      <c r="I4" s="945"/>
      <c r="J4" s="945"/>
      <c r="K4" s="945"/>
      <c r="L4" s="945"/>
      <c r="M4" s="945"/>
      <c r="N4" s="945"/>
      <c r="O4" s="945"/>
      <c r="P4" s="945"/>
      <c r="Q4" s="945"/>
      <c r="R4" s="945"/>
      <c r="S4" s="945"/>
      <c r="T4" s="945"/>
      <c r="U4" s="945"/>
      <c r="V4" s="945"/>
      <c r="W4" s="945"/>
      <c r="X4" s="945"/>
      <c r="Y4" s="945"/>
      <c r="Z4" s="945"/>
      <c r="AA4" s="945"/>
      <c r="AB4" s="945"/>
      <c r="AC4" s="945"/>
      <c r="AD4" s="945"/>
      <c r="AE4" s="945"/>
      <c r="AF4" s="945"/>
      <c r="AG4" s="94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87"/>
      <c r="Y22" s="787"/>
      <c r="Z22" s="787"/>
      <c r="AA22" s="787"/>
      <c r="AB22" s="787"/>
      <c r="AC22" s="787"/>
      <c r="AD22" s="787"/>
      <c r="AE22"/>
      <c r="AF22"/>
      <c r="AG22"/>
    </row>
    <row r="23" s="82" customFormat="1" ht="21.95" customHeight="1">
      <c r="B23" s="25"/>
      <c r="C23" s="41" t="s">
        <v>299</v>
      </c>
      <c r="D23" s="41" t="s">
        <v>301</v>
      </c>
      <c r="E23" s="41" t="s">
        <v>302</v>
      </c>
      <c r="F23" s="41" t="s">
        <v>303</v>
      </c>
      <c r="G23" s="41" t="s">
        <v>304</v>
      </c>
      <c r="H23" s="41" t="s">
        <v>305</v>
      </c>
      <c r="I23" s="41" t="s">
        <v>306</v>
      </c>
      <c r="J23" s="41" t="s">
        <v>299</v>
      </c>
      <c r="K23" s="41" t="s">
        <v>301</v>
      </c>
      <c r="L23" s="41" t="s">
        <v>302</v>
      </c>
      <c r="M23" s="41" t="s">
        <v>303</v>
      </c>
      <c r="N23" s="41" t="s">
        <v>304</v>
      </c>
      <c r="O23" s="41" t="s">
        <v>305</v>
      </c>
      <c r="P23" s="41" t="s">
        <v>306</v>
      </c>
      <c r="Q23" s="41" t="s">
        <v>299</v>
      </c>
      <c r="R23" s="41" t="s">
        <v>301</v>
      </c>
      <c r="S23" s="41" t="s">
        <v>302</v>
      </c>
      <c r="T23" s="41" t="s">
        <v>303</v>
      </c>
      <c r="U23" s="41" t="s">
        <v>304</v>
      </c>
      <c r="V23" s="41" t="s">
        <v>305</v>
      </c>
      <c r="W23" s="41" t="s">
        <v>306</v>
      </c>
      <c r="X23" s="41" t="s">
        <v>299</v>
      </c>
      <c r="Y23" s="41" t="s">
        <v>301</v>
      </c>
      <c r="Z23" s="41" t="s">
        <v>302</v>
      </c>
      <c r="AA23" s="41" t="s">
        <v>303</v>
      </c>
      <c r="AB23" s="41" t="s">
        <v>304</v>
      </c>
      <c r="AC23" s="41" t="s">
        <v>305</v>
      </c>
      <c r="AD23" s="41" t="s">
        <v>306</v>
      </c>
      <c r="AE23" s="41" t="s">
        <v>299</v>
      </c>
      <c r="AF23" s="41" t="s">
        <v>301</v>
      </c>
      <c r="AG23" s="41" t="s">
        <v>302</v>
      </c>
      <c r="AH23" s="93"/>
      <c r="AI23" s="236"/>
      <c r="AJ23" s="236"/>
      <c r="AK23" s="236"/>
      <c r="AL23" s="236"/>
      <c r="AM23" s="236"/>
      <c r="AN23" s="236"/>
      <c r="AO23" s="236"/>
      <c r="AP23" s="236"/>
      <c r="AQ23" s="236"/>
      <c r="AR23" s="236"/>
      <c r="AS23" s="236"/>
      <c r="AT23" s="236"/>
      <c r="AU23" s="236"/>
      <c r="AV23" s="236"/>
      <c r="AW23" s="236"/>
    </row>
    <row r="24" s="35" customFormat="1" ht="20.1" customHeight="1">
      <c r="B24" s="798" t="s">
        <v>22</v>
      </c>
      <c r="C24" s="351" t="s">
        <v>300</v>
      </c>
      <c r="D24" s="352"/>
      <c r="E24" s="352"/>
      <c r="F24" s="352"/>
      <c r="G24" s="352"/>
      <c r="H24" s="352"/>
      <c r="I24" s="352"/>
      <c r="J24" s="352"/>
      <c r="K24" s="352"/>
      <c r="L24" s="352"/>
      <c r="M24" s="352"/>
      <c r="N24" s="352"/>
      <c r="O24" s="352"/>
      <c r="P24" s="352"/>
      <c r="Q24" s="352"/>
      <c r="R24" s="352"/>
      <c r="S24" s="353"/>
      <c r="T24" s="353"/>
      <c r="U24" s="353"/>
      <c r="V24" s="353"/>
      <c r="W24" s="353"/>
      <c r="X24" s="353"/>
      <c r="Y24" s="353"/>
      <c r="Z24" s="353"/>
      <c r="AA24" s="353"/>
      <c r="AB24" s="353"/>
      <c r="AC24" s="353"/>
      <c r="AD24" s="353"/>
      <c r="AE24" s="353"/>
      <c r="AF24" s="353"/>
      <c r="AG24" s="354"/>
      <c r="AH24" s="530"/>
      <c r="AI24" s="236"/>
      <c r="AJ24" s="236"/>
      <c r="AK24" s="236"/>
      <c r="AL24" s="236"/>
      <c r="AM24" s="236"/>
      <c r="AN24" s="236"/>
      <c r="AO24" s="236"/>
      <c r="AP24" s="236"/>
      <c r="AQ24" s="236"/>
      <c r="AR24" s="236"/>
      <c r="AS24" s="236"/>
      <c r="AT24" s="236"/>
      <c r="AU24" s="236"/>
      <c r="AV24" s="236"/>
      <c r="AW24" s="236"/>
    </row>
    <row r="25" s="36" customFormat="1" ht="20.1" customHeight="1">
      <c r="B25" s="979"/>
      <c r="C25" s="355">
        <v>1</v>
      </c>
      <c r="D25" s="356">
        <v>2</v>
      </c>
      <c r="E25" s="356">
        <v>3</v>
      </c>
      <c r="F25" s="356">
        <v>4</v>
      </c>
      <c r="G25" s="356">
        <v>5</v>
      </c>
      <c r="H25" s="356">
        <v>6</v>
      </c>
      <c r="I25" s="356">
        <v>7</v>
      </c>
      <c r="J25" s="356">
        <v>8</v>
      </c>
      <c r="K25" s="356">
        <v>9</v>
      </c>
      <c r="L25" s="356">
        <v>10</v>
      </c>
      <c r="M25" s="356">
        <v>11</v>
      </c>
      <c r="N25" s="356">
        <v>12</v>
      </c>
      <c r="O25" s="356">
        <v>13</v>
      </c>
      <c r="P25" s="356">
        <v>14</v>
      </c>
      <c r="Q25" s="356">
        <v>15</v>
      </c>
      <c r="R25" s="356">
        <v>16</v>
      </c>
      <c r="S25" s="356">
        <v>17</v>
      </c>
      <c r="T25" s="356">
        <v>18</v>
      </c>
      <c r="U25" s="356">
        <v>19</v>
      </c>
      <c r="V25" s="356">
        <v>20</v>
      </c>
      <c r="W25" s="356">
        <v>21</v>
      </c>
      <c r="X25" s="356">
        <v>22</v>
      </c>
      <c r="Y25" s="356">
        <v>23</v>
      </c>
      <c r="Z25" s="356">
        <v>24</v>
      </c>
      <c r="AA25" s="356">
        <v>25</v>
      </c>
      <c r="AB25" s="356">
        <v>26</v>
      </c>
      <c r="AC25" s="356">
        <v>27</v>
      </c>
      <c r="AD25" s="356">
        <v>28</v>
      </c>
      <c r="AE25" s="356">
        <v>29</v>
      </c>
      <c r="AF25" s="356">
        <v>30</v>
      </c>
      <c r="AG25" s="357">
        <v>31</v>
      </c>
      <c r="AH25" s="530"/>
      <c r="AI25" s="236"/>
      <c r="AJ25" s="236"/>
      <c r="AK25" s="236"/>
      <c r="AL25" s="236"/>
      <c r="AM25" s="236"/>
      <c r="AN25" s="236"/>
      <c r="AO25" s="236"/>
      <c r="AP25" s="236"/>
      <c r="AQ25" s="236"/>
      <c r="AR25" s="236"/>
      <c r="AS25" s="236"/>
      <c r="AT25" s="236"/>
      <c r="AU25" s="236"/>
      <c r="AV25" s="236"/>
      <c r="AW25" s="236"/>
    </row>
    <row r="26" ht="24.95" customHeight="1">
      <c r="B26" s="264" t="s">
        <v>19</v>
      </c>
      <c r="C26" s="574">
        <v>45.454545454545454545454545450</v>
      </c>
      <c r="D26" s="575">
        <v>51.515151515151515151515151520</v>
      </c>
      <c r="E26" s="575">
        <v>68.181818181818181818181818180</v>
      </c>
      <c r="F26" s="575">
        <v>89.39393939393939393939393939</v>
      </c>
      <c r="G26" s="575">
        <v>93.18181818181818181818181818</v>
      </c>
      <c r="H26" s="575">
        <v>65.909090909090909090909090910</v>
      </c>
      <c r="I26" s="575">
        <v>46.969696969696969696969696970</v>
      </c>
      <c r="J26" s="575">
        <v>40.909090909090909090909090910</v>
      </c>
      <c r="K26" s="575">
        <v>45.454545454545454545454545450</v>
      </c>
      <c r="L26" s="575">
        <v>62.878787878787878787878787880</v>
      </c>
      <c r="M26" s="575">
        <v>83.33333333333333333333333333</v>
      </c>
      <c r="N26" s="575">
        <v>87.87878787878787878787878788</v>
      </c>
      <c r="O26" s="575">
        <v>73.484848484848484848484848480</v>
      </c>
      <c r="P26" s="575">
        <v>52.272727272727272727272727270</v>
      </c>
      <c r="Q26" s="575">
        <v>46.212121212121212121212121210</v>
      </c>
      <c r="R26" s="575">
        <v>46.969696969696969696969696970</v>
      </c>
      <c r="S26" s="575">
        <v>61.363636363636363636363636360</v>
      </c>
      <c r="T26" s="575">
        <v>78.787878787878787878787878790</v>
      </c>
      <c r="U26" s="575">
        <v>90.90909090909090909090909091</v>
      </c>
      <c r="V26" s="575">
        <v>79.54545454545454545454545455</v>
      </c>
      <c r="W26" s="575">
        <v>82.57575757575757575757575758</v>
      </c>
      <c r="X26" s="575">
        <v>86.36363636363636363636363636</v>
      </c>
      <c r="Y26" s="575">
        <v>65.909090909090909090909090910</v>
      </c>
      <c r="Z26" s="575">
        <v>62.121212121212121212121212120</v>
      </c>
      <c r="AA26" s="575">
        <v>68.181818181818181818181818180</v>
      </c>
      <c r="AB26" s="575">
        <v>76.515151515151515151515151520</v>
      </c>
      <c r="AC26" s="575">
        <v>90.90909090909090909090909091</v>
      </c>
      <c r="AD26" s="575">
        <v>90.15151515151515151515151515</v>
      </c>
      <c r="AE26" s="575">
        <v>93.18181818181818181818181818</v>
      </c>
      <c r="AF26" s="575">
        <v>97.72727272727272727272727273</v>
      </c>
      <c r="AG26" s="576">
        <v>97.72727272727272727272727273</v>
      </c>
      <c r="AH26" s="343"/>
    </row>
    <row r="27" ht="24.95" customHeight="1">
      <c r="B27" s="38" t="s">
        <v>26</v>
      </c>
      <c r="C27" s="272">
        <v>33.671863824917751394650264630</v>
      </c>
      <c r="D27" s="92">
        <v>35.288227721356029180374767560</v>
      </c>
      <c r="E27" s="92">
        <v>40.995565727363753397225003580</v>
      </c>
      <c r="F27" s="92">
        <v>51.509083106851666428264912030</v>
      </c>
      <c r="G27" s="92">
        <v>54.527249320554999284794736090</v>
      </c>
      <c r="H27" s="92">
        <v>41.438992990988413674724645970</v>
      </c>
      <c r="I27" s="92">
        <v>34.515806036332427406665713060</v>
      </c>
      <c r="J27" s="92">
        <v>33.571735087970247461021313120</v>
      </c>
      <c r="K27" s="92">
        <v>38.020311829495065083679015880</v>
      </c>
      <c r="L27" s="92">
        <v>42.697754255471320268917179230</v>
      </c>
      <c r="M27" s="92">
        <v>53.597482477471034186811614930</v>
      </c>
      <c r="N27" s="92">
        <v>56.343870690888284937777142040</v>
      </c>
      <c r="O27" s="92">
        <v>42.211414676012015448433700470</v>
      </c>
      <c r="P27" s="92">
        <v>34.716063510227435273923616080</v>
      </c>
      <c r="Q27" s="92">
        <v>33.257044771849520812473179800</v>
      </c>
      <c r="R27" s="92">
        <v>35.631526248033185524245458450</v>
      </c>
      <c r="S27" s="92">
        <v>39.908453726219424974967815760</v>
      </c>
      <c r="T27" s="92">
        <v>50.493491632098412244314118150</v>
      </c>
      <c r="U27" s="92">
        <v>56.300958375053640394793305680</v>
      </c>
      <c r="V27" s="92">
        <v>46.960377628379344871978257760</v>
      </c>
      <c r="W27" s="92">
        <v>40.509226147904448576741524820</v>
      </c>
      <c r="X27" s="92">
        <v>38.077528250607924474324131030</v>
      </c>
      <c r="Y27" s="92">
        <v>37.433843513088256329566585610</v>
      </c>
      <c r="Z27" s="92">
        <v>40.838220569303390072950936920</v>
      </c>
      <c r="AA27" s="92">
        <v>48.376484050922614790444857670</v>
      </c>
      <c r="AB27" s="92">
        <v>57.388070376197968817050493490</v>
      </c>
      <c r="AC27" s="92">
        <v>55.342583321413245601487626950</v>
      </c>
      <c r="AD27" s="92">
        <v>57.016163638964382777857245030</v>
      </c>
      <c r="AE27" s="92">
        <v>63.710484909168931483335717350</v>
      </c>
      <c r="AF27" s="92">
        <v>74.395651551995422686310971250</v>
      </c>
      <c r="AG27" s="273">
        <v>84.78043198397940208839937062</v>
      </c>
      <c r="AH27" s="343"/>
    </row>
    <row r="28" ht="24.95" customHeight="1">
      <c r="A28" s="23"/>
      <c r="B28" s="40" t="s">
        <v>100</v>
      </c>
      <c r="C28" s="582"/>
      <c r="D28" s="583"/>
      <c r="E28" s="583"/>
      <c r="F28" s="583"/>
      <c r="G28" s="583"/>
      <c r="H28" s="583"/>
      <c r="I28" s="583"/>
      <c r="J28" s="583"/>
      <c r="K28" s="583"/>
      <c r="L28" s="583"/>
      <c r="M28" s="583"/>
      <c r="N28" s="583"/>
      <c r="O28" s="583"/>
      <c r="P28" s="583"/>
      <c r="Q28" s="583"/>
      <c r="R28" s="583"/>
      <c r="S28" s="583"/>
      <c r="T28" s="583"/>
      <c r="U28" s="583"/>
      <c r="V28" s="583"/>
      <c r="W28" s="583"/>
      <c r="X28" s="583"/>
      <c r="Y28" s="583"/>
      <c r="Z28" s="583"/>
      <c r="AA28" s="583"/>
      <c r="AB28" s="583"/>
      <c r="AC28" s="583"/>
      <c r="AD28" s="583"/>
      <c r="AE28" s="583"/>
      <c r="AF28" s="583"/>
      <c r="AG28" s="584"/>
      <c r="AH28" s="343"/>
    </row>
    <row r="29" ht="24.95" customHeight="1">
      <c r="B29" s="25" t="s">
        <v>70</v>
      </c>
      <c r="R29" s="4"/>
      <c r="S29" s="4"/>
      <c r="T29" s="4"/>
      <c r="U29" s="4"/>
      <c r="V29" s="4"/>
      <c r="W29" s="4"/>
      <c r="X29" s="4"/>
      <c r="Y29" s="4"/>
      <c r="Z29" s="4"/>
      <c r="AA29" s="4"/>
      <c r="AB29" s="4"/>
      <c r="AC29" s="4"/>
      <c r="AD29" s="4"/>
      <c r="AE29" s="4"/>
      <c r="AF29" s="4"/>
      <c r="AG29" s="4"/>
      <c r="AH29" s="4"/>
    </row>
    <row r="30" ht="24.95" customHeight="1">
      <c r="B30" s="37" t="s">
        <v>19</v>
      </c>
      <c r="C30" s="574">
        <v>-45.454545454545454545454545460</v>
      </c>
      <c r="D30" s="575">
        <v>-41.379310344827586206896551720</v>
      </c>
      <c r="E30" s="575">
        <v>-25.00</v>
      </c>
      <c r="F30" s="575">
        <v>-5.6000000000000000000000000100</v>
      </c>
      <c r="G30" s="575">
        <v>0</v>
      </c>
      <c r="H30" s="575">
        <v>-20.909090909090909090909090900</v>
      </c>
      <c r="I30" s="575">
        <v>-45.614035087719298245614035090</v>
      </c>
      <c r="J30" s="575">
        <v>-47.572815533980582524271844660</v>
      </c>
      <c r="K30" s="575">
        <v>-46.428571428571428571428571430</v>
      </c>
      <c r="L30" s="575">
        <v>-35.658914728682170542635658920</v>
      </c>
      <c r="M30" s="575">
        <v>-14.728682170542635658914728690</v>
      </c>
      <c r="N30" s="575">
        <v>-9.37500</v>
      </c>
      <c r="O30" s="575">
        <v>-2.0202020202020202020202020300</v>
      </c>
      <c r="P30" s="575">
        <v>-28.865979381443298969072164950</v>
      </c>
      <c r="Q30" s="575">
        <v>-32.222222222222222222222222220</v>
      </c>
      <c r="R30" s="575">
        <v>-26.190476190476190476190476190</v>
      </c>
      <c r="S30" s="575">
        <v>-21.359223300970873786407766990</v>
      </c>
      <c r="T30" s="575">
        <v>6.1224489795918367346938775600</v>
      </c>
      <c r="U30" s="575">
        <v>14.285714285714285714285714280</v>
      </c>
      <c r="V30" s="575">
        <v>-14.634146341463414634146341460</v>
      </c>
      <c r="W30" s="575">
        <v>-8.403361344537815126050420160</v>
      </c>
      <c r="X30" s="575">
        <v>-3.3898305084745762711864406800</v>
      </c>
      <c r="Y30" s="575">
        <v>-19.444444444444444444444444450</v>
      </c>
      <c r="Z30" s="575">
        <v>-29.914529914529914529914529920</v>
      </c>
      <c r="AA30" s="575">
        <v>-20.353982300884955752212389390</v>
      </c>
      <c r="AB30" s="575">
        <v>-21.0937500</v>
      </c>
      <c r="AC30" s="575">
        <v>-4.7619047619047619047619047600</v>
      </c>
      <c r="AD30" s="575">
        <v>-8.461538461538461538461538460</v>
      </c>
      <c r="AE30" s="575">
        <v>-1.6000000000000000000000000100</v>
      </c>
      <c r="AF30" s="575">
        <v>8.403361344537815126050420170</v>
      </c>
      <c r="AG30" s="576">
        <v>0</v>
      </c>
      <c r="AH30" s="343"/>
    </row>
    <row r="31" ht="24.95" customHeight="1">
      <c r="B31" s="38" t="s">
        <v>26</v>
      </c>
      <c r="C31" s="272">
        <v>-63.929086855347383518631398640</v>
      </c>
      <c r="D31" s="92">
        <v>-63.033920582671841357427943780</v>
      </c>
      <c r="E31" s="92">
        <v>-56.889336799600787398669305790</v>
      </c>
      <c r="F31" s="92">
        <v>-46.138032849995850043530394460</v>
      </c>
      <c r="G31" s="92">
        <v>-41.554946348342131672104854720</v>
      </c>
      <c r="H31" s="92">
        <v>-51.062828261765348188624945590</v>
      </c>
      <c r="I31" s="92">
        <v>-58.668867512572715343855995810</v>
      </c>
      <c r="J31" s="92">
        <v>-60.700654702764558293094983120</v>
      </c>
      <c r="K31" s="92">
        <v>-56.966765096326520989920543720</v>
      </c>
      <c r="L31" s="92">
        <v>-51.886920814566463501854300470</v>
      </c>
      <c r="M31" s="92">
        <v>-37.565157560244239974623328150</v>
      </c>
      <c r="N31" s="92">
        <v>-34.355903060271833091750702470</v>
      </c>
      <c r="O31" s="92">
        <v>-37.844772247394322240021228760</v>
      </c>
      <c r="P31" s="92">
        <v>-48.683235963066949952856365060</v>
      </c>
      <c r="Q31" s="92">
        <v>-50.261241456580557748973307900</v>
      </c>
      <c r="R31" s="92">
        <v>-45.238079720008674747717110940</v>
      </c>
      <c r="S31" s="92">
        <v>-43.061549175562291487145861960</v>
      </c>
      <c r="T31" s="92">
        <v>-39.716227609790728811525994890</v>
      </c>
      <c r="U31" s="92">
        <v>-35.712671406076407919486313780</v>
      </c>
      <c r="V31" s="92">
        <v>-35.696253159487022461093899970</v>
      </c>
      <c r="W31" s="92">
        <v>-36.811575419382931962246645450</v>
      </c>
      <c r="X31" s="92">
        <v>-42.612693188140725925707226010</v>
      </c>
      <c r="Y31" s="92">
        <v>-50.825747182444980527264159560</v>
      </c>
      <c r="Z31" s="92">
        <v>-54.002695715159612510918293130</v>
      </c>
      <c r="AA31" s="92">
        <v>-50.293309351639965959352857530</v>
      </c>
      <c r="AB31" s="92">
        <v>-41.152910885424116721499070240</v>
      </c>
      <c r="AC31" s="92">
        <v>-40.805877275272460892361417110</v>
      </c>
      <c r="AD31" s="92">
        <v>-37.137081946799900214693986280</v>
      </c>
      <c r="AE31" s="92">
        <v>-32.863557304037218040161988750</v>
      </c>
      <c r="AF31" s="92">
        <v>-2.01830480634742447516438600</v>
      </c>
      <c r="AG31" s="273">
        <v>6.4363031972784884914144272500</v>
      </c>
      <c r="AH31" s="343"/>
    </row>
    <row r="32" ht="24.95" customHeight="1">
      <c r="A32" s="23"/>
      <c r="B32" s="40" t="s">
        <v>100</v>
      </c>
      <c r="C32" s="582"/>
      <c r="D32" s="583"/>
      <c r="E32" s="583"/>
      <c r="F32" s="583"/>
      <c r="G32" s="583"/>
      <c r="H32" s="583"/>
      <c r="I32" s="583"/>
      <c r="J32" s="583"/>
      <c r="K32" s="583"/>
      <c r="L32" s="583"/>
      <c r="M32" s="583"/>
      <c r="N32" s="583"/>
      <c r="O32" s="583"/>
      <c r="P32" s="583"/>
      <c r="Q32" s="583"/>
      <c r="R32" s="583"/>
      <c r="S32" s="583"/>
      <c r="T32" s="583"/>
      <c r="U32" s="583"/>
      <c r="V32" s="583"/>
      <c r="W32" s="583"/>
      <c r="X32" s="583"/>
      <c r="Y32" s="583"/>
      <c r="Z32" s="583"/>
      <c r="AA32" s="583"/>
      <c r="AB32" s="583"/>
      <c r="AC32" s="583"/>
      <c r="AD32" s="583"/>
      <c r="AE32" s="583"/>
      <c r="AF32" s="583"/>
      <c r="AG32" s="584"/>
      <c r="AH32" s="343"/>
    </row>
    <row r="33" ht="30" customHeight="1">
      <c r="A33" s="8"/>
      <c r="B33" s="25"/>
      <c r="X33" s="787"/>
      <c r="Y33" s="787"/>
      <c r="Z33" s="787"/>
      <c r="AA33" s="787"/>
      <c r="AB33" s="787"/>
      <c r="AC33" s="787"/>
      <c r="AD33" s="787"/>
      <c r="AE33"/>
      <c r="AF33"/>
      <c r="AG33" s="4"/>
      <c r="AH33" s="4"/>
    </row>
    <row r="34" s="35" customFormat="1" ht="20.1" customHeight="1">
      <c r="B34" s="798" t="s">
        <v>9</v>
      </c>
      <c r="C34" s="351" t="s">
        <v>300</v>
      </c>
      <c r="D34" s="352"/>
      <c r="E34" s="352"/>
      <c r="F34" s="352"/>
      <c r="G34" s="352"/>
      <c r="H34" s="352"/>
      <c r="I34" s="352"/>
      <c r="J34" s="352"/>
      <c r="K34" s="352"/>
      <c r="L34" s="352"/>
      <c r="M34" s="352"/>
      <c r="N34" s="352"/>
      <c r="O34" s="352"/>
      <c r="P34" s="352"/>
      <c r="Q34" s="352"/>
      <c r="R34" s="352"/>
      <c r="S34" s="353"/>
      <c r="T34" s="353"/>
      <c r="U34" s="353"/>
      <c r="V34" s="353"/>
      <c r="W34" s="353"/>
      <c r="X34" s="353"/>
      <c r="Y34" s="353"/>
      <c r="Z34" s="353"/>
      <c r="AA34" s="353"/>
      <c r="AB34" s="353"/>
      <c r="AC34" s="353"/>
      <c r="AD34" s="353"/>
      <c r="AE34" s="353"/>
      <c r="AF34" s="353"/>
      <c r="AG34" s="354"/>
      <c r="AH34" s="530"/>
      <c r="AI34" s="236"/>
      <c r="AJ34" s="236"/>
      <c r="AK34" s="236"/>
      <c r="AL34" s="236"/>
      <c r="AM34" s="236"/>
      <c r="AN34" s="236"/>
      <c r="AO34" s="236"/>
      <c r="AP34" s="236"/>
      <c r="AQ34" s="236"/>
      <c r="AR34" s="236"/>
      <c r="AS34" s="236"/>
      <c r="AT34" s="236"/>
      <c r="AU34" s="236"/>
      <c r="AV34" s="236"/>
      <c r="AW34" s="236"/>
    </row>
    <row r="35" s="36" customFormat="1" ht="20.1" customHeight="1">
      <c r="B35" s="979"/>
      <c r="C35" s="355">
        <v>1</v>
      </c>
      <c r="D35" s="356">
        <v>2</v>
      </c>
      <c r="E35" s="356">
        <v>3</v>
      </c>
      <c r="F35" s="356">
        <v>4</v>
      </c>
      <c r="G35" s="356">
        <v>5</v>
      </c>
      <c r="H35" s="356">
        <v>6</v>
      </c>
      <c r="I35" s="356">
        <v>7</v>
      </c>
      <c r="J35" s="356">
        <v>8</v>
      </c>
      <c r="K35" s="356">
        <v>9</v>
      </c>
      <c r="L35" s="356">
        <v>10</v>
      </c>
      <c r="M35" s="356">
        <v>11</v>
      </c>
      <c r="N35" s="356">
        <v>12</v>
      </c>
      <c r="O35" s="356">
        <v>13</v>
      </c>
      <c r="P35" s="356">
        <v>14</v>
      </c>
      <c r="Q35" s="356">
        <v>15</v>
      </c>
      <c r="R35" s="356">
        <v>16</v>
      </c>
      <c r="S35" s="356">
        <v>17</v>
      </c>
      <c r="T35" s="356">
        <v>18</v>
      </c>
      <c r="U35" s="356">
        <v>19</v>
      </c>
      <c r="V35" s="356">
        <v>20</v>
      </c>
      <c r="W35" s="356">
        <v>21</v>
      </c>
      <c r="X35" s="356">
        <v>22</v>
      </c>
      <c r="Y35" s="356">
        <v>23</v>
      </c>
      <c r="Z35" s="356">
        <v>24</v>
      </c>
      <c r="AA35" s="356">
        <v>25</v>
      </c>
      <c r="AB35" s="356">
        <v>26</v>
      </c>
      <c r="AC35" s="356">
        <v>27</v>
      </c>
      <c r="AD35" s="356">
        <v>28</v>
      </c>
      <c r="AE35" s="356">
        <v>29</v>
      </c>
      <c r="AF35" s="356">
        <v>30</v>
      </c>
      <c r="AG35" s="357">
        <v>31</v>
      </c>
      <c r="AH35" s="530"/>
      <c r="AI35" s="236"/>
      <c r="AJ35" s="236"/>
      <c r="AK35" s="236"/>
      <c r="AL35" s="236"/>
      <c r="AM35" s="236"/>
      <c r="AN35" s="236"/>
      <c r="AO35" s="236"/>
      <c r="AP35" s="236"/>
      <c r="AQ35" s="236"/>
      <c r="AR35" s="236"/>
      <c r="AS35" s="236"/>
      <c r="AT35" s="236"/>
      <c r="AU35" s="236"/>
      <c r="AV35" s="236"/>
      <c r="AW35" s="236"/>
    </row>
    <row r="36" ht="24.95" customHeight="1">
      <c r="B36" s="264" t="s">
        <v>19</v>
      </c>
      <c r="C36" s="579">
        <v>108.46666666666666666666666667</v>
      </c>
      <c r="D36" s="580">
        <v>114.55882352941176470588235294</v>
      </c>
      <c r="E36" s="580">
        <v>115.03333333333333333333333333</v>
      </c>
      <c r="F36" s="580">
        <v>147.58474576271186440677966102</v>
      </c>
      <c r="G36" s="580">
        <v>143.21951219512195121951219512</v>
      </c>
      <c r="H36" s="580">
        <v>105.94252873563218390804597701</v>
      </c>
      <c r="I36" s="580">
        <v>99.74193548387096774193548387</v>
      </c>
      <c r="J36" s="580">
        <v>107.64814814814814814814814815</v>
      </c>
      <c r="K36" s="580">
        <v>111.33333333333333333333333333</v>
      </c>
      <c r="L36" s="580">
        <v>109.19277108433734939759036145</v>
      </c>
      <c r="M36" s="580">
        <v>143.88181818181818181818181818</v>
      </c>
      <c r="N36" s="580">
        <v>146.750000000</v>
      </c>
      <c r="O36" s="580">
        <v>112.7319587628865979381443299</v>
      </c>
      <c r="P36" s="580">
        <v>131.04347826086956521739130435</v>
      </c>
      <c r="Q36" s="580">
        <v>102.14754098360655737704918033</v>
      </c>
      <c r="R36" s="580">
        <v>93.96774193548387096774193548</v>
      </c>
      <c r="S36" s="580">
        <v>119.60493827160493827160493827</v>
      </c>
      <c r="T36" s="580">
        <v>163.66346153846153846153846154</v>
      </c>
      <c r="U36" s="580">
        <v>148.74166666666666666666666667</v>
      </c>
      <c r="V36" s="580">
        <v>125.46666666666666666666666667</v>
      </c>
      <c r="W36" s="580">
        <v>125.29357798165137614678899083</v>
      </c>
      <c r="X36" s="580">
        <v>116.98245614035087719298245614</v>
      </c>
      <c r="Y36" s="580">
        <v>128.88505747126436781609195402</v>
      </c>
      <c r="Z36" s="580">
        <v>157.96341463414634146341463415</v>
      </c>
      <c r="AA36" s="580">
        <v>204.71111111111111111111111111</v>
      </c>
      <c r="AB36" s="580">
        <v>216.26732673267326732673267327</v>
      </c>
      <c r="AC36" s="580">
        <v>213.74166666666666666666666667</v>
      </c>
      <c r="AD36" s="580">
        <v>224.82352941176470588235294118</v>
      </c>
      <c r="AE36" s="580">
        <v>251.52845528455284552845528455</v>
      </c>
      <c r="AF36" s="580">
        <v>289.44186046511627906976744186</v>
      </c>
      <c r="AG36" s="581">
        <v>420.5968992248062015503875969</v>
      </c>
      <c r="AH36" s="343"/>
    </row>
    <row r="37" ht="24.95" customHeight="1">
      <c r="B37" s="38" t="s">
        <v>26</v>
      </c>
      <c r="C37" s="277">
        <v>114.34112149532710280373831776</v>
      </c>
      <c r="D37" s="94">
        <v>117.82326712606404539927036887</v>
      </c>
      <c r="E37" s="94">
        <v>119.86392184228890439637124913</v>
      </c>
      <c r="F37" s="94">
        <v>128.85559566787003610108303249</v>
      </c>
      <c r="G37" s="94">
        <v>131.15241343126967471143756558</v>
      </c>
      <c r="H37" s="94">
        <v>114.45184673800483258543320677</v>
      </c>
      <c r="I37" s="94">
        <v>111.72648155822627434728553668</v>
      </c>
      <c r="J37" s="94">
        <v>110.71325095867064337452066468</v>
      </c>
      <c r="K37" s="94">
        <v>113.75696012039127163280662152</v>
      </c>
      <c r="L37" s="94">
        <v>114.878056951423785594639866</v>
      </c>
      <c r="M37" s="94">
        <v>127.48385374966639978649586336</v>
      </c>
      <c r="N37" s="94">
        <v>129.5988829652195988829652196</v>
      </c>
      <c r="O37" s="94">
        <v>113.52727888851236868858014232</v>
      </c>
      <c r="P37" s="94">
        <v>111.0053564070869386073341574</v>
      </c>
      <c r="Q37" s="94">
        <v>112.79096774193548387096774194</v>
      </c>
      <c r="R37" s="94">
        <v>109.84745082296266559614612605</v>
      </c>
      <c r="S37" s="94">
        <v>114.40860215053763440860215054</v>
      </c>
      <c r="T37" s="94">
        <v>129.72407932011331444759206799</v>
      </c>
      <c r="U37" s="94">
        <v>129.35289634146341463414634146</v>
      </c>
      <c r="V37" s="94">
        <v>122.50715808711544319220225404</v>
      </c>
      <c r="W37" s="94">
        <v>117.41348870056497175141242938</v>
      </c>
      <c r="X37" s="94">
        <v>121.72614575507137490608564989</v>
      </c>
      <c r="Y37" s="94">
        <v>127.18074130683989300726022163</v>
      </c>
      <c r="Z37" s="94">
        <v>137.98984238178633975481611208</v>
      </c>
      <c r="AA37" s="94">
        <v>155.37256061502069781194559432</v>
      </c>
      <c r="AB37" s="94">
        <v>171.27243270189431704885343968</v>
      </c>
      <c r="AC37" s="94">
        <v>181.51201860945980873610752132</v>
      </c>
      <c r="AD37" s="94">
        <v>197.14851981936778725539387858</v>
      </c>
      <c r="AE37" s="94">
        <v>203.11832061068702290076335878</v>
      </c>
      <c r="AF37" s="94">
        <v>231.70332628340703710824841377</v>
      </c>
      <c r="AG37" s="278">
        <v>273.06090771047747595748270626</v>
      </c>
      <c r="AH37" s="343"/>
    </row>
    <row r="38" ht="24.95" customHeight="1">
      <c r="A38" s="23"/>
      <c r="B38" s="40" t="s">
        <v>101</v>
      </c>
      <c r="C38" s="582"/>
      <c r="D38" s="583"/>
      <c r="E38" s="583"/>
      <c r="F38" s="583"/>
      <c r="G38" s="583"/>
      <c r="H38" s="583"/>
      <c r="I38" s="583"/>
      <c r="J38" s="583"/>
      <c r="K38" s="583"/>
      <c r="L38" s="583"/>
      <c r="M38" s="583"/>
      <c r="N38" s="583"/>
      <c r="O38" s="583"/>
      <c r="P38" s="583"/>
      <c r="Q38" s="583"/>
      <c r="R38" s="583"/>
      <c r="S38" s="583"/>
      <c r="T38" s="583"/>
      <c r="U38" s="583"/>
      <c r="V38" s="583"/>
      <c r="W38" s="583"/>
      <c r="X38" s="583"/>
      <c r="Y38" s="583"/>
      <c r="Z38" s="583"/>
      <c r="AA38" s="583"/>
      <c r="AB38" s="583"/>
      <c r="AC38" s="583"/>
      <c r="AD38" s="583"/>
      <c r="AE38" s="583"/>
      <c r="AF38" s="583"/>
      <c r="AG38" s="584"/>
      <c r="AH38" s="343"/>
    </row>
    <row r="39" ht="24.95" customHeight="1">
      <c r="B39" s="25" t="s">
        <v>70</v>
      </c>
      <c r="S39" s="4"/>
      <c r="T39" s="4"/>
      <c r="U39" s="4"/>
      <c r="V39" s="4"/>
      <c r="W39" s="4"/>
      <c r="X39" s="4"/>
      <c r="Y39" s="4"/>
      <c r="Z39" s="4"/>
      <c r="AA39" s="4"/>
      <c r="AB39" s="4"/>
      <c r="AC39" s="4"/>
      <c r="AD39" s="4"/>
      <c r="AE39" s="4"/>
      <c r="AF39" s="4"/>
      <c r="AG39" s="4"/>
      <c r="AH39" s="4"/>
    </row>
    <row r="40" ht="24.95" customHeight="1">
      <c r="B40" s="37" t="s">
        <v>19</v>
      </c>
      <c r="C40" s="574">
        <v>-61.983962614837236471775264190</v>
      </c>
      <c r="D40" s="575">
        <v>-67.893637280957321319443457500</v>
      </c>
      <c r="E40" s="575">
        <v>-76.172063798936684388593523440</v>
      </c>
      <c r="F40" s="575">
        <v>-68.462102367144229334391900800</v>
      </c>
      <c r="G40" s="575">
        <v>-62.005823358136525396311873180</v>
      </c>
      <c r="H40" s="575">
        <v>-31.444919342787574387404803400</v>
      </c>
      <c r="I40" s="575">
        <v>-29.401585464042652908353128270</v>
      </c>
      <c r="J40" s="575">
        <v>-21.167726560545614935945543840</v>
      </c>
      <c r="K40" s="575">
        <v>-17.694169416941694169416941690</v>
      </c>
      <c r="L40" s="575">
        <v>-30.914377998530982037916736340</v>
      </c>
      <c r="M40" s="575">
        <v>-14.030780243378668575518969220</v>
      </c>
      <c r="N40" s="575">
        <v>-12.871654529430864140266246120</v>
      </c>
      <c r="O40" s="575">
        <v>-13.678831173905381731949194370</v>
      </c>
      <c r="P40" s="575">
        <v>4.8953407435579124120065730500</v>
      </c>
      <c r="Q40" s="575">
        <v>-25.014040060973979086994892090</v>
      </c>
      <c r="R40" s="575">
        <v>-28.379545208414434613099332360</v>
      </c>
      <c r="S40" s="575">
        <v>-11.039076819935668385504703620</v>
      </c>
      <c r="T40" s="575">
        <v>-14.704215960597581529298185330</v>
      </c>
      <c r="U40" s="575">
        <v>-28.348511263017846492636601370</v>
      </c>
      <c r="V40" s="575">
        <v>-34.405576571598588855357674160</v>
      </c>
      <c r="W40" s="575">
        <v>-33.651051175611811314222633020</v>
      </c>
      <c r="X40" s="575">
        <v>-45.898766119688796751824692050</v>
      </c>
      <c r="Y40" s="575">
        <v>-47.200295084411668914243708860</v>
      </c>
      <c r="Z40" s="575">
        <v>-44.655568329055752676470287490</v>
      </c>
      <c r="AA40" s="575">
        <v>-42.666479402296191648559854380</v>
      </c>
      <c r="AB40" s="575">
        <v>-42.607306570642136674430820850</v>
      </c>
      <c r="AC40" s="575">
        <v>-38.210778690405175973936585140</v>
      </c>
      <c r="AD40" s="575">
        <v>-43.546591162154423694842999400</v>
      </c>
      <c r="AE40" s="575">
        <v>-44.600185169825197450254769670</v>
      </c>
      <c r="AF40" s="575">
        <v>10.258271376640856651308702520</v>
      </c>
      <c r="AG40" s="576">
        <v>80.03450907522314762584198825</v>
      </c>
      <c r="AH40" s="343"/>
    </row>
    <row r="41" ht="24.95" customHeight="1">
      <c r="B41" s="38" t="s">
        <v>26</v>
      </c>
      <c r="C41" s="272">
        <v>-47.728362666125245903918912820</v>
      </c>
      <c r="D41" s="92">
        <v>-54.857080848355892069214386020</v>
      </c>
      <c r="E41" s="92">
        <v>-58.595053412025761512161622730</v>
      </c>
      <c r="F41" s="92">
        <v>-54.520431517855315566886652400</v>
      </c>
      <c r="G41" s="92">
        <v>-49.622476720726947924867408910</v>
      </c>
      <c r="H41" s="92">
        <v>-36.688633168468759858174893550</v>
      </c>
      <c r="I41" s="92">
        <v>-35.060535694098850082463238920</v>
      </c>
      <c r="J41" s="92">
        <v>-37.732354312235869504902321510</v>
      </c>
      <c r="K41" s="92">
        <v>-38.126535309213813724849538950</v>
      </c>
      <c r="L41" s="92">
        <v>-34.729582763506191551612574060</v>
      </c>
      <c r="M41" s="92">
        <v>-26.076932849953841391843921920</v>
      </c>
      <c r="N41" s="92">
        <v>-22.252932940294439071394385130</v>
      </c>
      <c r="O41" s="92">
        <v>-20.894314189982552071381255910</v>
      </c>
      <c r="P41" s="92">
        <v>-23.880674930576685508787027210</v>
      </c>
      <c r="Q41" s="92">
        <v>-22.519665038073992836777555910</v>
      </c>
      <c r="R41" s="92">
        <v>-24.937507169923549071659856030</v>
      </c>
      <c r="S41" s="92">
        <v>-20.675055535255547152296263040</v>
      </c>
      <c r="T41" s="92">
        <v>-22.008886154810884378121938840</v>
      </c>
      <c r="U41" s="92">
        <v>-25.551134589584627777408516530</v>
      </c>
      <c r="V41" s="92">
        <v>-25.227541690086506999695213530</v>
      </c>
      <c r="W41" s="92">
        <v>-28.168185265624990054061348460</v>
      </c>
      <c r="X41" s="92">
        <v>-29.682906510206692811836880970</v>
      </c>
      <c r="Y41" s="92">
        <v>-32.962811142293678310701076540</v>
      </c>
      <c r="Z41" s="92">
        <v>-41.396578903744875816578777830</v>
      </c>
      <c r="AA41" s="92">
        <v>-46.859638664838083501362065990</v>
      </c>
      <c r="AB41" s="92">
        <v>-42.844144905920092323648000880</v>
      </c>
      <c r="AC41" s="92">
        <v>-36.697645428171008622491070610</v>
      </c>
      <c r="AD41" s="92">
        <v>-31.557957911462254726937106710</v>
      </c>
      <c r="AE41" s="92">
        <v>-35.403723721118016051314399200</v>
      </c>
      <c r="AF41" s="92">
        <v>-0.4303340254169827059613541600</v>
      </c>
      <c r="AG41" s="273">
        <v>26.0294523974882093617471600</v>
      </c>
      <c r="AH41" s="343"/>
    </row>
    <row r="42" ht="24.95" customHeight="1">
      <c r="A42" s="23"/>
      <c r="B42" s="40" t="s">
        <v>101</v>
      </c>
      <c r="C42" s="582"/>
      <c r="D42" s="583"/>
      <c r="E42" s="583"/>
      <c r="F42" s="583"/>
      <c r="G42" s="583"/>
      <c r="H42" s="583"/>
      <c r="I42" s="583"/>
      <c r="J42" s="583"/>
      <c r="K42" s="583"/>
      <c r="L42" s="583"/>
      <c r="M42" s="583"/>
      <c r="N42" s="583"/>
      <c r="O42" s="583"/>
      <c r="P42" s="583"/>
      <c r="Q42" s="583"/>
      <c r="R42" s="583"/>
      <c r="S42" s="583"/>
      <c r="T42" s="583"/>
      <c r="U42" s="583"/>
      <c r="V42" s="583"/>
      <c r="W42" s="583"/>
      <c r="X42" s="583"/>
      <c r="Y42" s="583"/>
      <c r="Z42" s="583"/>
      <c r="AA42" s="583"/>
      <c r="AB42" s="583"/>
      <c r="AC42" s="583"/>
      <c r="AD42" s="583"/>
      <c r="AE42" s="583"/>
      <c r="AF42" s="583"/>
      <c r="AG42" s="584"/>
      <c r="AH42" s="343"/>
    </row>
    <row r="43" ht="30" customHeight="1">
      <c r="A43" s="8"/>
      <c r="B43" s="25"/>
      <c r="X43" s="787"/>
      <c r="Y43" s="787"/>
      <c r="Z43" s="787"/>
      <c r="AA43" s="787"/>
      <c r="AB43" s="787"/>
      <c r="AC43" s="787"/>
      <c r="AD43" s="787"/>
      <c r="AE43"/>
      <c r="AF43"/>
      <c r="AG43" s="4"/>
      <c r="AH43" s="4"/>
    </row>
    <row r="44" s="35" customFormat="1" ht="20.1" customHeight="1">
      <c r="B44" s="798" t="s">
        <v>10</v>
      </c>
      <c r="C44" s="351" t="s">
        <v>300</v>
      </c>
      <c r="D44" s="352"/>
      <c r="E44" s="352"/>
      <c r="F44" s="352"/>
      <c r="G44" s="352"/>
      <c r="H44" s="352"/>
      <c r="I44" s="352"/>
      <c r="J44" s="352"/>
      <c r="K44" s="352"/>
      <c r="L44" s="352"/>
      <c r="M44" s="352"/>
      <c r="N44" s="352"/>
      <c r="O44" s="352"/>
      <c r="P44" s="352"/>
      <c r="Q44" s="352"/>
      <c r="R44" s="352"/>
      <c r="S44" s="353"/>
      <c r="T44" s="353"/>
      <c r="U44" s="353"/>
      <c r="V44" s="353"/>
      <c r="W44" s="353"/>
      <c r="X44" s="353"/>
      <c r="Y44" s="353"/>
      <c r="Z44" s="353"/>
      <c r="AA44" s="353"/>
      <c r="AB44" s="353"/>
      <c r="AC44" s="353"/>
      <c r="AD44" s="353"/>
      <c r="AE44" s="353"/>
      <c r="AF44" s="353"/>
      <c r="AG44" s="354"/>
      <c r="AH44" s="530"/>
      <c r="AI44" s="236"/>
      <c r="AJ44" s="236"/>
      <c r="AK44" s="236"/>
      <c r="AL44" s="236"/>
      <c r="AM44" s="236"/>
      <c r="AN44" s="236"/>
      <c r="AO44" s="236"/>
      <c r="AP44" s="236"/>
      <c r="AQ44" s="236"/>
      <c r="AR44" s="236"/>
      <c r="AS44" s="236"/>
      <c r="AT44" s="236"/>
      <c r="AU44" s="236"/>
      <c r="AV44" s="236"/>
      <c r="AW44" s="236"/>
    </row>
    <row r="45" s="36" customFormat="1" ht="20.1" customHeight="1">
      <c r="B45" s="979"/>
      <c r="C45" s="355">
        <v>1</v>
      </c>
      <c r="D45" s="356">
        <v>2</v>
      </c>
      <c r="E45" s="356">
        <v>3</v>
      </c>
      <c r="F45" s="356">
        <v>4</v>
      </c>
      <c r="G45" s="356">
        <v>5</v>
      </c>
      <c r="H45" s="356">
        <v>6</v>
      </c>
      <c r="I45" s="356">
        <v>7</v>
      </c>
      <c r="J45" s="356">
        <v>8</v>
      </c>
      <c r="K45" s="356">
        <v>9</v>
      </c>
      <c r="L45" s="356">
        <v>10</v>
      </c>
      <c r="M45" s="356">
        <v>11</v>
      </c>
      <c r="N45" s="356">
        <v>12</v>
      </c>
      <c r="O45" s="356">
        <v>13</v>
      </c>
      <c r="P45" s="356">
        <v>14</v>
      </c>
      <c r="Q45" s="356">
        <v>15</v>
      </c>
      <c r="R45" s="356">
        <v>16</v>
      </c>
      <c r="S45" s="356">
        <v>17</v>
      </c>
      <c r="T45" s="356">
        <v>18</v>
      </c>
      <c r="U45" s="356">
        <v>19</v>
      </c>
      <c r="V45" s="356">
        <v>20</v>
      </c>
      <c r="W45" s="356">
        <v>21</v>
      </c>
      <c r="X45" s="356">
        <v>22</v>
      </c>
      <c r="Y45" s="356">
        <v>23</v>
      </c>
      <c r="Z45" s="356">
        <v>24</v>
      </c>
      <c r="AA45" s="356">
        <v>25</v>
      </c>
      <c r="AB45" s="356">
        <v>26</v>
      </c>
      <c r="AC45" s="356">
        <v>27</v>
      </c>
      <c r="AD45" s="356">
        <v>28</v>
      </c>
      <c r="AE45" s="356">
        <v>29</v>
      </c>
      <c r="AF45" s="356">
        <v>30</v>
      </c>
      <c r="AG45" s="357">
        <v>31</v>
      </c>
      <c r="AH45" s="530"/>
      <c r="AI45" s="236"/>
      <c r="AJ45" s="236"/>
      <c r="AK45" s="236"/>
      <c r="AL45" s="236"/>
      <c r="AM45" s="236"/>
      <c r="AN45" s="236"/>
      <c r="AO45" s="236"/>
      <c r="AP45" s="236"/>
      <c r="AQ45" s="236"/>
      <c r="AR45" s="236"/>
      <c r="AS45" s="236"/>
      <c r="AT45" s="236"/>
      <c r="AU45" s="236"/>
      <c r="AV45" s="236"/>
      <c r="AW45" s="236"/>
    </row>
    <row r="46" ht="24.95" customHeight="1">
      <c r="B46" s="264" t="s">
        <v>19</v>
      </c>
      <c r="C46" s="579">
        <v>49.303030303030303030303030303</v>
      </c>
      <c r="D46" s="580">
        <v>59.015151515151515151515151515</v>
      </c>
      <c r="E46" s="580">
        <v>78.431818181818181818181818182</v>
      </c>
      <c r="F46" s="580">
        <v>131.93181818181818181818181818</v>
      </c>
      <c r="G46" s="580">
        <v>133.45454545454545454545454545</v>
      </c>
      <c r="H46" s="580">
        <v>69.825757575757575757575757576</v>
      </c>
      <c r="I46" s="580">
        <v>46.848484848484848484848484848</v>
      </c>
      <c r="J46" s="580">
        <v>44.037878787878787878787878788</v>
      </c>
      <c r="K46" s="580">
        <v>50.606060606060606060606060606</v>
      </c>
      <c r="L46" s="580">
        <v>68.659090909090909090909090909</v>
      </c>
      <c r="M46" s="580">
        <v>119.90151515151515151515151515</v>
      </c>
      <c r="N46" s="580">
        <v>128.96212121212121212121212121</v>
      </c>
      <c r="O46" s="580">
        <v>82.84090909090909090909090909</v>
      </c>
      <c r="P46" s="580">
        <v>68.500000000</v>
      </c>
      <c r="Q46" s="580">
        <v>47.204545454545454545454545455</v>
      </c>
      <c r="R46" s="580">
        <v>44.136363636363636363636363636</v>
      </c>
      <c r="S46" s="580">
        <v>73.393939393939393939393939394</v>
      </c>
      <c r="T46" s="580">
        <v>128.9469696969696969696969697</v>
      </c>
      <c r="U46" s="580">
        <v>135.21969696969696969696969697</v>
      </c>
      <c r="V46" s="580">
        <v>99.8030303030303030303030303</v>
      </c>
      <c r="W46" s="580">
        <v>103.46212121212121212121212121</v>
      </c>
      <c r="X46" s="580">
        <v>101.03030303030303030303030303</v>
      </c>
      <c r="Y46" s="580">
        <v>84.9469696969696969696969697</v>
      </c>
      <c r="Z46" s="580">
        <v>98.12878787878787878787878788</v>
      </c>
      <c r="AA46" s="580">
        <v>139.57575757575757575757575758</v>
      </c>
      <c r="AB46" s="580">
        <v>165.47727272727272727272727273</v>
      </c>
      <c r="AC46" s="580">
        <v>194.31060606060606060606060606</v>
      </c>
      <c r="AD46" s="580">
        <v>202.68181818181818181818181818</v>
      </c>
      <c r="AE46" s="580">
        <v>234.37878787878787878787878788</v>
      </c>
      <c r="AF46" s="580">
        <v>282.86363636363636363636363636</v>
      </c>
      <c r="AG46" s="581">
        <v>411.03787878787878787878787879</v>
      </c>
      <c r="AH46" s="343"/>
    </row>
    <row r="47" ht="24.95" customHeight="1">
      <c r="B47" s="38" t="s">
        <v>26</v>
      </c>
      <c r="C47" s="277">
        <v>38.500786725790301816621370333</v>
      </c>
      <c r="D47" s="94">
        <v>41.577742812187097697039050207</v>
      </c>
      <c r="E47" s="94">
        <v>49.138892862251466170791017022</v>
      </c>
      <c r="F47" s="94">
        <v>66.372335860391932484623086826</v>
      </c>
      <c r="G47" s="94">
        <v>71.513803461593477327993134029</v>
      </c>
      <c r="H47" s="94">
        <v>47.427692747818623945072235732</v>
      </c>
      <c r="I47" s="94">
        <v>38.563295665856100700901158633</v>
      </c>
      <c r="J47" s="94">
        <v>37.168359319124588756973251323</v>
      </c>
      <c r="K47" s="94">
        <v>43.250750965527106279502217136</v>
      </c>
      <c r="L47" s="94">
        <v>49.05035045057931626376770133</v>
      </c>
      <c r="M47" s="94">
        <v>68.328136175082248605349735374</v>
      </c>
      <c r="N47" s="94">
        <v>73.021027034758975826062079817</v>
      </c>
      <c r="O47" s="94">
        <v>47.921470462022600486339579459</v>
      </c>
      <c r="P47" s="94">
        <v>38.536690030038621084251180089</v>
      </c>
      <c r="Q47" s="94">
        <v>37.510942640537834358460878272</v>
      </c>
      <c r="R47" s="94">
        <v>39.140323272779287655557144901</v>
      </c>
      <c r="S47" s="94">
        <v>45.658704048061793734801888142</v>
      </c>
      <c r="T47" s="94">
        <v>65.502217136318123301387498212</v>
      </c>
      <c r="U47" s="94">
        <v>72.826920326133600343298526677</v>
      </c>
      <c r="V47" s="94">
        <v>57.529824059505077957373766271</v>
      </c>
      <c r="W47" s="94">
        <v>47.563295665856100700901158633</v>
      </c>
      <c r="X47" s="94">
        <v>46.350307538263481619224717494</v>
      </c>
      <c r="Y47" s="94">
        <v>47.608639679588041767987412387</v>
      </c>
      <c r="Z47" s="94">
        <v>56.3525961951079959948505221</v>
      </c>
      <c r="AA47" s="94">
        <v>75.163782005435560005721642111</v>
      </c>
      <c r="AB47" s="94">
        <v>98.28994421398941496209412101</v>
      </c>
      <c r="AC47" s="94">
        <v>100.45344013731941067086253755</v>
      </c>
      <c r="AD47" s="94">
        <v>112.40652267200686597053354313</v>
      </c>
      <c r="AE47" s="94">
        <v>129.40766700042912315834644543</v>
      </c>
      <c r="AF47" s="94">
        <v>172.37719925618652553282792161</v>
      </c>
      <c r="AG47" s="278">
        <v>231.50221713631812330138749821</v>
      </c>
      <c r="AH47" s="343"/>
    </row>
    <row r="48" ht="24.95" customHeight="1">
      <c r="A48" s="23"/>
      <c r="B48" s="40" t="s">
        <v>102</v>
      </c>
      <c r="C48" s="582"/>
      <c r="D48" s="583"/>
      <c r="E48" s="583"/>
      <c r="F48" s="583"/>
      <c r="G48" s="583"/>
      <c r="H48" s="583"/>
      <c r="I48" s="583"/>
      <c r="J48" s="583"/>
      <c r="K48" s="583"/>
      <c r="L48" s="583"/>
      <c r="M48" s="583"/>
      <c r="N48" s="583"/>
      <c r="O48" s="583"/>
      <c r="P48" s="583"/>
      <c r="Q48" s="583"/>
      <c r="R48" s="583"/>
      <c r="S48" s="583"/>
      <c r="T48" s="583"/>
      <c r="U48" s="583"/>
      <c r="V48" s="583"/>
      <c r="W48" s="583"/>
      <c r="X48" s="583"/>
      <c r="Y48" s="583"/>
      <c r="Z48" s="583"/>
      <c r="AA48" s="583"/>
      <c r="AB48" s="583"/>
      <c r="AC48" s="583"/>
      <c r="AD48" s="583"/>
      <c r="AE48" s="583"/>
      <c r="AF48" s="583"/>
      <c r="AG48" s="584"/>
      <c r="AH48" s="343"/>
    </row>
    <row r="49" ht="24.95" customHeight="1">
      <c r="B49" s="25" t="s">
        <v>70</v>
      </c>
      <c r="S49" s="4"/>
      <c r="T49" s="4"/>
      <c r="U49" s="4"/>
      <c r="V49" s="4"/>
      <c r="W49" s="4"/>
      <c r="X49" s="4"/>
      <c r="Y49" s="4"/>
      <c r="Z49" s="4"/>
      <c r="AA49" s="4"/>
      <c r="AB49" s="4"/>
      <c r="AC49" s="4"/>
      <c r="AD49" s="4"/>
      <c r="AE49" s="4"/>
      <c r="AF49" s="4"/>
      <c r="AG49" s="4"/>
      <c r="AH49" s="4"/>
    </row>
    <row r="50" ht="24.95" customHeight="1">
      <c r="B50" s="37" t="s">
        <v>19</v>
      </c>
      <c r="C50" s="574">
        <v>-79.26397960809303807551378047</v>
      </c>
      <c r="D50" s="575">
        <v>-81.17902875090601594588064750</v>
      </c>
      <c r="E50" s="575">
        <v>-82.12904784920251329144514258</v>
      </c>
      <c r="F50" s="575">
        <v>-70.228224634584152491665954360</v>
      </c>
      <c r="G50" s="575">
        <v>-62.005823358136525396311873180</v>
      </c>
      <c r="H50" s="575">
        <v>-45.779163480204717924583799050</v>
      </c>
      <c r="I50" s="575">
        <v>-61.604371041847758599279771520</v>
      </c>
      <c r="J50" s="575">
        <v>-58.670458585140419480981158900</v>
      </c>
      <c r="K50" s="575">
        <v>-55.907590759075907590759075910</v>
      </c>
      <c r="L50" s="575">
        <v>-55.549561037814507822845652070</v>
      </c>
      <c r="M50" s="575">
        <v>-26.692913385826771653543307090</v>
      </c>
      <c r="N50" s="575">
        <v>-21.039936917296720627116285550</v>
      </c>
      <c r="O50" s="575">
        <v>-15.422693170392141696960321760</v>
      </c>
      <c r="P50" s="575">
        <v>-25.383726687572206634758210920</v>
      </c>
      <c r="Q50" s="575">
        <v>-49.176182707993474714518760200</v>
      </c>
      <c r="R50" s="575">
        <v>-47.137283368115416023954269120</v>
      </c>
      <c r="S50" s="575">
        <v>-30.040439052570768341998844600</v>
      </c>
      <c r="T50" s="575">
        <v>-9.482025101042331418847053810</v>
      </c>
      <c r="U50" s="575">
        <v>-18.112584300591824563013258710</v>
      </c>
      <c r="V50" s="575">
        <v>-44.004760487950014876524843800</v>
      </c>
      <c r="W50" s="575">
        <v>-39.226593093627625489498042010</v>
      </c>
      <c r="X50" s="575">
        <v>-47.732706251224769743288261810</v>
      </c>
      <c r="Y50" s="575">
        <v>-57.466904373553844403140765470</v>
      </c>
      <c r="Z50" s="575">
        <v>-61.211594897286937773252680120</v>
      </c>
      <c r="AA50" s="575">
        <v>-54.336134037227055295313158350</v>
      </c>
      <c r="AB50" s="575">
        <v>-54.713577840897310969668069580</v>
      </c>
      <c r="AC50" s="575">
        <v>-41.153122562290643784701509660</v>
      </c>
      <c r="AD50" s="575">
        <v>-48.323418063818280151433207140</v>
      </c>
      <c r="AE50" s="575">
        <v>-45.486582207107994291050693360</v>
      </c>
      <c r="AF50" s="575">
        <v>19.523672332661096706040526260</v>
      </c>
      <c r="AG50" s="576">
        <v>80.03450907522314762584198826</v>
      </c>
      <c r="AH50" s="343"/>
    </row>
    <row r="51" ht="24.95" customHeight="1">
      <c r="B51" s="38" t="s">
        <v>26</v>
      </c>
      <c r="C51" s="272">
        <v>-81.14514309801022683993691913</v>
      </c>
      <c r="D51" s="92">
        <v>-83.31243265510299601039915844</v>
      </c>
      <c r="E51" s="92">
        <v>-82.15005292815324057838978775</v>
      </c>
      <c r="F51" s="92">
        <v>-75.503809764183589072870751550</v>
      </c>
      <c r="G51" s="92">
        <v>-70.556829491052432381871247120</v>
      </c>
      <c r="H51" s="92">
        <v>-69.017207683829826607597359440</v>
      </c>
      <c r="I51" s="92">
        <v>-73.159783971102444401565161970</v>
      </c>
      <c r="J51" s="92">
        <v>-75.529222912706439869965047670</v>
      </c>
      <c r="K51" s="92">
        <v>-73.373846596572513065237987460</v>
      </c>
      <c r="L51" s="92">
        <v>-68.596392470342874142392955580</v>
      </c>
      <c r="M51" s="92">
        <v>-53.846249498233832166173314220</v>
      </c>
      <c r="N51" s="92">
        <v>-48.963639931531416161589255580</v>
      </c>
      <c r="O51" s="92">
        <v>-50.831680819522983663199054850</v>
      </c>
      <c r="P51" s="92">
        <v>-60.938025567618013118128373840</v>
      </c>
      <c r="Q51" s="92">
        <v>-61.462243274655027053696581070</v>
      </c>
      <c r="R51" s="92">
        <v>-58.894337516219329561452234050</v>
      </c>
      <c r="S51" s="92">
        <v>-54.833605504428957663303336280</v>
      </c>
      <c r="T51" s="92">
        <v>-52.984014444977203642605154960</v>
      </c>
      <c r="U51" s="92">
        <v>-52.138813259158347788115676210</v>
      </c>
      <c r="V51" s="92">
        <v>-51.918507701965118921665105760</v>
      </c>
      <c r="W51" s="92">
        <v>-54.610607921680868336279023520</v>
      </c>
      <c r="X51" s="92">
        <v>-59.646913817830391280031107930</v>
      </c>
      <c r="Y51" s="92">
        <v>-67.034963269329669532977870930</v>
      </c>
      <c r="Z51" s="92">
        <v>-73.044006077029186181342872420</v>
      </c>
      <c r="AA51" s="92">
        <v>-73.585684981710340325984493770</v>
      </c>
      <c r="AB51" s="92">
        <v>-66.365443018588937179157184330</v>
      </c>
      <c r="AC51" s="92">
        <v>-62.528726547109372727019889880</v>
      </c>
      <c r="AD51" s="92">
        <v>-56.975335167945795103742376730</v>
      </c>
      <c r="AE51" s="92">
        <v>-56.632357992302597164871397080</v>
      </c>
      <c r="AF51" s="92">
        <v>-2.4399533794460678719018745800</v>
      </c>
      <c r="AG51" s="273">
        <v>34.141090071660313649314974380</v>
      </c>
      <c r="AH51" s="343"/>
    </row>
    <row r="52" ht="24.95" customHeight="1">
      <c r="A52" s="23"/>
      <c r="B52" s="40" t="s">
        <v>102</v>
      </c>
      <c r="C52" s="582"/>
      <c r="D52" s="583"/>
      <c r="E52" s="583"/>
      <c r="F52" s="583"/>
      <c r="G52" s="583"/>
      <c r="H52" s="583"/>
      <c r="I52" s="583"/>
      <c r="J52" s="583"/>
      <c r="K52" s="583"/>
      <c r="L52" s="583"/>
      <c r="M52" s="583"/>
      <c r="N52" s="583"/>
      <c r="O52" s="583"/>
      <c r="P52" s="583"/>
      <c r="Q52" s="583"/>
      <c r="R52" s="583"/>
      <c r="S52" s="583"/>
      <c r="T52" s="583"/>
      <c r="U52" s="583"/>
      <c r="V52" s="583"/>
      <c r="W52" s="583"/>
      <c r="X52" s="583"/>
      <c r="Y52" s="583"/>
      <c r="Z52" s="583"/>
      <c r="AA52" s="583"/>
      <c r="AB52" s="583"/>
      <c r="AC52" s="583"/>
      <c r="AD52" s="583"/>
      <c r="AE52" s="583"/>
      <c r="AF52" s="583"/>
      <c r="AG52" s="584"/>
      <c r="AH52" s="343"/>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92</v>
      </c>
      <c r="C54" s="358"/>
      <c r="D54" s="359"/>
      <c r="E54" s="359"/>
      <c r="F54" s="359"/>
      <c r="G54" s="359"/>
      <c r="H54" s="359"/>
      <c r="I54" s="359"/>
      <c r="J54" s="359"/>
      <c r="K54" s="359"/>
      <c r="L54" s="359"/>
      <c r="M54" s="359"/>
      <c r="N54" s="359"/>
      <c r="O54" s="359"/>
      <c r="P54" s="359"/>
      <c r="Q54" s="359"/>
      <c r="R54" s="359"/>
      <c r="S54" s="359"/>
      <c r="T54" s="359"/>
      <c r="U54" s="359"/>
      <c r="V54" s="359"/>
      <c r="W54" s="359"/>
      <c r="X54" s="359"/>
      <c r="Y54" s="359"/>
      <c r="Z54" s="359"/>
      <c r="AA54" s="359"/>
      <c r="AB54" s="359"/>
      <c r="AC54" s="359"/>
      <c r="AD54" s="359"/>
      <c r="AE54" s="359"/>
      <c r="AF54" s="359"/>
      <c r="AG54" s="360"/>
      <c r="AH54" s="533"/>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26" t="s">
        <v>129</v>
      </c>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row>
    <row r="57" ht="15" customHeight="1">
      <c r="A57"/>
      <c r="AE57"/>
      <c r="AF57"/>
      <c r="AG57"/>
    </row>
    <row r="58" s="283" customFormat="1"/>
    <row r="59" s="283" customFormat="1"/>
    <row r="60" s="283" customFormat="1">
      <c r="C60" s="283">
        <v>100</v>
      </c>
      <c r="D60" s="283">
        <v>100</v>
      </c>
      <c r="E60" s="283">
        <v>100</v>
      </c>
      <c r="F60" s="283">
        <v>100</v>
      </c>
      <c r="G60" s="283">
        <v>100</v>
      </c>
      <c r="H60" s="283">
        <v>100</v>
      </c>
      <c r="I60" s="283">
        <v>100</v>
      </c>
      <c r="J60" s="283">
        <v>100</v>
      </c>
      <c r="K60" s="283">
        <v>100</v>
      </c>
      <c r="L60" s="283">
        <v>100</v>
      </c>
      <c r="M60" s="283">
        <v>100</v>
      </c>
      <c r="N60" s="283">
        <v>100</v>
      </c>
      <c r="O60" s="283">
        <v>100</v>
      </c>
      <c r="P60" s="283">
        <v>100</v>
      </c>
      <c r="Q60" s="283">
        <v>100</v>
      </c>
      <c r="R60" s="283">
        <v>100</v>
      </c>
      <c r="S60" s="283">
        <v>100</v>
      </c>
      <c r="T60" s="283">
        <v>100</v>
      </c>
      <c r="U60" s="283">
        <v>100</v>
      </c>
      <c r="V60" s="283">
        <v>100</v>
      </c>
      <c r="W60" s="283">
        <v>100</v>
      </c>
      <c r="X60" s="283">
        <v>100</v>
      </c>
      <c r="Y60" s="283">
        <v>100</v>
      </c>
      <c r="Z60" s="283">
        <v>100</v>
      </c>
      <c r="AA60" s="283">
        <v>100</v>
      </c>
      <c r="AB60" s="283">
        <v>100</v>
      </c>
      <c r="AC60" s="283">
        <v>100</v>
      </c>
      <c r="AD60" s="283">
        <v>100</v>
      </c>
      <c r="AE60" s="283">
        <v>100</v>
      </c>
      <c r="AF60" s="283">
        <v>100</v>
      </c>
      <c r="AG60" s="283">
        <v>100</v>
      </c>
    </row>
    <row r="61" s="283" customFormat="1"/>
    <row r="62" s="283" customFormat="1"/>
    <row r="63" s="283" customFormat="1"/>
    <row r="64" s="283" customFormat="1"/>
    <row r="65" s="283" customFormat="1" ht="10.5" customHeight="1">
      <c r="B65" s="1029"/>
      <c r="C65" s="1029"/>
      <c r="D65" s="1029"/>
      <c r="E65" s="1029"/>
      <c r="F65" s="1029"/>
      <c r="G65" s="1029"/>
      <c r="H65" s="1029"/>
      <c r="I65" s="1029"/>
      <c r="J65" s="1029"/>
      <c r="K65" s="1029"/>
      <c r="L65" s="1029"/>
      <c r="M65" s="1029"/>
      <c r="N65" s="1029"/>
      <c r="O65" s="1029"/>
      <c r="P65" s="1029"/>
      <c r="Q65" s="1029"/>
      <c r="R65" s="1029"/>
      <c r="S65" s="1029"/>
      <c r="T65" s="1029"/>
      <c r="U65" s="1029"/>
      <c r="V65" s="1029"/>
      <c r="W65" s="1029"/>
      <c r="X65" s="1029"/>
      <c r="Y65" s="1029"/>
      <c r="Z65" s="1029"/>
      <c r="AA65" s="1029"/>
      <c r="AB65" s="1029"/>
      <c r="AC65" s="1029"/>
      <c r="AD65" s="1029"/>
      <c r="AE65" s="1029"/>
      <c r="AF65" s="1029"/>
      <c r="AG65" s="1029"/>
      <c r="AH65" s="1029"/>
      <c r="AI65" s="1029"/>
    </row>
    <row r="66" s="283" customFormat="1">
      <c r="B66" s="1029"/>
      <c r="C66" s="1029"/>
      <c r="D66" s="1029"/>
      <c r="E66" s="1029"/>
      <c r="F66" s="1029"/>
      <c r="G66" s="1029"/>
      <c r="H66" s="1029"/>
      <c r="I66" s="1029"/>
      <c r="J66" s="1029"/>
      <c r="K66" s="1029"/>
      <c r="L66" s="1029"/>
      <c r="M66" s="1029"/>
      <c r="N66" s="1029"/>
      <c r="O66" s="1029"/>
      <c r="P66" s="1029"/>
      <c r="Q66" s="1029"/>
      <c r="R66" s="1029"/>
      <c r="S66" s="1029"/>
      <c r="T66" s="1029"/>
      <c r="U66" s="1029"/>
      <c r="V66" s="1029"/>
      <c r="W66" s="1029"/>
      <c r="X66" s="1029"/>
      <c r="Y66" s="1029"/>
      <c r="Z66" s="1029"/>
      <c r="AA66" s="1029"/>
      <c r="AB66" s="1029"/>
      <c r="AC66" s="1029"/>
      <c r="AD66" s="1029"/>
      <c r="AE66" s="1029"/>
      <c r="AF66" s="1029"/>
      <c r="AG66" s="1029"/>
      <c r="AH66" s="1029"/>
      <c r="AI66" s="1029"/>
    </row>
    <row r="67" s="283" customFormat="1">
      <c r="B67" s="1029"/>
      <c r="C67" s="1029"/>
      <c r="D67" s="1029"/>
      <c r="E67" s="1029"/>
      <c r="F67" s="1029"/>
      <c r="G67" s="1029"/>
      <c r="H67" s="1029"/>
      <c r="I67" s="1029"/>
      <c r="J67" s="1029"/>
      <c r="K67" s="1029"/>
      <c r="L67" s="1029"/>
      <c r="M67" s="1029"/>
      <c r="N67" s="1029"/>
      <c r="O67" s="1029"/>
      <c r="P67" s="1029"/>
      <c r="Q67" s="1029"/>
      <c r="R67" s="1029"/>
      <c r="S67" s="1029"/>
      <c r="T67" s="1029"/>
      <c r="U67" s="1029"/>
      <c r="V67" s="1029"/>
      <c r="W67" s="1029"/>
      <c r="X67" s="1029"/>
      <c r="Y67" s="1029"/>
      <c r="Z67" s="1029"/>
      <c r="AA67" s="1029"/>
      <c r="AB67" s="1029"/>
      <c r="AC67" s="1029"/>
      <c r="AD67" s="1029"/>
      <c r="AE67" s="1029"/>
      <c r="AF67" s="1029"/>
      <c r="AG67" s="1029"/>
      <c r="AH67" s="1029"/>
      <c r="AI67" s="1029"/>
    </row>
    <row r="68" s="283" customFormat="1">
      <c r="B68" s="1029"/>
      <c r="C68" s="1029"/>
      <c r="D68" s="1029"/>
      <c r="E68" s="1029"/>
      <c r="F68" s="1029"/>
      <c r="G68" s="1029"/>
      <c r="H68" s="1029"/>
      <c r="I68" s="1029"/>
      <c r="J68" s="1029"/>
      <c r="K68" s="1029"/>
      <c r="L68" s="1029"/>
      <c r="M68" s="1029"/>
      <c r="N68" s="1029"/>
      <c r="O68" s="1029"/>
      <c r="P68" s="1029"/>
      <c r="Q68" s="1029"/>
      <c r="R68" s="1029"/>
      <c r="S68" s="1029"/>
      <c r="T68" s="1029"/>
      <c r="U68" s="1029"/>
      <c r="V68" s="1029"/>
      <c r="W68" s="1029"/>
      <c r="X68" s="1029"/>
      <c r="Y68" s="1029"/>
      <c r="Z68" s="1029"/>
      <c r="AA68" s="1029"/>
      <c r="AB68" s="1029"/>
      <c r="AC68" s="1029"/>
      <c r="AD68" s="1029"/>
      <c r="AE68" s="1029"/>
      <c r="AF68" s="1029"/>
      <c r="AG68" s="1029"/>
      <c r="AH68" s="1029"/>
      <c r="AI68" s="1029"/>
    </row>
    <row r="69" s="283" customFormat="1">
      <c r="B69" s="1029"/>
      <c r="C69" s="1029"/>
      <c r="D69" s="1029"/>
      <c r="E69" s="1029"/>
      <c r="F69" s="1029"/>
      <c r="G69" s="1029"/>
      <c r="H69" s="1029"/>
      <c r="I69" s="1029"/>
      <c r="J69" s="1029"/>
      <c r="K69" s="1029"/>
      <c r="L69" s="1029"/>
      <c r="M69" s="1029"/>
      <c r="N69" s="1029"/>
      <c r="O69" s="1029"/>
      <c r="P69" s="1029"/>
      <c r="Q69" s="1029"/>
      <c r="R69" s="1029"/>
      <c r="S69" s="1029"/>
      <c r="T69" s="1029"/>
      <c r="U69" s="1029"/>
      <c r="V69" s="1029"/>
      <c r="W69" s="1029"/>
      <c r="X69" s="1029"/>
      <c r="Y69" s="1029"/>
      <c r="Z69" s="1029"/>
      <c r="AA69" s="1029"/>
      <c r="AB69" s="1029"/>
      <c r="AC69" s="1029"/>
      <c r="AD69" s="1029"/>
      <c r="AE69" s="1029"/>
      <c r="AF69" s="1029"/>
      <c r="AG69" s="1029"/>
      <c r="AH69" s="1029"/>
      <c r="AI69" s="1029"/>
    </row>
    <row r="70" s="283" customFormat="1">
      <c r="B70" s="1029"/>
      <c r="C70" s="1029"/>
      <c r="D70" s="1029"/>
      <c r="E70" s="1029"/>
      <c r="F70" s="1029"/>
      <c r="G70" s="1029"/>
      <c r="H70" s="1029"/>
      <c r="I70" s="1029"/>
      <c r="J70" s="1029"/>
      <c r="K70" s="1029"/>
      <c r="L70" s="1029"/>
      <c r="M70" s="1029"/>
      <c r="N70" s="1029"/>
      <c r="O70" s="1029"/>
      <c r="P70" s="1029"/>
      <c r="Q70" s="1029"/>
      <c r="R70" s="1029"/>
      <c r="S70" s="1029"/>
      <c r="T70" s="1029"/>
      <c r="U70" s="1029"/>
      <c r="V70" s="1029"/>
      <c r="W70" s="1029"/>
      <c r="X70" s="1029"/>
      <c r="Y70" s="1029"/>
      <c r="Z70" s="1029"/>
      <c r="AA70" s="1029"/>
      <c r="AB70" s="1029"/>
      <c r="AC70" s="1029"/>
      <c r="AD70" s="1029"/>
      <c r="AE70" s="1029"/>
      <c r="AF70" s="1029"/>
      <c r="AG70" s="1029"/>
      <c r="AH70" s="1029"/>
      <c r="AI70" s="1029"/>
    </row>
    <row r="71" s="283" customFormat="1"/>
    <row r="72" s="283" customFormat="1"/>
    <row r="73" s="283" customFormat="1"/>
    <row r="74" s="283" customFormat="1"/>
    <row r="75" s="283" customFormat="1"/>
    <row r="76" s="283" customFormat="1"/>
    <row r="77" s="283" customFormat="1"/>
    <row r="78" s="283" customFormat="1"/>
    <row r="79" s="283" customFormat="1"/>
    <row r="80" s="283" customFormat="1"/>
    <row r="81" s="283" customFormat="1"/>
    <row r="82" s="283" customFormat="1"/>
    <row r="83" s="283" customFormat="1"/>
    <row r="84" s="283" customFormat="1"/>
    <row r="85" s="283" customFormat="1"/>
    <row r="86" s="283" customFormat="1"/>
    <row r="87" s="283" customFormat="1"/>
    <row r="88" s="283" customFormat="1"/>
    <row r="89" s="283" customFormat="1"/>
    <row r="90" s="283" customFormat="1"/>
    <row r="91" s="283" customFormat="1"/>
    <row r="92" s="283" customFormat="1"/>
    <row r="93" s="283" customFormat="1"/>
    <row r="94" s="283"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2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7" t="s">
        <v>162</v>
      </c>
      <c r="AD1" s="5"/>
      <c r="AG1" s="686"/>
      <c r="AI1" s="236"/>
    </row>
    <row r="2" ht="21" customHeight="1">
      <c r="B2" s="11" t="s">
        <v>211</v>
      </c>
    </row>
    <row r="3" ht="21" customHeight="1">
      <c r="B3" s="11" t="s">
        <v>212</v>
      </c>
      <c r="U3" s="99" t="s">
        <v>298</v>
      </c>
      <c r="V3" s="99"/>
      <c r="W3" s="99"/>
      <c r="X3" s="99"/>
      <c r="Y3" s="99"/>
      <c r="Z3" s="99"/>
      <c r="AA3" s="99"/>
      <c r="AB3" s="99"/>
      <c r="AC3" s="99"/>
      <c r="AD3" s="99"/>
      <c r="AE3" s="99"/>
      <c r="AF3" s="99"/>
      <c r="AG3" s="99"/>
    </row>
    <row r="4" ht="21" customHeight="1">
      <c r="A4" s="4"/>
      <c r="B4" s="211" t="s">
        <v>213</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812" t="s">
        <v>94</v>
      </c>
      <c r="E6" s="812"/>
      <c r="F6" s="812"/>
      <c r="G6" s="812"/>
      <c r="H6" s="812"/>
      <c r="I6" s="812"/>
      <c r="J6" s="812"/>
      <c r="K6" s="812"/>
      <c r="L6" s="812"/>
      <c r="M6" s="812"/>
      <c r="N6" s="812"/>
      <c r="O6" s="975"/>
      <c r="Q6" s="812" t="s">
        <v>72</v>
      </c>
      <c r="R6" s="812"/>
      <c r="S6" s="812"/>
      <c r="T6" s="812"/>
      <c r="U6" s="812"/>
      <c r="V6" s="812"/>
      <c r="W6" s="812"/>
      <c r="X6" s="812"/>
      <c r="Y6" s="812"/>
      <c r="Z6" s="812"/>
      <c r="AA6" s="812"/>
      <c r="AB6" s="975"/>
      <c r="AD6" s="812" t="s">
        <v>80</v>
      </c>
      <c r="AE6" s="812"/>
      <c r="AF6" s="812"/>
      <c r="AG6" s="975"/>
    </row>
    <row r="7" ht="24.95" customHeight="1">
      <c r="D7" s="849" t="s">
        <v>20</v>
      </c>
      <c r="E7" s="849"/>
      <c r="F7" s="284"/>
      <c r="G7" s="849" t="s">
        <v>18</v>
      </c>
      <c r="H7" s="849"/>
      <c r="I7" s="284"/>
      <c r="J7" s="849" t="s">
        <v>17</v>
      </c>
      <c r="K7" s="849"/>
      <c r="L7" s="284"/>
      <c r="M7" s="849" t="s">
        <v>104</v>
      </c>
      <c r="N7" s="849"/>
      <c r="O7" s="284"/>
      <c r="Q7" s="849" t="s">
        <v>20</v>
      </c>
      <c r="R7" s="849"/>
      <c r="S7" s="284"/>
      <c r="T7" s="849" t="s">
        <v>18</v>
      </c>
      <c r="U7" s="849"/>
      <c r="V7" s="284"/>
      <c r="W7" s="849" t="s">
        <v>17</v>
      </c>
      <c r="X7" s="849"/>
      <c r="Y7" s="284"/>
      <c r="Z7" s="849" t="s">
        <v>104</v>
      </c>
      <c r="AA7" s="849"/>
      <c r="AB7" s="284"/>
      <c r="AD7" s="849" t="s">
        <v>81</v>
      </c>
      <c r="AE7" s="849"/>
      <c r="AF7" s="849"/>
      <c r="AG7" s="284"/>
    </row>
    <row r="8" ht="30" customHeight="1">
      <c r="A8" s="57"/>
      <c r="B8" s="855" t="s">
        <v>42</v>
      </c>
      <c r="C8" s="958"/>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c r="AC8" s="63"/>
      <c r="AD8" s="413" t="s">
        <v>20</v>
      </c>
      <c r="AE8" s="414" t="s">
        <v>18</v>
      </c>
      <c r="AF8" s="414" t="s">
        <v>17</v>
      </c>
      <c r="AG8" s="415" t="s">
        <v>12</v>
      </c>
    </row>
    <row r="9" ht="20.1" customHeight="1">
      <c r="A9" s="57"/>
      <c r="B9" s="285">
        <v>2019</v>
      </c>
      <c r="C9" s="286" t="s">
        <v>221</v>
      </c>
      <c r="D9" s="435">
        <v>157.459600000</v>
      </c>
      <c r="E9" s="436">
        <v>187.21150412565861417635947908</v>
      </c>
      <c r="F9" s="437">
        <v>142.1541976107679987713774833</v>
      </c>
      <c r="G9" s="435">
        <v>28.9696</v>
      </c>
      <c r="H9" s="436">
        <v>6.9917292102474065303337300071</v>
      </c>
      <c r="I9" s="437">
        <v>37.153555991894747038299790319</v>
      </c>
      <c r="J9" s="435">
        <v>30.5464</v>
      </c>
      <c r="K9" s="436">
        <v>6.3294180681968624945090465246</v>
      </c>
      <c r="L9" s="437">
        <v>14.596777516095085899659771449</v>
      </c>
      <c r="M9" s="435">
        <v>216.975600000</v>
      </c>
      <c r="N9" s="436">
        <v>200.53265140410288320120225561</v>
      </c>
      <c r="O9" s="437">
        <v>193.90453111875783170933704506</v>
      </c>
      <c r="P9" s="5"/>
      <c r="Q9" s="416">
        <v>9.931641515438440715523304010</v>
      </c>
      <c r="R9" s="417">
        <v>-2.9960098024189845405908879800</v>
      </c>
      <c r="S9" s="418">
        <v>-1.1111552994981603855608704600</v>
      </c>
      <c r="T9" s="416">
        <v>148.78687028803402281074811520</v>
      </c>
      <c r="U9" s="417"/>
      <c r="V9" s="418">
        <v>-6.6211406741963185213721459900</v>
      </c>
      <c r="W9" s="416">
        <v>45.920462378020914540713460040</v>
      </c>
      <c r="X9" s="417"/>
      <c r="Y9" s="418">
        <v>-32.843463048921085331272566100</v>
      </c>
      <c r="Z9" s="416">
        <v>23.413388857236138762811361700</v>
      </c>
      <c r="AA9" s="417"/>
      <c r="AB9" s="418">
        <v>-5.539105906936780149290316300</v>
      </c>
      <c r="AC9" s="5"/>
      <c r="AD9" s="428" t="s">
        <v>223</v>
      </c>
      <c r="AE9" s="429" t="s">
        <v>238</v>
      </c>
      <c r="AF9" s="429" t="s">
        <v>238</v>
      </c>
      <c r="AG9" s="430" t="s">
        <v>240</v>
      </c>
    </row>
    <row r="10" ht="20.1" customHeight="1">
      <c r="A10" s="58"/>
      <c r="B10" s="287"/>
      <c r="C10" s="288" t="s">
        <v>224</v>
      </c>
      <c r="D10" s="277">
        <v>135.79799785484447622452627816</v>
      </c>
      <c r="E10" s="94">
        <v>173.81392041487982447392041487</v>
      </c>
      <c r="F10" s="278">
        <v>135.53866028924545156439047005</v>
      </c>
      <c r="G10" s="277">
        <v>21.364318913121201287093314265</v>
      </c>
      <c r="H10" s="94"/>
      <c r="I10" s="278">
        <v>36.503245709593663670948972359</v>
      </c>
      <c r="J10" s="277">
        <v>32.467286378262424025741866285</v>
      </c>
      <c r="K10" s="94"/>
      <c r="L10" s="278">
        <v>15.099992099188079012598608543</v>
      </c>
      <c r="M10" s="277">
        <v>189.62960314622810153736145871</v>
      </c>
      <c r="N10" s="94"/>
      <c r="O10" s="278">
        <v>187.14189809802719424793805095</v>
      </c>
      <c r="P10" s="5"/>
      <c r="Q10" s="272">
        <v>-6.2301543771215364156719831700</v>
      </c>
      <c r="R10" s="92">
        <v>-4.4829506115424920357384767400</v>
      </c>
      <c r="S10" s="273">
        <v>-0.8365030211534312636723819700</v>
      </c>
      <c r="T10" s="272">
        <v>21.337164210062080255044350780</v>
      </c>
      <c r="U10" s="92"/>
      <c r="V10" s="273">
        <v>-14.204023954067857939182719570</v>
      </c>
      <c r="W10" s="272">
        <v>-0.3723344894214478453717173700</v>
      </c>
      <c r="X10" s="92"/>
      <c r="Y10" s="273">
        <v>-29.712988602629194454764343950</v>
      </c>
      <c r="Z10" s="272">
        <v>-2.7623101018421202281697170700</v>
      </c>
      <c r="AA10" s="92"/>
      <c r="AB10" s="273">
        <v>-6.7609411491994394776171850300</v>
      </c>
      <c r="AC10" s="5"/>
      <c r="AD10" s="272" t="s">
        <v>222</v>
      </c>
      <c r="AE10" s="92"/>
      <c r="AF10" s="92"/>
      <c r="AG10" s="273"/>
    </row>
    <row r="11" ht="20.1" customHeight="1">
      <c r="A11" s="58"/>
      <c r="B11" s="289"/>
      <c r="C11" s="290" t="s">
        <v>226</v>
      </c>
      <c r="D11" s="440">
        <v>123.77199621570482497634815516</v>
      </c>
      <c r="E11" s="95">
        <v>154.07413062890674830973338438</v>
      </c>
      <c r="F11" s="443">
        <v>133.41878096631529943803411698</v>
      </c>
      <c r="G11" s="440">
        <v>18.017502365184484389782403027</v>
      </c>
      <c r="H11" s="95">
        <v>4.524921523795576192927775384</v>
      </c>
      <c r="I11" s="443">
        <v>46.888639805977736054320520958</v>
      </c>
      <c r="J11" s="440">
        <v>31.810312204351939451277199622</v>
      </c>
      <c r="K11" s="95">
        <v>4.5454126441750447052558979682</v>
      </c>
      <c r="L11" s="443">
        <v>14.731306669745082041167223905</v>
      </c>
      <c r="M11" s="440">
        <v>173.59981078524124881740775781</v>
      </c>
      <c r="N11" s="95">
        <v>163.14446479687736920791705773</v>
      </c>
      <c r="O11" s="443">
        <v>195.03872744203811753352186184</v>
      </c>
      <c r="P11" s="5"/>
      <c r="Q11" s="498">
        <v>-11.033059542831884678744901230</v>
      </c>
      <c r="R11" s="216">
        <v>-9.718190624874190088500103220</v>
      </c>
      <c r="S11" s="499">
        <v>-0.2643090859990371196909375700</v>
      </c>
      <c r="T11" s="498">
        <v>-38.126650975618252768532069480</v>
      </c>
      <c r="U11" s="216"/>
      <c r="V11" s="499">
        <v>-3.6111087797422392485412409800</v>
      </c>
      <c r="W11" s="498">
        <v>7.2405561387666211077183772200</v>
      </c>
      <c r="X11" s="216"/>
      <c r="Y11" s="499">
        <v>-30.249117398851247540603728470</v>
      </c>
      <c r="Z11" s="498">
        <v>-12.280746603995897006755470350</v>
      </c>
      <c r="AA11" s="216"/>
      <c r="AB11" s="499">
        <v>-4.1755375370663249784822816300</v>
      </c>
      <c r="AC11" s="5"/>
      <c r="AD11" s="421" t="s">
        <v>225</v>
      </c>
      <c r="AE11" s="91" t="s">
        <v>307</v>
      </c>
      <c r="AF11" s="91" t="s">
        <v>308</v>
      </c>
      <c r="AG11" s="422" t="s">
        <v>309</v>
      </c>
    </row>
    <row r="12" ht="20.1" customHeight="1">
      <c r="A12" s="58"/>
      <c r="B12" s="287"/>
      <c r="C12" s="288" t="s">
        <v>228</v>
      </c>
      <c r="D12" s="277">
        <v>143.73379714390333211277920176</v>
      </c>
      <c r="E12" s="94">
        <v>175.51108740334736223940491339</v>
      </c>
      <c r="F12" s="278">
        <v>155.13134274106080237323311973</v>
      </c>
      <c r="G12" s="277">
        <v>27.835225192237275723178322959</v>
      </c>
      <c r="H12" s="94">
        <v>5.3007927064837229626764658213</v>
      </c>
      <c r="I12" s="278">
        <v>52.714679154950140706316493085</v>
      </c>
      <c r="J12" s="277">
        <v>29.488099597217136580007323325</v>
      </c>
      <c r="K12" s="94">
        <v>5.5447718096081606484873277629</v>
      </c>
      <c r="L12" s="278">
        <v>14.86155993691350341484970762</v>
      </c>
      <c r="M12" s="277">
        <v>201.05712193335774441596484804</v>
      </c>
      <c r="N12" s="94">
        <v>186.35665191943924585056870698</v>
      </c>
      <c r="O12" s="278">
        <v>222.70758183292444649439932044</v>
      </c>
      <c r="P12" s="5"/>
      <c r="Q12" s="272">
        <v>-7.7556985622953634753938267300</v>
      </c>
      <c r="R12" s="92">
        <v>-7.362204401355829988281262300</v>
      </c>
      <c r="S12" s="273">
        <v>-4.3297315463078776464831159400</v>
      </c>
      <c r="T12" s="272">
        <v>23.801903489342411895246027340</v>
      </c>
      <c r="U12" s="92"/>
      <c r="V12" s="273">
        <v>-10.442470640698290757026614810</v>
      </c>
      <c r="W12" s="272">
        <v>29.477184013529174148460478540</v>
      </c>
      <c r="X12" s="92"/>
      <c r="Y12" s="273">
        <v>-31.389787201058699726122063350</v>
      </c>
      <c r="Z12" s="272">
        <v>-0.0099089458199625043736376900</v>
      </c>
      <c r="AA12" s="92"/>
      <c r="AB12" s="273">
        <v>-8.227745631177318727226296090</v>
      </c>
      <c r="AC12" s="5"/>
      <c r="AD12" s="272" t="s">
        <v>223</v>
      </c>
      <c r="AE12" s="92" t="s">
        <v>238</v>
      </c>
      <c r="AF12" s="92" t="s">
        <v>238</v>
      </c>
      <c r="AG12" s="273" t="s">
        <v>240</v>
      </c>
    </row>
    <row r="13" ht="20.1" customHeight="1">
      <c r="A13" s="58"/>
      <c r="B13" s="289"/>
      <c r="C13" s="290" t="s">
        <v>229</v>
      </c>
      <c r="D13" s="440">
        <v>169.70768712070128118678354686</v>
      </c>
      <c r="E13" s="95">
        <v>206.86458405943318352746950383</v>
      </c>
      <c r="F13" s="443">
        <v>168.99918043621943159286186385</v>
      </c>
      <c r="G13" s="440">
        <v>44.644976399190829399865138233</v>
      </c>
      <c r="H13" s="95">
        <v>5.4734636291313497607585097973</v>
      </c>
      <c r="I13" s="443">
        <v>54.679362656089765780924235659</v>
      </c>
      <c r="J13" s="440">
        <v>40.822656776803776129467296022</v>
      </c>
      <c r="K13" s="95">
        <v>3.9841867720540037131645275186</v>
      </c>
      <c r="L13" s="443">
        <v>37.411805199774995378513529992</v>
      </c>
      <c r="M13" s="440">
        <v>255.17532029669588671611598112</v>
      </c>
      <c r="N13" s="95">
        <v>216.32223446061853700139254114</v>
      </c>
      <c r="O13" s="443">
        <v>261.0903482920841927522996295</v>
      </c>
      <c r="P13" s="5"/>
      <c r="Q13" s="421">
        <v>-2.4383257253700759834972395700</v>
      </c>
      <c r="R13" s="91">
        <v>-0.9473861889478285079990536600</v>
      </c>
      <c r="S13" s="499">
        <v>-0.9026132150260901784508272500</v>
      </c>
      <c r="T13" s="421">
        <v>29.983827715640389604463646610</v>
      </c>
      <c r="U13" s="91"/>
      <c r="V13" s="499">
        <v>7.2769574500781245766375569200</v>
      </c>
      <c r="W13" s="421">
        <v>47.392950359647935368255651140</v>
      </c>
      <c r="X13" s="91"/>
      <c r="Y13" s="499">
        <v>172.75306272780692904575478404</v>
      </c>
      <c r="Z13" s="421">
        <v>8.12872119443590358254138900</v>
      </c>
      <c r="AA13" s="91"/>
      <c r="AB13" s="499">
        <v>10.995943912300276467802703220</v>
      </c>
      <c r="AC13" s="5"/>
      <c r="AD13" s="421" t="s">
        <v>223</v>
      </c>
      <c r="AE13" s="91" t="s">
        <v>308</v>
      </c>
      <c r="AF13" s="91" t="s">
        <v>308</v>
      </c>
      <c r="AG13" s="422" t="s">
        <v>307</v>
      </c>
    </row>
    <row r="14" ht="20.1" customHeight="1">
      <c r="A14" s="58"/>
      <c r="B14" s="287"/>
      <c r="C14" s="288" t="s">
        <v>230</v>
      </c>
      <c r="D14" s="277">
        <v>250.6255380200860832137733142</v>
      </c>
      <c r="E14" s="94">
        <v>333.06474573018614469391671463</v>
      </c>
      <c r="F14" s="278">
        <v>211.24412059330523082868489431</v>
      </c>
      <c r="G14" s="277">
        <v>51.222955523672883787661406026</v>
      </c>
      <c r="H14" s="94">
        <v>5.4669199102830893525525885459</v>
      </c>
      <c r="I14" s="278">
        <v>49.415438702625365391418324492</v>
      </c>
      <c r="J14" s="277">
        <v>29.318794835007173601147776184</v>
      </c>
      <c r="K14" s="94">
        <v>5.0100960721275085580034803126</v>
      </c>
      <c r="L14" s="278">
        <v>15.911621279591614405774023704</v>
      </c>
      <c r="M14" s="277">
        <v>331.16728837876614060258249641</v>
      </c>
      <c r="N14" s="94">
        <v>343.54176171259674260447278349</v>
      </c>
      <c r="O14" s="278">
        <v>276.57118057552221062587724251</v>
      </c>
      <c r="P14" s="5"/>
      <c r="Q14" s="272">
        <v>-8.499851195866898020326574740</v>
      </c>
      <c r="R14" s="92">
        <v>-4.7133941585645282914268124700</v>
      </c>
      <c r="S14" s="273">
        <v>-2.5232319140341021886944667400</v>
      </c>
      <c r="T14" s="272">
        <v>87.74615400170491791284636036</v>
      </c>
      <c r="U14" s="92"/>
      <c r="V14" s="273">
        <v>-3.6331123952817688872197054200</v>
      </c>
      <c r="W14" s="272">
        <v>-2.3760108924914354008141028200</v>
      </c>
      <c r="X14" s="92"/>
      <c r="Y14" s="273">
        <v>6.9162743263523289719050859600</v>
      </c>
      <c r="Z14" s="272">
        <v>-0.0167310194483751394925597600</v>
      </c>
      <c r="AA14" s="92"/>
      <c r="AB14" s="273">
        <v>-2.227803248107975112125737800</v>
      </c>
      <c r="AC14" s="5"/>
      <c r="AD14" s="272" t="s">
        <v>225</v>
      </c>
      <c r="AE14" s="92" t="s">
        <v>238</v>
      </c>
      <c r="AF14" s="92" t="s">
        <v>238</v>
      </c>
      <c r="AG14" s="273" t="s">
        <v>240</v>
      </c>
    </row>
    <row r="15" ht="20.1" customHeight="1">
      <c r="A15" s="58"/>
      <c r="B15" s="289">
        <v>2020</v>
      </c>
      <c r="C15" s="290" t="s">
        <v>232</v>
      </c>
      <c r="D15" s="440">
        <v>311.19657399606852007862959843</v>
      </c>
      <c r="E15" s="95">
        <v>329.63085370022218424200991284</v>
      </c>
      <c r="F15" s="443">
        <v>251.35046467249882282966964883</v>
      </c>
      <c r="G15" s="440">
        <v>54.142937377141252457174950857</v>
      </c>
      <c r="H15" s="95">
        <v>163.37441278814040105965703513</v>
      </c>
      <c r="I15" s="443">
        <v>56.440970044160941239175685064</v>
      </c>
      <c r="J15" s="440">
        <v>28.585790508284189834316203314</v>
      </c>
      <c r="K15" s="95">
        <v>20.726205523233905949365610399</v>
      </c>
      <c r="L15" s="443">
        <v>14.38445388196350657402930326</v>
      </c>
      <c r="M15" s="440">
        <v>393.9253018814939623701207526</v>
      </c>
      <c r="N15" s="95">
        <v>513.73147201159649125103255837</v>
      </c>
      <c r="O15" s="443">
        <v>322.17588859862327064287463715</v>
      </c>
      <c r="P15" s="5"/>
      <c r="Q15" s="421">
        <v>37.752036054229462108923497320</v>
      </c>
      <c r="R15" s="91">
        <v>18.158011902391254668619050730</v>
      </c>
      <c r="S15" s="499">
        <v>15.446896116686285784125877100</v>
      </c>
      <c r="T15" s="421">
        <v>73.918829303669338229447078890</v>
      </c>
      <c r="U15" s="91"/>
      <c r="V15" s="499">
        <v>-7.50453561932447538835640900</v>
      </c>
      <c r="W15" s="421">
        <v>-5.4168645955275660367228026300</v>
      </c>
      <c r="X15" s="91"/>
      <c r="Y15" s="499">
        <v>-0.7886165837072853012174131400</v>
      </c>
      <c r="Z15" s="421">
        <v>37.129695617274921813435492430</v>
      </c>
      <c r="AA15" s="91"/>
      <c r="AB15" s="499">
        <v>9.868170808749312508942076450</v>
      </c>
      <c r="AC15" s="5"/>
      <c r="AD15" s="421" t="s">
        <v>223</v>
      </c>
      <c r="AE15" s="91" t="s">
        <v>307</v>
      </c>
      <c r="AF15" s="91" t="s">
        <v>307</v>
      </c>
      <c r="AG15" s="422" t="s">
        <v>307</v>
      </c>
    </row>
    <row r="16" ht="20.1" customHeight="1">
      <c r="A16" s="58"/>
      <c r="B16" s="287"/>
      <c r="C16" s="288" t="s">
        <v>233</v>
      </c>
      <c r="D16" s="277">
        <v>334.91791044776119402985074627</v>
      </c>
      <c r="E16" s="94">
        <v>377.12751106390511594972561514</v>
      </c>
      <c r="F16" s="278">
        <v>276.42205309309810590450754039</v>
      </c>
      <c r="G16" s="277">
        <v>66.342985074626865671641791045</v>
      </c>
      <c r="H16" s="94">
        <v>140.43652273287877940958203019</v>
      </c>
      <c r="I16" s="278">
        <v>66.832144468675774760404117146</v>
      </c>
      <c r="J16" s="277">
        <v>26.484776119402985074626865672</v>
      </c>
      <c r="K16" s="94">
        <v>23.74509711722801324208810088</v>
      </c>
      <c r="L16" s="278">
        <v>16.064145831357753711229783363</v>
      </c>
      <c r="M16" s="277">
        <v>427.74567164179104477611940299</v>
      </c>
      <c r="N16" s="94">
        <v>541.30913091401190860139574621</v>
      </c>
      <c r="O16" s="278">
        <v>359.3183433931316343761414409</v>
      </c>
      <c r="P16" s="5"/>
      <c r="Q16" s="272">
        <v>28.027652834475403158901673760</v>
      </c>
      <c r="R16" s="92">
        <v>17.554285143931346389349703490</v>
      </c>
      <c r="S16" s="273">
        <v>11.248707411027424762526991630</v>
      </c>
      <c r="T16" s="272">
        <v>80.36355217197341296160469590</v>
      </c>
      <c r="U16" s="92"/>
      <c r="V16" s="273">
        <v>12.388943069765796214881976390</v>
      </c>
      <c r="W16" s="272">
        <v>-13.349575889163180978604413950</v>
      </c>
      <c r="X16" s="92"/>
      <c r="Y16" s="273">
        <v>19.377445447856942940356026740</v>
      </c>
      <c r="Z16" s="272">
        <v>30.035181619192037936700223340</v>
      </c>
      <c r="AA16" s="92"/>
      <c r="AB16" s="273">
        <v>11.800022815002881166855376500</v>
      </c>
      <c r="AC16" s="5"/>
      <c r="AD16" s="272" t="s">
        <v>223</v>
      </c>
      <c r="AE16" s="92" t="s">
        <v>307</v>
      </c>
      <c r="AF16" s="92" t="s">
        <v>307</v>
      </c>
      <c r="AG16" s="273" t="s">
        <v>307</v>
      </c>
    </row>
    <row r="17" ht="20.1" customHeight="1">
      <c r="A17" s="58"/>
      <c r="B17" s="289"/>
      <c r="C17" s="290" t="s">
        <v>234</v>
      </c>
      <c r="D17" s="440">
        <v>223.30911330049261083743842365</v>
      </c>
      <c r="E17" s="95">
        <v>289.54984532374100719424460431</v>
      </c>
      <c r="F17" s="443">
        <v>202.66271454629365096806803947</v>
      </c>
      <c r="G17" s="440">
        <v>48.87992610837438423645320197</v>
      </c>
      <c r="H17" s="95">
        <v>139.83322256066929946437545266</v>
      </c>
      <c r="I17" s="443">
        <v>53.192533963576570204454278137</v>
      </c>
      <c r="J17" s="440">
        <v>51.032019704433497536945812808</v>
      </c>
      <c r="K17" s="95">
        <v>33.451213197894113737380675289</v>
      </c>
      <c r="L17" s="443">
        <v>26.447307981585322118132541964</v>
      </c>
      <c r="M17" s="440">
        <v>323.22105911330049261083743842</v>
      </c>
      <c r="N17" s="95">
        <v>462.83428108230442039600073226</v>
      </c>
      <c r="O17" s="443">
        <v>282.30255649145554329065485957</v>
      </c>
      <c r="P17" s="5"/>
      <c r="Q17" s="421">
        <v>-15.013986815515959809601842740</v>
      </c>
      <c r="R17" s="91">
        <v>-11.441752488146224481491397100</v>
      </c>
      <c r="S17" s="499">
        <v>-13.003237646085337364886514700</v>
      </c>
      <c r="T17" s="421">
        <v>45.909506794260709923668206650</v>
      </c>
      <c r="U17" s="91"/>
      <c r="V17" s="499">
        <v>10.297121168432961400429218610</v>
      </c>
      <c r="W17" s="421">
        <v>107.91077569609496368488839908</v>
      </c>
      <c r="X17" s="91"/>
      <c r="Y17" s="499">
        <v>82.69890743664487808237607519</v>
      </c>
      <c r="Z17" s="421">
        <v>0.7530735083437708588176021300</v>
      </c>
      <c r="AA17" s="91"/>
      <c r="AB17" s="499">
        <v>-4.5168059898090694901762609500</v>
      </c>
      <c r="AC17" s="5"/>
      <c r="AD17" s="421" t="s">
        <v>222</v>
      </c>
      <c r="AE17" s="91" t="s">
        <v>307</v>
      </c>
      <c r="AF17" s="91" t="s">
        <v>307</v>
      </c>
      <c r="AG17" s="422" t="s">
        <v>307</v>
      </c>
    </row>
    <row r="18" ht="20.1" customHeight="1">
      <c r="A18" s="58"/>
      <c r="B18" s="287"/>
      <c r="C18" s="288" t="s">
        <v>235</v>
      </c>
      <c r="D18" s="277"/>
      <c r="E18" s="94"/>
      <c r="F18" s="278">
        <v>99.05021723754673133272708902</v>
      </c>
      <c r="G18" s="277"/>
      <c r="H18" s="94"/>
      <c r="I18" s="278">
        <v>23.432835224187632198002468047</v>
      </c>
      <c r="J18" s="277"/>
      <c r="K18" s="94"/>
      <c r="L18" s="278">
        <v>9.537254611161308849108547169</v>
      </c>
      <c r="M18" s="277"/>
      <c r="N18" s="94"/>
      <c r="O18" s="278">
        <v>132.02030707289567237983810423</v>
      </c>
      <c r="P18" s="5"/>
      <c r="Q18" s="272"/>
      <c r="R18" s="92"/>
      <c r="S18" s="273">
        <v>-49.762650453249984390985559440</v>
      </c>
      <c r="T18" s="272"/>
      <c r="U18" s="92"/>
      <c r="V18" s="273">
        <v>-54.011284080681841784478454250</v>
      </c>
      <c r="W18" s="272"/>
      <c r="X18" s="92"/>
      <c r="Y18" s="273">
        <v>-33.154940797973434989813499930</v>
      </c>
      <c r="Z18" s="272"/>
      <c r="AA18" s="92"/>
      <c r="AB18" s="273">
        <v>-49.684630369668937039385138120</v>
      </c>
      <c r="AC18" s="5"/>
      <c r="AD18" s="272"/>
      <c r="AE18" s="92"/>
      <c r="AF18" s="92"/>
      <c r="AG18" s="273"/>
    </row>
    <row r="19" ht="20.1" customHeight="1">
      <c r="A19" s="58"/>
      <c r="B19" s="289"/>
      <c r="C19" s="290" t="s">
        <v>236</v>
      </c>
      <c r="D19" s="440"/>
      <c r="E19" s="95"/>
      <c r="F19" s="443">
        <v>88.73504547201229665684641988</v>
      </c>
      <c r="G19" s="440"/>
      <c r="H19" s="95"/>
      <c r="I19" s="443">
        <v>13.34757298545937547652869833</v>
      </c>
      <c r="J19" s="440"/>
      <c r="K19" s="95"/>
      <c r="L19" s="443">
        <v>5.8053651127835202691522456219</v>
      </c>
      <c r="M19" s="440"/>
      <c r="N19" s="95"/>
      <c r="O19" s="443">
        <v>107.88798357025519240252736383</v>
      </c>
      <c r="P19" s="5"/>
      <c r="Q19" s="421"/>
      <c r="R19" s="91"/>
      <c r="S19" s="499">
        <v>-47.201466655806815499137779980</v>
      </c>
      <c r="T19" s="421"/>
      <c r="U19" s="91"/>
      <c r="V19" s="499">
        <v>-73.121670949156373122091693140</v>
      </c>
      <c r="W19" s="421"/>
      <c r="X19" s="91"/>
      <c r="Y19" s="499">
        <v>-59.140709273412421104755746800</v>
      </c>
      <c r="Z19" s="421"/>
      <c r="AA19" s="91"/>
      <c r="AB19" s="499">
        <v>-53.482702221497646847932997020</v>
      </c>
      <c r="AC19" s="5"/>
      <c r="AD19" s="421"/>
      <c r="AE19" s="91"/>
      <c r="AF19" s="91"/>
      <c r="AG19" s="422"/>
    </row>
    <row r="20" ht="20.1" customHeight="1">
      <c r="A20" s="58"/>
      <c r="B20" s="287"/>
      <c r="C20" s="288" t="s">
        <v>237</v>
      </c>
      <c r="D20" s="277">
        <v>125.16016713091922005571030641</v>
      </c>
      <c r="E20" s="94"/>
      <c r="F20" s="278">
        <v>115.39806778034631656998298949</v>
      </c>
      <c r="G20" s="277">
        <v>1.2688022284122562674094707521</v>
      </c>
      <c r="H20" s="94"/>
      <c r="I20" s="278">
        <v>16.292835913744836207749940027</v>
      </c>
      <c r="J20" s="277">
        <v>14.832869080779944289693593315</v>
      </c>
      <c r="K20" s="94"/>
      <c r="L20" s="278">
        <v>23.77201321435982500751490164</v>
      </c>
      <c r="M20" s="277">
        <v>141.26183844011142061281337047</v>
      </c>
      <c r="N20" s="94"/>
      <c r="O20" s="278">
        <v>155.46291690845097778524783116</v>
      </c>
      <c r="P20" s="5"/>
      <c r="Q20" s="272">
        <v>-18.340682159019836158400558070</v>
      </c>
      <c r="R20" s="92"/>
      <c r="S20" s="273">
        <v>-19.699501250325687442017747030</v>
      </c>
      <c r="T20" s="272">
        <v>-94.97741741126965683484990294</v>
      </c>
      <c r="U20" s="92"/>
      <c r="V20" s="273">
        <v>-66.059453859874084972650124900</v>
      </c>
      <c r="W20" s="272">
        <v>-50.489602675557732241608106870</v>
      </c>
      <c r="X20" s="92"/>
      <c r="Y20" s="273">
        <v>31.138045507319468811808555550</v>
      </c>
      <c r="Z20" s="272">
        <v>-32.245979989004901868175098660</v>
      </c>
      <c r="AA20" s="92"/>
      <c r="AB20" s="273">
        <v>-25.913347307977479612352919490</v>
      </c>
      <c r="AC20" s="5"/>
      <c r="AD20" s="272"/>
      <c r="AE20" s="92"/>
      <c r="AF20" s="92"/>
      <c r="AG20" s="273"/>
    </row>
    <row r="21" ht="20.1" customHeight="1">
      <c r="A21" s="58"/>
      <c r="B21" s="289"/>
      <c r="C21" s="290" t="s">
        <v>221</v>
      </c>
      <c r="D21" s="440">
        <v>137.33955223880597014925373134</v>
      </c>
      <c r="E21" s="95"/>
      <c r="F21" s="443">
        <v>111.73305028776299650910463251</v>
      </c>
      <c r="G21" s="440">
        <v>9.031716417910447761194029851</v>
      </c>
      <c r="H21" s="95"/>
      <c r="I21" s="443">
        <v>19.555532805938890603547893035</v>
      </c>
      <c r="J21" s="440">
        <v>15.979477611940298507462686567</v>
      </c>
      <c r="K21" s="95"/>
      <c r="L21" s="443">
        <v>23.459748512150633421664849482</v>
      </c>
      <c r="M21" s="440">
        <v>162.35074626865671641791044776</v>
      </c>
      <c r="N21" s="95"/>
      <c r="O21" s="443">
        <v>154.74833160585252053431737504</v>
      </c>
      <c r="P21" s="5"/>
      <c r="Q21" s="421">
        <v>-12.777911134788879084378639770</v>
      </c>
      <c r="R21" s="91"/>
      <c r="S21" s="499">
        <v>-21.400104839887358511628141110</v>
      </c>
      <c r="T21" s="421">
        <v>-68.823468677819342479033090370</v>
      </c>
      <c r="U21" s="91"/>
      <c r="V21" s="499">
        <v>-47.365649710070718831613186640</v>
      </c>
      <c r="W21" s="421">
        <v>-47.687853194025160059900064930</v>
      </c>
      <c r="X21" s="91"/>
      <c r="Y21" s="499">
        <v>60.718682505661427089487260280</v>
      </c>
      <c r="Z21" s="421">
        <v>-25.175574456917406188571227470</v>
      </c>
      <c r="AA21" s="91"/>
      <c r="AB21" s="499">
        <v>-20.193545394214586207688839290</v>
      </c>
      <c r="AC21" s="5"/>
      <c r="AD21" s="421"/>
      <c r="AE21" s="91"/>
      <c r="AF21" s="91"/>
      <c r="AG21" s="422"/>
    </row>
    <row r="22" ht="20.1" customHeight="1">
      <c r="A22" s="58"/>
      <c r="B22" s="287"/>
      <c r="C22" s="288" t="s">
        <v>224</v>
      </c>
      <c r="D22" s="277">
        <v>110.25358851674641148325358852</v>
      </c>
      <c r="E22" s="94"/>
      <c r="F22" s="278">
        <v>109.77488230223459982759763941</v>
      </c>
      <c r="G22" s="277">
        <v>8.983732057416267942583732057</v>
      </c>
      <c r="H22" s="94"/>
      <c r="I22" s="278">
        <v>19.613572557329374933587221966</v>
      </c>
      <c r="J22" s="277">
        <v>25</v>
      </c>
      <c r="K22" s="94"/>
      <c r="L22" s="278">
        <v>18.240893789896183114991030731</v>
      </c>
      <c r="M22" s="277">
        <v>144.23732057416267942583732057</v>
      </c>
      <c r="N22" s="94"/>
      <c r="O22" s="278">
        <v>147.62934864946015787617589212</v>
      </c>
      <c r="P22" s="5"/>
      <c r="Q22" s="272">
        <v>-18.810593485629059303667120270</v>
      </c>
      <c r="R22" s="92"/>
      <c r="S22" s="273">
        <v>-19.008434886422677053348783020</v>
      </c>
      <c r="T22" s="272">
        <v>-57.949831707956855486634482620</v>
      </c>
      <c r="U22" s="92"/>
      <c r="V22" s="273">
        <v>-46.268962729046858617014052840</v>
      </c>
      <c r="W22" s="272">
        <v>-22.999416370263514331964189360</v>
      </c>
      <c r="X22" s="92"/>
      <c r="Y22" s="273">
        <v>20.800684331993718221925375120</v>
      </c>
      <c r="Z22" s="272">
        <v>-23.937339855667105141825325020</v>
      </c>
      <c r="AA22" s="92"/>
      <c r="AB22" s="273">
        <v>-21.113684241820548441341790540</v>
      </c>
      <c r="AC22" s="5"/>
      <c r="AD22" s="272"/>
      <c r="AE22" s="92"/>
      <c r="AF22" s="92"/>
      <c r="AG22" s="273"/>
    </row>
    <row r="23" ht="20.1" customHeight="1">
      <c r="A23" s="58"/>
      <c r="B23" s="289"/>
      <c r="C23" s="290" t="s">
        <v>226</v>
      </c>
      <c r="D23" s="440">
        <v>112.30937167199148029818956337</v>
      </c>
      <c r="E23" s="95"/>
      <c r="F23" s="443">
        <v>113.26393663129577043790165894</v>
      </c>
      <c r="G23" s="440">
        <v>8.092651757188498402555910543</v>
      </c>
      <c r="H23" s="95"/>
      <c r="I23" s="443">
        <v>22.492804500628776247367320432</v>
      </c>
      <c r="J23" s="440">
        <v>24.009584664536741214057507987</v>
      </c>
      <c r="K23" s="95"/>
      <c r="L23" s="443">
        <v>27.611283797663618270275628672</v>
      </c>
      <c r="M23" s="440">
        <v>144.4116080937167199148029819</v>
      </c>
      <c r="N23" s="95"/>
      <c r="O23" s="443">
        <v>163.36802492958816495554460805</v>
      </c>
      <c r="P23" s="5"/>
      <c r="Q23" s="421">
        <v>-9.261080772856524513146087220</v>
      </c>
      <c r="R23" s="91"/>
      <c r="S23" s="499">
        <v>-15.106452171908310404797030800</v>
      </c>
      <c r="T23" s="421">
        <v>-55.084497322858343293330896350</v>
      </c>
      <c r="U23" s="91"/>
      <c r="V23" s="499">
        <v>-52.029309031563728667086590210</v>
      </c>
      <c r="W23" s="421">
        <v>-24.522637469581288493884378660</v>
      </c>
      <c r="X23" s="91"/>
      <c r="Y23" s="499">
        <v>87.43268616063246919033663812</v>
      </c>
      <c r="Z23" s="421">
        <v>-16.813499138909194828225972440</v>
      </c>
      <c r="AA23" s="91"/>
      <c r="AB23" s="499">
        <v>-16.238160968242523194839606160</v>
      </c>
      <c r="AC23" s="5"/>
      <c r="AD23" s="421"/>
      <c r="AE23" s="91"/>
      <c r="AF23" s="91"/>
      <c r="AG23" s="422"/>
    </row>
    <row r="24" ht="20.1" customHeight="1">
      <c r="A24" s="59"/>
      <c r="B24" s="287"/>
      <c r="C24" s="288" t="s">
        <v>228</v>
      </c>
      <c r="D24" s="277">
        <v>119.25265588914549653579676674</v>
      </c>
      <c r="E24" s="94"/>
      <c r="F24" s="278">
        <v>116.35918005886489724689396505</v>
      </c>
      <c r="G24" s="277">
        <v>11.55889145496535796766743649</v>
      </c>
      <c r="H24" s="94"/>
      <c r="I24" s="278">
        <v>25.77012417154964966194430875</v>
      </c>
      <c r="J24" s="277">
        <v>24.08267898383371824480369515</v>
      </c>
      <c r="K24" s="94"/>
      <c r="L24" s="278">
        <v>24.048424632263861126905009674</v>
      </c>
      <c r="M24" s="277">
        <v>154.89422632794457274826789838</v>
      </c>
      <c r="N24" s="94"/>
      <c r="O24" s="278">
        <v>166.17772886267840803574328348</v>
      </c>
      <c r="P24" s="93"/>
      <c r="Q24" s="272">
        <v>-17.032278935933083750255142840</v>
      </c>
      <c r="R24" s="92"/>
      <c r="S24" s="273">
        <v>-24.993120021472958931217439890</v>
      </c>
      <c r="T24" s="272">
        <v>-58.473871236404019298455932730</v>
      </c>
      <c r="U24" s="92"/>
      <c r="V24" s="273">
        <v>-51.113950450498527935203441730</v>
      </c>
      <c r="W24" s="272">
        <v>-18.330854436932046234343004700</v>
      </c>
      <c r="X24" s="92"/>
      <c r="Y24" s="273">
        <v>61.816288023249834774475076950</v>
      </c>
      <c r="Z24" s="272">
        <v>-22.960089730476840978657365690</v>
      </c>
      <c r="AA24" s="92"/>
      <c r="AB24" s="273">
        <v>-25.382994375402457922449708770</v>
      </c>
      <c r="AC24" s="93"/>
      <c r="AD24" s="272"/>
      <c r="AE24" s="92"/>
      <c r="AF24" s="92"/>
      <c r="AG24" s="273"/>
    </row>
    <row r="25" ht="20.1" customHeight="1">
      <c r="A25" s="60"/>
      <c r="B25" s="289"/>
      <c r="C25" s="290" t="s">
        <v>229</v>
      </c>
      <c r="D25" s="440">
        <v>126.34193862640038967364831953</v>
      </c>
      <c r="E25" s="95"/>
      <c r="F25" s="443">
        <v>115.91120030857501024565463706</v>
      </c>
      <c r="G25" s="440">
        <v>13.439357038480272771553823673</v>
      </c>
      <c r="H25" s="95"/>
      <c r="I25" s="443">
        <v>21.065536028151535468140919382</v>
      </c>
      <c r="J25" s="440">
        <v>23.780808572820263029712615684</v>
      </c>
      <c r="K25" s="95"/>
      <c r="L25" s="443">
        <v>19.904843786060340174248737827</v>
      </c>
      <c r="M25" s="440">
        <v>163.56210423770092547491475889</v>
      </c>
      <c r="N25" s="95"/>
      <c r="O25" s="443">
        <v>156.88158012278688588804429428</v>
      </c>
      <c r="P25" s="93"/>
      <c r="Q25" s="421">
        <v>-25.553202232647157010678208780</v>
      </c>
      <c r="R25" s="91"/>
      <c r="S25" s="499">
        <v>-31.413158330480728150644552780</v>
      </c>
      <c r="T25" s="421">
        <v>-69.897269250826941374273211890</v>
      </c>
      <c r="U25" s="91"/>
      <c r="V25" s="499">
        <v>-61.474430196553473358116121920</v>
      </c>
      <c r="W25" s="421">
        <v>-41.746053661228196113208111890</v>
      </c>
      <c r="X25" s="91"/>
      <c r="Y25" s="499">
        <v>-46.795286461664637239801970380</v>
      </c>
      <c r="Z25" s="421">
        <v>-35.902067626475398697417298690</v>
      </c>
      <c r="AA25" s="91"/>
      <c r="AB25" s="499">
        <v>-39.912914763405191820285083510</v>
      </c>
      <c r="AC25" s="93"/>
      <c r="AD25" s="421"/>
      <c r="AE25" s="91"/>
      <c r="AF25" s="91"/>
      <c r="AG25" s="422"/>
    </row>
    <row r="26" ht="20.1" customHeight="1">
      <c r="A26" s="60"/>
      <c r="B26" s="291"/>
      <c r="C26" s="292" t="s">
        <v>230</v>
      </c>
      <c r="D26" s="444">
        <v>165.20900102284350494374360723</v>
      </c>
      <c r="E26" s="445">
        <v>225.64332410611303344867358707</v>
      </c>
      <c r="F26" s="446">
        <v>147.50848958230861549963602023</v>
      </c>
      <c r="G26" s="444">
        <v>17.378793044664166382543470849</v>
      </c>
      <c r="H26" s="445"/>
      <c r="I26" s="446">
        <v>24.902741767020693893217439948</v>
      </c>
      <c r="J26" s="444">
        <v>22.25946130242072962836685987</v>
      </c>
      <c r="K26" s="445"/>
      <c r="L26" s="446">
        <v>23.192717110390289000699940428</v>
      </c>
      <c r="M26" s="444">
        <v>204.84725536992840095465393795</v>
      </c>
      <c r="N26" s="445"/>
      <c r="O26" s="446">
        <v>195.60394845971959839355340059</v>
      </c>
      <c r="P26" s="184"/>
      <c r="Q26" s="274">
        <v>-34.081338107849556950305522910</v>
      </c>
      <c r="R26" s="275">
        <v>-32.252414283166010506540733020</v>
      </c>
      <c r="S26" s="276">
        <v>-30.171552624511970030498361300</v>
      </c>
      <c r="T26" s="274">
        <v>-66.072256340943678944180785660</v>
      </c>
      <c r="U26" s="275"/>
      <c r="V26" s="276">
        <v>-49.605341122474644832155325990</v>
      </c>
      <c r="W26" s="274">
        <v>-24.077843486791181143459807930</v>
      </c>
      <c r="X26" s="275"/>
      <c r="Y26" s="276">
        <v>45.759609928231966125873099490</v>
      </c>
      <c r="Z26" s="274">
        <v>-38.143873939735756887340031630</v>
      </c>
      <c r="AA26" s="275"/>
      <c r="AB26" s="276">
        <v>-29.275368441251313535403024230</v>
      </c>
      <c r="AC26" s="184"/>
      <c r="AD26" s="274" t="s">
        <v>239</v>
      </c>
      <c r="AE26" s="275"/>
      <c r="AF26" s="275"/>
      <c r="AG26" s="276"/>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857" t="s">
        <v>60</v>
      </c>
      <c r="C28" s="857"/>
      <c r="D28" s="857"/>
      <c r="E28" s="857"/>
      <c r="F28" s="857"/>
      <c r="G28" s="857"/>
      <c r="H28" s="857"/>
      <c r="I28" s="857"/>
      <c r="J28" s="857"/>
      <c r="K28" s="857"/>
      <c r="L28" s="857"/>
      <c r="M28" s="857"/>
      <c r="N28" s="857"/>
      <c r="O28" s="988"/>
      <c r="P28" s="412"/>
      <c r="Q28" s="846"/>
      <c r="R28" s="846"/>
      <c r="S28" s="846"/>
      <c r="T28" s="846"/>
      <c r="U28" s="846"/>
      <c r="V28" s="846"/>
      <c r="W28" s="846"/>
      <c r="X28" s="846"/>
      <c r="Y28" s="846"/>
      <c r="Z28" s="846"/>
      <c r="AA28" s="846"/>
      <c r="AB28" s="986"/>
      <c r="AC28" s="412"/>
      <c r="AD28" s="846"/>
      <c r="AE28" s="846"/>
      <c r="AF28" s="846"/>
      <c r="AG28" s="986"/>
      <c r="AH28" s="9"/>
    </row>
    <row r="29" ht="20.1" customHeight="1">
      <c r="A29" s="58"/>
      <c r="B29" s="285">
        <v>2018</v>
      </c>
      <c r="C29" s="286"/>
      <c r="D29" s="455">
        <v>180.11384928716904276985743381</v>
      </c>
      <c r="E29" s="456">
        <v>242.6501180390515818812029719</v>
      </c>
      <c r="F29" s="437">
        <v>183.43499411012894283133064502</v>
      </c>
      <c r="G29" s="455">
        <v>18.869993211133740665308893415</v>
      </c>
      <c r="H29" s="456"/>
      <c r="I29" s="437">
        <v>59.467034632461138554292606138</v>
      </c>
      <c r="J29" s="455">
        <v>22.24270196877121520706042091</v>
      </c>
      <c r="K29" s="456"/>
      <c r="L29" s="437">
        <v>20.325742314235855624805590765</v>
      </c>
      <c r="M29" s="455">
        <v>221.22654446707399864222674813</v>
      </c>
      <c r="N29" s="456"/>
      <c r="O29" s="437">
        <v>263.22777105682593701042884192</v>
      </c>
      <c r="P29" s="217"/>
      <c r="Q29" s="428">
        <v>-22.012809132085917965566863110</v>
      </c>
      <c r="R29" s="429">
        <v>5.9877549584533072522146834600</v>
      </c>
      <c r="S29" s="418">
        <v>2.5506730993053996793586976600</v>
      </c>
      <c r="T29" s="428">
        <v>-25.788293486974212307453109910</v>
      </c>
      <c r="U29" s="429"/>
      <c r="V29" s="418">
        <v>-5.9215471920810145115121480900</v>
      </c>
      <c r="W29" s="428">
        <v>376.71636582353727550406660460</v>
      </c>
      <c r="X29" s="429"/>
      <c r="Y29" s="418">
        <v>-2.335141282489337941088875800</v>
      </c>
      <c r="Z29" s="428">
        <v>-15.253866110427284825602417370</v>
      </c>
      <c r="AA29" s="429"/>
      <c r="AB29" s="418">
        <v>0.1268410040145258863412170800</v>
      </c>
      <c r="AC29" s="5"/>
      <c r="AD29" s="428" t="s">
        <v>227</v>
      </c>
      <c r="AE29" s="429"/>
      <c r="AF29" s="429"/>
      <c r="AG29" s="430"/>
    </row>
    <row r="30" ht="20.1" customHeight="1">
      <c r="A30" s="58"/>
      <c r="B30" s="287">
        <v>2019</v>
      </c>
      <c r="C30" s="288"/>
      <c r="D30" s="277">
        <v>194.69180690332882938213978627</v>
      </c>
      <c r="E30" s="94">
        <v>240.44190417949133322533614126</v>
      </c>
      <c r="F30" s="278">
        <v>181.07925068981587649151877853</v>
      </c>
      <c r="G30" s="277">
        <v>31.572165581623879130327969537</v>
      </c>
      <c r="H30" s="94"/>
      <c r="I30" s="278">
        <v>49.594560931456930918430796404</v>
      </c>
      <c r="J30" s="277">
        <v>31.259335462473897555582852229</v>
      </c>
      <c r="K30" s="94"/>
      <c r="L30" s="278">
        <v>16.889737457416613598890419692</v>
      </c>
      <c r="M30" s="277">
        <v>257.52330794742660606805060803</v>
      </c>
      <c r="N30" s="94"/>
      <c r="O30" s="278">
        <v>247.56354907868942100883999462</v>
      </c>
      <c r="P30" s="217"/>
      <c r="Q30" s="272">
        <v>8.093746079968039254002769300</v>
      </c>
      <c r="R30" s="92">
        <v>-0.9100402989315107291139448100</v>
      </c>
      <c r="S30" s="273">
        <v>-1.2842388289874219387051951800</v>
      </c>
      <c r="T30" s="272">
        <v>67.314133229234854415186268020</v>
      </c>
      <c r="U30" s="92"/>
      <c r="V30" s="273">
        <v>-16.601590716640749177556059500</v>
      </c>
      <c r="W30" s="272">
        <v>40.537491831532196192023261660</v>
      </c>
      <c r="X30" s="92"/>
      <c r="Y30" s="273">
        <v>-16.904695551575078138130334480</v>
      </c>
      <c r="Z30" s="272">
        <v>16.407056200145455408066717350</v>
      </c>
      <c r="AA30" s="92"/>
      <c r="AB30" s="273">
        <v>-5.9508242292394385596495083800</v>
      </c>
      <c r="AC30" s="5"/>
      <c r="AD30" s="272" t="s">
        <v>223</v>
      </c>
      <c r="AE30" s="92"/>
      <c r="AF30" s="92"/>
      <c r="AG30" s="273"/>
    </row>
    <row r="31" ht="20.1" customHeight="1">
      <c r="A31" s="58"/>
      <c r="B31" s="426">
        <v>2020</v>
      </c>
      <c r="C31" s="427"/>
      <c r="D31" s="458">
        <v>205.63515078286260887076473846</v>
      </c>
      <c r="E31" s="459"/>
      <c r="F31" s="500">
        <v>184.41489775093437710379937967</v>
      </c>
      <c r="G31" s="458">
        <v>31.634647334239540854855761969</v>
      </c>
      <c r="H31" s="459"/>
      <c r="I31" s="500">
        <v>40.432501212845635601957915871</v>
      </c>
      <c r="J31" s="458">
        <v>26.686401852690932890298545033</v>
      </c>
      <c r="K31" s="459"/>
      <c r="L31" s="500">
        <v>19.707445337158106224683049569</v>
      </c>
      <c r="M31" s="458">
        <v>263.95619996979308261591904546</v>
      </c>
      <c r="N31" s="459"/>
      <c r="O31" s="500">
        <v>244.55484430093811893044034511</v>
      </c>
      <c r="P31" s="497"/>
      <c r="Q31" s="431">
        <v>5.6208548544456858809412660900</v>
      </c>
      <c r="R31" s="432"/>
      <c r="S31" s="501">
        <v>1.8420923702806671567535338300</v>
      </c>
      <c r="T31" s="431">
        <v>0.1979013839076921667908127800</v>
      </c>
      <c r="U31" s="432"/>
      <c r="V31" s="501">
        <v>-18.473920418962650665093232750</v>
      </c>
      <c r="W31" s="431">
        <v>-14.629017354744040238594064960</v>
      </c>
      <c r="X31" s="432"/>
      <c r="Y31" s="501">
        <v>16.682958434645069404743810090</v>
      </c>
      <c r="Z31" s="431">
        <v>2.4979843858171283351884649100</v>
      </c>
      <c r="AA31" s="432"/>
      <c r="AB31" s="501">
        <v>-1.215326242069251033053683800</v>
      </c>
      <c r="AC31" s="184"/>
      <c r="AD31" s="431"/>
      <c r="AE31" s="432"/>
      <c r="AF31" s="432"/>
      <c r="AG31" s="433"/>
    </row>
    <row r="32" ht="21" customHeight="1"/>
    <row r="33" ht="24.95" customHeight="1">
      <c r="A33" s="112"/>
      <c r="B33" s="852" t="s">
        <v>44</v>
      </c>
      <c r="C33" s="852"/>
      <c r="D33" s="852"/>
      <c r="E33" s="852"/>
      <c r="F33" s="852"/>
      <c r="G33" s="852"/>
      <c r="H33" s="852"/>
      <c r="I33" s="852"/>
      <c r="J33" s="852"/>
      <c r="K33" s="852"/>
      <c r="L33" s="852"/>
      <c r="M33" s="852"/>
      <c r="N33" s="852"/>
      <c r="O33" s="987"/>
      <c r="P33" s="412"/>
      <c r="Q33" s="846"/>
      <c r="R33" s="846"/>
      <c r="S33" s="846"/>
      <c r="T33" s="846"/>
      <c r="U33" s="846"/>
      <c r="V33" s="846"/>
      <c r="W33" s="846"/>
      <c r="X33" s="846"/>
      <c r="Y33" s="846"/>
      <c r="Z33" s="846"/>
      <c r="AA33" s="846"/>
      <c r="AB33" s="986"/>
      <c r="AC33" s="412"/>
      <c r="AD33" s="846"/>
      <c r="AE33" s="846"/>
      <c r="AF33" s="846"/>
      <c r="AG33" s="986"/>
      <c r="AH33" s="9"/>
    </row>
    <row r="34" ht="20.1" customHeight="1">
      <c r="A34" s="58"/>
      <c r="B34" s="285">
        <v>2018</v>
      </c>
      <c r="C34" s="286"/>
      <c r="D34" s="455">
        <v>204.15642458100558659217877095</v>
      </c>
      <c r="E34" s="456">
        <v>250.55590212050258879398476404</v>
      </c>
      <c r="F34" s="437">
        <v>184.01929874197546114947658688</v>
      </c>
      <c r="G34" s="455">
        <v>27.923184357541899441340782123</v>
      </c>
      <c r="H34" s="456"/>
      <c r="I34" s="437">
        <v>53.550980915446540058457447045</v>
      </c>
      <c r="J34" s="455">
        <v>26.934706703910614525139664804</v>
      </c>
      <c r="K34" s="456"/>
      <c r="L34" s="437">
        <v>16.61311196378957843076603588</v>
      </c>
      <c r="M34" s="455">
        <v>259.01431564245810055865921788</v>
      </c>
      <c r="N34" s="456"/>
      <c r="O34" s="437">
        <v>254.18339162121157963870006981</v>
      </c>
      <c r="P34" s="5"/>
      <c r="Q34" s="428">
        <v>-19.315697869764938667618091930</v>
      </c>
      <c r="R34" s="429">
        <v>3.3504671453674004480150441500</v>
      </c>
      <c r="S34" s="418">
        <v>0.2167059970600827209162807300</v>
      </c>
      <c r="T34" s="428">
        <v>543.77843383534696882381823414</v>
      </c>
      <c r="U34" s="429"/>
      <c r="V34" s="418">
        <v>-14.841750957733257695675450960</v>
      </c>
      <c r="W34" s="428">
        <v>3252.9628830201455899779922124</v>
      </c>
      <c r="X34" s="429"/>
      <c r="Y34" s="418">
        <v>-17.608347592598477022052236020</v>
      </c>
      <c r="Z34" s="428">
        <v>0.3263159111815228693034940700</v>
      </c>
      <c r="AA34" s="429"/>
      <c r="AB34" s="418">
        <v>-4.6820785799924057972739531600</v>
      </c>
      <c r="AC34" s="5"/>
      <c r="AD34" s="428" t="s">
        <v>223</v>
      </c>
      <c r="AE34" s="429"/>
      <c r="AF34" s="429"/>
      <c r="AG34" s="430"/>
    </row>
    <row r="35" ht="20.1" customHeight="1">
      <c r="A35" s="58"/>
      <c r="B35" s="287">
        <v>2019</v>
      </c>
      <c r="C35" s="288"/>
      <c r="D35" s="277">
        <v>192.69440209104770202570246134</v>
      </c>
      <c r="E35" s="94">
        <v>238.40727030625832223701731026</v>
      </c>
      <c r="F35" s="278">
        <v>179.68032641029558465368334966</v>
      </c>
      <c r="G35" s="277">
        <v>42.141908081028098453495970377</v>
      </c>
      <c r="H35" s="94">
        <v>5.415370373962769043926148039</v>
      </c>
      <c r="I35" s="278">
        <v>52.216326197860492826872613872</v>
      </c>
      <c r="J35" s="277">
        <v>33.085166630363755173164887824</v>
      </c>
      <c r="K35" s="94">
        <v>4.8286647396545645178409784765</v>
      </c>
      <c r="L35" s="278">
        <v>22.898373210904210163623579217</v>
      </c>
      <c r="M35" s="277">
        <v>267.92147680243955565236331954</v>
      </c>
      <c r="N35" s="94">
        <v>248.65130541987565579878443677</v>
      </c>
      <c r="O35" s="278">
        <v>254.79502581906028764417954274</v>
      </c>
      <c r="P35" s="5"/>
      <c r="Q35" s="272">
        <v>-5.6143334766376459539165373800</v>
      </c>
      <c r="R35" s="92">
        <v>-4.8486711793368540421605047600</v>
      </c>
      <c r="S35" s="273">
        <v>-2.3578898307637889970577981200</v>
      </c>
      <c r="T35" s="272">
        <v>50.920853228710641187931349920</v>
      </c>
      <c r="U35" s="92"/>
      <c r="V35" s="273">
        <v>-2.4923067603437158878796523700</v>
      </c>
      <c r="W35" s="272">
        <v>22.834701688287415013992868550</v>
      </c>
      <c r="X35" s="92"/>
      <c r="Y35" s="273">
        <v>37.833136024208888618130689580</v>
      </c>
      <c r="Z35" s="272">
        <v>3.4388682872173173961190626700</v>
      </c>
      <c r="AA35" s="92"/>
      <c r="AB35" s="273">
        <v>0.2406271290770152704040731800</v>
      </c>
      <c r="AC35" s="5"/>
      <c r="AD35" s="272" t="s">
        <v>223</v>
      </c>
      <c r="AE35" s="92" t="s">
        <v>238</v>
      </c>
      <c r="AF35" s="92" t="s">
        <v>238</v>
      </c>
      <c r="AG35" s="273" t="s">
        <v>240</v>
      </c>
    </row>
    <row r="36" ht="20.1" customHeight="1">
      <c r="A36" s="58"/>
      <c r="B36" s="426">
        <v>2020</v>
      </c>
      <c r="C36" s="427"/>
      <c r="D36" s="458">
        <v>140.13704377010208362466787862</v>
      </c>
      <c r="E36" s="459"/>
      <c r="F36" s="500">
        <v>128.33034559796788088844002724</v>
      </c>
      <c r="G36" s="458">
        <v>14.485806180953712767445112572</v>
      </c>
      <c r="H36" s="459"/>
      <c r="I36" s="500">
        <v>23.939706146811580253674754922</v>
      </c>
      <c r="J36" s="458">
        <v>23.248217032582855544679065865</v>
      </c>
      <c r="K36" s="459"/>
      <c r="L36" s="500">
        <v>22.400595439712646498893289281</v>
      </c>
      <c r="M36" s="458">
        <v>177.87106698363865193679205705</v>
      </c>
      <c r="N36" s="459"/>
      <c r="O36" s="500">
        <v>174.67064718449210764100807144</v>
      </c>
      <c r="P36" s="184"/>
      <c r="Q36" s="431">
        <v>-27.274979319903842615145905690</v>
      </c>
      <c r="R36" s="432"/>
      <c r="S36" s="501">
        <v>-28.578521554480756934906488100</v>
      </c>
      <c r="T36" s="431">
        <v>-65.626126484113589036565466680</v>
      </c>
      <c r="U36" s="432"/>
      <c r="V36" s="501">
        <v>-54.152833242043589663462561260</v>
      </c>
      <c r="W36" s="431">
        <v>-29.732205092638359773512060130</v>
      </c>
      <c r="X36" s="432"/>
      <c r="Y36" s="501">
        <v>-2.1738564858158647919205283800</v>
      </c>
      <c r="Z36" s="431">
        <v>-33.610747034364268193856451670</v>
      </c>
      <c r="AA36" s="432"/>
      <c r="AB36" s="501">
        <v>-31.446602372633275769634816830</v>
      </c>
      <c r="AC36" s="184"/>
      <c r="AD36" s="431"/>
      <c r="AE36" s="432"/>
      <c r="AF36" s="432"/>
      <c r="AG36" s="433"/>
    </row>
    <row r="37" ht="21" customHeight="1"/>
    <row r="38" ht="24.95" customHeight="1">
      <c r="A38" s="112"/>
      <c r="B38" s="852" t="s">
        <v>45</v>
      </c>
      <c r="C38" s="852"/>
      <c r="D38" s="852"/>
      <c r="E38" s="852"/>
      <c r="F38" s="852"/>
      <c r="G38" s="852"/>
      <c r="H38" s="852"/>
      <c r="I38" s="852"/>
      <c r="J38" s="852"/>
      <c r="K38" s="852"/>
      <c r="L38" s="852"/>
      <c r="M38" s="852"/>
      <c r="N38" s="852"/>
      <c r="O38" s="987"/>
      <c r="P38" s="412"/>
      <c r="Q38" s="846"/>
      <c r="R38" s="846"/>
      <c r="S38" s="846"/>
      <c r="T38" s="846"/>
      <c r="U38" s="846"/>
      <c r="V38" s="846"/>
      <c r="W38" s="846"/>
      <c r="X38" s="846"/>
      <c r="Y38" s="846"/>
      <c r="Z38" s="846"/>
      <c r="AA38" s="846"/>
      <c r="AB38" s="986"/>
      <c r="AC38" s="412"/>
      <c r="AD38" s="846"/>
      <c r="AE38" s="846"/>
      <c r="AF38" s="846"/>
      <c r="AG38" s="986"/>
      <c r="AH38" s="9"/>
    </row>
    <row r="39" ht="20.1" customHeight="1">
      <c r="A39" s="58"/>
      <c r="B39" s="285">
        <v>2018</v>
      </c>
      <c r="C39" s="286"/>
      <c r="D39" s="455">
        <v>180.11384928716904276985743381</v>
      </c>
      <c r="E39" s="456">
        <v>242.6501180390515818812029719</v>
      </c>
      <c r="F39" s="437">
        <v>183.43499411012894283133064502</v>
      </c>
      <c r="G39" s="455">
        <v>18.869993211133740665308893415</v>
      </c>
      <c r="H39" s="456"/>
      <c r="I39" s="437">
        <v>59.467034632461138554292606138</v>
      </c>
      <c r="J39" s="455">
        <v>22.24270196877121520706042091</v>
      </c>
      <c r="K39" s="456"/>
      <c r="L39" s="437">
        <v>20.325742314235855624805590765</v>
      </c>
      <c r="M39" s="455">
        <v>221.22654446707399864222674813</v>
      </c>
      <c r="N39" s="456"/>
      <c r="O39" s="437">
        <v>263.22777105682593701042884192</v>
      </c>
      <c r="P39" s="5"/>
      <c r="Q39" s="428">
        <v>-22.012809132085917965566863110</v>
      </c>
      <c r="R39" s="429">
        <v>5.9877549584533072522146834600</v>
      </c>
      <c r="S39" s="418">
        <v>2.5506730993053996793586976600</v>
      </c>
      <c r="T39" s="428">
        <v>-25.788293486974212307453109910</v>
      </c>
      <c r="U39" s="429"/>
      <c r="V39" s="418">
        <v>-5.9215471920810145115121480900</v>
      </c>
      <c r="W39" s="428">
        <v>376.71636582353727550406660460</v>
      </c>
      <c r="X39" s="429"/>
      <c r="Y39" s="418">
        <v>-2.335141282489337941088875800</v>
      </c>
      <c r="Z39" s="428">
        <v>-15.253866110427284825602417370</v>
      </c>
      <c r="AA39" s="429"/>
      <c r="AB39" s="418">
        <v>0.1268410040145258863412170800</v>
      </c>
      <c r="AC39" s="5"/>
      <c r="AD39" s="428" t="s">
        <v>227</v>
      </c>
      <c r="AE39" s="429"/>
      <c r="AF39" s="429"/>
      <c r="AG39" s="430"/>
    </row>
    <row r="40" ht="20.1" customHeight="1">
      <c r="A40" s="58"/>
      <c r="B40" s="287">
        <v>2019</v>
      </c>
      <c r="C40" s="288"/>
      <c r="D40" s="277">
        <v>194.69180690332882938213978627</v>
      </c>
      <c r="E40" s="94">
        <v>240.44190417949133322533614126</v>
      </c>
      <c r="F40" s="278">
        <v>181.07925068981587649151877853</v>
      </c>
      <c r="G40" s="277">
        <v>31.572165581623879130327969537</v>
      </c>
      <c r="H40" s="94"/>
      <c r="I40" s="278">
        <v>49.594560931456930918430796404</v>
      </c>
      <c r="J40" s="277">
        <v>31.259335462473897555582852229</v>
      </c>
      <c r="K40" s="94"/>
      <c r="L40" s="278">
        <v>16.889737457416613598890419692</v>
      </c>
      <c r="M40" s="277">
        <v>257.52330794742660606805060803</v>
      </c>
      <c r="N40" s="94"/>
      <c r="O40" s="278">
        <v>247.56354907868942100883999462</v>
      </c>
      <c r="P40" s="5"/>
      <c r="Q40" s="272">
        <v>8.093746079968039254002769300</v>
      </c>
      <c r="R40" s="92">
        <v>-0.9100402989315107291139448100</v>
      </c>
      <c r="S40" s="273">
        <v>-1.2842388289874219387051951800</v>
      </c>
      <c r="T40" s="272">
        <v>67.314133229234854415186268020</v>
      </c>
      <c r="U40" s="92"/>
      <c r="V40" s="273">
        <v>-16.601590716640749177556059500</v>
      </c>
      <c r="W40" s="272">
        <v>40.537491831532196192023261660</v>
      </c>
      <c r="X40" s="92"/>
      <c r="Y40" s="273">
        <v>-16.904695551575078138130334480</v>
      </c>
      <c r="Z40" s="272">
        <v>16.407056200145455408066717350</v>
      </c>
      <c r="AA40" s="92"/>
      <c r="AB40" s="273">
        <v>-5.9508242292394385596495083800</v>
      </c>
      <c r="AC40" s="5"/>
      <c r="AD40" s="272" t="s">
        <v>223</v>
      </c>
      <c r="AE40" s="92"/>
      <c r="AF40" s="92"/>
      <c r="AG40" s="273"/>
    </row>
    <row r="41" ht="20.1" customHeight="1">
      <c r="A41" s="58"/>
      <c r="B41" s="426">
        <v>2020</v>
      </c>
      <c r="C41" s="427"/>
      <c r="D41" s="458">
        <v>205.63515078286260887076473846</v>
      </c>
      <c r="E41" s="459"/>
      <c r="F41" s="500">
        <v>184.41489775093437710379937967</v>
      </c>
      <c r="G41" s="458">
        <v>31.634647334239540854855761969</v>
      </c>
      <c r="H41" s="459"/>
      <c r="I41" s="500">
        <v>40.432501212845635601957915871</v>
      </c>
      <c r="J41" s="458">
        <v>26.686401852690932890298545033</v>
      </c>
      <c r="K41" s="459"/>
      <c r="L41" s="500">
        <v>19.707445337158106224683049569</v>
      </c>
      <c r="M41" s="458">
        <v>263.95619996979308261591904546</v>
      </c>
      <c r="N41" s="459"/>
      <c r="O41" s="500">
        <v>244.55484430093811893044034511</v>
      </c>
      <c r="P41" s="184"/>
      <c r="Q41" s="431">
        <v>5.6208548544456858809412660900</v>
      </c>
      <c r="R41" s="432"/>
      <c r="S41" s="501">
        <v>1.8420923702806671567535338300</v>
      </c>
      <c r="T41" s="431">
        <v>0.1979013839076921667908127800</v>
      </c>
      <c r="U41" s="432"/>
      <c r="V41" s="501">
        <v>-18.473920418962650665093232750</v>
      </c>
      <c r="W41" s="431">
        <v>-14.629017354744040238594064960</v>
      </c>
      <c r="X41" s="432"/>
      <c r="Y41" s="501">
        <v>16.682958434645069404743810090</v>
      </c>
      <c r="Z41" s="431">
        <v>2.4979843858171283351884649100</v>
      </c>
      <c r="AA41" s="432"/>
      <c r="AB41" s="501">
        <v>-1.215326242069251033053683800</v>
      </c>
      <c r="AC41" s="184"/>
      <c r="AD41" s="431"/>
      <c r="AE41" s="432"/>
      <c r="AF41" s="432"/>
      <c r="AG41" s="433"/>
    </row>
    <row r="42" ht="14.1" customHeight="1"/>
    <row r="43" ht="20.1" customHeight="1">
      <c r="B43" s="7" t="s">
        <v>105</v>
      </c>
    </row>
    <row r="44" ht="14.1" customHeight="1">
      <c r="B44" s="7"/>
    </row>
    <row r="45" ht="24" customHeight="1">
      <c r="B45" s="826" t="s">
        <v>129</v>
      </c>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7" t="s">
        <v>164</v>
      </c>
      <c r="AD1" s="5"/>
      <c r="AG1" s="686"/>
      <c r="AI1" s="236"/>
    </row>
    <row r="2" ht="21" customHeight="1">
      <c r="B2" s="11" t="s">
        <v>211</v>
      </c>
    </row>
    <row r="3" ht="21" customHeight="1">
      <c r="B3" s="11" t="s">
        <v>212</v>
      </c>
      <c r="U3" s="99" t="s">
        <v>298</v>
      </c>
      <c r="V3" s="99"/>
      <c r="W3" s="99"/>
      <c r="X3" s="99"/>
      <c r="Y3" s="99"/>
      <c r="Z3" s="99"/>
      <c r="AA3" s="99"/>
      <c r="AB3" s="99"/>
      <c r="AC3" s="99"/>
      <c r="AD3" s="99"/>
      <c r="AE3" s="99"/>
      <c r="AF3" s="99"/>
      <c r="AG3" s="99"/>
    </row>
    <row r="4" ht="21" customHeight="1">
      <c r="A4" s="4"/>
      <c r="B4" s="211" t="s">
        <v>213</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812" t="s">
        <v>95</v>
      </c>
      <c r="E6" s="812"/>
      <c r="F6" s="812"/>
      <c r="G6" s="812"/>
      <c r="H6" s="812"/>
      <c r="I6" s="812"/>
      <c r="J6" s="812"/>
      <c r="K6" s="812"/>
      <c r="L6" s="812"/>
      <c r="M6" s="812"/>
      <c r="N6" s="812"/>
      <c r="O6" s="975"/>
      <c r="Q6" s="812" t="s">
        <v>72</v>
      </c>
      <c r="R6" s="812"/>
      <c r="S6" s="812"/>
      <c r="T6" s="812"/>
      <c r="U6" s="812"/>
      <c r="V6" s="812"/>
      <c r="W6" s="812"/>
      <c r="X6" s="812"/>
      <c r="Y6" s="812"/>
      <c r="Z6" s="812"/>
      <c r="AA6" s="812"/>
      <c r="AB6" s="975"/>
      <c r="AD6" s="812" t="s">
        <v>80</v>
      </c>
      <c r="AE6" s="812"/>
      <c r="AF6" s="812"/>
      <c r="AG6" s="975"/>
    </row>
    <row r="7" ht="24.95" customHeight="1">
      <c r="D7" s="849" t="s">
        <v>20</v>
      </c>
      <c r="E7" s="849"/>
      <c r="F7" s="284"/>
      <c r="G7" s="849" t="s">
        <v>18</v>
      </c>
      <c r="H7" s="849"/>
      <c r="I7" s="284"/>
      <c r="J7" s="849" t="s">
        <v>17</v>
      </c>
      <c r="K7" s="849"/>
      <c r="L7" s="284"/>
      <c r="M7" s="849" t="s">
        <v>106</v>
      </c>
      <c r="N7" s="849"/>
      <c r="O7" s="284"/>
      <c r="Q7" s="849" t="s">
        <v>20</v>
      </c>
      <c r="R7" s="849"/>
      <c r="S7" s="284"/>
      <c r="T7" s="849" t="s">
        <v>18</v>
      </c>
      <c r="U7" s="849"/>
      <c r="V7" s="284"/>
      <c r="W7" s="849" t="s">
        <v>17</v>
      </c>
      <c r="X7" s="849"/>
      <c r="Y7" s="284"/>
      <c r="Z7" s="849" t="s">
        <v>106</v>
      </c>
      <c r="AA7" s="849"/>
      <c r="AB7" s="284"/>
      <c r="AD7" s="849" t="s">
        <v>81</v>
      </c>
      <c r="AE7" s="849"/>
      <c r="AF7" s="849"/>
      <c r="AG7" s="284"/>
    </row>
    <row r="8" ht="30" customHeight="1">
      <c r="A8" s="57"/>
      <c r="B8" s="855" t="s">
        <v>42</v>
      </c>
      <c r="C8" s="958"/>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c r="AC8" s="63"/>
      <c r="AD8" s="413" t="s">
        <v>20</v>
      </c>
      <c r="AE8" s="414" t="s">
        <v>18</v>
      </c>
      <c r="AF8" s="414" t="s">
        <v>17</v>
      </c>
      <c r="AG8" s="415" t="s">
        <v>12</v>
      </c>
    </row>
    <row r="9" ht="20.1" customHeight="1">
      <c r="A9" s="57"/>
      <c r="B9" s="285">
        <v>2019</v>
      </c>
      <c r="C9" s="286" t="s">
        <v>221</v>
      </c>
      <c r="D9" s="435">
        <v>96.19965786901270772238514174</v>
      </c>
      <c r="E9" s="436">
        <v>140.94457899857795075218920739</v>
      </c>
      <c r="F9" s="437">
        <v>110.8366612069297319026826838</v>
      </c>
      <c r="G9" s="435">
        <v>17.698924731182795698924731183</v>
      </c>
      <c r="H9" s="436">
        <v>5.2638128976782173706030229874</v>
      </c>
      <c r="I9" s="437">
        <v>28.968374957043131168520872466</v>
      </c>
      <c r="J9" s="435">
        <v>18.662267839687194525904203324</v>
      </c>
      <c r="K9" s="436">
        <v>4.7651834703983414289549059939</v>
      </c>
      <c r="L9" s="437">
        <v>11.381008168989936711474300937</v>
      </c>
      <c r="M9" s="435">
        <v>132.56085043988269794721407625</v>
      </c>
      <c r="N9" s="436">
        <v>150.97357536665450955174713637</v>
      </c>
      <c r="O9" s="437">
        <v>151.1860443329627997826778572</v>
      </c>
      <c r="P9" s="5"/>
      <c r="Q9" s="416">
        <v>51.144056158357195182365007180</v>
      </c>
      <c r="R9" s="417">
        <v>-10.284841415300182574795700110</v>
      </c>
      <c r="S9" s="418">
        <v>4.3869718684962254802885789100</v>
      </c>
      <c r="T9" s="416">
        <v>242.05490044461627682196017784</v>
      </c>
      <c r="U9" s="417"/>
      <c r="V9" s="418">
        <v>-1.4293635336052352109358815600</v>
      </c>
      <c r="W9" s="416">
        <v>100.62477241568077343232589342</v>
      </c>
      <c r="X9" s="417"/>
      <c r="Y9" s="418">
        <v>-29.109622478354969164155041080</v>
      </c>
      <c r="Z9" s="416">
        <v>69.679993121104068616695930110</v>
      </c>
      <c r="AA9" s="417"/>
      <c r="AB9" s="418">
        <v>-0.2871686464797807654004753300</v>
      </c>
      <c r="AC9" s="5"/>
      <c r="AD9" s="428" t="s">
        <v>222</v>
      </c>
      <c r="AE9" s="429" t="s">
        <v>238</v>
      </c>
      <c r="AF9" s="429" t="s">
        <v>238</v>
      </c>
      <c r="AG9" s="430" t="s">
        <v>240</v>
      </c>
    </row>
    <row r="10" ht="20.1" customHeight="1">
      <c r="A10" s="58"/>
      <c r="B10" s="287"/>
      <c r="C10" s="288" t="s">
        <v>224</v>
      </c>
      <c r="D10" s="277">
        <v>92.8218475073313782991202346</v>
      </c>
      <c r="E10" s="94">
        <v>130.44174687523388967891624878</v>
      </c>
      <c r="F10" s="278">
        <v>102.52301856453109697946825298</v>
      </c>
      <c r="G10" s="277">
        <v>14.603128054740957966764418377</v>
      </c>
      <c r="H10" s="94"/>
      <c r="I10" s="278">
        <v>27.611479481675681653724788789</v>
      </c>
      <c r="J10" s="277">
        <v>22.192326490713587487781036168</v>
      </c>
      <c r="K10" s="94"/>
      <c r="L10" s="278">
        <v>11.421809592965031827305668094</v>
      </c>
      <c r="M10" s="277">
        <v>129.61730205278592375366568915</v>
      </c>
      <c r="N10" s="94"/>
      <c r="O10" s="278">
        <v>141.55630763917181046049870987</v>
      </c>
      <c r="P10" s="5"/>
      <c r="Q10" s="272">
        <v>41.531463065473817752004353590</v>
      </c>
      <c r="R10" s="92">
        <v>-12.390280441084574427584129730</v>
      </c>
      <c r="S10" s="273">
        <v>5.2897640176465606048859348200</v>
      </c>
      <c r="T10" s="272">
        <v>83.14017966854546024740774952</v>
      </c>
      <c r="U10" s="92"/>
      <c r="V10" s="273">
        <v>-8.903595105496795581429016580</v>
      </c>
      <c r="W10" s="272">
        <v>50.372960175478051380318485270</v>
      </c>
      <c r="X10" s="92"/>
      <c r="Y10" s="273">
        <v>-25.370695175126062642018459760</v>
      </c>
      <c r="Z10" s="272">
        <v>46.765651846560744415915365160</v>
      </c>
      <c r="AA10" s="92"/>
      <c r="AB10" s="273">
        <v>-1.0006826834432211963152478600</v>
      </c>
      <c r="AC10" s="5"/>
      <c r="AD10" s="272" t="s">
        <v>222</v>
      </c>
      <c r="AE10" s="92"/>
      <c r="AF10" s="92"/>
      <c r="AG10" s="273"/>
    </row>
    <row r="11" ht="20.1" customHeight="1">
      <c r="A11" s="58"/>
      <c r="B11" s="289"/>
      <c r="C11" s="290" t="s">
        <v>226</v>
      </c>
      <c r="D11" s="440">
        <v>66.074242424242424242424242424</v>
      </c>
      <c r="E11" s="95">
        <v>93.40967594740912606341840681</v>
      </c>
      <c r="F11" s="443">
        <v>88.65400592160502010694241902</v>
      </c>
      <c r="G11" s="440">
        <v>9.618434343434343434343434343</v>
      </c>
      <c r="H11" s="95">
        <v>2.7432992904124920167332429415</v>
      </c>
      <c r="I11" s="443">
        <v>31.156526246965585230491427521</v>
      </c>
      <c r="J11" s="440">
        <v>16.981565656565656565656565657</v>
      </c>
      <c r="K11" s="95">
        <v>2.7557223292875619059938889538</v>
      </c>
      <c r="L11" s="443">
        <v>9.788646990128681166291526901</v>
      </c>
      <c r="M11" s="440">
        <v>92.67424242424242424242424242</v>
      </c>
      <c r="N11" s="95">
        <v>98.90869756710917998614553871</v>
      </c>
      <c r="O11" s="443">
        <v>129.59917915869928650372537344</v>
      </c>
      <c r="P11" s="5"/>
      <c r="Q11" s="498">
        <v>28.204575409988681519518254110</v>
      </c>
      <c r="R11" s="216">
        <v>-16.503173231287019360990126140</v>
      </c>
      <c r="S11" s="499">
        <v>1.9723346020919805148959438500</v>
      </c>
      <c r="T11" s="498">
        <v>-10.838268686064748706664481850</v>
      </c>
      <c r="U11" s="216"/>
      <c r="V11" s="499">
        <v>-1.4495194512462264410905875600</v>
      </c>
      <c r="W11" s="498">
        <v>54.537515799149718487877743310</v>
      </c>
      <c r="X11" s="216"/>
      <c r="Y11" s="499">
        <v>-28.684904328495543513018328850</v>
      </c>
      <c r="Z11" s="498">
        <v>26.406613278222681477654352880</v>
      </c>
      <c r="AA11" s="216"/>
      <c r="AB11" s="499">
        <v>-2.0266059242373598325165110600</v>
      </c>
      <c r="AC11" s="5"/>
      <c r="AD11" s="421" t="s">
        <v>227</v>
      </c>
      <c r="AE11" s="91" t="s">
        <v>307</v>
      </c>
      <c r="AF11" s="91" t="s">
        <v>308</v>
      </c>
      <c r="AG11" s="422" t="s">
        <v>310</v>
      </c>
    </row>
    <row r="12" ht="20.1" customHeight="1">
      <c r="A12" s="58"/>
      <c r="B12" s="287"/>
      <c r="C12" s="288" t="s">
        <v>228</v>
      </c>
      <c r="D12" s="277">
        <v>95.92790811339198435972629521</v>
      </c>
      <c r="E12" s="94">
        <v>134.21127011451238679739540454</v>
      </c>
      <c r="F12" s="278">
        <v>113.16023828971958620040798348</v>
      </c>
      <c r="G12" s="277">
        <v>18.57722385141739980449657869</v>
      </c>
      <c r="H12" s="94">
        <v>4.0534540140815955025571028588</v>
      </c>
      <c r="I12" s="278">
        <v>38.452614082617468664113696138</v>
      </c>
      <c r="J12" s="277">
        <v>19.680351906158357771260997067</v>
      </c>
      <c r="K12" s="94">
        <v>4.2400219728139044491875628886</v>
      </c>
      <c r="L12" s="278">
        <v>10.840734271379143935917940492</v>
      </c>
      <c r="M12" s="277">
        <v>134.18548387096774193548387097</v>
      </c>
      <c r="N12" s="94">
        <v>142.50474610140788674914007029</v>
      </c>
      <c r="O12" s="278">
        <v>162.4535866437161988004396201</v>
      </c>
      <c r="P12" s="5"/>
      <c r="Q12" s="272">
        <v>34.788222164992703236329298650</v>
      </c>
      <c r="R12" s="92">
        <v>-1.8886329810980112978407439500</v>
      </c>
      <c r="S12" s="273">
        <v>3.3521334673517378400293322400</v>
      </c>
      <c r="T12" s="272">
        <v>80.90048070058540764361524915</v>
      </c>
      <c r="U12" s="92"/>
      <c r="V12" s="273">
        <v>-3.2514293421362876593923594700</v>
      </c>
      <c r="W12" s="272">
        <v>89.19325283089789973218061363</v>
      </c>
      <c r="X12" s="92"/>
      <c r="Y12" s="273">
        <v>-25.880715241727449734405890450</v>
      </c>
      <c r="Z12" s="272">
        <v>46.106441235401649224481324490</v>
      </c>
      <c r="AA12" s="92"/>
      <c r="AB12" s="273">
        <v>-0.858872506275755097304999800</v>
      </c>
      <c r="AC12" s="5"/>
      <c r="AD12" s="272" t="s">
        <v>227</v>
      </c>
      <c r="AE12" s="92" t="s">
        <v>238</v>
      </c>
      <c r="AF12" s="92" t="s">
        <v>238</v>
      </c>
      <c r="AG12" s="273" t="s">
        <v>240</v>
      </c>
    </row>
    <row r="13" ht="20.1" customHeight="1">
      <c r="A13" s="58"/>
      <c r="B13" s="289"/>
      <c r="C13" s="290" t="s">
        <v>229</v>
      </c>
      <c r="D13" s="440">
        <v>127.10934343434343434343434343</v>
      </c>
      <c r="E13" s="95">
        <v>174.43500077339520494972931168</v>
      </c>
      <c r="F13" s="443">
        <v>139.7611176702085792994883904</v>
      </c>
      <c r="G13" s="440">
        <v>33.438636363636363636363636364</v>
      </c>
      <c r="H13" s="95">
        <v>4.6154040176658241640796622053</v>
      </c>
      <c r="I13" s="443">
        <v>45.219443186553749413255044248</v>
      </c>
      <c r="J13" s="440">
        <v>30.575757575757575757575757576</v>
      </c>
      <c r="K13" s="95">
        <v>3.3595969354760094729027721215</v>
      </c>
      <c r="L13" s="443">
        <v>30.939296245605168573008751409</v>
      </c>
      <c r="M13" s="440">
        <v>191.12373737373737373737373737</v>
      </c>
      <c r="N13" s="95">
        <v>182.410001726537038586711746</v>
      </c>
      <c r="O13" s="443">
        <v>215.91985710236749728575218606</v>
      </c>
      <c r="P13" s="5"/>
      <c r="Q13" s="421">
        <v>61.748421407798968492424364140</v>
      </c>
      <c r="R13" s="91">
        <v>4.274466388133805713747834100</v>
      </c>
      <c r="S13" s="499">
        <v>9.011594252419533965955621270</v>
      </c>
      <c r="T13" s="421">
        <v>115.50141587735572697978713016</v>
      </c>
      <c r="U13" s="91"/>
      <c r="V13" s="499">
        <v>18.009490841137020181809659720</v>
      </c>
      <c r="W13" s="421">
        <v>144.36416476619104320975196271</v>
      </c>
      <c r="X13" s="91"/>
      <c r="Y13" s="499">
        <v>200.04066877873373536157324778</v>
      </c>
      <c r="Z13" s="421">
        <v>79.26762831900329235652194510</v>
      </c>
      <c r="AA13" s="91"/>
      <c r="AB13" s="499">
        <v>22.100543656986599354785406420</v>
      </c>
      <c r="AC13" s="5"/>
      <c r="AD13" s="421" t="s">
        <v>222</v>
      </c>
      <c r="AE13" s="91" t="s">
        <v>308</v>
      </c>
      <c r="AF13" s="91" t="s">
        <v>308</v>
      </c>
      <c r="AG13" s="422" t="s">
        <v>309</v>
      </c>
    </row>
    <row r="14" ht="20.1" customHeight="1">
      <c r="A14" s="58"/>
      <c r="B14" s="287"/>
      <c r="C14" s="288" t="s">
        <v>230</v>
      </c>
      <c r="D14" s="277">
        <v>213.44819159335288367546432063</v>
      </c>
      <c r="E14" s="94">
        <v>259.80097148417034653094828231</v>
      </c>
      <c r="F14" s="278">
        <v>175.79853837918354047386305451</v>
      </c>
      <c r="G14" s="277">
        <v>43.624633431085043988269794721</v>
      </c>
      <c r="H14" s="94">
        <v>4.2643693814063585983311936101</v>
      </c>
      <c r="I14" s="278">
        <v>41.123804406431330410268242175</v>
      </c>
      <c r="J14" s="277">
        <v>24.96969696969696969696969697</v>
      </c>
      <c r="K14" s="94">
        <v>3.9080324274914223629602778099</v>
      </c>
      <c r="L14" s="278">
        <v>13.2417402024677714753480565</v>
      </c>
      <c r="M14" s="277">
        <v>282.04252199413489736070381232</v>
      </c>
      <c r="N14" s="94">
        <v>267.97337329306812749223975372</v>
      </c>
      <c r="O14" s="278">
        <v>230.16408298808264235947935318</v>
      </c>
      <c r="P14" s="5"/>
      <c r="Q14" s="272">
        <v>54.047351972175777970609607260</v>
      </c>
      <c r="R14" s="92">
        <v>-3.7622825778233853913412384500</v>
      </c>
      <c r="S14" s="273">
        <v>2.770320202094985078893292800</v>
      </c>
      <c r="T14" s="272">
        <v>216.08470854876407677597563566</v>
      </c>
      <c r="U14" s="92"/>
      <c r="V14" s="273">
        <v>1.6001667934049811509533687200</v>
      </c>
      <c r="W14" s="272">
        <v>64.35729567133688291215596700</v>
      </c>
      <c r="X14" s="92"/>
      <c r="Y14" s="273">
        <v>12.722446210403384054537699510</v>
      </c>
      <c r="Z14" s="272">
        <v>68.329319998658170356941270160</v>
      </c>
      <c r="AA14" s="92"/>
      <c r="AB14" s="273">
        <v>3.081792352744561855772494400</v>
      </c>
      <c r="AC14" s="5"/>
      <c r="AD14" s="272" t="s">
        <v>225</v>
      </c>
      <c r="AE14" s="92" t="s">
        <v>238</v>
      </c>
      <c r="AF14" s="92" t="s">
        <v>238</v>
      </c>
      <c r="AG14" s="273" t="s">
        <v>240</v>
      </c>
    </row>
    <row r="15" ht="20.1" customHeight="1">
      <c r="A15" s="58"/>
      <c r="B15" s="289">
        <v>2020</v>
      </c>
      <c r="C15" s="290" t="s">
        <v>232</v>
      </c>
      <c r="D15" s="440">
        <v>270.81402737047898338220918866</v>
      </c>
      <c r="E15" s="95">
        <v>288.70146321383130005239128808</v>
      </c>
      <c r="F15" s="443">
        <v>214.5934121271364673124203916</v>
      </c>
      <c r="G15" s="440">
        <v>47.117057673509286412512218964</v>
      </c>
      <c r="H15" s="95">
        <v>143.08864444628538082479654405</v>
      </c>
      <c r="I15" s="443">
        <v>48.187141254436661121943737078</v>
      </c>
      <c r="J15" s="440">
        <v>24.876344086021505376344086022</v>
      </c>
      <c r="K15" s="95">
        <v>18.15268745100540134866225379</v>
      </c>
      <c r="L15" s="443">
        <v>12.280896493022166655424297772</v>
      </c>
      <c r="M15" s="440">
        <v>342.80742913000977517106549365</v>
      </c>
      <c r="N15" s="95">
        <v>449.94279511112208222585008592</v>
      </c>
      <c r="O15" s="443">
        <v>275.06144987459529508978842645</v>
      </c>
      <c r="P15" s="5"/>
      <c r="Q15" s="421">
        <v>72.480661177605877134274463420</v>
      </c>
      <c r="R15" s="91">
        <v>24.174679414618990761758431220</v>
      </c>
      <c r="S15" s="499">
        <v>20.377248932619638731102544050</v>
      </c>
      <c r="T15" s="421">
        <v>117.76545399098681906999333612</v>
      </c>
      <c r="U15" s="91"/>
      <c r="V15" s="499">
        <v>-3.5543620883757035729312493900</v>
      </c>
      <c r="W15" s="421">
        <v>18.428461735346813411824929620</v>
      </c>
      <c r="X15" s="91"/>
      <c r="Y15" s="499">
        <v>3.4483715039132249722535998800</v>
      </c>
      <c r="Z15" s="421">
        <v>71.701422676904358852898659830</v>
      </c>
      <c r="AA15" s="91"/>
      <c r="AB15" s="499">
        <v>14.560274828426546533425123160</v>
      </c>
      <c r="AC15" s="5"/>
      <c r="AD15" s="421" t="s">
        <v>223</v>
      </c>
      <c r="AE15" s="91" t="s">
        <v>307</v>
      </c>
      <c r="AF15" s="91" t="s">
        <v>307</v>
      </c>
      <c r="AG15" s="422" t="s">
        <v>307</v>
      </c>
    </row>
    <row r="16" ht="20.1" customHeight="1">
      <c r="A16" s="58"/>
      <c r="B16" s="287"/>
      <c r="C16" s="288" t="s">
        <v>233</v>
      </c>
      <c r="D16" s="277">
        <v>293.09691745036572622779519331</v>
      </c>
      <c r="E16" s="94">
        <v>340.89020081606516347631753397</v>
      </c>
      <c r="F16" s="278">
        <v>245.17602206059260081801861825</v>
      </c>
      <c r="G16" s="277">
        <v>58.058777429467084639498432602</v>
      </c>
      <c r="H16" s="94">
        <v>126.94230209105239484023430273</v>
      </c>
      <c r="I16" s="278">
        <v>59.277612416438170642682386972</v>
      </c>
      <c r="J16" s="277">
        <v>23.177638453500522466039707419</v>
      </c>
      <c r="K16" s="94">
        <v>21.463485657287942859240298882</v>
      </c>
      <c r="L16" s="278">
        <v>14.24829650406748072565127191</v>
      </c>
      <c r="M16" s="277">
        <v>374.33333333333333333333333333</v>
      </c>
      <c r="N16" s="94">
        <v>489.29598856440550117579213558</v>
      </c>
      <c r="O16" s="278">
        <v>318.70193098109825218635227714</v>
      </c>
      <c r="P16" s="5"/>
      <c r="Q16" s="272">
        <v>57.154928166901692289537093480</v>
      </c>
      <c r="R16" s="92">
        <v>20.621840419760701659458211150</v>
      </c>
      <c r="S16" s="273">
        <v>15.183024155098502890456118730</v>
      </c>
      <c r="T16" s="272">
        <v>121.39764697678605163643944874</v>
      </c>
      <c r="U16" s="92"/>
      <c r="V16" s="273">
        <v>16.363584311521030043590187340</v>
      </c>
      <c r="W16" s="272">
        <v>6.3640617888699028228346001600</v>
      </c>
      <c r="X16" s="92"/>
      <c r="Y16" s="273">
        <v>23.599235466096559835688741820</v>
      </c>
      <c r="Z16" s="272">
        <v>59.619185184586967983543557540</v>
      </c>
      <c r="AA16" s="92"/>
      <c r="AB16" s="273">
        <v>15.753836859093015010611829350</v>
      </c>
      <c r="AC16" s="5"/>
      <c r="AD16" s="272" t="s">
        <v>225</v>
      </c>
      <c r="AE16" s="92" t="s">
        <v>307</v>
      </c>
      <c r="AF16" s="92" t="s">
        <v>307</v>
      </c>
      <c r="AG16" s="273" t="s">
        <v>307</v>
      </c>
    </row>
    <row r="17" ht="20.1" customHeight="1">
      <c r="A17" s="58"/>
      <c r="B17" s="289"/>
      <c r="C17" s="290" t="s">
        <v>234</v>
      </c>
      <c r="D17" s="440">
        <v>88.62512218963831867057673509</v>
      </c>
      <c r="E17" s="95">
        <v>120.49226405209190928822692912</v>
      </c>
      <c r="F17" s="443">
        <v>77.076351190401564635231874428</v>
      </c>
      <c r="G17" s="440">
        <v>19.399071358748778103616813294</v>
      </c>
      <c r="H17" s="95">
        <v>58.189710159218719034647669845</v>
      </c>
      <c r="I17" s="443">
        <v>20.230097271037320344965986887</v>
      </c>
      <c r="J17" s="440">
        <v>20.253176930596285434995112414</v>
      </c>
      <c r="K17" s="95">
        <v>13.920271340490327997892115456</v>
      </c>
      <c r="L17" s="443">
        <v>10.05839679288288983063479773</v>
      </c>
      <c r="M17" s="440">
        <v>128.2773704789833822091886608</v>
      </c>
      <c r="N17" s="95">
        <v>192.60224555180095632076671442</v>
      </c>
      <c r="O17" s="443">
        <v>107.36484525432177481083265904</v>
      </c>
      <c r="P17" s="5"/>
      <c r="Q17" s="421">
        <v>-54.344265494011881816339197030</v>
      </c>
      <c r="R17" s="91">
        <v>-58.353729496244016587760481080</v>
      </c>
      <c r="S17" s="499">
        <v>-62.379840739161081681495079910</v>
      </c>
      <c r="T17" s="421">
        <v>-21.615269919325374490229187030</v>
      </c>
      <c r="U17" s="91"/>
      <c r="V17" s="499">
        <v>-52.304026585630954541223356490</v>
      </c>
      <c r="W17" s="421">
        <v>11.692722371967654986522911050</v>
      </c>
      <c r="X17" s="91"/>
      <c r="Y17" s="499">
        <v>-20.995197883492603481907839020</v>
      </c>
      <c r="Z17" s="421">
        <v>-45.873969110965833981237252450</v>
      </c>
      <c r="AA17" s="91"/>
      <c r="AB17" s="499">
        <v>-58.710038532424451770540206490</v>
      </c>
      <c r="AC17" s="5"/>
      <c r="AD17" s="421" t="s">
        <v>227</v>
      </c>
      <c r="AE17" s="91" t="s">
        <v>307</v>
      </c>
      <c r="AF17" s="91" t="s">
        <v>307</v>
      </c>
      <c r="AG17" s="422" t="s">
        <v>307</v>
      </c>
    </row>
    <row r="18" ht="20.1" customHeight="1">
      <c r="A18" s="58"/>
      <c r="B18" s="287"/>
      <c r="C18" s="288" t="s">
        <v>235</v>
      </c>
      <c r="D18" s="277"/>
      <c r="E18" s="94"/>
      <c r="F18" s="278">
        <v>10.122883106154481619165634036</v>
      </c>
      <c r="G18" s="277"/>
      <c r="H18" s="94"/>
      <c r="I18" s="278">
        <v>2.3948241451237607999135731749</v>
      </c>
      <c r="J18" s="277"/>
      <c r="K18" s="94"/>
      <c r="L18" s="278">
        <v>0.9747026939969379768652136651</v>
      </c>
      <c r="M18" s="277"/>
      <c r="N18" s="94"/>
      <c r="O18" s="278">
        <v>13.492409945275180395944420876</v>
      </c>
      <c r="P18" s="5"/>
      <c r="Q18" s="272"/>
      <c r="R18" s="92"/>
      <c r="S18" s="273">
        <v>-93.73675311214510840963913748</v>
      </c>
      <c r="T18" s="272"/>
      <c r="U18" s="92"/>
      <c r="V18" s="273">
        <v>-94.26644350355170890548804023</v>
      </c>
      <c r="W18" s="272"/>
      <c r="X18" s="92"/>
      <c r="Y18" s="273">
        <v>-91.66621820631750412263363589</v>
      </c>
      <c r="Z18" s="272"/>
      <c r="AA18" s="92"/>
      <c r="AB18" s="273">
        <v>-93.72702610524510394929157430</v>
      </c>
      <c r="AC18" s="5"/>
      <c r="AD18" s="272"/>
      <c r="AE18" s="92"/>
      <c r="AF18" s="92"/>
      <c r="AG18" s="273"/>
    </row>
    <row r="19" ht="20.1" customHeight="1">
      <c r="A19" s="58"/>
      <c r="B19" s="289"/>
      <c r="C19" s="290" t="s">
        <v>236</v>
      </c>
      <c r="D19" s="440"/>
      <c r="E19" s="95"/>
      <c r="F19" s="443">
        <v>23.157429383252548888517466154</v>
      </c>
      <c r="G19" s="440"/>
      <c r="H19" s="95"/>
      <c r="I19" s="443">
        <v>3.4833529098272219403396138347</v>
      </c>
      <c r="J19" s="440"/>
      <c r="K19" s="95"/>
      <c r="L19" s="443">
        <v>1.5150421338960702905322273632</v>
      </c>
      <c r="M19" s="440"/>
      <c r="N19" s="95"/>
      <c r="O19" s="443">
        <v>28.155824426975841119389307351</v>
      </c>
      <c r="P19" s="5"/>
      <c r="Q19" s="421"/>
      <c r="R19" s="91"/>
      <c r="S19" s="499">
        <v>-82.53482520200177354969303373</v>
      </c>
      <c r="T19" s="421"/>
      <c r="U19" s="91"/>
      <c r="V19" s="499">
        <v>-91.10894402897791053222589612</v>
      </c>
      <c r="W19" s="421"/>
      <c r="X19" s="91"/>
      <c r="Y19" s="499">
        <v>-86.48419549819628070136685122</v>
      </c>
      <c r="Z19" s="421"/>
      <c r="AA19" s="91"/>
      <c r="AB19" s="499">
        <v>-84.61258892295670101507166109</v>
      </c>
      <c r="AC19" s="5"/>
      <c r="AD19" s="421"/>
      <c r="AE19" s="91"/>
      <c r="AF19" s="91"/>
      <c r="AG19" s="422"/>
    </row>
    <row r="20" ht="20.1" customHeight="1">
      <c r="A20" s="58"/>
      <c r="B20" s="287"/>
      <c r="C20" s="288" t="s">
        <v>237</v>
      </c>
      <c r="D20" s="277">
        <v>22.693181818181818181818181818</v>
      </c>
      <c r="E20" s="94"/>
      <c r="F20" s="278">
        <v>29.270179223365416528377032858</v>
      </c>
      <c r="G20" s="277">
        <v>0.2300505050505050505050505051</v>
      </c>
      <c r="H20" s="94"/>
      <c r="I20" s="278">
        <v>4.1326014934663995987950312535</v>
      </c>
      <c r="J20" s="277">
        <v>2.6893939393939393939393939394</v>
      </c>
      <c r="K20" s="94"/>
      <c r="L20" s="278">
        <v>6.0296597739310510891392205985</v>
      </c>
      <c r="M20" s="277">
        <v>25.612626262626262626262626263</v>
      </c>
      <c r="N20" s="94"/>
      <c r="O20" s="278">
        <v>39.43244049076286721631128471</v>
      </c>
      <c r="P20" s="5"/>
      <c r="Q20" s="272">
        <v>-73.055427293279523144178125320</v>
      </c>
      <c r="R20" s="92"/>
      <c r="S20" s="273">
        <v>-73.154092038631395670881774400</v>
      </c>
      <c r="T20" s="272">
        <v>-98.34273239949063125341095143</v>
      </c>
      <c r="U20" s="92"/>
      <c r="V20" s="273">
        <v>-88.65306203543224803176651538</v>
      </c>
      <c r="W20" s="272">
        <v>-83.66338911812980319369238085</v>
      </c>
      <c r="X20" s="92"/>
      <c r="Y20" s="273">
        <v>-56.158181396880243006142231570</v>
      </c>
      <c r="Z20" s="272">
        <v>-77.643664352989668906870276120</v>
      </c>
      <c r="AA20" s="92"/>
      <c r="AB20" s="273">
        <v>-75.231493075328066827965090760</v>
      </c>
      <c r="AC20" s="5"/>
      <c r="AD20" s="272"/>
      <c r="AE20" s="92"/>
      <c r="AF20" s="92"/>
      <c r="AG20" s="273"/>
    </row>
    <row r="21" ht="20.1" customHeight="1">
      <c r="A21" s="58"/>
      <c r="B21" s="289"/>
      <c r="C21" s="290" t="s">
        <v>221</v>
      </c>
      <c r="D21" s="440">
        <v>17.989736070381231671554252199</v>
      </c>
      <c r="E21" s="95"/>
      <c r="F21" s="443">
        <v>27.424185443345761063381423245</v>
      </c>
      <c r="G21" s="440">
        <v>1.1830400782013685239491691105</v>
      </c>
      <c r="H21" s="95"/>
      <c r="I21" s="443">
        <v>4.7997844570814047543478711132</v>
      </c>
      <c r="J21" s="440">
        <v>2.0931085043988269794721407625</v>
      </c>
      <c r="K21" s="95"/>
      <c r="L21" s="443">
        <v>5.7580500308057467900846569173</v>
      </c>
      <c r="M21" s="440">
        <v>21.265884652981427174975562072</v>
      </c>
      <c r="N21" s="95"/>
      <c r="O21" s="443">
        <v>37.982019931232912607813951277</v>
      </c>
      <c r="P21" s="5"/>
      <c r="Q21" s="421">
        <v>-81.29958414729873567569078037</v>
      </c>
      <c r="R21" s="91"/>
      <c r="S21" s="499">
        <v>-75.257116964083409611044788940</v>
      </c>
      <c r="T21" s="421">
        <v>-93.31575168452446702750469457</v>
      </c>
      <c r="U21" s="91"/>
      <c r="V21" s="499">
        <v>-83.43095025454845251028399544</v>
      </c>
      <c r="W21" s="421">
        <v>-88.78427572479899431684257392</v>
      </c>
      <c r="X21" s="91"/>
      <c r="Y21" s="499">
        <v>-49.406502962586194769062265520</v>
      </c>
      <c r="Z21" s="421">
        <v>-83.95764316356309188682967117</v>
      </c>
      <c r="AA21" s="91"/>
      <c r="AB21" s="499">
        <v>-74.877297637615506732255266340</v>
      </c>
      <c r="AC21" s="5"/>
      <c r="AD21" s="421"/>
      <c r="AE21" s="91"/>
      <c r="AF21" s="91"/>
      <c r="AG21" s="422"/>
    </row>
    <row r="22" ht="20.1" customHeight="1">
      <c r="A22" s="58"/>
      <c r="B22" s="287"/>
      <c r="C22" s="288" t="s">
        <v>224</v>
      </c>
      <c r="D22" s="277">
        <v>28.15615835777126099706744868</v>
      </c>
      <c r="E22" s="94"/>
      <c r="F22" s="278">
        <v>32.573168452222845281311178664</v>
      </c>
      <c r="G22" s="277">
        <v>2.2942326490713587487781036168</v>
      </c>
      <c r="H22" s="94"/>
      <c r="I22" s="278">
        <v>5.819875999509769960814742781</v>
      </c>
      <c r="J22" s="277">
        <v>6.3844086021505376344086021505</v>
      </c>
      <c r="K22" s="94"/>
      <c r="L22" s="278">
        <v>5.4125651850077096195177470403</v>
      </c>
      <c r="M22" s="277">
        <v>36.834799608993157380254154448</v>
      </c>
      <c r="N22" s="94"/>
      <c r="O22" s="278">
        <v>43.805609636740324861643668487</v>
      </c>
      <c r="P22" s="5"/>
      <c r="Q22" s="272">
        <v>-69.666453411684793340125899420</v>
      </c>
      <c r="R22" s="92"/>
      <c r="S22" s="273">
        <v>-68.228434054816377407646239090</v>
      </c>
      <c r="T22" s="272">
        <v>-84.28944373786732713033000870</v>
      </c>
      <c r="U22" s="92"/>
      <c r="V22" s="273">
        <v>-78.92225947772149538629790800</v>
      </c>
      <c r="W22" s="272">
        <v>-71.231458743984759555560449730</v>
      </c>
      <c r="X22" s="92"/>
      <c r="Y22" s="273">
        <v>-52.612017028007198270235128050</v>
      </c>
      <c r="Z22" s="272">
        <v>-71.581880639675411109477105700</v>
      </c>
      <c r="AA22" s="92"/>
      <c r="AB22" s="273">
        <v>-69.054286335017169832460404230</v>
      </c>
      <c r="AC22" s="5"/>
      <c r="AD22" s="272"/>
      <c r="AE22" s="92"/>
      <c r="AF22" s="92"/>
      <c r="AG22" s="273"/>
    </row>
    <row r="23" ht="20.1" customHeight="1">
      <c r="A23" s="58"/>
      <c r="B23" s="289"/>
      <c r="C23" s="290" t="s">
        <v>226</v>
      </c>
      <c r="D23" s="440">
        <v>53.261868686868686868686868687</v>
      </c>
      <c r="E23" s="95"/>
      <c r="F23" s="443">
        <v>34.668298261665141811527904849</v>
      </c>
      <c r="G23" s="440">
        <v>3.8378787878787878787878787879</v>
      </c>
      <c r="H23" s="95"/>
      <c r="I23" s="443">
        <v>6.8846914416151483015157704031</v>
      </c>
      <c r="J23" s="440">
        <v>11.386363636363636363636363636</v>
      </c>
      <c r="K23" s="95"/>
      <c r="L23" s="443">
        <v>8.451376939165931831949415894</v>
      </c>
      <c r="M23" s="440">
        <v>68.486111111111111111111111111</v>
      </c>
      <c r="N23" s="95"/>
      <c r="O23" s="443">
        <v>50.004366642446221944993091146</v>
      </c>
      <c r="P23" s="5"/>
      <c r="Q23" s="421">
        <v>-19.390874972291652334762701890</v>
      </c>
      <c r="R23" s="91"/>
      <c r="S23" s="499">
        <v>-60.894831653381088414655375790</v>
      </c>
      <c r="T23" s="421">
        <v>-60.098716164771981411956207830</v>
      </c>
      <c r="U23" s="91"/>
      <c r="V23" s="499">
        <v>-77.902891397317869386707042420</v>
      </c>
      <c r="W23" s="421">
        <v>-32.948681725578836230612518030</v>
      </c>
      <c r="X23" s="91"/>
      <c r="Y23" s="499">
        <v>-13.661439137720601722582755240</v>
      </c>
      <c r="Z23" s="421">
        <v>-26.100166217063135235292514780</v>
      </c>
      <c r="AA23" s="91"/>
      <c r="AB23" s="499">
        <v>-61.416139386798190715197430290</v>
      </c>
      <c r="AC23" s="5"/>
      <c r="AD23" s="421"/>
      <c r="AE23" s="91"/>
      <c r="AF23" s="91"/>
      <c r="AG23" s="422"/>
    </row>
    <row r="24" ht="20.1" customHeight="1">
      <c r="A24" s="59"/>
      <c r="B24" s="287"/>
      <c r="C24" s="288" t="s">
        <v>228</v>
      </c>
      <c r="D24" s="277">
        <v>63.094330400782013685239491691</v>
      </c>
      <c r="E24" s="94"/>
      <c r="F24" s="278">
        <v>43.373654700356804776814971237</v>
      </c>
      <c r="G24" s="277">
        <v>6.1155913978494623655913978495</v>
      </c>
      <c r="H24" s="94"/>
      <c r="I24" s="278">
        <v>9.605984391061003417277388731</v>
      </c>
      <c r="J24" s="277">
        <v>12.741691104594330400782013685</v>
      </c>
      <c r="K24" s="94"/>
      <c r="L24" s="278">
        <v>8.96420948961388791228198778</v>
      </c>
      <c r="M24" s="277">
        <v>81.95161290322580645161290323</v>
      </c>
      <c r="N24" s="94"/>
      <c r="O24" s="278">
        <v>61.943848581031696106374347751</v>
      </c>
      <c r="P24" s="93"/>
      <c r="Q24" s="272">
        <v>-34.227346721455557055767991300</v>
      </c>
      <c r="R24" s="92"/>
      <c r="S24" s="273">
        <v>-61.670587340662018555374390370</v>
      </c>
      <c r="T24" s="272">
        <v>-67.080165224025888605330316500</v>
      </c>
      <c r="U24" s="92"/>
      <c r="V24" s="273">
        <v>-75.018644062996498744785426900</v>
      </c>
      <c r="W24" s="272">
        <v>-35.256792330998857596980082450</v>
      </c>
      <c r="X24" s="92"/>
      <c r="Y24" s="273">
        <v>-17.309941695734665511991162890</v>
      </c>
      <c r="Z24" s="272">
        <v>-38.926618186189073862611935810</v>
      </c>
      <c r="AA24" s="92"/>
      <c r="AB24" s="273">
        <v>-61.869817797939199298692736600</v>
      </c>
      <c r="AC24" s="93"/>
      <c r="AD24" s="272"/>
      <c r="AE24" s="92"/>
      <c r="AF24" s="92"/>
      <c r="AG24" s="273"/>
    </row>
    <row r="25" ht="20.1" customHeight="1">
      <c r="A25" s="60"/>
      <c r="B25" s="289"/>
      <c r="C25" s="290" t="s">
        <v>229</v>
      </c>
      <c r="D25" s="440">
        <v>65.500000000</v>
      </c>
      <c r="E25" s="95"/>
      <c r="F25" s="443">
        <v>45.850498259667191150526867878</v>
      </c>
      <c r="G25" s="440">
        <v>6.9674242424242424242424242424</v>
      </c>
      <c r="H25" s="95"/>
      <c r="I25" s="443">
        <v>8.332804081283114888227277708</v>
      </c>
      <c r="J25" s="440">
        <v>12.328787878787878787878787879</v>
      </c>
      <c r="K25" s="95"/>
      <c r="L25" s="443">
        <v>7.8736740102948454753064596748</v>
      </c>
      <c r="M25" s="440">
        <v>84.79621212121212121212121212</v>
      </c>
      <c r="N25" s="95"/>
      <c r="O25" s="443">
        <v>62.056976351245151514060605264</v>
      </c>
      <c r="P25" s="93"/>
      <c r="Q25" s="421">
        <v>-48.469563109785776582239501900</v>
      </c>
      <c r="R25" s="91"/>
      <c r="S25" s="499">
        <v>-67.193666576236414888650513670</v>
      </c>
      <c r="T25" s="421">
        <v>-79.163551507736921996420399190</v>
      </c>
      <c r="U25" s="91"/>
      <c r="V25" s="499">
        <v>-81.57251948701367447437518672</v>
      </c>
      <c r="W25" s="421">
        <v>-59.677898909811694747274529240</v>
      </c>
      <c r="X25" s="91"/>
      <c r="Y25" s="499">
        <v>-74.551218140867452541884935040</v>
      </c>
      <c r="Z25" s="421">
        <v>-55.632820241791636387659377680</v>
      </c>
      <c r="AA25" s="91"/>
      <c r="AB25" s="499">
        <v>-71.259254621577500503393253810</v>
      </c>
      <c r="AC25" s="93"/>
      <c r="AD25" s="421"/>
      <c r="AE25" s="91"/>
      <c r="AF25" s="91"/>
      <c r="AG25" s="422"/>
    </row>
    <row r="26" ht="20.1" customHeight="1">
      <c r="A26" s="60"/>
      <c r="B26" s="291"/>
      <c r="C26" s="292" t="s">
        <v>230</v>
      </c>
      <c r="D26" s="444">
        <v>118.41593352883675464320625611</v>
      </c>
      <c r="E26" s="445">
        <v>111.49707169725293514191268665</v>
      </c>
      <c r="F26" s="446">
        <v>69.189547851846383137766990739</v>
      </c>
      <c r="G26" s="444">
        <v>12.45650048875855327468230694</v>
      </c>
      <c r="H26" s="445"/>
      <c r="I26" s="446">
        <v>11.680747650595565805903099563</v>
      </c>
      <c r="J26" s="444">
        <v>15.95478983382209188660801564</v>
      </c>
      <c r="K26" s="445"/>
      <c r="L26" s="446">
        <v>10.878652576998142487701476757</v>
      </c>
      <c r="M26" s="444">
        <v>146.82722385141739980449657869</v>
      </c>
      <c r="N26" s="445"/>
      <c r="O26" s="446">
        <v>91.74894807944009143137156706</v>
      </c>
      <c r="P26" s="454"/>
      <c r="Q26" s="274">
        <v>-44.522400192345122104805193320</v>
      </c>
      <c r="R26" s="275">
        <v>-57.083658671366268060382971960</v>
      </c>
      <c r="S26" s="276">
        <v>-60.642705855375201262785084730</v>
      </c>
      <c r="T26" s="274">
        <v>-71.446177287801380299363628220</v>
      </c>
      <c r="U26" s="275"/>
      <c r="V26" s="276">
        <v>-71.596140436927037450520254250</v>
      </c>
      <c r="W26" s="274">
        <v>-36.103390228625117444409646100</v>
      </c>
      <c r="X26" s="275"/>
      <c r="Y26" s="276">
        <v>-17.845748287896757722489143770</v>
      </c>
      <c r="Z26" s="274">
        <v>-47.941458325751786212501667940</v>
      </c>
      <c r="AA26" s="275"/>
      <c r="AB26" s="276">
        <v>-60.137591022752825742443437010</v>
      </c>
      <c r="AC26" s="454"/>
      <c r="AD26" s="274" t="s">
        <v>240</v>
      </c>
      <c r="AE26" s="275"/>
      <c r="AF26" s="275"/>
      <c r="AG26" s="276"/>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857" t="s">
        <v>60</v>
      </c>
      <c r="C28" s="857"/>
      <c r="D28" s="857"/>
      <c r="E28" s="857"/>
      <c r="F28" s="857"/>
      <c r="G28" s="857"/>
      <c r="H28" s="857"/>
      <c r="I28" s="857"/>
      <c r="J28" s="857"/>
      <c r="K28" s="857"/>
      <c r="L28" s="857"/>
      <c r="M28" s="857"/>
      <c r="N28" s="857"/>
      <c r="O28" s="988"/>
      <c r="P28" s="502"/>
      <c r="Q28" s="846"/>
      <c r="R28" s="846"/>
      <c r="S28" s="846"/>
      <c r="T28" s="846"/>
      <c r="U28" s="846"/>
      <c r="V28" s="846"/>
      <c r="W28" s="846"/>
      <c r="X28" s="846"/>
      <c r="Y28" s="846"/>
      <c r="Z28" s="846"/>
      <c r="AA28" s="846"/>
      <c r="AB28" s="986"/>
      <c r="AC28" s="502"/>
      <c r="AD28" s="846"/>
      <c r="AE28" s="846"/>
      <c r="AF28" s="846"/>
      <c r="AG28" s="986"/>
      <c r="AH28" s="9"/>
    </row>
    <row r="29" ht="20.1" customHeight="1">
      <c r="A29" s="58"/>
      <c r="B29" s="285">
        <v>2018</v>
      </c>
      <c r="C29" s="286"/>
      <c r="D29" s="455">
        <v>71.221631634050092614963356688</v>
      </c>
      <c r="E29" s="456">
        <v>195.17197944914043299060731727</v>
      </c>
      <c r="F29" s="437">
        <v>140.7828176025230354014545792</v>
      </c>
      <c r="G29" s="455">
        <v>7.4616788811038629835440659311</v>
      </c>
      <c r="H29" s="456"/>
      <c r="I29" s="437">
        <v>45.639801340187215690958961667</v>
      </c>
      <c r="J29" s="455">
        <v>8.795334353440176102654962283</v>
      </c>
      <c r="K29" s="456"/>
      <c r="L29" s="437">
        <v>15.599614930305947034163853624</v>
      </c>
      <c r="M29" s="455">
        <v>87.4786448685941317011623849</v>
      </c>
      <c r="N29" s="456"/>
      <c r="O29" s="437">
        <v>202.02223387301619812657739449</v>
      </c>
      <c r="P29" s="5"/>
      <c r="Q29" s="428">
        <v>-52.138562415091744216081502640</v>
      </c>
      <c r="R29" s="429">
        <v>6.5964135528885600264955505400</v>
      </c>
      <c r="S29" s="418">
        <v>0.5794387524331868794437310500</v>
      </c>
      <c r="T29" s="428">
        <v>-54.455610981571503659053488290</v>
      </c>
      <c r="U29" s="429"/>
      <c r="V29" s="418">
        <v>-7.7299280819459156289830940300</v>
      </c>
      <c r="W29" s="428">
        <v>192.56510376442781176204819249</v>
      </c>
      <c r="X29" s="429"/>
      <c r="Y29" s="418">
        <v>-4.2124602523994735665708880900</v>
      </c>
      <c r="Z29" s="428">
        <v>-47.990538541287116217743541700</v>
      </c>
      <c r="AA29" s="429"/>
      <c r="AB29" s="418">
        <v>-1.7978023168518227472749966100</v>
      </c>
      <c r="AC29" s="5"/>
      <c r="AD29" s="428" t="s">
        <v>227</v>
      </c>
      <c r="AE29" s="429"/>
      <c r="AF29" s="429"/>
      <c r="AG29" s="430"/>
    </row>
    <row r="30" ht="20.1" customHeight="1">
      <c r="A30" s="58"/>
      <c r="B30" s="287">
        <v>2019</v>
      </c>
      <c r="C30" s="288"/>
      <c r="D30" s="277">
        <v>131.58870900788709007887090079</v>
      </c>
      <c r="E30" s="94">
        <v>188.69756533070590852747671869</v>
      </c>
      <c r="F30" s="278">
        <v>143.41378415114458422496510369</v>
      </c>
      <c r="G30" s="277">
        <v>21.339061851390618513906185139</v>
      </c>
      <c r="H30" s="94"/>
      <c r="I30" s="278">
        <v>39.278623196195778922099686929</v>
      </c>
      <c r="J30" s="277">
        <v>21.127625570776255707762557078</v>
      </c>
      <c r="K30" s="94"/>
      <c r="L30" s="278">
        <v>13.376580435693599397200420217</v>
      </c>
      <c r="M30" s="277">
        <v>174.05539643005396430053964301</v>
      </c>
      <c r="N30" s="94"/>
      <c r="O30" s="278">
        <v>196.06898778303396254426521084</v>
      </c>
      <c r="P30" s="5"/>
      <c r="Q30" s="272">
        <v>84.75946982514273021582185234</v>
      </c>
      <c r="R30" s="92">
        <v>-3.317286701045977819650463500</v>
      </c>
      <c r="S30" s="273">
        <v>1.8688122552353278293275297100</v>
      </c>
      <c r="T30" s="272">
        <v>185.98204494473995080553301888</v>
      </c>
      <c r="U30" s="92"/>
      <c r="V30" s="273">
        <v>-13.937786662516053461100931480</v>
      </c>
      <c r="W30" s="272">
        <v>140.21401258625797041520686548</v>
      </c>
      <c r="X30" s="92"/>
      <c r="Y30" s="273">
        <v>-14.250572879806004492742363300</v>
      </c>
      <c r="Z30" s="272">
        <v>98.96901317059829139213679219</v>
      </c>
      <c r="AA30" s="92"/>
      <c r="AB30" s="273">
        <v>-2.9468271763217056422832707400</v>
      </c>
      <c r="AC30" s="5"/>
      <c r="AD30" s="272" t="s">
        <v>227</v>
      </c>
      <c r="AE30" s="92"/>
      <c r="AF30" s="92"/>
      <c r="AG30" s="273"/>
    </row>
    <row r="31" ht="20.1" customHeight="1">
      <c r="A31" s="58"/>
      <c r="B31" s="426">
        <v>2020</v>
      </c>
      <c r="C31" s="427"/>
      <c r="D31" s="458">
        <v>101.45382513661202185792349727</v>
      </c>
      <c r="E31" s="459"/>
      <c r="F31" s="500">
        <v>80.2219699567480087443575053</v>
      </c>
      <c r="G31" s="458">
        <v>15.607526080476900149031296572</v>
      </c>
      <c r="H31" s="459"/>
      <c r="I31" s="500">
        <v>17.58846458247512026935792831</v>
      </c>
      <c r="J31" s="458">
        <v>13.166219572776949826130153999</v>
      </c>
      <c r="K31" s="459"/>
      <c r="L31" s="500">
        <v>8.572897889719112510898856802</v>
      </c>
      <c r="M31" s="458">
        <v>130.22757078986587183308494784</v>
      </c>
      <c r="N31" s="459"/>
      <c r="O31" s="500">
        <v>106.38333242894224152461429041</v>
      </c>
      <c r="P31" s="454"/>
      <c r="Q31" s="431">
        <v>-22.900812766138514581284091810</v>
      </c>
      <c r="R31" s="432"/>
      <c r="S31" s="501">
        <v>-44.062580573007104585390316320</v>
      </c>
      <c r="T31" s="431">
        <v>-26.859361535334821247765050940</v>
      </c>
      <c r="U31" s="432"/>
      <c r="V31" s="501">
        <v>-55.221280301447526901747001610</v>
      </c>
      <c r="W31" s="431">
        <v>-37.682445532410075494169945090</v>
      </c>
      <c r="X31" s="432"/>
      <c r="Y31" s="501">
        <v>-35.911140138301029360008549330</v>
      </c>
      <c r="Z31" s="431">
        <v>-25.180388852695398182396461680</v>
      </c>
      <c r="AA31" s="432"/>
      <c r="AB31" s="501">
        <v>-45.741887265382366984431218900</v>
      </c>
      <c r="AC31" s="454"/>
      <c r="AD31" s="431"/>
      <c r="AE31" s="432"/>
      <c r="AF31" s="432"/>
      <c r="AG31" s="433"/>
    </row>
    <row r="32" ht="21" customHeight="1"/>
    <row r="33" ht="24.95" customHeight="1">
      <c r="A33" s="112"/>
      <c r="B33" s="852" t="s">
        <v>44</v>
      </c>
      <c r="C33" s="852"/>
      <c r="D33" s="852"/>
      <c r="E33" s="852"/>
      <c r="F33" s="852"/>
      <c r="G33" s="852"/>
      <c r="H33" s="852"/>
      <c r="I33" s="852"/>
      <c r="J33" s="852"/>
      <c r="K33" s="852"/>
      <c r="L33" s="852"/>
      <c r="M33" s="852"/>
      <c r="N33" s="852"/>
      <c r="O33" s="987"/>
      <c r="P33" s="502"/>
      <c r="Q33" s="846"/>
      <c r="R33" s="846"/>
      <c r="S33" s="846"/>
      <c r="T33" s="846"/>
      <c r="U33" s="846"/>
      <c r="V33" s="846"/>
      <c r="W33" s="846"/>
      <c r="X33" s="846"/>
      <c r="Y33" s="846"/>
      <c r="Z33" s="846"/>
      <c r="AA33" s="846"/>
      <c r="AB33" s="986"/>
      <c r="AC33" s="502"/>
      <c r="AD33" s="846"/>
      <c r="AE33" s="846"/>
      <c r="AF33" s="846"/>
      <c r="AG33" s="986"/>
      <c r="AH33" s="9"/>
    </row>
    <row r="34" ht="20.1" customHeight="1">
      <c r="A34" s="58"/>
      <c r="B34" s="285">
        <v>2018</v>
      </c>
      <c r="C34" s="286"/>
      <c r="D34" s="455">
        <v>96.29512516469038208168642951</v>
      </c>
      <c r="E34" s="456">
        <v>191.60714768485826692222334308</v>
      </c>
      <c r="F34" s="437">
        <v>135.77182245965092296813970137</v>
      </c>
      <c r="G34" s="455">
        <v>13.170619235836627140974967062</v>
      </c>
      <c r="H34" s="456"/>
      <c r="I34" s="437">
        <v>39.510607436814922083553976043</v>
      </c>
      <c r="J34" s="455">
        <v>12.704380764163372859025032938</v>
      </c>
      <c r="K34" s="456"/>
      <c r="L34" s="437">
        <v>12.257369218717887713865340699</v>
      </c>
      <c r="M34" s="455">
        <v>122.17012516469038208168642951</v>
      </c>
      <c r="N34" s="456"/>
      <c r="O34" s="437">
        <v>187.53979911518373276555901813</v>
      </c>
      <c r="P34" s="5"/>
      <c r="Q34" s="428">
        <v>-23.293847492367481746500691100</v>
      </c>
      <c r="R34" s="429">
        <v>-1.2440432519971876943649888600</v>
      </c>
      <c r="S34" s="418">
        <v>-2.9255804849938546475417299400</v>
      </c>
      <c r="T34" s="428">
        <v>512.03685751895427504362289413</v>
      </c>
      <c r="U34" s="429"/>
      <c r="V34" s="418">
        <v>-17.511880774300441650234991580</v>
      </c>
      <c r="W34" s="428">
        <v>3087.6446280991735537190082642</v>
      </c>
      <c r="X34" s="429"/>
      <c r="Y34" s="418">
        <v>-20.191731001762409079813935460</v>
      </c>
      <c r="Z34" s="428">
        <v>-4.6202856611410502242790540600</v>
      </c>
      <c r="AA34" s="429"/>
      <c r="AB34" s="418">
        <v>-7.6707640790384011185454640300</v>
      </c>
      <c r="AC34" s="5"/>
      <c r="AD34" s="428" t="s">
        <v>227</v>
      </c>
      <c r="AE34" s="429"/>
      <c r="AF34" s="429"/>
      <c r="AG34" s="430"/>
    </row>
    <row r="35" ht="20.1" customHeight="1">
      <c r="A35" s="58"/>
      <c r="B35" s="287">
        <v>2019</v>
      </c>
      <c r="C35" s="288"/>
      <c r="D35" s="277">
        <v>145.6949934123847167325428195</v>
      </c>
      <c r="E35" s="94">
        <v>189.64597296479370523554927872</v>
      </c>
      <c r="F35" s="278">
        <v>143.04650590410339478790445827</v>
      </c>
      <c r="G35" s="277">
        <v>31.863224637681159420289855072</v>
      </c>
      <c r="H35" s="94">
        <v>4.3077678890228402396731201816</v>
      </c>
      <c r="I35" s="278">
        <v>41.570288539529552694329875809</v>
      </c>
      <c r="J35" s="277">
        <v>25.015480895915678524374176548</v>
      </c>
      <c r="K35" s="94">
        <v>3.8410608094972327756920241879</v>
      </c>
      <c r="L35" s="278">
        <v>18.229776983087035936303791469</v>
      </c>
      <c r="M35" s="277">
        <v>202.57369894598155467720685112</v>
      </c>
      <c r="N35" s="94">
        <v>197.79480166331377825091442309</v>
      </c>
      <c r="O35" s="278">
        <v>202.84657142671998341853812554</v>
      </c>
      <c r="P35" s="5"/>
      <c r="Q35" s="272">
        <v>51.300487084063047285464098080</v>
      </c>
      <c r="R35" s="92">
        <v>-1.0235394366864442897413396200</v>
      </c>
      <c r="S35" s="273">
        <v>5.358021504509438284959981500</v>
      </c>
      <c r="T35" s="272">
        <v>141.92654929225228830090531686</v>
      </c>
      <c r="U35" s="92"/>
      <c r="V35" s="273">
        <v>5.2129826300657557526893119300</v>
      </c>
      <c r="W35" s="272">
        <v>96.90436992001659299205351240</v>
      </c>
      <c r="X35" s="92"/>
      <c r="Y35" s="273">
        <v>48.725037630822529113037214470</v>
      </c>
      <c r="Z35" s="272">
        <v>65.812794799795636929323539370</v>
      </c>
      <c r="AA35" s="92"/>
      <c r="AB35" s="273">
        <v>8.161879443058960112588676750</v>
      </c>
      <c r="AC35" s="5"/>
      <c r="AD35" s="272" t="s">
        <v>225</v>
      </c>
      <c r="AE35" s="92" t="s">
        <v>238</v>
      </c>
      <c r="AF35" s="92" t="s">
        <v>238</v>
      </c>
      <c r="AG35" s="273" t="s">
        <v>240</v>
      </c>
    </row>
    <row r="36" ht="20.1" customHeight="1">
      <c r="A36" s="58"/>
      <c r="B36" s="426">
        <v>2020</v>
      </c>
      <c r="C36" s="427"/>
      <c r="D36" s="458">
        <v>82.51976284584980237154150198</v>
      </c>
      <c r="E36" s="459"/>
      <c r="F36" s="500">
        <v>53.0413806079886662260493386</v>
      </c>
      <c r="G36" s="458">
        <v>8.529973649538866930171277997</v>
      </c>
      <c r="H36" s="459"/>
      <c r="I36" s="500">
        <v>9.894737362856023599597575581</v>
      </c>
      <c r="J36" s="458">
        <v>13.689723320158102766798418972</v>
      </c>
      <c r="K36" s="459"/>
      <c r="L36" s="500">
        <v>9.25859353862901373414284161</v>
      </c>
      <c r="M36" s="458">
        <v>104.73945981554677206851119895</v>
      </c>
      <c r="N36" s="459"/>
      <c r="O36" s="500">
        <v>72.194711509473703559789755791</v>
      </c>
      <c r="P36" s="454"/>
      <c r="Q36" s="431">
        <v>-43.361291343567020098116790630</v>
      </c>
      <c r="R36" s="432"/>
      <c r="S36" s="501">
        <v>-62.920184402443950219231017730</v>
      </c>
      <c r="T36" s="431">
        <v>-73.229408678707936745859252040</v>
      </c>
      <c r="U36" s="432"/>
      <c r="V36" s="501">
        <v>-76.197573530318340500004849360</v>
      </c>
      <c r="W36" s="431">
        <v>-45.274994403992257758700146160</v>
      </c>
      <c r="X36" s="432"/>
      <c r="Y36" s="501">
        <v>-49.211701562675065101397615040</v>
      </c>
      <c r="Z36" s="431">
        <v>-48.295627536782714207609179470</v>
      </c>
      <c r="AA36" s="432"/>
      <c r="AB36" s="501">
        <v>-64.409202974596666761271950820</v>
      </c>
      <c r="AC36" s="454"/>
      <c r="AD36" s="431"/>
      <c r="AE36" s="432"/>
      <c r="AF36" s="432"/>
      <c r="AG36" s="433"/>
    </row>
    <row r="37" ht="21" customHeight="1"/>
    <row r="38" ht="24.95" customHeight="1">
      <c r="A38" s="112"/>
      <c r="B38" s="852" t="s">
        <v>45</v>
      </c>
      <c r="C38" s="852"/>
      <c r="D38" s="852"/>
      <c r="E38" s="852"/>
      <c r="F38" s="852"/>
      <c r="G38" s="852"/>
      <c r="H38" s="852"/>
      <c r="I38" s="852"/>
      <c r="J38" s="852"/>
      <c r="K38" s="852"/>
      <c r="L38" s="852"/>
      <c r="M38" s="852"/>
      <c r="N38" s="852"/>
      <c r="O38" s="987"/>
      <c r="P38" s="502"/>
      <c r="Q38" s="846"/>
      <c r="R38" s="846"/>
      <c r="S38" s="846"/>
      <c r="T38" s="846"/>
      <c r="U38" s="846"/>
      <c r="V38" s="846"/>
      <c r="W38" s="846"/>
      <c r="X38" s="846"/>
      <c r="Y38" s="846"/>
      <c r="Z38" s="846"/>
      <c r="AA38" s="846"/>
      <c r="AB38" s="986"/>
      <c r="AC38" s="502"/>
      <c r="AD38" s="846"/>
      <c r="AE38" s="846"/>
      <c r="AF38" s="846"/>
      <c r="AG38" s="986"/>
      <c r="AH38" s="9"/>
    </row>
    <row r="39" ht="20.1" customHeight="1">
      <c r="A39" s="58"/>
      <c r="B39" s="285">
        <v>2018</v>
      </c>
      <c r="C39" s="286"/>
      <c r="D39" s="455">
        <v>71.221631634050092614963356688</v>
      </c>
      <c r="E39" s="456">
        <v>195.17197944914043299060731727</v>
      </c>
      <c r="F39" s="437">
        <v>140.7828176025230354014545792</v>
      </c>
      <c r="G39" s="455">
        <v>7.4616788811038629835440659311</v>
      </c>
      <c r="H39" s="456"/>
      <c r="I39" s="437">
        <v>45.639801340187215690958961667</v>
      </c>
      <c r="J39" s="455">
        <v>8.795334353440176102654962283</v>
      </c>
      <c r="K39" s="456"/>
      <c r="L39" s="437">
        <v>15.599614930305947034163853624</v>
      </c>
      <c r="M39" s="455">
        <v>87.4786448685941317011623849</v>
      </c>
      <c r="N39" s="456"/>
      <c r="O39" s="437">
        <v>202.02223387301619812657739449</v>
      </c>
      <c r="P39" s="5"/>
      <c r="Q39" s="428">
        <v>-52.138562415091744216081502640</v>
      </c>
      <c r="R39" s="429">
        <v>6.5964135528885600264955505400</v>
      </c>
      <c r="S39" s="418">
        <v>0.5794387524331868794437310500</v>
      </c>
      <c r="T39" s="428">
        <v>-54.455610981571503659053488290</v>
      </c>
      <c r="U39" s="429"/>
      <c r="V39" s="418">
        <v>-7.7299280819459156289830940300</v>
      </c>
      <c r="W39" s="428">
        <v>192.56510376442781176204819249</v>
      </c>
      <c r="X39" s="429"/>
      <c r="Y39" s="418">
        <v>-4.2124602523994735665708880900</v>
      </c>
      <c r="Z39" s="428">
        <v>-47.990538541287116217743541700</v>
      </c>
      <c r="AA39" s="429"/>
      <c r="AB39" s="418">
        <v>-1.7978023168518227472749966100</v>
      </c>
      <c r="AC39" s="5"/>
      <c r="AD39" s="428" t="s">
        <v>227</v>
      </c>
      <c r="AE39" s="429"/>
      <c r="AF39" s="429"/>
      <c r="AG39" s="430"/>
    </row>
    <row r="40" ht="20.1" customHeight="1">
      <c r="A40" s="58"/>
      <c r="B40" s="287">
        <v>2019</v>
      </c>
      <c r="C40" s="288"/>
      <c r="D40" s="277">
        <v>131.58870900788709007887090079</v>
      </c>
      <c r="E40" s="94">
        <v>188.69756533070590852747671869</v>
      </c>
      <c r="F40" s="278">
        <v>143.41378415114458422496510369</v>
      </c>
      <c r="G40" s="277">
        <v>21.339061851390618513906185139</v>
      </c>
      <c r="H40" s="94"/>
      <c r="I40" s="278">
        <v>39.278623196195778922099686929</v>
      </c>
      <c r="J40" s="277">
        <v>21.127625570776255707762557078</v>
      </c>
      <c r="K40" s="94"/>
      <c r="L40" s="278">
        <v>13.376580435693599397200420217</v>
      </c>
      <c r="M40" s="277">
        <v>174.05539643005396430053964301</v>
      </c>
      <c r="N40" s="94"/>
      <c r="O40" s="278">
        <v>196.06898778303396254426521084</v>
      </c>
      <c r="P40" s="5"/>
      <c r="Q40" s="272">
        <v>84.75946982514273021582185234</v>
      </c>
      <c r="R40" s="92">
        <v>-3.317286701045977819650463500</v>
      </c>
      <c r="S40" s="273">
        <v>1.8688122552353278293275297100</v>
      </c>
      <c r="T40" s="272">
        <v>185.98204494473995080553301888</v>
      </c>
      <c r="U40" s="92"/>
      <c r="V40" s="273">
        <v>-13.937786662516053461100931480</v>
      </c>
      <c r="W40" s="272">
        <v>140.21401258625797041520686548</v>
      </c>
      <c r="X40" s="92"/>
      <c r="Y40" s="273">
        <v>-14.250572879806004492742363300</v>
      </c>
      <c r="Z40" s="272">
        <v>98.96901317059829139213679219</v>
      </c>
      <c r="AA40" s="92"/>
      <c r="AB40" s="273">
        <v>-2.9468271763217056422832707400</v>
      </c>
      <c r="AC40" s="5"/>
      <c r="AD40" s="272" t="s">
        <v>227</v>
      </c>
      <c r="AE40" s="92"/>
      <c r="AF40" s="92"/>
      <c r="AG40" s="273"/>
    </row>
    <row r="41" ht="20.1" customHeight="1">
      <c r="A41" s="58"/>
      <c r="B41" s="426">
        <v>2020</v>
      </c>
      <c r="C41" s="427"/>
      <c r="D41" s="458">
        <v>101.45382513661202185792349727</v>
      </c>
      <c r="E41" s="459"/>
      <c r="F41" s="500">
        <v>80.2219699567480087443575053</v>
      </c>
      <c r="G41" s="458">
        <v>15.607526080476900149031296572</v>
      </c>
      <c r="H41" s="459"/>
      <c r="I41" s="500">
        <v>17.58846458247512026935792831</v>
      </c>
      <c r="J41" s="458">
        <v>13.166219572776949826130153999</v>
      </c>
      <c r="K41" s="459"/>
      <c r="L41" s="500">
        <v>8.572897889719112510898856802</v>
      </c>
      <c r="M41" s="458">
        <v>130.22757078986587183308494784</v>
      </c>
      <c r="N41" s="459"/>
      <c r="O41" s="500">
        <v>106.38333242894224152461429041</v>
      </c>
      <c r="P41" s="454"/>
      <c r="Q41" s="431">
        <v>-22.900812766138514581284091810</v>
      </c>
      <c r="R41" s="432"/>
      <c r="S41" s="501">
        <v>-44.062580573007104585390316320</v>
      </c>
      <c r="T41" s="431">
        <v>-26.859361535334821247765050940</v>
      </c>
      <c r="U41" s="432"/>
      <c r="V41" s="501">
        <v>-55.221280301447526901747001610</v>
      </c>
      <c r="W41" s="431">
        <v>-37.682445532410075494169945090</v>
      </c>
      <c r="X41" s="432"/>
      <c r="Y41" s="501">
        <v>-35.911140138301029360008549330</v>
      </c>
      <c r="Z41" s="431">
        <v>-25.180388852695398182396461680</v>
      </c>
      <c r="AA41" s="432"/>
      <c r="AB41" s="501">
        <v>-45.741887265382366984431218900</v>
      </c>
      <c r="AC41" s="454"/>
      <c r="AD41" s="431"/>
      <c r="AE41" s="432"/>
      <c r="AF41" s="432"/>
      <c r="AG41" s="433"/>
    </row>
    <row r="42" ht="12.75" customHeight="1"/>
    <row r="43" ht="20.1" customHeight="1">
      <c r="B43" s="7" t="s">
        <v>107</v>
      </c>
    </row>
    <row r="44" ht="14.1" customHeight="1">
      <c r="B44" s="7"/>
      <c r="AW44" s="236"/>
    </row>
    <row r="45" ht="24" customHeight="1">
      <c r="B45" s="826" t="s">
        <v>129</v>
      </c>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136</v>
      </c>
      <c r="D1" s="6"/>
      <c r="E1" s="6"/>
      <c r="AS1" s="236"/>
    </row>
    <row r="2" ht="15" customHeight="1">
      <c r="B2" s="0"/>
      <c r="C2" s="4" t="s">
        <v>211</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0"/>
    </row>
    <row r="3" ht="15" customHeight="1">
      <c r="B3" s="0"/>
      <c r="C3" s="4" t="s">
        <v>212</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0"/>
    </row>
    <row r="4" ht="15" customHeight="1">
      <c r="B4" s="0"/>
      <c r="C4" s="4" t="s">
        <v>242</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0"/>
    </row>
    <row r="5" ht="12.75" customHeight="1">
      <c r="C5" s="67"/>
      <c r="D5" s="67"/>
      <c r="E5" s="67"/>
    </row>
    <row r="6" ht="18" customHeight="1">
      <c r="B6" s="68"/>
      <c r="C6" s="68" t="s">
        <v>7</v>
      </c>
      <c r="D6" s="69"/>
      <c r="E6" s="69"/>
      <c r="F6" s="69"/>
      <c r="H6" s="1002" t="s">
        <v>244</v>
      </c>
      <c r="I6" s="1002"/>
      <c r="J6" s="1002"/>
      <c r="K6" s="1002"/>
      <c r="L6" s="1002"/>
      <c r="M6" s="1002"/>
      <c r="N6" s="1002"/>
      <c r="O6" s="1002"/>
      <c r="P6" s="1002"/>
      <c r="Q6" s="1002"/>
      <c r="R6" s="1002"/>
      <c r="S6" s="1002"/>
      <c r="T6" s="1002"/>
      <c r="U6" s="1002"/>
      <c r="Z6" s="1002" t="s">
        <v>245</v>
      </c>
      <c r="AA6" s="1002"/>
      <c r="AB6" s="1002"/>
      <c r="AC6" s="1002"/>
      <c r="AD6" s="1002"/>
      <c r="AE6" s="1002"/>
      <c r="AF6" s="1002"/>
      <c r="AG6" s="1002"/>
      <c r="AH6" s="1002"/>
      <c r="AI6" s="1002"/>
      <c r="AJ6" s="1002"/>
      <c r="AK6" s="1002"/>
      <c r="AL6" s="1002"/>
      <c r="AM6" s="1002"/>
    </row>
    <row r="7" ht="15" customHeight="1">
      <c r="D7" s="93" t="s">
        <v>247</v>
      </c>
      <c r="E7" s="71"/>
      <c r="F7" s="71"/>
      <c r="H7" s="919" t="s">
        <v>0</v>
      </c>
      <c r="I7" s="919"/>
      <c r="J7" s="919" t="s">
        <v>1</v>
      </c>
      <c r="K7" s="919"/>
      <c r="L7" s="919" t="s">
        <v>2</v>
      </c>
      <c r="M7" s="919"/>
      <c r="N7" s="919" t="s">
        <v>3</v>
      </c>
      <c r="O7" s="919"/>
      <c r="P7" s="919" t="s">
        <v>4</v>
      </c>
      <c r="Q7" s="919"/>
      <c r="R7" s="919" t="s">
        <v>5</v>
      </c>
      <c r="S7" s="919"/>
      <c r="T7" s="919" t="s">
        <v>6</v>
      </c>
      <c r="U7" s="919"/>
      <c r="Z7" s="919" t="s">
        <v>0</v>
      </c>
      <c r="AA7" s="919"/>
      <c r="AB7" s="919" t="s">
        <v>1</v>
      </c>
      <c r="AC7" s="919"/>
      <c r="AD7" s="919" t="s">
        <v>2</v>
      </c>
      <c r="AE7" s="919"/>
      <c r="AF7" s="919" t="s">
        <v>3</v>
      </c>
      <c r="AG7" s="919"/>
      <c r="AH7" s="919" t="s">
        <v>4</v>
      </c>
      <c r="AI7" s="919"/>
      <c r="AJ7" s="919" t="s">
        <v>5</v>
      </c>
      <c r="AK7" s="919"/>
      <c r="AL7" s="919" t="s">
        <v>6</v>
      </c>
      <c r="AM7" s="919"/>
    </row>
    <row r="8" ht="15" customHeight="1">
      <c r="D8" s="175" t="s">
        <v>249</v>
      </c>
      <c r="E8" s="71"/>
      <c r="F8" s="71"/>
      <c r="G8" s="71"/>
      <c r="H8" s="920"/>
      <c r="I8" s="920"/>
      <c r="J8" s="916"/>
      <c r="K8" s="916"/>
      <c r="L8" s="916">
        <v>1</v>
      </c>
      <c r="M8" s="916"/>
      <c r="N8" s="916">
        <v>2</v>
      </c>
      <c r="O8" s="916"/>
      <c r="P8" s="916">
        <v>3</v>
      </c>
      <c r="Q8" s="916"/>
      <c r="R8" s="916">
        <v>4</v>
      </c>
      <c r="S8" s="916"/>
      <c r="T8" s="916">
        <v>5</v>
      </c>
      <c r="U8" s="917"/>
      <c r="Z8" s="920">
        <v>1</v>
      </c>
      <c r="AA8" s="920"/>
      <c r="AB8" s="916">
        <v>2</v>
      </c>
      <c r="AC8" s="916"/>
      <c r="AD8" s="916">
        <v>3</v>
      </c>
      <c r="AE8" s="916"/>
      <c r="AF8" s="916">
        <v>4</v>
      </c>
      <c r="AG8" s="916"/>
      <c r="AH8" s="916">
        <v>5</v>
      </c>
      <c r="AI8" s="916"/>
      <c r="AJ8" s="916">
        <v>6</v>
      </c>
      <c r="AK8" s="916"/>
      <c r="AL8" s="916">
        <v>7</v>
      </c>
      <c r="AM8" s="917"/>
    </row>
    <row r="9" ht="15" customHeight="1">
      <c r="D9" s="175" t="s">
        <v>251</v>
      </c>
      <c r="H9" s="915">
        <v>6</v>
      </c>
      <c r="I9" s="915"/>
      <c r="J9" s="908">
        <v>7</v>
      </c>
      <c r="K9" s="908"/>
      <c r="L9" s="908">
        <v>8</v>
      </c>
      <c r="M9" s="908"/>
      <c r="N9" s="908">
        <v>9</v>
      </c>
      <c r="O9" s="908"/>
      <c r="P9" s="908">
        <v>10</v>
      </c>
      <c r="Q9" s="908"/>
      <c r="R9" s="908">
        <v>11</v>
      </c>
      <c r="S9" s="908"/>
      <c r="T9" s="908">
        <v>12</v>
      </c>
      <c r="U9" s="912"/>
      <c r="Z9" s="915">
        <v>8</v>
      </c>
      <c r="AA9" s="915"/>
      <c r="AB9" s="908">
        <v>9</v>
      </c>
      <c r="AC9" s="908"/>
      <c r="AD9" s="908">
        <v>10</v>
      </c>
      <c r="AE9" s="908"/>
      <c r="AF9" s="908">
        <v>11</v>
      </c>
      <c r="AG9" s="908"/>
      <c r="AH9" s="908">
        <v>12</v>
      </c>
      <c r="AI9" s="908"/>
      <c r="AJ9" s="908">
        <v>13</v>
      </c>
      <c r="AK9" s="908"/>
      <c r="AL9" s="908">
        <v>14</v>
      </c>
      <c r="AM9" s="912"/>
    </row>
    <row r="10" ht="15" customHeight="1">
      <c r="D10" t="s">
        <v>253</v>
      </c>
      <c r="H10" s="909">
        <v>13</v>
      </c>
      <c r="I10" s="909"/>
      <c r="J10" s="910">
        <v>14</v>
      </c>
      <c r="K10" s="910"/>
      <c r="L10" s="910">
        <v>15</v>
      </c>
      <c r="M10" s="910"/>
      <c r="N10" s="910">
        <v>16</v>
      </c>
      <c r="O10" s="910"/>
      <c r="P10" s="910">
        <v>17</v>
      </c>
      <c r="Q10" s="910"/>
      <c r="R10" s="910">
        <v>18</v>
      </c>
      <c r="S10" s="910"/>
      <c r="T10" s="910">
        <v>19</v>
      </c>
      <c r="U10" s="913"/>
      <c r="Z10" s="909">
        <v>15</v>
      </c>
      <c r="AA10" s="909"/>
      <c r="AB10" s="910">
        <v>16</v>
      </c>
      <c r="AC10" s="910"/>
      <c r="AD10" s="910">
        <v>17</v>
      </c>
      <c r="AE10" s="910"/>
      <c r="AF10" s="910">
        <v>18</v>
      </c>
      <c r="AG10" s="910"/>
      <c r="AH10" s="910">
        <v>19</v>
      </c>
      <c r="AI10" s="910"/>
      <c r="AJ10" s="910">
        <v>20</v>
      </c>
      <c r="AK10" s="910"/>
      <c r="AL10" s="910">
        <v>21</v>
      </c>
      <c r="AM10" s="913"/>
    </row>
    <row r="11" ht="15" customHeight="1">
      <c r="D11" t="s">
        <v>255</v>
      </c>
      <c r="H11" s="915">
        <v>20</v>
      </c>
      <c r="I11" s="915"/>
      <c r="J11" s="908">
        <v>21</v>
      </c>
      <c r="K11" s="908"/>
      <c r="L11" s="908">
        <v>22</v>
      </c>
      <c r="M11" s="908"/>
      <c r="N11" s="908">
        <v>23</v>
      </c>
      <c r="O11" s="908"/>
      <c r="P11" s="908">
        <v>24</v>
      </c>
      <c r="Q11" s="908"/>
      <c r="R11" s="908">
        <v>25</v>
      </c>
      <c r="S11" s="908"/>
      <c r="T11" s="908">
        <v>26</v>
      </c>
      <c r="U11" s="912"/>
      <c r="Z11" s="915">
        <v>22</v>
      </c>
      <c r="AA11" s="915"/>
      <c r="AB11" s="908">
        <v>23</v>
      </c>
      <c r="AC11" s="908"/>
      <c r="AD11" s="908">
        <v>24</v>
      </c>
      <c r="AE11" s="908"/>
      <c r="AF11" s="908">
        <v>25</v>
      </c>
      <c r="AG11" s="908"/>
      <c r="AH11" s="908">
        <v>26</v>
      </c>
      <c r="AI11" s="908"/>
      <c r="AJ11" s="908">
        <v>27</v>
      </c>
      <c r="AK11" s="908"/>
      <c r="AL11" s="908">
        <v>28</v>
      </c>
      <c r="AM11" s="912"/>
      <c r="AN11" t="s">
        <v>27</v>
      </c>
    </row>
    <row r="12" ht="15" customHeight="1">
      <c r="A12" s="68"/>
      <c r="H12" s="909">
        <v>27</v>
      </c>
      <c r="I12" s="909"/>
      <c r="J12" s="910">
        <v>28</v>
      </c>
      <c r="K12" s="910"/>
      <c r="L12" s="910">
        <v>29</v>
      </c>
      <c r="M12" s="910"/>
      <c r="N12" s="910">
        <v>30</v>
      </c>
      <c r="O12" s="910"/>
      <c r="P12" s="910">
        <v>31</v>
      </c>
      <c r="Q12" s="910"/>
      <c r="R12" s="910"/>
      <c r="S12" s="910"/>
      <c r="T12" s="910"/>
      <c r="U12" s="913"/>
      <c r="Z12" s="909">
        <v>29</v>
      </c>
      <c r="AA12" s="909"/>
      <c r="AB12" s="910">
        <v>30</v>
      </c>
      <c r="AC12" s="910"/>
      <c r="AD12" s="910">
        <v>31</v>
      </c>
      <c r="AE12" s="910"/>
      <c r="AF12" s="910"/>
      <c r="AG12" s="910"/>
      <c r="AH12" s="910"/>
      <c r="AI12" s="910"/>
      <c r="AJ12" s="910"/>
      <c r="AK12" s="910"/>
      <c r="AL12" s="910"/>
      <c r="AM12" s="913"/>
    </row>
    <row r="13" ht="15" customHeight="1">
      <c r="C13" s="72"/>
      <c r="D13" s="73"/>
      <c r="E13" s="73"/>
      <c r="F13" s="73"/>
      <c r="G13" s="73"/>
      <c r="H13" s="914" t="s">
        <v>27</v>
      </c>
      <c r="I13" s="914"/>
      <c r="J13" s="911" t="s">
        <v>27</v>
      </c>
      <c r="K13" s="911"/>
      <c r="L13" s="911" t="s">
        <v>27</v>
      </c>
      <c r="M13" s="911"/>
      <c r="N13" s="911" t="s">
        <v>27</v>
      </c>
      <c r="O13" s="911"/>
      <c r="P13" s="911" t="s">
        <v>27</v>
      </c>
      <c r="Q13" s="911"/>
      <c r="R13" s="911" t="s">
        <v>27</v>
      </c>
      <c r="S13" s="911"/>
      <c r="T13" s="911" t="s">
        <v>27</v>
      </c>
      <c r="U13" s="921"/>
      <c r="Z13" s="914" t="s">
        <v>27</v>
      </c>
      <c r="AA13" s="914"/>
      <c r="AB13" s="911" t="s">
        <v>27</v>
      </c>
      <c r="AC13" s="911"/>
      <c r="AD13" s="911" t="s">
        <v>27</v>
      </c>
      <c r="AE13" s="911"/>
      <c r="AF13" s="911" t="s">
        <v>27</v>
      </c>
      <c r="AG13" s="911"/>
      <c r="AH13" s="911" t="s">
        <v>27</v>
      </c>
      <c r="AI13" s="911"/>
      <c r="AJ13" s="911" t="s">
        <v>27</v>
      </c>
      <c r="AK13" s="911"/>
      <c r="AL13" s="911" t="s">
        <v>27</v>
      </c>
      <c r="AM13" s="921"/>
    </row>
    <row r="14" ht="15" customHeight="1">
      <c r="A14" s="68"/>
      <c r="C14" s="68" t="s">
        <v>8</v>
      </c>
      <c r="F14" s="64"/>
    </row>
    <row r="15" ht="15" customHeight="1">
      <c r="D15" s="70" t="s">
        <v>257</v>
      </c>
      <c r="F15" s="64"/>
      <c r="P15" s="234"/>
      <c r="Q15" s="234"/>
      <c r="R15" s="234"/>
      <c r="S15" s="234"/>
      <c r="T15" s="234"/>
      <c r="U15" s="234"/>
      <c r="V15" s="234"/>
      <c r="W15" s="0"/>
      <c r="X15" s="234"/>
      <c r="Y15" s="234"/>
      <c r="Z15" s="234"/>
      <c r="AA15" s="234"/>
      <c r="AB15" s="234"/>
      <c r="AC15" s="234"/>
      <c r="AD15" s="234"/>
      <c r="AE15" s="0"/>
      <c r="AF15" s="234"/>
      <c r="AG15" s="234"/>
      <c r="AH15" s="234"/>
      <c r="AI15" s="234"/>
      <c r="AJ15" s="234"/>
      <c r="AK15" s="234"/>
      <c r="AL15" s="234"/>
      <c r="AM15" s="0"/>
      <c r="AN15" s="0"/>
    </row>
    <row r="16" ht="15" customHeight="1">
      <c r="C16" s="70"/>
      <c r="D16" s="73" t="s">
        <v>249</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251</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253</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255</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1008">
        <v>2019</v>
      </c>
      <c r="S21" s="1008"/>
      <c r="T21" s="1008"/>
      <c r="U21" s="1008"/>
      <c r="V21" s="1008"/>
      <c r="W21" s="1008"/>
      <c r="X21" s="1008"/>
      <c r="Y21" s="1008"/>
      <c r="Z21" s="1008"/>
      <c r="AA21" s="1008"/>
      <c r="AB21" s="1008"/>
      <c r="AC21" s="1008"/>
      <c r="AD21" s="1010">
        <v>2020</v>
      </c>
      <c r="AE21" s="1010"/>
      <c r="AF21" s="1010"/>
      <c r="AG21" s="1010"/>
      <c r="AH21" s="1010"/>
      <c r="AI21" s="1010"/>
      <c r="AJ21" s="1010"/>
      <c r="AK21" s="1010"/>
      <c r="AL21" s="1010"/>
      <c r="AM21" s="1010"/>
      <c r="AN21" s="1010"/>
      <c r="AO21" s="1010"/>
    </row>
    <row r="22" s="5" customFormat="1" ht="30" customHeight="1">
      <c r="B22" s="76"/>
      <c r="C22" s="77" t="s">
        <v>73</v>
      </c>
      <c r="D22" s="77" t="s">
        <v>21</v>
      </c>
      <c r="E22" s="177" t="s">
        <v>243</v>
      </c>
      <c r="F22" s="10" t="s">
        <v>62</v>
      </c>
      <c r="G22" s="10" t="s">
        <v>63</v>
      </c>
      <c r="H22" s="924" t="s">
        <v>34</v>
      </c>
      <c r="I22" s="924"/>
      <c r="J22" s="924"/>
      <c r="K22" s="924"/>
      <c r="L22" s="924" t="s">
        <v>64</v>
      </c>
      <c r="M22" s="924"/>
      <c r="N22" s="924"/>
      <c r="O22" s="924"/>
      <c r="R22" s="618" t="s">
        <v>232</v>
      </c>
      <c r="S22" s="619" t="s">
        <v>233</v>
      </c>
      <c r="T22" s="619" t="s">
        <v>234</v>
      </c>
      <c r="U22" s="619" t="s">
        <v>235</v>
      </c>
      <c r="V22" s="619" t="s">
        <v>236</v>
      </c>
      <c r="W22" s="619" t="s">
        <v>237</v>
      </c>
      <c r="X22" s="619" t="s">
        <v>221</v>
      </c>
      <c r="Y22" s="619" t="s">
        <v>224</v>
      </c>
      <c r="Z22" s="619" t="s">
        <v>226</v>
      </c>
      <c r="AA22" s="619" t="s">
        <v>228</v>
      </c>
      <c r="AB22" s="619" t="s">
        <v>229</v>
      </c>
      <c r="AC22" s="1030" t="s">
        <v>230</v>
      </c>
      <c r="AD22" s="619" t="s">
        <v>232</v>
      </c>
      <c r="AE22" s="619" t="s">
        <v>233</v>
      </c>
      <c r="AF22" s="619" t="s">
        <v>234</v>
      </c>
      <c r="AG22" s="619" t="s">
        <v>235</v>
      </c>
      <c r="AH22" s="619" t="s">
        <v>236</v>
      </c>
      <c r="AI22" s="619" t="s">
        <v>237</v>
      </c>
      <c r="AJ22" s="619" t="s">
        <v>221</v>
      </c>
      <c r="AK22" s="619" t="s">
        <v>224</v>
      </c>
      <c r="AL22" s="619" t="s">
        <v>226</v>
      </c>
      <c r="AM22" s="619" t="s">
        <v>228</v>
      </c>
      <c r="AN22" s="619" t="s">
        <v>229</v>
      </c>
      <c r="AO22" s="1030" t="s">
        <v>230</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31">
        <v>56387</v>
      </c>
      <c r="D23" s="1031" t="s">
        <v>217</v>
      </c>
      <c r="E23" s="1031" t="s">
        <v>262</v>
      </c>
      <c r="F23" s="1031" t="s">
        <v>263</v>
      </c>
      <c r="G23" s="1031" t="s">
        <v>264</v>
      </c>
      <c r="H23" s="1032" t="s">
        <v>265</v>
      </c>
      <c r="I23" s="1032"/>
      <c r="J23" s="1032"/>
      <c r="K23" s="1032"/>
      <c r="L23" s="1032" t="s">
        <v>266</v>
      </c>
      <c r="M23" s="1032"/>
      <c r="N23" s="1032"/>
      <c r="O23" s="1032"/>
      <c r="P23" s="80"/>
      <c r="Q23" s="4"/>
      <c r="R23" s="1033" t="s">
        <v>267</v>
      </c>
      <c r="S23" s="1034" t="s">
        <v>267</v>
      </c>
      <c r="T23" s="1034" t="s">
        <v>267</v>
      </c>
      <c r="U23" s="1034" t="s">
        <v>267</v>
      </c>
      <c r="V23" s="1034" t="s">
        <v>267</v>
      </c>
      <c r="W23" s="1034" t="s">
        <v>267</v>
      </c>
      <c r="X23" s="1034" t="s">
        <v>267</v>
      </c>
      <c r="Y23" s="1034" t="s">
        <v>267</v>
      </c>
      <c r="Z23" s="1034" t="s">
        <v>267</v>
      </c>
      <c r="AA23" s="1034" t="s">
        <v>267</v>
      </c>
      <c r="AB23" s="1034" t="s">
        <v>267</v>
      </c>
      <c r="AC23" s="1034" t="s">
        <v>267</v>
      </c>
      <c r="AD23" s="1034" t="s">
        <v>267</v>
      </c>
      <c r="AE23" s="1034" t="s">
        <v>267</v>
      </c>
      <c r="AF23" s="1034" t="s">
        <v>267</v>
      </c>
      <c r="AG23" s="1034" t="s">
        <v>268</v>
      </c>
      <c r="AH23" s="1034" t="s">
        <v>268</v>
      </c>
      <c r="AI23" s="1034" t="s">
        <v>267</v>
      </c>
      <c r="AJ23" s="1034" t="s">
        <v>267</v>
      </c>
      <c r="AK23" s="1034" t="s">
        <v>267</v>
      </c>
      <c r="AL23" s="1034" t="s">
        <v>267</v>
      </c>
      <c r="AM23" s="1034" t="s">
        <v>267</v>
      </c>
      <c r="AN23" s="1034" t="s">
        <v>267</v>
      </c>
      <c r="AO23" s="1035" t="s">
        <v>267</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36">
        <v>33931</v>
      </c>
      <c r="D24" s="1036" t="s">
        <v>269</v>
      </c>
      <c r="E24" s="1036" t="s">
        <v>262</v>
      </c>
      <c r="F24" s="1036" t="s">
        <v>270</v>
      </c>
      <c r="G24" s="1036" t="s">
        <v>271</v>
      </c>
      <c r="H24" s="1037" t="s">
        <v>272</v>
      </c>
      <c r="I24" s="1037"/>
      <c r="J24" s="1037"/>
      <c r="K24" s="1037"/>
      <c r="L24" s="1037" t="s">
        <v>273</v>
      </c>
      <c r="M24" s="1037"/>
      <c r="N24" s="1037"/>
      <c r="O24" s="1037"/>
      <c r="P24" s="80"/>
      <c r="Q24" s="4"/>
      <c r="R24" s="1038" t="s">
        <v>267</v>
      </c>
      <c r="S24" s="1039" t="s">
        <v>267</v>
      </c>
      <c r="T24" s="1039" t="s">
        <v>267</v>
      </c>
      <c r="U24" s="1039" t="s">
        <v>267</v>
      </c>
      <c r="V24" s="1039" t="s">
        <v>267</v>
      </c>
      <c r="W24" s="1039" t="s">
        <v>267</v>
      </c>
      <c r="X24" s="1039" t="s">
        <v>267</v>
      </c>
      <c r="Y24" s="1039" t="s">
        <v>267</v>
      </c>
      <c r="Z24" s="1039" t="s">
        <v>267</v>
      </c>
      <c r="AA24" s="1039" t="s">
        <v>267</v>
      </c>
      <c r="AB24" s="1039" t="s">
        <v>267</v>
      </c>
      <c r="AC24" s="1039" t="s">
        <v>267</v>
      </c>
      <c r="AD24" s="1039" t="s">
        <v>267</v>
      </c>
      <c r="AE24" s="1039" t="s">
        <v>267</v>
      </c>
      <c r="AF24" s="1039" t="s">
        <v>267</v>
      </c>
      <c r="AG24" s="1039" t="s">
        <v>268</v>
      </c>
      <c r="AH24" s="1039" t="s">
        <v>268</v>
      </c>
      <c r="AI24" s="1039" t="s">
        <v>274</v>
      </c>
      <c r="AJ24" s="1039" t="s">
        <v>267</v>
      </c>
      <c r="AK24" s="1039" t="s">
        <v>267</v>
      </c>
      <c r="AL24" s="1039" t="s">
        <v>267</v>
      </c>
      <c r="AM24" s="1039" t="s">
        <v>267</v>
      </c>
      <c r="AN24" s="1039" t="s">
        <v>267</v>
      </c>
      <c r="AO24" s="1040" t="s">
        <v>267</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31">
        <v>34401</v>
      </c>
      <c r="D25" s="1031" t="s">
        <v>275</v>
      </c>
      <c r="E25" s="1031" t="s">
        <v>262</v>
      </c>
      <c r="F25" s="1031" t="s">
        <v>276</v>
      </c>
      <c r="G25" s="1031" t="s">
        <v>277</v>
      </c>
      <c r="H25" s="1032" t="s">
        <v>278</v>
      </c>
      <c r="I25" s="1032"/>
      <c r="J25" s="1032"/>
      <c r="K25" s="1032"/>
      <c r="L25" s="1032" t="s">
        <v>279</v>
      </c>
      <c r="M25" s="1032"/>
      <c r="N25" s="1032"/>
      <c r="O25" s="1032"/>
      <c r="P25" s="80"/>
      <c r="Q25" s="4"/>
      <c r="R25" s="1033" t="s">
        <v>267</v>
      </c>
      <c r="S25" s="1034" t="s">
        <v>267</v>
      </c>
      <c r="T25" s="1034" t="s">
        <v>267</v>
      </c>
      <c r="U25" s="1034" t="s">
        <v>267</v>
      </c>
      <c r="V25" s="1034" t="s">
        <v>267</v>
      </c>
      <c r="W25" s="1034" t="s">
        <v>267</v>
      </c>
      <c r="X25" s="1034" t="s">
        <v>267</v>
      </c>
      <c r="Y25" s="1034" t="s">
        <v>267</v>
      </c>
      <c r="Z25" s="1034" t="s">
        <v>267</v>
      </c>
      <c r="AA25" s="1034" t="s">
        <v>267</v>
      </c>
      <c r="AB25" s="1034" t="s">
        <v>267</v>
      </c>
      <c r="AC25" s="1034" t="s">
        <v>267</v>
      </c>
      <c r="AD25" s="1034" t="s">
        <v>267</v>
      </c>
      <c r="AE25" s="1034" t="s">
        <v>267</v>
      </c>
      <c r="AF25" s="1034" t="s">
        <v>267</v>
      </c>
      <c r="AG25" s="1034" t="s">
        <v>268</v>
      </c>
      <c r="AH25" s="1034" t="s">
        <v>268</v>
      </c>
      <c r="AI25" s="1034" t="s">
        <v>268</v>
      </c>
      <c r="AJ25" s="1034" t="s">
        <v>268</v>
      </c>
      <c r="AK25" s="1034" t="s">
        <v>268</v>
      </c>
      <c r="AL25" s="1034" t="s">
        <v>268</v>
      </c>
      <c r="AM25" s="1034" t="s">
        <v>268</v>
      </c>
      <c r="AN25" s="1034" t="s">
        <v>268</v>
      </c>
      <c r="AO25" s="1035" t="s">
        <v>268</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36">
        <v>39070</v>
      </c>
      <c r="D26" s="1036" t="s">
        <v>280</v>
      </c>
      <c r="E26" s="1036" t="s">
        <v>262</v>
      </c>
      <c r="F26" s="1036" t="s">
        <v>281</v>
      </c>
      <c r="G26" s="1036" t="s">
        <v>282</v>
      </c>
      <c r="H26" s="1037" t="s">
        <v>283</v>
      </c>
      <c r="I26" s="1037"/>
      <c r="J26" s="1037"/>
      <c r="K26" s="1037"/>
      <c r="L26" s="1037" t="s">
        <v>284</v>
      </c>
      <c r="M26" s="1037"/>
      <c r="N26" s="1037"/>
      <c r="O26" s="1037"/>
      <c r="P26" s="80"/>
      <c r="Q26" s="4"/>
      <c r="R26" s="1038" t="s">
        <v>267</v>
      </c>
      <c r="S26" s="1039" t="s">
        <v>267</v>
      </c>
      <c r="T26" s="1039" t="s">
        <v>267</v>
      </c>
      <c r="U26" s="1039" t="s">
        <v>267</v>
      </c>
      <c r="V26" s="1039" t="s">
        <v>267</v>
      </c>
      <c r="W26" s="1039" t="s">
        <v>267</v>
      </c>
      <c r="X26" s="1039" t="s">
        <v>267</v>
      </c>
      <c r="Y26" s="1039" t="s">
        <v>267</v>
      </c>
      <c r="Z26" s="1039" t="s">
        <v>267</v>
      </c>
      <c r="AA26" s="1039" t="s">
        <v>267</v>
      </c>
      <c r="AB26" s="1039" t="s">
        <v>267</v>
      </c>
      <c r="AC26" s="1039" t="s">
        <v>267</v>
      </c>
      <c r="AD26" s="1039" t="s">
        <v>267</v>
      </c>
      <c r="AE26" s="1039" t="s">
        <v>267</v>
      </c>
      <c r="AF26" s="1039" t="s">
        <v>267</v>
      </c>
      <c r="AG26" s="1039" t="s">
        <v>268</v>
      </c>
      <c r="AH26" s="1039" t="s">
        <v>268</v>
      </c>
      <c r="AI26" s="1039" t="s">
        <v>268</v>
      </c>
      <c r="AJ26" s="1039" t="s">
        <v>268</v>
      </c>
      <c r="AK26" s="1039" t="s">
        <v>268</v>
      </c>
      <c r="AL26" s="1039" t="s">
        <v>268</v>
      </c>
      <c r="AM26" s="1039" t="s">
        <v>268</v>
      </c>
      <c r="AN26" s="1039" t="s">
        <v>268</v>
      </c>
      <c r="AO26" s="1040" t="s">
        <v>268</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31">
        <v>44117</v>
      </c>
      <c r="D27" s="1031" t="s">
        <v>285</v>
      </c>
      <c r="E27" s="1031" t="s">
        <v>262</v>
      </c>
      <c r="F27" s="1031" t="s">
        <v>286</v>
      </c>
      <c r="G27" s="1031" t="s">
        <v>287</v>
      </c>
      <c r="H27" s="1032" t="s">
        <v>288</v>
      </c>
      <c r="I27" s="1032"/>
      <c r="J27" s="1032"/>
      <c r="K27" s="1032"/>
      <c r="L27" s="1032" t="s">
        <v>289</v>
      </c>
      <c r="M27" s="1032"/>
      <c r="N27" s="1032"/>
      <c r="O27" s="1032"/>
      <c r="P27" s="80"/>
      <c r="Q27" s="4"/>
      <c r="R27" s="1033" t="s">
        <v>267</v>
      </c>
      <c r="S27" s="1034" t="s">
        <v>267</v>
      </c>
      <c r="T27" s="1034" t="s">
        <v>267</v>
      </c>
      <c r="U27" s="1034" t="s">
        <v>267</v>
      </c>
      <c r="V27" s="1034" t="s">
        <v>267</v>
      </c>
      <c r="W27" s="1034" t="s">
        <v>267</v>
      </c>
      <c r="X27" s="1034" t="s">
        <v>267</v>
      </c>
      <c r="Y27" s="1034" t="s">
        <v>267</v>
      </c>
      <c r="Z27" s="1034" t="s">
        <v>267</v>
      </c>
      <c r="AA27" s="1034" t="s">
        <v>267</v>
      </c>
      <c r="AB27" s="1034" t="s">
        <v>267</v>
      </c>
      <c r="AC27" s="1034" t="s">
        <v>267</v>
      </c>
      <c r="AD27" s="1034" t="s">
        <v>267</v>
      </c>
      <c r="AE27" s="1034" t="s">
        <v>267</v>
      </c>
      <c r="AF27" s="1034" t="s">
        <v>267</v>
      </c>
      <c r="AG27" s="1034" t="s">
        <v>268</v>
      </c>
      <c r="AH27" s="1034" t="s">
        <v>268</v>
      </c>
      <c r="AI27" s="1034" t="s">
        <v>268</v>
      </c>
      <c r="AJ27" s="1034" t="s">
        <v>268</v>
      </c>
      <c r="AK27" s="1034" t="s">
        <v>268</v>
      </c>
      <c r="AL27" s="1034" t="s">
        <v>268</v>
      </c>
      <c r="AM27" s="1034" t="s">
        <v>268</v>
      </c>
      <c r="AN27" s="1034" t="s">
        <v>268</v>
      </c>
      <c r="AO27" s="1035" t="s">
        <v>274</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36">
        <v>53909</v>
      </c>
      <c r="D28" s="1036" t="s">
        <v>290</v>
      </c>
      <c r="E28" s="1036" t="s">
        <v>262</v>
      </c>
      <c r="F28" s="1036" t="s">
        <v>291</v>
      </c>
      <c r="G28" s="1036" t="s">
        <v>292</v>
      </c>
      <c r="H28" s="1037" t="s">
        <v>293</v>
      </c>
      <c r="I28" s="1037"/>
      <c r="J28" s="1037"/>
      <c r="K28" s="1037"/>
      <c r="L28" s="1037" t="s">
        <v>294</v>
      </c>
      <c r="M28" s="1037"/>
      <c r="N28" s="1037"/>
      <c r="O28" s="1037"/>
      <c r="P28" s="80"/>
      <c r="Q28" s="4"/>
      <c r="R28" s="1038" t="s">
        <v>267</v>
      </c>
      <c r="S28" s="1039" t="s">
        <v>267</v>
      </c>
      <c r="T28" s="1039" t="s">
        <v>267</v>
      </c>
      <c r="U28" s="1039" t="s">
        <v>267</v>
      </c>
      <c r="V28" s="1039" t="s">
        <v>267</v>
      </c>
      <c r="W28" s="1039" t="s">
        <v>267</v>
      </c>
      <c r="X28" s="1039" t="s">
        <v>267</v>
      </c>
      <c r="Y28" s="1039" t="s">
        <v>267</v>
      </c>
      <c r="Z28" s="1039" t="s">
        <v>267</v>
      </c>
      <c r="AA28" s="1039" t="s">
        <v>267</v>
      </c>
      <c r="AB28" s="1039" t="s">
        <v>267</v>
      </c>
      <c r="AC28" s="1039" t="s">
        <v>267</v>
      </c>
      <c r="AD28" s="1039" t="s">
        <v>267</v>
      </c>
      <c r="AE28" s="1039" t="s">
        <v>267</v>
      </c>
      <c r="AF28" s="1039" t="s">
        <v>267</v>
      </c>
      <c r="AG28" s="1039" t="s">
        <v>268</v>
      </c>
      <c r="AH28" s="1039" t="s">
        <v>268</v>
      </c>
      <c r="AI28" s="1039" t="s">
        <v>267</v>
      </c>
      <c r="AJ28" s="1039" t="s">
        <v>267</v>
      </c>
      <c r="AK28" s="1039" t="s">
        <v>267</v>
      </c>
      <c r="AL28" s="1039" t="s">
        <v>267</v>
      </c>
      <c r="AM28" s="1039" t="s">
        <v>267</v>
      </c>
      <c r="AN28" s="1039" t="s">
        <v>267</v>
      </c>
      <c r="AO28" s="1040" t="s">
        <v>267</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81"/>
      <c r="D29" s="181"/>
      <c r="E29" s="181"/>
      <c r="F29" s="201"/>
      <c r="G29" s="181"/>
      <c r="H29" s="1032">
        <v>488</v>
      </c>
      <c r="I29" s="1032"/>
      <c r="J29" s="1032"/>
      <c r="K29" s="1032"/>
      <c r="L29" s="905"/>
      <c r="M29" s="905"/>
      <c r="N29" s="905"/>
      <c r="O29" s="905"/>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181"/>
      <c r="I30" s="181"/>
      <c r="J30" s="181"/>
      <c r="K30" s="181"/>
      <c r="L30" s="905"/>
      <c r="M30" s="905"/>
      <c r="N30" s="905"/>
      <c r="O30" s="905"/>
      <c r="P30" s="80"/>
      <c r="Q30" s="4"/>
      <c r="R30" s="182"/>
      <c r="S30" s="182"/>
      <c r="T30" s="182"/>
      <c r="U30" s="182"/>
      <c r="V30" s="182"/>
      <c r="W30" s="182"/>
      <c r="X30" s="1041" t="s">
        <v>295</v>
      </c>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181"/>
      <c r="I31" s="181"/>
      <c r="J31" s="181"/>
      <c r="K31" s="181"/>
      <c r="L31" s="905"/>
      <c r="M31" s="905"/>
      <c r="N31" s="905"/>
      <c r="O31" s="905"/>
      <c r="P31" s="80"/>
      <c r="Q31" s="4"/>
      <c r="R31" s="182"/>
      <c r="S31" s="182"/>
      <c r="T31" s="182"/>
      <c r="U31" s="182"/>
      <c r="V31" s="182"/>
      <c r="W31" s="182"/>
      <c r="X31" s="182"/>
      <c r="Y31" s="182"/>
      <c r="Z31" s="182"/>
      <c r="AA31" s="1042" t="s">
        <v>274</v>
      </c>
      <c r="AB31" s="1041" t="s">
        <v>296</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181"/>
      <c r="I32" s="181"/>
      <c r="J32" s="181"/>
      <c r="K32" s="181"/>
      <c r="L32" s="905"/>
      <c r="M32" s="905"/>
      <c r="N32" s="905"/>
      <c r="O32" s="905"/>
      <c r="P32" s="80"/>
      <c r="Q32" s="4"/>
      <c r="R32" s="182"/>
      <c r="S32" s="182"/>
      <c r="T32" s="182"/>
      <c r="U32" s="182"/>
      <c r="V32" s="182"/>
      <c r="W32" s="182"/>
      <c r="X32" s="182"/>
      <c r="Y32" s="182"/>
      <c r="Z32" s="182"/>
      <c r="AA32" s="1042" t="s">
        <v>267</v>
      </c>
      <c r="AB32" s="1041" t="s">
        <v>297</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181"/>
      <c r="I33" s="181"/>
      <c r="J33" s="181"/>
      <c r="K33" s="181"/>
      <c r="L33" s="905"/>
      <c r="M33" s="905"/>
      <c r="N33" s="905"/>
      <c r="O33" s="905"/>
      <c r="P33" s="80"/>
      <c r="Q33" s="4"/>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181"/>
      <c r="I34" s="181"/>
      <c r="J34" s="181"/>
      <c r="K34" s="181"/>
      <c r="L34" s="905"/>
      <c r="M34" s="905"/>
      <c r="N34" s="905"/>
      <c r="O34" s="905"/>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181"/>
      <c r="I35" s="181"/>
      <c r="J35" s="181"/>
      <c r="K35" s="181"/>
      <c r="L35" s="905"/>
      <c r="M35" s="905"/>
      <c r="N35" s="905"/>
      <c r="O35" s="905"/>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181"/>
      <c r="I36" s="181"/>
      <c r="J36" s="181"/>
      <c r="K36" s="181"/>
      <c r="L36" s="905"/>
      <c r="M36" s="905"/>
      <c r="N36" s="905"/>
      <c r="O36" s="905"/>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181"/>
      <c r="I37" s="181"/>
      <c r="J37" s="181"/>
      <c r="K37" s="181"/>
      <c r="L37" s="905"/>
      <c r="M37" s="905"/>
      <c r="N37" s="905"/>
      <c r="O37" s="905"/>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181"/>
      <c r="I38" s="181"/>
      <c r="J38" s="181"/>
      <c r="K38" s="181"/>
      <c r="L38" s="905"/>
      <c r="M38" s="905"/>
      <c r="N38" s="905"/>
      <c r="O38" s="905"/>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181"/>
      <c r="I39" s="181"/>
      <c r="J39" s="181"/>
      <c r="K39" s="181"/>
      <c r="L39" s="905"/>
      <c r="M39" s="905"/>
      <c r="N39" s="905"/>
      <c r="O39" s="905"/>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81"/>
      <c r="I40" s="181"/>
      <c r="J40" s="181"/>
      <c r="K40" s="181"/>
      <c r="L40" s="905"/>
      <c r="M40" s="905"/>
      <c r="N40" s="905"/>
      <c r="O40" s="905"/>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81"/>
      <c r="I41" s="181"/>
      <c r="J41" s="181"/>
      <c r="K41" s="181"/>
      <c r="L41" s="905"/>
      <c r="M41" s="905"/>
      <c r="N41" s="905"/>
      <c r="O41" s="905"/>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81"/>
      <c r="I42" s="181"/>
      <c r="J42" s="181"/>
      <c r="K42" s="181"/>
      <c r="L42" s="905"/>
      <c r="M42" s="905"/>
      <c r="N42" s="905"/>
      <c r="O42" s="905"/>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81"/>
      <c r="I43" s="181"/>
      <c r="J43" s="181"/>
      <c r="K43" s="181"/>
      <c r="L43" s="905"/>
      <c r="M43" s="905"/>
      <c r="N43" s="905"/>
      <c r="O43" s="905"/>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81"/>
      <c r="I44" s="181"/>
      <c r="J44" s="181"/>
      <c r="K44" s="181"/>
      <c r="L44" s="905"/>
      <c r="M44" s="905"/>
      <c r="N44" s="905"/>
      <c r="O44" s="905"/>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81"/>
      <c r="I45" s="181"/>
      <c r="J45" s="181"/>
      <c r="K45" s="181"/>
      <c r="L45" s="905"/>
      <c r="M45" s="905"/>
      <c r="N45" s="905"/>
      <c r="O45" s="905"/>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81"/>
      <c r="I46" s="181"/>
      <c r="J46" s="181"/>
      <c r="K46" s="181"/>
      <c r="L46" s="905"/>
      <c r="M46" s="905"/>
      <c r="N46" s="905"/>
      <c r="O46" s="905"/>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81"/>
      <c r="I47" s="181"/>
      <c r="J47" s="181"/>
      <c r="K47" s="181"/>
      <c r="L47" s="905"/>
      <c r="M47" s="905"/>
      <c r="N47" s="905"/>
      <c r="O47" s="905"/>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81"/>
      <c r="I48" s="181"/>
      <c r="J48" s="181"/>
      <c r="K48" s="181"/>
      <c r="L48" s="905"/>
      <c r="M48" s="905"/>
      <c r="N48" s="905"/>
      <c r="O48" s="905"/>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81"/>
      <c r="I49" s="181"/>
      <c r="J49" s="181"/>
      <c r="K49" s="181"/>
      <c r="L49" s="905"/>
      <c r="M49" s="905"/>
      <c r="N49" s="905"/>
      <c r="O49" s="905"/>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81"/>
      <c r="I50" s="181"/>
      <c r="J50" s="181"/>
      <c r="K50" s="181"/>
      <c r="L50" s="905"/>
      <c r="M50" s="905"/>
      <c r="N50" s="905"/>
      <c r="O50" s="905"/>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81"/>
      <c r="I51" s="181"/>
      <c r="J51" s="181"/>
      <c r="K51" s="181"/>
      <c r="L51" s="905"/>
      <c r="M51" s="905"/>
      <c r="N51" s="905"/>
      <c r="O51" s="905"/>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81"/>
      <c r="I52" s="181"/>
      <c r="J52" s="181"/>
      <c r="K52" s="181"/>
      <c r="L52" s="905"/>
      <c r="M52" s="905"/>
      <c r="N52" s="905"/>
      <c r="O52" s="905"/>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181"/>
      <c r="I53" s="181"/>
      <c r="J53" s="181"/>
      <c r="K53" s="181"/>
      <c r="L53" s="905"/>
      <c r="M53" s="905"/>
      <c r="N53" s="905"/>
      <c r="O53" s="905"/>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181"/>
      <c r="I54" s="181"/>
      <c r="J54" s="181"/>
      <c r="K54" s="181"/>
      <c r="L54" s="905"/>
      <c r="M54" s="905"/>
      <c r="N54" s="905"/>
      <c r="O54" s="905"/>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181"/>
      <c r="I55" s="181"/>
      <c r="J55" s="181"/>
      <c r="K55" s="181"/>
      <c r="L55" s="905"/>
      <c r="M55" s="905"/>
      <c r="N55" s="905"/>
      <c r="O55" s="905"/>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181"/>
      <c r="I56" s="181"/>
      <c r="J56" s="181"/>
      <c r="K56" s="181"/>
      <c r="L56" s="905"/>
      <c r="M56" s="905"/>
      <c r="N56" s="905"/>
      <c r="O56" s="905"/>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181"/>
      <c r="I57" s="181"/>
      <c r="J57" s="181"/>
      <c r="K57" s="181"/>
      <c r="L57" s="905"/>
      <c r="M57" s="905"/>
      <c r="N57" s="905"/>
      <c r="O57" s="905"/>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181"/>
      <c r="I58" s="181"/>
      <c r="J58" s="181"/>
      <c r="K58" s="181"/>
      <c r="L58" s="905"/>
      <c r="M58" s="905"/>
      <c r="N58" s="905"/>
      <c r="O58" s="905"/>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181"/>
      <c r="I59" s="181"/>
      <c r="J59" s="181"/>
      <c r="K59" s="181"/>
      <c r="L59" s="905"/>
      <c r="M59" s="905"/>
      <c r="N59" s="905"/>
      <c r="O59" s="905"/>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81"/>
      <c r="I60" s="181"/>
      <c r="J60" s="181"/>
      <c r="K60" s="181"/>
      <c r="L60" s="905"/>
      <c r="M60" s="905"/>
      <c r="N60" s="905"/>
      <c r="O60" s="905"/>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81"/>
      <c r="I61" s="181"/>
      <c r="J61" s="181"/>
      <c r="K61" s="181"/>
      <c r="L61" s="905"/>
      <c r="M61" s="905"/>
      <c r="N61" s="905"/>
      <c r="O61" s="905"/>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81"/>
      <c r="I62" s="181"/>
      <c r="J62" s="181"/>
      <c r="K62" s="181"/>
      <c r="L62" s="905"/>
      <c r="M62" s="905"/>
      <c r="N62" s="905"/>
      <c r="O62" s="905"/>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81"/>
      <c r="I63" s="181"/>
      <c r="J63" s="181"/>
      <c r="K63" s="181"/>
      <c r="L63" s="905"/>
      <c r="M63" s="905"/>
      <c r="N63" s="905"/>
      <c r="O63" s="905"/>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81"/>
      <c r="I64" s="181"/>
      <c r="J64" s="181"/>
      <c r="K64" s="181"/>
      <c r="L64" s="905"/>
      <c r="M64" s="905"/>
      <c r="N64" s="905"/>
      <c r="O64" s="905"/>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81"/>
      <c r="I65" s="181"/>
      <c r="J65" s="181"/>
      <c r="K65" s="181"/>
      <c r="L65" s="905"/>
      <c r="M65" s="905"/>
      <c r="N65" s="905"/>
      <c r="O65" s="905"/>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81"/>
      <c r="I66" s="181"/>
      <c r="J66" s="181"/>
      <c r="K66" s="181"/>
      <c r="L66" s="905"/>
      <c r="M66" s="905"/>
      <c r="N66" s="905"/>
      <c r="O66" s="905"/>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81"/>
      <c r="I67" s="181"/>
      <c r="J67" s="181"/>
      <c r="K67" s="181"/>
      <c r="L67" s="905"/>
      <c r="M67" s="905"/>
      <c r="N67" s="905"/>
      <c r="O67" s="905"/>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81"/>
      <c r="I68" s="181"/>
      <c r="J68" s="181"/>
      <c r="K68" s="181"/>
      <c r="L68" s="905"/>
      <c r="M68" s="905"/>
      <c r="N68" s="905"/>
      <c r="O68" s="905"/>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81"/>
      <c r="I69" s="181"/>
      <c r="J69" s="181"/>
      <c r="K69" s="181"/>
      <c r="L69" s="905"/>
      <c r="M69" s="905"/>
      <c r="N69" s="905"/>
      <c r="O69" s="905"/>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81"/>
      <c r="I70" s="181"/>
      <c r="J70" s="181"/>
      <c r="K70" s="181"/>
      <c r="L70" s="905"/>
      <c r="M70" s="905"/>
      <c r="N70" s="905"/>
      <c r="O70" s="905"/>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81"/>
      <c r="I71" s="181"/>
      <c r="J71" s="181"/>
      <c r="K71" s="181"/>
      <c r="L71" s="905"/>
      <c r="M71" s="905"/>
      <c r="N71" s="905"/>
      <c r="O71" s="905"/>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81"/>
      <c r="I72" s="181"/>
      <c r="J72" s="181"/>
      <c r="K72" s="181"/>
      <c r="L72" s="905"/>
      <c r="M72" s="905"/>
      <c r="N72" s="905"/>
      <c r="O72" s="905"/>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81"/>
      <c r="I73" s="181"/>
      <c r="J73" s="181"/>
      <c r="K73" s="181"/>
      <c r="L73" s="905"/>
      <c r="M73" s="905"/>
      <c r="N73" s="905"/>
      <c r="O73" s="905"/>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81"/>
      <c r="I74" s="181"/>
      <c r="J74" s="181"/>
      <c r="K74" s="181"/>
      <c r="L74" s="905"/>
      <c r="M74" s="905"/>
      <c r="N74" s="905"/>
      <c r="O74" s="905"/>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81"/>
      <c r="I75" s="181"/>
      <c r="J75" s="181"/>
      <c r="K75" s="181"/>
      <c r="L75" s="905"/>
      <c r="M75" s="905"/>
      <c r="N75" s="905"/>
      <c r="O75" s="905"/>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81"/>
      <c r="I76" s="181"/>
      <c r="J76" s="181"/>
      <c r="K76" s="181"/>
      <c r="L76" s="905"/>
      <c r="M76" s="905"/>
      <c r="N76" s="905"/>
      <c r="O76" s="905"/>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81"/>
      <c r="I77" s="181"/>
      <c r="J77" s="181"/>
      <c r="K77" s="181"/>
      <c r="L77" s="905"/>
      <c r="M77" s="905"/>
      <c r="N77" s="905"/>
      <c r="O77" s="905"/>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81"/>
      <c r="I78" s="181"/>
      <c r="J78" s="181"/>
      <c r="K78" s="181"/>
      <c r="L78" s="905"/>
      <c r="M78" s="905"/>
      <c r="N78" s="905"/>
      <c r="O78" s="905"/>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81"/>
      <c r="I79" s="181"/>
      <c r="J79" s="181"/>
      <c r="K79" s="181"/>
      <c r="L79" s="905"/>
      <c r="M79" s="905"/>
      <c r="N79" s="905"/>
      <c r="O79" s="905"/>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81"/>
      <c r="I80" s="181"/>
      <c r="J80" s="181"/>
      <c r="K80" s="181"/>
      <c r="L80" s="905"/>
      <c r="M80" s="905"/>
      <c r="N80" s="905"/>
      <c r="O80" s="905"/>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81"/>
      <c r="I81" s="181"/>
      <c r="J81" s="181"/>
      <c r="K81" s="181"/>
      <c r="L81" s="905"/>
      <c r="M81" s="905"/>
      <c r="N81" s="905"/>
      <c r="O81" s="905"/>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81"/>
      <c r="I82" s="181"/>
      <c r="J82" s="181"/>
      <c r="K82" s="181"/>
      <c r="L82" s="905"/>
      <c r="M82" s="905"/>
      <c r="N82" s="905"/>
      <c r="O82" s="905"/>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81"/>
      <c r="I83" s="181"/>
      <c r="J83" s="181"/>
      <c r="K83" s="181"/>
      <c r="L83" s="905"/>
      <c r="M83" s="905"/>
      <c r="N83" s="905"/>
      <c r="O83" s="905"/>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81"/>
      <c r="I84" s="181"/>
      <c r="J84" s="181"/>
      <c r="K84" s="181"/>
      <c r="L84" s="905"/>
      <c r="M84" s="905"/>
      <c r="N84" s="905"/>
      <c r="O84" s="905"/>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81"/>
      <c r="I85" s="181"/>
      <c r="J85" s="181"/>
      <c r="K85" s="181"/>
      <c r="L85" s="905"/>
      <c r="M85" s="905"/>
      <c r="N85" s="905"/>
      <c r="O85" s="905"/>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81"/>
      <c r="I86" s="181"/>
      <c r="J86" s="181"/>
      <c r="K86" s="181"/>
      <c r="L86" s="905"/>
      <c r="M86" s="905"/>
      <c r="N86" s="905"/>
      <c r="O86" s="905"/>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81"/>
      <c r="I87" s="181"/>
      <c r="J87" s="181"/>
      <c r="K87" s="181"/>
      <c r="L87" s="905"/>
      <c r="M87" s="905"/>
      <c r="N87" s="905"/>
      <c r="O87" s="905"/>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81"/>
      <c r="I88" s="181"/>
      <c r="J88" s="181"/>
      <c r="K88" s="181"/>
      <c r="L88" s="905"/>
      <c r="M88" s="905"/>
      <c r="N88" s="905"/>
      <c r="O88" s="905"/>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81"/>
      <c r="I89" s="181"/>
      <c r="J89" s="181"/>
      <c r="K89" s="181"/>
      <c r="L89" s="905"/>
      <c r="M89" s="905"/>
      <c r="N89" s="905"/>
      <c r="O89" s="905"/>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81"/>
      <c r="I90" s="181"/>
      <c r="J90" s="181"/>
      <c r="K90" s="181"/>
      <c r="L90" s="905"/>
      <c r="M90" s="905"/>
      <c r="N90" s="905"/>
      <c r="O90" s="905"/>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81"/>
      <c r="I91" s="181"/>
      <c r="J91" s="181"/>
      <c r="K91" s="181"/>
      <c r="L91" s="905"/>
      <c r="M91" s="905"/>
      <c r="N91" s="905"/>
      <c r="O91" s="905"/>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81"/>
      <c r="I92" s="181"/>
      <c r="J92" s="181"/>
      <c r="K92" s="181"/>
      <c r="L92" s="905"/>
      <c r="M92" s="905"/>
      <c r="N92" s="905"/>
      <c r="O92" s="905"/>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81"/>
      <c r="I93" s="181"/>
      <c r="J93" s="181"/>
      <c r="K93" s="181"/>
      <c r="L93" s="905"/>
      <c r="M93" s="905"/>
      <c r="N93" s="905"/>
      <c r="O93" s="905"/>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81"/>
      <c r="I94" s="181"/>
      <c r="J94" s="181"/>
      <c r="K94" s="181"/>
      <c r="L94" s="905"/>
      <c r="M94" s="905"/>
      <c r="N94" s="905"/>
      <c r="O94" s="905"/>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81"/>
      <c r="I95" s="181"/>
      <c r="J95" s="181"/>
      <c r="K95" s="181"/>
      <c r="L95" s="905"/>
      <c r="M95" s="905"/>
      <c r="N95" s="905"/>
      <c r="O95" s="905"/>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81"/>
      <c r="I96" s="181"/>
      <c r="J96" s="181"/>
      <c r="K96" s="181"/>
      <c r="L96" s="905"/>
      <c r="M96" s="905"/>
      <c r="N96" s="905"/>
      <c r="O96" s="905"/>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81"/>
      <c r="I97" s="181"/>
      <c r="J97" s="181"/>
      <c r="K97" s="181"/>
      <c r="L97" s="905"/>
      <c r="M97" s="905"/>
      <c r="N97" s="905"/>
      <c r="O97" s="905"/>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81"/>
      <c r="I98" s="181"/>
      <c r="J98" s="181"/>
      <c r="K98" s="181"/>
      <c r="L98" s="905"/>
      <c r="M98" s="905"/>
      <c r="N98" s="905"/>
      <c r="O98" s="905"/>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81"/>
      <c r="I99" s="181"/>
      <c r="J99" s="181"/>
      <c r="K99" s="181"/>
      <c r="L99" s="905"/>
      <c r="M99" s="905"/>
      <c r="N99" s="905"/>
      <c r="O99" s="905"/>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81"/>
      <c r="I100" s="181"/>
      <c r="J100" s="181"/>
      <c r="K100" s="181"/>
      <c r="L100" s="905"/>
      <c r="M100" s="905"/>
      <c r="N100" s="905"/>
      <c r="O100" s="905"/>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81"/>
      <c r="I101" s="181"/>
      <c r="J101" s="181"/>
      <c r="K101" s="181"/>
      <c r="L101" s="905"/>
      <c r="M101" s="905"/>
      <c r="N101" s="905"/>
      <c r="O101" s="905"/>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81"/>
      <c r="I102" s="181"/>
      <c r="J102" s="181"/>
      <c r="K102" s="181"/>
      <c r="L102" s="905"/>
      <c r="M102" s="905"/>
      <c r="N102" s="905"/>
      <c r="O102" s="905"/>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81"/>
      <c r="I103" s="181"/>
      <c r="J103" s="181"/>
      <c r="K103" s="181"/>
      <c r="L103" s="905"/>
      <c r="M103" s="905"/>
      <c r="N103" s="905"/>
      <c r="O103" s="905"/>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03" t="s">
        <v>129</v>
      </c>
      <c r="D105" s="1003"/>
      <c r="E105" s="1003"/>
      <c r="F105" s="1003"/>
      <c r="G105" s="1003"/>
      <c r="H105" s="1003"/>
      <c r="I105" s="1003"/>
      <c r="J105" s="1003"/>
      <c r="K105" s="1003"/>
      <c r="L105" s="1003"/>
      <c r="M105" s="1003"/>
      <c r="N105" s="1003"/>
      <c r="O105" s="1003"/>
      <c r="P105" s="1003"/>
      <c r="Q105" s="1003"/>
      <c r="R105" s="1003"/>
      <c r="S105" s="1003"/>
      <c r="T105" s="1003"/>
      <c r="U105" s="1003"/>
      <c r="V105" s="1003"/>
      <c r="W105" s="1003"/>
      <c r="X105" s="1003"/>
      <c r="Y105" s="1003"/>
      <c r="Z105" s="1003"/>
      <c r="AA105" s="1003"/>
      <c r="AB105" s="1003"/>
      <c r="AC105" s="1003"/>
      <c r="AD105" s="1003"/>
      <c r="AE105" s="1003"/>
      <c r="AF105" s="1003"/>
      <c r="AG105" s="1003"/>
      <c r="AH105" s="1003"/>
      <c r="AI105" s="1003"/>
      <c r="AJ105" s="1003"/>
      <c r="AK105" s="1003"/>
      <c r="AL105" s="1003"/>
      <c r="AM105" s="1003"/>
      <c r="AN105" s="1003"/>
      <c r="AO105" s="1003"/>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3">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AC21"/>
    <mergeCell ref="AD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1" customWidth="1"/>
    <col min="2" max="2" width="3.42578125" style="641" customWidth="1"/>
    <col min="3" max="3" width="6.85546875" style="641" customWidth="1"/>
    <col min="4" max="4" width="8.85546875" style="641" customWidth="1"/>
    <col min="5" max="5" width="39" style="641" customWidth="1"/>
    <col min="6" max="6" width="30" style="641" customWidth="1"/>
    <col min="7" max="9" width="8.85546875" style="641" customWidth="1"/>
    <col min="10" max="10" width="12" style="641" customWidth="1"/>
    <col min="11" max="11" width="8.85546875" style="641" customWidth="1"/>
    <col min="12" max="12" width="18.28515625" style="641" customWidth="1"/>
    <col min="13" max="16384" width="8.85546875" style="641" customWidth="1"/>
  </cols>
  <sheetData>
    <row r="1">
      <c r="M1" s="641"/>
    </row>
    <row r="2" ht="84" customHeight="1">
      <c r="B2" s="642"/>
      <c r="C2" s="643"/>
      <c r="K2" s="644"/>
      <c r="M2" s="644"/>
    </row>
    <row r="3" ht="15" customHeight="1">
      <c r="B3" s="642"/>
    </row>
    <row r="4">
      <c r="A4" s="645" t="s">
        <v>117</v>
      </c>
      <c r="B4" s="646"/>
      <c r="C4" s="646"/>
      <c r="D4" s="646"/>
      <c r="E4" s="646"/>
      <c r="F4" s="646"/>
      <c r="G4" s="646"/>
      <c r="H4" s="646"/>
      <c r="I4" s="646"/>
      <c r="J4" s="646"/>
      <c r="K4" s="646"/>
    </row>
    <row r="5">
      <c r="A5" s="692" t="s">
        <v>124</v>
      </c>
      <c r="B5" s="692"/>
      <c r="C5" s="692"/>
      <c r="D5" s="692"/>
      <c r="E5" s="692"/>
      <c r="F5" s="692"/>
      <c r="G5" s="646"/>
      <c r="H5" s="646"/>
      <c r="I5" s="646"/>
      <c r="J5" s="646"/>
      <c r="K5" s="646"/>
    </row>
    <row r="6">
      <c r="A6" s="646"/>
      <c r="B6" s="646"/>
      <c r="C6" s="646"/>
      <c r="D6" s="646"/>
      <c r="E6" s="646"/>
      <c r="F6" s="646"/>
      <c r="G6" s="646"/>
      <c r="H6" s="646"/>
      <c r="I6" s="646"/>
      <c r="J6" s="646"/>
      <c r="K6" s="646"/>
    </row>
    <row r="7">
      <c r="A7" s="646"/>
      <c r="B7" s="646"/>
      <c r="C7" s="646"/>
      <c r="D7" s="646"/>
      <c r="E7" s="646"/>
      <c r="F7" s="646"/>
      <c r="G7" s="646"/>
      <c r="H7" s="646"/>
      <c r="I7" s="646"/>
      <c r="J7" s="646"/>
      <c r="K7" s="646"/>
    </row>
    <row r="8">
      <c r="A8" s="645" t="s">
        <v>118</v>
      </c>
      <c r="B8" s="646"/>
      <c r="C8" s="646"/>
      <c r="D8" s="646"/>
      <c r="E8" s="646"/>
      <c r="F8" s="646"/>
      <c r="G8" s="646"/>
      <c r="H8" s="646"/>
      <c r="I8" s="646"/>
      <c r="J8" s="646"/>
      <c r="K8" s="646"/>
    </row>
    <row r="9">
      <c r="A9" s="692" t="s">
        <v>125</v>
      </c>
      <c r="B9" s="692"/>
      <c r="C9" s="692"/>
      <c r="D9" s="692"/>
      <c r="E9" s="692"/>
      <c r="F9" s="692"/>
      <c r="G9" s="646"/>
      <c r="H9" s="646"/>
      <c r="I9" s="646"/>
      <c r="J9" s="646"/>
      <c r="K9" s="646"/>
    </row>
    <row r="10">
      <c r="A10" s="691"/>
      <c r="B10" s="691"/>
      <c r="C10" s="691"/>
      <c r="D10" s="691"/>
      <c r="E10" s="691"/>
      <c r="F10" s="691"/>
      <c r="G10" s="646"/>
      <c r="H10" s="646"/>
      <c r="I10" s="646"/>
      <c r="J10" s="646"/>
      <c r="K10" s="646"/>
    </row>
    <row r="11">
      <c r="A11" s="646"/>
      <c r="B11" s="646"/>
      <c r="C11" s="646"/>
      <c r="D11" s="646"/>
      <c r="E11" s="646"/>
      <c r="F11" s="646"/>
      <c r="G11" s="646"/>
      <c r="H11" s="646"/>
      <c r="I11" s="646"/>
      <c r="J11" s="646"/>
      <c r="K11" s="646"/>
    </row>
    <row r="12">
      <c r="A12" s="691" t="s">
        <v>126</v>
      </c>
      <c r="B12" s="691"/>
      <c r="C12" s="691"/>
      <c r="D12" s="691"/>
      <c r="E12" s="691"/>
      <c r="F12" s="646"/>
      <c r="G12" s="646"/>
      <c r="H12" s="646"/>
      <c r="I12" s="646"/>
      <c r="J12" s="646"/>
      <c r="K12" s="646"/>
    </row>
    <row r="13">
      <c r="A13" s="646"/>
      <c r="B13" s="646"/>
      <c r="C13" s="646"/>
      <c r="D13" s="646"/>
      <c r="E13" s="646"/>
      <c r="F13" s="646"/>
      <c r="G13" s="646"/>
      <c r="H13" s="646"/>
      <c r="I13" s="646"/>
      <c r="J13" s="646"/>
      <c r="K13" s="646"/>
    </row>
    <row r="14" ht="16.5" customHeight="1">
      <c r="A14" s="1005" t="s">
        <v>119</v>
      </c>
      <c r="B14" s="1005"/>
      <c r="C14" s="1005"/>
      <c r="D14" s="1005"/>
      <c r="E14" s="1005"/>
      <c r="F14" s="1005"/>
      <c r="G14" s="1005"/>
      <c r="H14" s="1005"/>
      <c r="I14" s="1005"/>
      <c r="J14" s="647"/>
      <c r="K14" s="646"/>
    </row>
    <row r="15" ht="15" customHeight="1">
      <c r="A15" s="1005" t="s">
        <v>120</v>
      </c>
      <c r="B15" s="1005"/>
      <c r="C15" s="1005"/>
      <c r="D15" s="1005"/>
      <c r="E15" s="1005"/>
      <c r="F15" s="1005"/>
      <c r="G15" s="1005"/>
      <c r="H15" s="1005"/>
      <c r="I15" s="1005"/>
      <c r="J15" s="647"/>
      <c r="K15" s="647"/>
      <c r="L15" s="647"/>
    </row>
    <row r="16">
      <c r="C16" s="648"/>
      <c r="D16" s="648"/>
      <c r="E16" s="648"/>
      <c r="F16" s="648"/>
      <c r="G16" s="648"/>
      <c r="H16" s="648"/>
      <c r="I16" s="648"/>
      <c r="J16" s="648"/>
      <c r="K16" s="648"/>
      <c r="L16" s="648"/>
    </row>
    <row r="43">
      <c r="A43" s="641"/>
    </row>
  </sheetData>
  <mergeCells count="2">
    <mergeCell ref="A15:I15"/>
    <mergeCell ref="A14:I14"/>
  </mergeCells>
  <hyperlinks>
    <hyperlink ref="A5:F5" r:id="rId150" display="For all STR definitions, please click here or visit www.str.com/data-insights/resources/glossary"/>
    <hyperlink ref="A14:I14" r:id="rId151" display="For the latest in industry news, visit HotelNewsNow.com."/>
    <hyperlink ref="A15:I15" r:id="rId152" display="To learn more about the Hotel Data Conference, visit HotelDataConference.com."/>
    <hyperlink ref="A9:F9" r:id="rId153" display="For all STR FAQs, please click here or visit www.str.com/data-insights/resources/FAQ"/>
    <hyperlink ref="A12:E12" r:id="rId154"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topLeftCell="A34"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7" t="s">
        <v>134</v>
      </c>
      <c r="AA1" s="1013"/>
      <c r="AB1" s="1013"/>
      <c r="AC1" s="1013"/>
      <c r="AD1" s="1013"/>
      <c r="AE1" s="1013"/>
      <c r="AF1" s="1013"/>
      <c r="AH1" s="236"/>
    </row>
    <row r="2" ht="20.1" customHeight="1">
      <c r="A2" s="6"/>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c r="AC2" s="1014"/>
      <c r="AD2" s="1014"/>
      <c r="AE2" s="1014"/>
      <c r="AF2" s="26"/>
    </row>
    <row r="3" ht="20.1" customHeight="1">
      <c r="A3" s="6"/>
      <c r="B3" s="1014" t="s">
        <v>212</v>
      </c>
      <c r="C3" s="1014"/>
      <c r="D3" s="1014"/>
      <c r="E3" s="1014"/>
      <c r="F3" s="1014"/>
      <c r="G3" s="1014"/>
      <c r="H3" s="1014"/>
      <c r="I3" s="1014"/>
      <c r="J3" s="1014"/>
      <c r="K3" s="1014"/>
      <c r="L3" s="1014"/>
      <c r="M3" s="1014"/>
      <c r="N3" s="1014"/>
      <c r="O3" s="1014"/>
      <c r="P3" s="1014"/>
      <c r="Q3" s="1014"/>
      <c r="R3" s="1014"/>
      <c r="S3" s="1014"/>
      <c r="T3" s="1014"/>
      <c r="U3" s="1015"/>
      <c r="V3" s="1015"/>
      <c r="W3" s="1015"/>
      <c r="X3" s="1015"/>
      <c r="Y3" s="1015"/>
      <c r="Z3" s="1015"/>
      <c r="AA3" s="1015"/>
      <c r="AB3" s="1015"/>
      <c r="AC3" s="1015"/>
      <c r="AD3" s="1015"/>
      <c r="AE3" s="1015"/>
      <c r="AF3" s="1015"/>
    </row>
    <row r="4" ht="20.1" customHeight="1">
      <c r="A4" s="6"/>
      <c r="B4" s="1014" t="s">
        <v>213</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c r="AC4" s="1014"/>
      <c r="AD4" s="1014"/>
      <c r="AE4" s="1014"/>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16"/>
      <c r="Y18" s="1016"/>
      <c r="Z18" s="1016"/>
      <c r="AA18" s="1016"/>
      <c r="AB18" s="1016"/>
      <c r="AC18" s="1016"/>
      <c r="AD18" s="1016"/>
      <c r="AE18" s="1016"/>
      <c r="AF18" s="1016"/>
      <c r="AG18" s="1016"/>
    </row>
    <row r="19" s="117" customFormat="1" ht="15.95" customHeight="1">
      <c r="B19" s="979" t="s">
        <v>22</v>
      </c>
      <c r="C19" s="1017">
        <v>2019</v>
      </c>
      <c r="D19" s="1017"/>
      <c r="E19" s="1017"/>
      <c r="F19" s="1017"/>
      <c r="G19" s="1017"/>
      <c r="H19" s="1017"/>
      <c r="I19" s="1017">
        <v>2020</v>
      </c>
      <c r="J19" s="1017"/>
      <c r="K19" s="1017"/>
      <c r="L19" s="1017"/>
      <c r="M19" s="1017"/>
      <c r="N19" s="1017"/>
      <c r="O19" s="1017"/>
      <c r="P19" s="1017"/>
      <c r="Q19" s="1017"/>
      <c r="R19" s="1017"/>
      <c r="S19" s="1017"/>
      <c r="T19" s="1017"/>
      <c r="U19" s="119"/>
      <c r="V19" s="1018" t="s">
        <v>60</v>
      </c>
      <c r="W19" s="1018"/>
      <c r="X19" s="1018"/>
      <c r="Y19" s="119"/>
      <c r="Z19" s="1018" t="s">
        <v>44</v>
      </c>
      <c r="AA19" s="1018"/>
      <c r="AB19" s="1018"/>
      <c r="AC19" s="119"/>
      <c r="AD19" s="1019" t="s">
        <v>45</v>
      </c>
      <c r="AE19" s="1019"/>
      <c r="AF19" s="1019"/>
      <c r="AG19" s="119"/>
      <c r="AH19" s="236"/>
      <c r="AI19" s="236"/>
      <c r="AJ19" s="236"/>
      <c r="AK19" s="236"/>
      <c r="AL19" s="236"/>
      <c r="AM19" s="236"/>
      <c r="AN19" s="236"/>
      <c r="AO19" s="236"/>
      <c r="AP19" s="236"/>
      <c r="AQ19" s="236"/>
      <c r="AR19" s="236"/>
      <c r="AS19" s="236"/>
      <c r="AT19" s="236"/>
      <c r="AU19" s="236"/>
      <c r="AV19" s="236"/>
    </row>
    <row r="20" s="118" customFormat="1" ht="15.95" customHeight="1">
      <c r="B20" s="979"/>
      <c r="C20" s="270" t="s">
        <v>221</v>
      </c>
      <c r="D20" s="270" t="s">
        <v>224</v>
      </c>
      <c r="E20" s="270" t="s">
        <v>226</v>
      </c>
      <c r="F20" s="270" t="s">
        <v>228</v>
      </c>
      <c r="G20" s="270" t="s">
        <v>229</v>
      </c>
      <c r="H20" s="1020" t="s">
        <v>230</v>
      </c>
      <c r="I20" s="270" t="s">
        <v>232</v>
      </c>
      <c r="J20" s="270" t="s">
        <v>233</v>
      </c>
      <c r="K20" s="270" t="s">
        <v>234</v>
      </c>
      <c r="L20" s="270" t="s">
        <v>235</v>
      </c>
      <c r="M20" s="270" t="s">
        <v>236</v>
      </c>
      <c r="N20" s="270" t="s">
        <v>237</v>
      </c>
      <c r="O20" s="270" t="s">
        <v>221</v>
      </c>
      <c r="P20" s="270" t="s">
        <v>224</v>
      </c>
      <c r="Q20" s="270" t="s">
        <v>226</v>
      </c>
      <c r="R20" s="270" t="s">
        <v>228</v>
      </c>
      <c r="S20" s="270" t="s">
        <v>229</v>
      </c>
      <c r="T20" s="1020" t="s">
        <v>230</v>
      </c>
      <c r="U20" s="144"/>
      <c r="V20" s="269">
        <v>2018</v>
      </c>
      <c r="W20" s="270">
        <v>2019</v>
      </c>
      <c r="X20" s="271">
        <v>2020</v>
      </c>
      <c r="Y20" s="144"/>
      <c r="Z20" s="269">
        <v>2018</v>
      </c>
      <c r="AA20" s="270">
        <v>2019</v>
      </c>
      <c r="AB20" s="271">
        <v>2020</v>
      </c>
      <c r="AC20" s="144"/>
      <c r="AD20" s="269">
        <v>2018</v>
      </c>
      <c r="AE20" s="270">
        <v>2019</v>
      </c>
      <c r="AF20" s="271">
        <v>2020</v>
      </c>
      <c r="AG20" s="144"/>
      <c r="AH20" s="236"/>
      <c r="AI20" s="236"/>
      <c r="AJ20" s="236"/>
      <c r="AK20" s="236"/>
      <c r="AL20" s="236"/>
      <c r="AM20" s="236"/>
      <c r="AN20" s="236"/>
      <c r="AO20" s="236"/>
      <c r="AP20" s="236"/>
      <c r="AQ20" s="236"/>
      <c r="AR20" s="236"/>
      <c r="AS20" s="236"/>
      <c r="AT20" s="236"/>
      <c r="AU20" s="236"/>
      <c r="AV20" s="236"/>
    </row>
    <row r="21" ht="21.95" customHeight="1">
      <c r="B21" s="264" t="s">
        <v>19</v>
      </c>
      <c r="C21" s="574">
        <v>61.094819159335288367546432060</v>
      </c>
      <c r="D21" s="575">
        <v>68.352883675464320625610948190</v>
      </c>
      <c r="E21" s="575">
        <v>53.383838383838383838383838380</v>
      </c>
      <c r="F21" s="575">
        <v>66.739980449657869012707722390</v>
      </c>
      <c r="G21" s="575">
        <v>74.898989898989898989898989900</v>
      </c>
      <c r="H21" s="1021">
        <v>85.16617790811339198435972630</v>
      </c>
      <c r="I21" s="575">
        <v>87.02346041055718475073313783</v>
      </c>
      <c r="J21" s="575">
        <v>87.51306165099268547544409613</v>
      </c>
      <c r="K21" s="575">
        <v>39.687194525904203323558162270</v>
      </c>
      <c r="L21" s="575"/>
      <c r="M21" s="575"/>
      <c r="N21" s="575">
        <v>18.131313131313131313131313130</v>
      </c>
      <c r="O21" s="575">
        <v>13.098729227761485826001955030</v>
      </c>
      <c r="P21" s="575">
        <v>25.537634408602150537634408600</v>
      </c>
      <c r="Q21" s="575">
        <v>47.424242424242424242424242420</v>
      </c>
      <c r="R21" s="575">
        <v>52.908113391984359726295210170</v>
      </c>
      <c r="S21" s="575">
        <v>51.843434343434343434343434340</v>
      </c>
      <c r="T21" s="1021">
        <v>71.676441837732160312805474100</v>
      </c>
      <c r="U21" s="113"/>
      <c r="V21" s="574">
        <v>39.542562615768704195860513810</v>
      </c>
      <c r="W21" s="575">
        <v>67.588210875882108758821087590</v>
      </c>
      <c r="X21" s="576">
        <v>49.336810730253353204172876300</v>
      </c>
      <c r="Y21" s="113"/>
      <c r="Z21" s="574">
        <v>47.167325428194993412384716730</v>
      </c>
      <c r="AA21" s="575">
        <v>75.609354413702239789196310940</v>
      </c>
      <c r="AB21" s="576">
        <v>58.885046113306982872200263500</v>
      </c>
      <c r="AC21" s="113"/>
      <c r="AD21" s="574">
        <v>39.542562615768704195860513810</v>
      </c>
      <c r="AE21" s="575">
        <v>67.588210875882108758821087590</v>
      </c>
      <c r="AF21" s="576">
        <v>49.336810730253353204172876300</v>
      </c>
      <c r="AG21" s="113"/>
    </row>
    <row r="22" ht="21.95" customHeight="1">
      <c r="B22" s="38" t="s">
        <v>35</v>
      </c>
      <c r="C22" s="272">
        <v>75.286280966993488511338971630</v>
      </c>
      <c r="D22" s="92">
        <v>75.046777935783249756754733930</v>
      </c>
      <c r="E22" s="92">
        <v>60.626450116009280742459396750</v>
      </c>
      <c r="F22" s="92">
        <v>76.468827183594042362098645310</v>
      </c>
      <c r="G22" s="92">
        <v>84.32327919566898685228151585</v>
      </c>
      <c r="H22" s="1022">
        <v>78.003143477284634383653918120</v>
      </c>
      <c r="I22" s="92">
        <v>87.58326472569418456702342639</v>
      </c>
      <c r="J22" s="92">
        <v>90.39123129850384802784222738</v>
      </c>
      <c r="K22" s="92">
        <v>41.613651672778983609011301550</v>
      </c>
      <c r="L22" s="92"/>
      <c r="M22" s="92"/>
      <c r="N22" s="92"/>
      <c r="O22" s="92"/>
      <c r="P22" s="92"/>
      <c r="Q22" s="92"/>
      <c r="R22" s="92"/>
      <c r="S22" s="92"/>
      <c r="T22" s="1022">
        <v>49.412971617462669554314373650</v>
      </c>
      <c r="U22" s="113"/>
      <c r="V22" s="272">
        <v>80.43349866317801642290569848</v>
      </c>
      <c r="W22" s="92">
        <v>78.479483838159107523122397740</v>
      </c>
      <c r="X22" s="273"/>
      <c r="Y22" s="113"/>
      <c r="Z22" s="272">
        <v>76.472813477252093210935135680</v>
      </c>
      <c r="AA22" s="92">
        <v>79.54705941692726722485624937</v>
      </c>
      <c r="AB22" s="273"/>
      <c r="AC22" s="113"/>
      <c r="AD22" s="272">
        <v>80.43349866317801642290569848</v>
      </c>
      <c r="AE22" s="92">
        <v>78.479483838159107523122397740</v>
      </c>
      <c r="AF22" s="273"/>
      <c r="AG22" s="113"/>
    </row>
    <row r="23" ht="21.95" customHeight="1">
      <c r="B23" s="40" t="s">
        <v>100</v>
      </c>
      <c r="C23" s="577">
        <v>81.15000286190265313438591100</v>
      </c>
      <c r="D23" s="113">
        <v>91.08037087741884789855269560</v>
      </c>
      <c r="E23" s="113">
        <v>88.05370969550074027685967984</v>
      </c>
      <c r="F23" s="113">
        <v>87.27736897209345090327766261</v>
      </c>
      <c r="G23" s="113">
        <v>88.82362096615054516549517926</v>
      </c>
      <c r="H23" s="1023">
        <v>109.18300739112483499357419911</v>
      </c>
      <c r="I23" s="113">
        <v>99.36083187023197277854601389</v>
      </c>
      <c r="J23" s="113">
        <v>96.81587516160010324036396128</v>
      </c>
      <c r="K23" s="113">
        <v>95.37061260082842816655766296</v>
      </c>
      <c r="L23" s="113"/>
      <c r="M23" s="113"/>
      <c r="N23" s="113"/>
      <c r="O23" s="113"/>
      <c r="P23" s="113"/>
      <c r="Q23" s="113"/>
      <c r="R23" s="113"/>
      <c r="S23" s="113"/>
      <c r="T23" s="1023">
        <v>145.05592254727202824088637237</v>
      </c>
      <c r="U23" s="113"/>
      <c r="V23" s="577">
        <v>49.161808541185660574899797760</v>
      </c>
      <c r="W23" s="113">
        <v>86.12213991527129385545066737</v>
      </c>
      <c r="X23" s="578"/>
      <c r="Y23" s="113"/>
      <c r="Z23" s="577">
        <v>61.678553833024037159511881670</v>
      </c>
      <c r="AA23" s="113">
        <v>95.04984215370367167970363710</v>
      </c>
      <c r="AB23" s="578"/>
      <c r="AC23" s="113"/>
      <c r="AD23" s="577">
        <v>49.161808541185660574899797760</v>
      </c>
      <c r="AE23" s="113">
        <v>86.12213991527129385545066737</v>
      </c>
      <c r="AF23" s="578"/>
      <c r="AG23" s="113"/>
    </row>
    <row r="24" ht="21.95" customHeight="1">
      <c r="A24" s="23"/>
      <c r="B24" s="39" t="s">
        <v>23</v>
      </c>
      <c r="C24" s="274" t="s">
        <v>222</v>
      </c>
      <c r="D24" s="275" t="s">
        <v>225</v>
      </c>
      <c r="E24" s="275" t="s">
        <v>222</v>
      </c>
      <c r="F24" s="275" t="s">
        <v>227</v>
      </c>
      <c r="G24" s="275" t="s">
        <v>227</v>
      </c>
      <c r="H24" s="1024" t="s">
        <v>231</v>
      </c>
      <c r="I24" s="275" t="s">
        <v>222</v>
      </c>
      <c r="J24" s="275" t="s">
        <v>225</v>
      </c>
      <c r="K24" s="275" t="s">
        <v>222</v>
      </c>
      <c r="L24" s="275"/>
      <c r="M24" s="275"/>
      <c r="N24" s="275"/>
      <c r="O24" s="275"/>
      <c r="P24" s="275"/>
      <c r="Q24" s="275"/>
      <c r="R24" s="275"/>
      <c r="S24" s="275"/>
      <c r="T24" s="1024" t="s">
        <v>238</v>
      </c>
      <c r="U24" s="113"/>
      <c r="V24" s="274" t="s">
        <v>227</v>
      </c>
      <c r="W24" s="275" t="s">
        <v>227</v>
      </c>
      <c r="X24" s="276"/>
      <c r="Y24" s="113"/>
      <c r="Z24" s="274" t="s">
        <v>227</v>
      </c>
      <c r="AA24" s="275" t="s">
        <v>222</v>
      </c>
      <c r="AB24" s="276"/>
      <c r="AC24" s="113"/>
      <c r="AD24" s="274" t="s">
        <v>227</v>
      </c>
      <c r="AE24" s="275" t="s">
        <v>227</v>
      </c>
      <c r="AF24" s="276"/>
      <c r="AG24" s="113"/>
    </row>
    <row r="25" ht="21.95" customHeight="1">
      <c r="B25" s="25" t="s">
        <v>70</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4">
        <v>37.489128766562643883971965010</v>
      </c>
      <c r="D26" s="575">
        <v>50.934943024948546759700818220</v>
      </c>
      <c r="E26" s="575">
        <v>44.103612815269256987048398060</v>
      </c>
      <c r="F26" s="575">
        <v>46.120920278223649010165864110</v>
      </c>
      <c r="G26" s="575">
        <v>65.790944661822247065399664610</v>
      </c>
      <c r="H26" s="1021">
        <v>68.357487922705314009661835750</v>
      </c>
      <c r="I26" s="575">
        <v>25.210970464135021097046413510</v>
      </c>
      <c r="J26" s="575">
        <v>22.750768828109664332918929530</v>
      </c>
      <c r="K26" s="575">
        <v>-46.278531260337413165729407870</v>
      </c>
      <c r="L26" s="575"/>
      <c r="M26" s="575"/>
      <c r="N26" s="575">
        <v>-67.003676470588235294117647060</v>
      </c>
      <c r="O26" s="575">
        <v>-78.560000000000000000000000010</v>
      </c>
      <c r="P26" s="575">
        <v>-62.638541294243832677869145520</v>
      </c>
      <c r="Q26" s="575">
        <v>-11.163670766319772942289498580</v>
      </c>
      <c r="R26" s="575">
        <v>-20.725009154155986818015378980</v>
      </c>
      <c r="S26" s="575">
        <v>-30.782198246797033041132838850</v>
      </c>
      <c r="T26" s="1021">
        <v>-15.839311334289813486370157820</v>
      </c>
      <c r="U26" s="113"/>
      <c r="V26" s="574">
        <v>-38.629104276918286794761217130</v>
      </c>
      <c r="W26" s="575">
        <v>70.925216791411027384578705630</v>
      </c>
      <c r="X26" s="576">
        <v>-27.003821981832497316759329930</v>
      </c>
      <c r="Y26" s="113"/>
      <c r="Z26" s="574">
        <v>-4.9305125254492343099938036600</v>
      </c>
      <c r="AA26" s="575">
        <v>60.300279329608938547486033540</v>
      </c>
      <c r="AB26" s="576">
        <v>-22.119363972990633848834676550</v>
      </c>
      <c r="AC26" s="113"/>
      <c r="AD26" s="574">
        <v>-38.629104276918286794761217130</v>
      </c>
      <c r="AE26" s="575">
        <v>70.925216791411027384578705630</v>
      </c>
      <c r="AF26" s="576">
        <v>-27.003821981832497316759329930</v>
      </c>
      <c r="AG26" s="113"/>
    </row>
    <row r="27" ht="21.95" customHeight="1">
      <c r="B27" s="38" t="s">
        <v>35</v>
      </c>
      <c r="C27" s="272">
        <v>-7.5139503004310015799328640800</v>
      </c>
      <c r="D27" s="92">
        <v>-8.278448591291620929381631900</v>
      </c>
      <c r="E27" s="92">
        <v>-7.5153374233128834355828220900</v>
      </c>
      <c r="F27" s="92">
        <v>5.9085726132476417539131336100</v>
      </c>
      <c r="G27" s="92">
        <v>5.2717968523703775224485854900</v>
      </c>
      <c r="H27" s="1022">
        <v>0.9981587363116581064056594600</v>
      </c>
      <c r="I27" s="92">
        <v>5.0920520880107768298158958300</v>
      </c>
      <c r="J27" s="92">
        <v>2.6094797582865617533628068900</v>
      </c>
      <c r="K27" s="92">
        <v>-52.973018692379260762919732720</v>
      </c>
      <c r="L27" s="92"/>
      <c r="M27" s="92"/>
      <c r="N27" s="92"/>
      <c r="O27" s="92"/>
      <c r="P27" s="92"/>
      <c r="Q27" s="92"/>
      <c r="R27" s="92"/>
      <c r="S27" s="92"/>
      <c r="T27" s="1022">
        <v>-36.652589351283944740434240420</v>
      </c>
      <c r="U27" s="113"/>
      <c r="V27" s="272">
        <v>0.5742725607065118330060302400</v>
      </c>
      <c r="W27" s="92">
        <v>-2.4293545071332890029180349800</v>
      </c>
      <c r="X27" s="273"/>
      <c r="Y27" s="113"/>
      <c r="Z27" s="272">
        <v>-4.4455632608822061682252104800</v>
      </c>
      <c r="AA27" s="92">
        <v>4.0200507865316756257626224300</v>
      </c>
      <c r="AB27" s="273"/>
      <c r="AC27" s="113"/>
      <c r="AD27" s="272">
        <v>0.5742725607065118330060302400</v>
      </c>
      <c r="AE27" s="92">
        <v>-2.4293545071332890029180349800</v>
      </c>
      <c r="AF27" s="273"/>
      <c r="AG27" s="113"/>
    </row>
    <row r="28" ht="21.95" customHeight="1">
      <c r="B28" s="40" t="s">
        <v>100</v>
      </c>
      <c r="C28" s="577">
        <v>48.659315878644742120633908880</v>
      </c>
      <c r="D28" s="113">
        <v>64.557773725814053373596224670</v>
      </c>
      <c r="E28" s="113">
        <v>55.813524967753823475216510010</v>
      </c>
      <c r="F28" s="113">
        <v>37.968926096116623470790847710</v>
      </c>
      <c r="G28" s="113">
        <v>57.488472334448593309762847530</v>
      </c>
      <c r="H28" s="1023">
        <v>66.693620981999245371876845450</v>
      </c>
      <c r="I28" s="113">
        <v>19.144091276546185260264212480</v>
      </c>
      <c r="J28" s="113">
        <v>19.629072398836061122914209460</v>
      </c>
      <c r="K28" s="113">
        <v>14.235418149106252543449858050</v>
      </c>
      <c r="L28" s="113"/>
      <c r="M28" s="113"/>
      <c r="N28" s="113"/>
      <c r="O28" s="113"/>
      <c r="P28" s="113"/>
      <c r="Q28" s="113"/>
      <c r="R28" s="113"/>
      <c r="S28" s="113"/>
      <c r="T28" s="1023">
        <v>32.855767589951178460621986840</v>
      </c>
      <c r="U28" s="113"/>
      <c r="V28" s="577">
        <v>-38.979528103433894376125106200</v>
      </c>
      <c r="W28" s="113">
        <v>75.180983919909798327347585790</v>
      </c>
      <c r="X28" s="578"/>
      <c r="Y28" s="113"/>
      <c r="Z28" s="577">
        <v>-0.5075109865291069633656589700</v>
      </c>
      <c r="AA28" s="113">
        <v>54.105173106072279613702967300</v>
      </c>
      <c r="AB28" s="578"/>
      <c r="AC28" s="113"/>
      <c r="AD28" s="577">
        <v>-38.979528103433894376125106200</v>
      </c>
      <c r="AE28" s="113">
        <v>75.180983919909798327347585790</v>
      </c>
      <c r="AF28" s="578"/>
      <c r="AG28" s="113"/>
    </row>
    <row r="29" ht="21.95" customHeight="1">
      <c r="A29" s="23"/>
      <c r="B29" s="39" t="s">
        <v>23</v>
      </c>
      <c r="C29" s="274" t="s">
        <v>241</v>
      </c>
      <c r="D29" s="275" t="s">
        <v>241</v>
      </c>
      <c r="E29" s="275" t="s">
        <v>241</v>
      </c>
      <c r="F29" s="275" t="s">
        <v>241</v>
      </c>
      <c r="G29" s="275" t="s">
        <v>241</v>
      </c>
      <c r="H29" s="1024" t="s">
        <v>241</v>
      </c>
      <c r="I29" s="275" t="s">
        <v>241</v>
      </c>
      <c r="J29" s="275" t="s">
        <v>241</v>
      </c>
      <c r="K29" s="275" t="s">
        <v>241</v>
      </c>
      <c r="L29" s="275"/>
      <c r="M29" s="275"/>
      <c r="N29" s="275"/>
      <c r="O29" s="275"/>
      <c r="P29" s="275"/>
      <c r="Q29" s="275"/>
      <c r="R29" s="275"/>
      <c r="S29" s="275"/>
      <c r="T29" s="1024" t="s">
        <v>238</v>
      </c>
      <c r="U29" s="113"/>
      <c r="V29" s="274" t="s">
        <v>227</v>
      </c>
      <c r="W29" s="275" t="s">
        <v>241</v>
      </c>
      <c r="X29" s="276"/>
      <c r="Y29" s="113"/>
      <c r="Z29" s="274" t="s">
        <v>222</v>
      </c>
      <c r="AA29" s="275" t="s">
        <v>241</v>
      </c>
      <c r="AB29" s="276"/>
      <c r="AC29" s="113"/>
      <c r="AD29" s="274" t="s">
        <v>227</v>
      </c>
      <c r="AE29" s="275" t="s">
        <v>241</v>
      </c>
      <c r="AF29" s="276"/>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79" t="s">
        <v>9</v>
      </c>
      <c r="C31" s="1017">
        <v>2019</v>
      </c>
      <c r="D31" s="1017"/>
      <c r="E31" s="1017"/>
      <c r="F31" s="1017"/>
      <c r="G31" s="1017"/>
      <c r="H31" s="1017"/>
      <c r="I31" s="1017">
        <v>2020</v>
      </c>
      <c r="J31" s="1017"/>
      <c r="K31" s="1017"/>
      <c r="L31" s="1017"/>
      <c r="M31" s="1017"/>
      <c r="N31" s="1017"/>
      <c r="O31" s="1017"/>
      <c r="P31" s="1017"/>
      <c r="Q31" s="1017"/>
      <c r="R31" s="1017"/>
      <c r="S31" s="1017"/>
      <c r="T31" s="1017"/>
      <c r="U31" s="119"/>
      <c r="V31" s="1018" t="s">
        <v>60</v>
      </c>
      <c r="W31" s="1018"/>
      <c r="X31" s="1018"/>
      <c r="Y31" s="119"/>
      <c r="Z31" s="1018" t="s">
        <v>44</v>
      </c>
      <c r="AA31" s="1018"/>
      <c r="AB31" s="1018"/>
      <c r="AC31" s="119"/>
      <c r="AD31" s="1019" t="s">
        <v>45</v>
      </c>
      <c r="AE31" s="1019"/>
      <c r="AF31" s="1019"/>
      <c r="AG31" s="119"/>
      <c r="AH31" s="236"/>
      <c r="AI31" s="236"/>
      <c r="AJ31" s="236"/>
      <c r="AK31" s="236"/>
      <c r="AL31" s="236"/>
      <c r="AM31" s="236"/>
      <c r="AN31" s="236"/>
      <c r="AO31" s="236"/>
      <c r="AP31" s="236"/>
      <c r="AQ31" s="236"/>
      <c r="AR31" s="236"/>
      <c r="AS31" s="236"/>
      <c r="AT31" s="236"/>
      <c r="AU31" s="236"/>
      <c r="AV31" s="236"/>
    </row>
    <row r="32" s="118" customFormat="1" ht="15.95" customHeight="1">
      <c r="B32" s="979"/>
      <c r="C32" s="270" t="s">
        <v>221</v>
      </c>
      <c r="D32" s="270" t="s">
        <v>224</v>
      </c>
      <c r="E32" s="270" t="s">
        <v>226</v>
      </c>
      <c r="F32" s="270" t="s">
        <v>228</v>
      </c>
      <c r="G32" s="270" t="s">
        <v>229</v>
      </c>
      <c r="H32" s="1020" t="s">
        <v>230</v>
      </c>
      <c r="I32" s="270" t="s">
        <v>232</v>
      </c>
      <c r="J32" s="270" t="s">
        <v>233</v>
      </c>
      <c r="K32" s="270" t="s">
        <v>234</v>
      </c>
      <c r="L32" s="270" t="s">
        <v>235</v>
      </c>
      <c r="M32" s="270" t="s">
        <v>236</v>
      </c>
      <c r="N32" s="270" t="s">
        <v>237</v>
      </c>
      <c r="O32" s="270" t="s">
        <v>221</v>
      </c>
      <c r="P32" s="270" t="s">
        <v>224</v>
      </c>
      <c r="Q32" s="270" t="s">
        <v>226</v>
      </c>
      <c r="R32" s="270" t="s">
        <v>228</v>
      </c>
      <c r="S32" s="270" t="s">
        <v>229</v>
      </c>
      <c r="T32" s="1020" t="s">
        <v>230</v>
      </c>
      <c r="U32" s="144"/>
      <c r="V32" s="269">
        <v>2018</v>
      </c>
      <c r="W32" s="270">
        <v>2019</v>
      </c>
      <c r="X32" s="271">
        <v>2020</v>
      </c>
      <c r="Y32" s="144"/>
      <c r="Z32" s="269">
        <v>2018</v>
      </c>
      <c r="AA32" s="270">
        <v>2019</v>
      </c>
      <c r="AB32" s="271">
        <v>2020</v>
      </c>
      <c r="AC32" s="144"/>
      <c r="AD32" s="269">
        <v>2018</v>
      </c>
      <c r="AE32" s="270">
        <v>2019</v>
      </c>
      <c r="AF32" s="271">
        <v>2020</v>
      </c>
      <c r="AG32" s="144"/>
      <c r="AH32" s="236"/>
      <c r="AI32" s="236"/>
      <c r="AJ32" s="236"/>
      <c r="AK32" s="236"/>
      <c r="AL32" s="236"/>
      <c r="AM32" s="236"/>
      <c r="AN32" s="236"/>
      <c r="AO32" s="236"/>
      <c r="AP32" s="236"/>
      <c r="AQ32" s="236"/>
      <c r="AR32" s="236"/>
      <c r="AS32" s="236"/>
      <c r="AT32" s="236"/>
      <c r="AU32" s="236"/>
      <c r="AV32" s="236"/>
    </row>
    <row r="33" ht="21.95" customHeight="1">
      <c r="B33" s="264" t="s">
        <v>19</v>
      </c>
      <c r="C33" s="579">
        <v>157.459600000</v>
      </c>
      <c r="D33" s="580">
        <v>135.79799785484447622452627816</v>
      </c>
      <c r="E33" s="580">
        <v>123.77199621570482497634815516</v>
      </c>
      <c r="F33" s="580">
        <v>143.73379714390333211277920176</v>
      </c>
      <c r="G33" s="580">
        <v>169.70768712070128118678354686</v>
      </c>
      <c r="H33" s="1025">
        <v>250.6255380200860832137733142</v>
      </c>
      <c r="I33" s="580">
        <v>311.19657399606852007862959843</v>
      </c>
      <c r="J33" s="580">
        <v>334.91791044776119402985074627</v>
      </c>
      <c r="K33" s="580">
        <v>223.30911330049261083743842365</v>
      </c>
      <c r="L33" s="580"/>
      <c r="M33" s="580"/>
      <c r="N33" s="580">
        <v>125.16016713091922005571030641</v>
      </c>
      <c r="O33" s="580">
        <v>137.33955223880597014925373134</v>
      </c>
      <c r="P33" s="580">
        <v>110.25358851674641148325358852</v>
      </c>
      <c r="Q33" s="580">
        <v>112.30937167199148029818956337</v>
      </c>
      <c r="R33" s="580">
        <v>119.25265588914549653579676674</v>
      </c>
      <c r="S33" s="580">
        <v>126.34193862640038967364831953</v>
      </c>
      <c r="T33" s="1025">
        <v>165.20900102284350494374360723</v>
      </c>
      <c r="U33" s="113"/>
      <c r="V33" s="579">
        <v>180.11384928716904276985743381</v>
      </c>
      <c r="W33" s="580">
        <v>194.69180690332882938213978627</v>
      </c>
      <c r="X33" s="581">
        <v>205.63515078286260887076473846</v>
      </c>
      <c r="Y33" s="113"/>
      <c r="Z33" s="579">
        <v>204.15642458100558659217877095</v>
      </c>
      <c r="AA33" s="580">
        <v>192.69440209104770202570246134</v>
      </c>
      <c r="AB33" s="581">
        <v>140.13704377010208362466787862</v>
      </c>
      <c r="AC33" s="113"/>
      <c r="AD33" s="579">
        <v>180.11384928716904276985743381</v>
      </c>
      <c r="AE33" s="580">
        <v>194.69180690332882938213978627</v>
      </c>
      <c r="AF33" s="581">
        <v>205.63515078286260887076473846</v>
      </c>
      <c r="AG33" s="113"/>
    </row>
    <row r="34" ht="21.95" customHeight="1">
      <c r="B34" s="38" t="s">
        <v>35</v>
      </c>
      <c r="C34" s="277">
        <v>187.21150412565861417635947908</v>
      </c>
      <c r="D34" s="94">
        <v>173.81392041487982447392041487</v>
      </c>
      <c r="E34" s="94">
        <v>154.07413062890674830973338438</v>
      </c>
      <c r="F34" s="94">
        <v>175.51108740334736223940491339</v>
      </c>
      <c r="G34" s="94">
        <v>206.86458405943318352746950383</v>
      </c>
      <c r="H34" s="1026">
        <v>333.06474573018614469391671463</v>
      </c>
      <c r="I34" s="94">
        <v>329.63085370022218424200991284</v>
      </c>
      <c r="J34" s="94">
        <v>377.12751106390511594972561514</v>
      </c>
      <c r="K34" s="94">
        <v>289.54984532374100719424460431</v>
      </c>
      <c r="L34" s="94"/>
      <c r="M34" s="94"/>
      <c r="N34" s="94"/>
      <c r="O34" s="94"/>
      <c r="P34" s="94"/>
      <c r="Q34" s="94"/>
      <c r="R34" s="94"/>
      <c r="S34" s="94"/>
      <c r="T34" s="1026">
        <v>225.64332410611303344867358707</v>
      </c>
      <c r="U34" s="113"/>
      <c r="V34" s="277">
        <v>242.6501180390515818812029719</v>
      </c>
      <c r="W34" s="94">
        <v>240.44190417949133322533614126</v>
      </c>
      <c r="X34" s="278"/>
      <c r="Y34" s="113"/>
      <c r="Z34" s="277">
        <v>250.55590212050258879398476404</v>
      </c>
      <c r="AA34" s="94">
        <v>238.40727030625832223701731026</v>
      </c>
      <c r="AB34" s="278"/>
      <c r="AC34" s="113"/>
      <c r="AD34" s="277">
        <v>242.6501180390515818812029719</v>
      </c>
      <c r="AE34" s="94">
        <v>240.44190417949133322533614126</v>
      </c>
      <c r="AF34" s="278"/>
      <c r="AG34" s="113"/>
    </row>
    <row r="35" ht="21.95" customHeight="1">
      <c r="B35" s="40" t="s">
        <v>101</v>
      </c>
      <c r="C35" s="577">
        <v>84.10786545163977842950955662</v>
      </c>
      <c r="D35" s="113">
        <v>78.128378630840151408228243250</v>
      </c>
      <c r="E35" s="113">
        <v>80.33275651823359192743770781</v>
      </c>
      <c r="F35" s="113">
        <v>81.89442574279328921147544690</v>
      </c>
      <c r="G35" s="113">
        <v>82.03805783978153153006345725</v>
      </c>
      <c r="H35" s="1023">
        <v>75.248293682549159811318822090</v>
      </c>
      <c r="I35" s="113">
        <v>94.40759883450763312777822907</v>
      </c>
      <c r="J35" s="113">
        <v>88.80760502009851810296131965</v>
      </c>
      <c r="K35" s="113">
        <v>77.122857051024944131285159970</v>
      </c>
      <c r="L35" s="113"/>
      <c r="M35" s="113"/>
      <c r="N35" s="113"/>
      <c r="O35" s="113"/>
      <c r="P35" s="113"/>
      <c r="Q35" s="113"/>
      <c r="R35" s="113"/>
      <c r="S35" s="113"/>
      <c r="T35" s="1023">
        <v>73.216879638393756760550008220</v>
      </c>
      <c r="U35" s="113"/>
      <c r="V35" s="577">
        <v>74.227802047960228840474327970</v>
      </c>
      <c r="W35" s="113">
        <v>80.97249419468505789502135485</v>
      </c>
      <c r="X35" s="578"/>
      <c r="Y35" s="113"/>
      <c r="Z35" s="577">
        <v>81.48138712885653985379196786</v>
      </c>
      <c r="AA35" s="113">
        <v>80.82572391500988876206229494</v>
      </c>
      <c r="AB35" s="578"/>
      <c r="AC35" s="113"/>
      <c r="AD35" s="577">
        <v>74.227802047960228840474327970</v>
      </c>
      <c r="AE35" s="113">
        <v>80.97249419468505789502135485</v>
      </c>
      <c r="AF35" s="578"/>
      <c r="AG35" s="113"/>
    </row>
    <row r="36" ht="21.95" customHeight="1">
      <c r="A36" s="23"/>
      <c r="B36" s="39" t="s">
        <v>23</v>
      </c>
      <c r="C36" s="274" t="s">
        <v>223</v>
      </c>
      <c r="D36" s="275" t="s">
        <v>222</v>
      </c>
      <c r="E36" s="275" t="s">
        <v>225</v>
      </c>
      <c r="F36" s="275" t="s">
        <v>223</v>
      </c>
      <c r="G36" s="275" t="s">
        <v>223</v>
      </c>
      <c r="H36" s="1024" t="s">
        <v>225</v>
      </c>
      <c r="I36" s="275" t="s">
        <v>223</v>
      </c>
      <c r="J36" s="275" t="s">
        <v>223</v>
      </c>
      <c r="K36" s="275" t="s">
        <v>222</v>
      </c>
      <c r="L36" s="275"/>
      <c r="M36" s="275"/>
      <c r="N36" s="275"/>
      <c r="O36" s="275"/>
      <c r="P36" s="275"/>
      <c r="Q36" s="275"/>
      <c r="R36" s="275"/>
      <c r="S36" s="275"/>
      <c r="T36" s="1024" t="s">
        <v>239</v>
      </c>
      <c r="U36" s="113"/>
      <c r="V36" s="274" t="s">
        <v>227</v>
      </c>
      <c r="W36" s="275" t="s">
        <v>223</v>
      </c>
      <c r="X36" s="276"/>
      <c r="Y36" s="113"/>
      <c r="Z36" s="274" t="s">
        <v>223</v>
      </c>
      <c r="AA36" s="275" t="s">
        <v>223</v>
      </c>
      <c r="AB36" s="276"/>
      <c r="AC36" s="113"/>
      <c r="AD36" s="274" t="s">
        <v>227</v>
      </c>
      <c r="AE36" s="275" t="s">
        <v>223</v>
      </c>
      <c r="AF36" s="276"/>
      <c r="AG36" s="113"/>
    </row>
    <row r="37" ht="21.95" customHeight="1">
      <c r="B37" s="25" t="s">
        <v>70</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4">
        <v>9.931641515438440715523304010</v>
      </c>
      <c r="D38" s="575">
        <v>-6.2301543771215364156719831700</v>
      </c>
      <c r="E38" s="575">
        <v>-11.033059542831884678744901230</v>
      </c>
      <c r="F38" s="575">
        <v>-7.7556985622953634753938267300</v>
      </c>
      <c r="G38" s="575">
        <v>-2.4383257253700759834972395700</v>
      </c>
      <c r="H38" s="1021">
        <v>-8.499851195866898020326574740</v>
      </c>
      <c r="I38" s="575">
        <v>37.752036054229462108923497320</v>
      </c>
      <c r="J38" s="575">
        <v>28.027652834475403158901673760</v>
      </c>
      <c r="K38" s="575">
        <v>-15.013986815515959809601842740</v>
      </c>
      <c r="L38" s="575"/>
      <c r="M38" s="575"/>
      <c r="N38" s="575">
        <v>-18.340682159019836158400558070</v>
      </c>
      <c r="O38" s="575">
        <v>-12.777911134788879084378639770</v>
      </c>
      <c r="P38" s="575">
        <v>-18.810593485629059303667120270</v>
      </c>
      <c r="Q38" s="575">
        <v>-9.261080772856524513146087220</v>
      </c>
      <c r="R38" s="575">
        <v>-17.032278935933083750255142840</v>
      </c>
      <c r="S38" s="575">
        <v>-25.553202232647157010678208780</v>
      </c>
      <c r="T38" s="1021">
        <v>-34.081338107849556950305522910</v>
      </c>
      <c r="U38" s="113"/>
      <c r="V38" s="574">
        <v>-22.012809132085917965566863110</v>
      </c>
      <c r="W38" s="575">
        <v>8.093746079968039254002769300</v>
      </c>
      <c r="X38" s="576">
        <v>5.6208548544456858809412660900</v>
      </c>
      <c r="Y38" s="113"/>
      <c r="Z38" s="574">
        <v>-19.315697869764938667618091930</v>
      </c>
      <c r="AA38" s="575">
        <v>-5.6143334766376459539165373800</v>
      </c>
      <c r="AB38" s="576">
        <v>-27.274979319903842615145905690</v>
      </c>
      <c r="AC38" s="113"/>
      <c r="AD38" s="574">
        <v>-22.012809132085917965566863110</v>
      </c>
      <c r="AE38" s="575">
        <v>8.093746079968039254002769300</v>
      </c>
      <c r="AF38" s="576">
        <v>5.6208548544456858809412660900</v>
      </c>
      <c r="AG38" s="113"/>
    </row>
    <row r="39" ht="21.95" customHeight="1">
      <c r="B39" s="38" t="s">
        <v>35</v>
      </c>
      <c r="C39" s="272">
        <v>-2.9960098024189845405908879800</v>
      </c>
      <c r="D39" s="92">
        <v>-4.4829506115424920357384767400</v>
      </c>
      <c r="E39" s="92">
        <v>-9.718190624874190088500103220</v>
      </c>
      <c r="F39" s="92">
        <v>-7.362204401355829988281262300</v>
      </c>
      <c r="G39" s="92">
        <v>-0.9473861889478285079990536600</v>
      </c>
      <c r="H39" s="1022">
        <v>-4.7133941585645282914268124700</v>
      </c>
      <c r="I39" s="92">
        <v>18.158011902391254668619050730</v>
      </c>
      <c r="J39" s="92">
        <v>17.554285143931346389349703490</v>
      </c>
      <c r="K39" s="92">
        <v>-11.441752488146224481491397100</v>
      </c>
      <c r="L39" s="92"/>
      <c r="M39" s="92"/>
      <c r="N39" s="92"/>
      <c r="O39" s="92"/>
      <c r="P39" s="92"/>
      <c r="Q39" s="92"/>
      <c r="R39" s="92"/>
      <c r="S39" s="92"/>
      <c r="T39" s="1022">
        <v>-32.252414283166010506540733020</v>
      </c>
      <c r="U39" s="113"/>
      <c r="V39" s="272">
        <v>5.9877549584533072522146834600</v>
      </c>
      <c r="W39" s="92">
        <v>-0.9100402989315107291139448100</v>
      </c>
      <c r="X39" s="273"/>
      <c r="Y39" s="113"/>
      <c r="Z39" s="272">
        <v>3.3504671453674004480150441500</v>
      </c>
      <c r="AA39" s="92">
        <v>-4.8486711793368540421605047600</v>
      </c>
      <c r="AB39" s="273"/>
      <c r="AC39" s="113"/>
      <c r="AD39" s="272">
        <v>5.9877549584533072522146834600</v>
      </c>
      <c r="AE39" s="92">
        <v>-0.9100402989315107291139448100</v>
      </c>
      <c r="AF39" s="273"/>
      <c r="AG39" s="113"/>
    </row>
    <row r="40" ht="21.95" customHeight="1">
      <c r="B40" s="40" t="s">
        <v>101</v>
      </c>
      <c r="C40" s="577">
        <v>13.326927368169027719940098770</v>
      </c>
      <c r="D40" s="113">
        <v>-1.8292061749869969884126435200</v>
      </c>
      <c r="E40" s="113">
        <v>-1.4564051463505156275774900400</v>
      </c>
      <c r="F40" s="113">
        <v>-0.4247663260947593147843403200</v>
      </c>
      <c r="G40" s="113">
        <v>-1.5051995894487846776794617500</v>
      </c>
      <c r="H40" s="1023">
        <v>-3.9737558116020386821414271500</v>
      </c>
      <c r="I40" s="113">
        <v>16.582899319620041851881933650</v>
      </c>
      <c r="J40" s="113">
        <v>8.909388269190403632374134400</v>
      </c>
      <c r="K40" s="113">
        <v>-4.033768087937356161016075600</v>
      </c>
      <c r="L40" s="113"/>
      <c r="M40" s="113"/>
      <c r="N40" s="113"/>
      <c r="O40" s="113"/>
      <c r="P40" s="113"/>
      <c r="Q40" s="113"/>
      <c r="R40" s="113"/>
      <c r="S40" s="113"/>
      <c r="T40" s="1023">
        <v>-2.6996147616653645244544367700</v>
      </c>
      <c r="U40" s="113"/>
      <c r="V40" s="577">
        <v>-26.418678366680483369811838420</v>
      </c>
      <c r="W40" s="113">
        <v>9.086476981181436439186743700</v>
      </c>
      <c r="X40" s="578"/>
      <c r="Y40" s="113"/>
      <c r="Z40" s="577">
        <v>-21.931361938839897435873401660</v>
      </c>
      <c r="AA40" s="113">
        <v>-0.8046785124187566955382059800</v>
      </c>
      <c r="AB40" s="578"/>
      <c r="AC40" s="113"/>
      <c r="AD40" s="577">
        <v>-26.418678366680483369811838420</v>
      </c>
      <c r="AE40" s="113">
        <v>9.086476981181436439186743700</v>
      </c>
      <c r="AF40" s="578"/>
      <c r="AG40" s="113"/>
    </row>
    <row r="41" ht="21.95" customHeight="1">
      <c r="A41" s="23"/>
      <c r="B41" s="39" t="s">
        <v>23</v>
      </c>
      <c r="C41" s="274" t="s">
        <v>241</v>
      </c>
      <c r="D41" s="275" t="s">
        <v>225</v>
      </c>
      <c r="E41" s="275" t="s">
        <v>225</v>
      </c>
      <c r="F41" s="275" t="s">
        <v>223</v>
      </c>
      <c r="G41" s="275" t="s">
        <v>225</v>
      </c>
      <c r="H41" s="1024" t="s">
        <v>223</v>
      </c>
      <c r="I41" s="275" t="s">
        <v>241</v>
      </c>
      <c r="J41" s="275" t="s">
        <v>241</v>
      </c>
      <c r="K41" s="275" t="s">
        <v>225</v>
      </c>
      <c r="L41" s="275"/>
      <c r="M41" s="275"/>
      <c r="N41" s="275"/>
      <c r="O41" s="275"/>
      <c r="P41" s="275"/>
      <c r="Q41" s="275"/>
      <c r="R41" s="275"/>
      <c r="S41" s="275"/>
      <c r="T41" s="1024" t="s">
        <v>239</v>
      </c>
      <c r="U41" s="113"/>
      <c r="V41" s="274" t="s">
        <v>227</v>
      </c>
      <c r="W41" s="275" t="s">
        <v>241</v>
      </c>
      <c r="X41" s="276"/>
      <c r="Y41" s="113"/>
      <c r="Z41" s="274" t="s">
        <v>227</v>
      </c>
      <c r="AA41" s="275" t="s">
        <v>225</v>
      </c>
      <c r="AB41" s="276"/>
      <c r="AC41" s="113"/>
      <c r="AD41" s="274" t="s">
        <v>227</v>
      </c>
      <c r="AE41" s="275" t="s">
        <v>241</v>
      </c>
      <c r="AF41" s="276"/>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79" t="s">
        <v>10</v>
      </c>
      <c r="C43" s="1017">
        <v>2019</v>
      </c>
      <c r="D43" s="1017"/>
      <c r="E43" s="1017"/>
      <c r="F43" s="1017"/>
      <c r="G43" s="1017"/>
      <c r="H43" s="1017"/>
      <c r="I43" s="1017">
        <v>2020</v>
      </c>
      <c r="J43" s="1017"/>
      <c r="K43" s="1017"/>
      <c r="L43" s="1017"/>
      <c r="M43" s="1017"/>
      <c r="N43" s="1017"/>
      <c r="O43" s="1017"/>
      <c r="P43" s="1017"/>
      <c r="Q43" s="1017"/>
      <c r="R43" s="1017"/>
      <c r="S43" s="1017"/>
      <c r="T43" s="1017"/>
      <c r="U43" s="119"/>
      <c r="V43" s="1018" t="s">
        <v>60</v>
      </c>
      <c r="W43" s="1018"/>
      <c r="X43" s="1018"/>
      <c r="Y43" s="119"/>
      <c r="Z43" s="1018" t="s">
        <v>44</v>
      </c>
      <c r="AA43" s="1018"/>
      <c r="AB43" s="1018"/>
      <c r="AC43" s="119"/>
      <c r="AD43" s="1019" t="s">
        <v>45</v>
      </c>
      <c r="AE43" s="1019"/>
      <c r="AF43" s="1019"/>
      <c r="AG43" s="119"/>
      <c r="AH43" s="236"/>
      <c r="AI43" s="236"/>
      <c r="AJ43" s="236"/>
      <c r="AK43" s="236"/>
      <c r="AL43" s="236"/>
      <c r="AM43" s="236"/>
      <c r="AN43" s="236"/>
      <c r="AO43" s="236"/>
      <c r="AP43" s="236"/>
      <c r="AQ43" s="236"/>
      <c r="AR43" s="236"/>
      <c r="AS43" s="236"/>
      <c r="AT43" s="236"/>
      <c r="AU43" s="236"/>
      <c r="AV43" s="236"/>
    </row>
    <row r="44" s="118" customFormat="1" ht="15.95" customHeight="1">
      <c r="B44" s="979"/>
      <c r="C44" s="270" t="s">
        <v>221</v>
      </c>
      <c r="D44" s="270" t="s">
        <v>224</v>
      </c>
      <c r="E44" s="270" t="s">
        <v>226</v>
      </c>
      <c r="F44" s="270" t="s">
        <v>228</v>
      </c>
      <c r="G44" s="270" t="s">
        <v>229</v>
      </c>
      <c r="H44" s="1020" t="s">
        <v>230</v>
      </c>
      <c r="I44" s="270" t="s">
        <v>232</v>
      </c>
      <c r="J44" s="270" t="s">
        <v>233</v>
      </c>
      <c r="K44" s="270" t="s">
        <v>234</v>
      </c>
      <c r="L44" s="270" t="s">
        <v>235</v>
      </c>
      <c r="M44" s="270" t="s">
        <v>236</v>
      </c>
      <c r="N44" s="270" t="s">
        <v>237</v>
      </c>
      <c r="O44" s="270" t="s">
        <v>221</v>
      </c>
      <c r="P44" s="270" t="s">
        <v>224</v>
      </c>
      <c r="Q44" s="270" t="s">
        <v>226</v>
      </c>
      <c r="R44" s="270" t="s">
        <v>228</v>
      </c>
      <c r="S44" s="270" t="s">
        <v>229</v>
      </c>
      <c r="T44" s="1020" t="s">
        <v>230</v>
      </c>
      <c r="U44" s="144"/>
      <c r="V44" s="269">
        <v>2018</v>
      </c>
      <c r="W44" s="270">
        <v>2019</v>
      </c>
      <c r="X44" s="271">
        <v>2020</v>
      </c>
      <c r="Y44" s="144"/>
      <c r="Z44" s="269">
        <v>2018</v>
      </c>
      <c r="AA44" s="270">
        <v>2019</v>
      </c>
      <c r="AB44" s="271">
        <v>2020</v>
      </c>
      <c r="AC44" s="144"/>
      <c r="AD44" s="269">
        <v>2018</v>
      </c>
      <c r="AE44" s="270">
        <v>2019</v>
      </c>
      <c r="AF44" s="271">
        <v>2020</v>
      </c>
      <c r="AG44" s="144"/>
      <c r="AH44" s="236"/>
      <c r="AI44" s="236"/>
      <c r="AJ44" s="236"/>
      <c r="AK44" s="236"/>
      <c r="AL44" s="236"/>
      <c r="AM44" s="236"/>
      <c r="AN44" s="236"/>
      <c r="AO44" s="236"/>
      <c r="AP44" s="236"/>
      <c r="AQ44" s="236"/>
      <c r="AR44" s="236"/>
      <c r="AS44" s="236"/>
      <c r="AT44" s="236"/>
      <c r="AU44" s="236"/>
      <c r="AV44" s="236"/>
    </row>
    <row r="45" ht="21.95" customHeight="1">
      <c r="B45" s="264" t="s">
        <v>19</v>
      </c>
      <c r="C45" s="579">
        <v>96.19965786901270772238514174</v>
      </c>
      <c r="D45" s="580">
        <v>92.8218475073313782991202346</v>
      </c>
      <c r="E45" s="580">
        <v>66.074242424242424242424242424</v>
      </c>
      <c r="F45" s="580">
        <v>95.92790811339198435972629521</v>
      </c>
      <c r="G45" s="580">
        <v>127.10934343434343434343434343</v>
      </c>
      <c r="H45" s="1025">
        <v>213.44819159335288367546432063</v>
      </c>
      <c r="I45" s="580">
        <v>270.81402737047898338220918866</v>
      </c>
      <c r="J45" s="580">
        <v>293.09691745036572622779519331</v>
      </c>
      <c r="K45" s="580">
        <v>88.62512218963831867057673509</v>
      </c>
      <c r="L45" s="580"/>
      <c r="M45" s="580"/>
      <c r="N45" s="580">
        <v>22.693181818181818181818181818</v>
      </c>
      <c r="O45" s="580">
        <v>17.989736070381231671554252199</v>
      </c>
      <c r="P45" s="580">
        <v>28.15615835777126099706744868</v>
      </c>
      <c r="Q45" s="580">
        <v>53.261868686868686868686868687</v>
      </c>
      <c r="R45" s="580">
        <v>63.094330400782013685239491691</v>
      </c>
      <c r="S45" s="580">
        <v>65.500000000</v>
      </c>
      <c r="T45" s="1025">
        <v>118.41593352883675464320625611</v>
      </c>
      <c r="U45" s="113"/>
      <c r="V45" s="579">
        <v>71.221631634050092614963356688</v>
      </c>
      <c r="W45" s="580">
        <v>131.58870900788709007887090079</v>
      </c>
      <c r="X45" s="581">
        <v>101.45382513661202185792349727</v>
      </c>
      <c r="Y45" s="113"/>
      <c r="Z45" s="579">
        <v>96.29512516469038208168642951</v>
      </c>
      <c r="AA45" s="580">
        <v>145.6949934123847167325428195</v>
      </c>
      <c r="AB45" s="581">
        <v>82.51976284584980237154150198</v>
      </c>
      <c r="AC45" s="113"/>
      <c r="AD45" s="579">
        <v>71.221631634050092614963356688</v>
      </c>
      <c r="AE45" s="580">
        <v>131.58870900788709007887090079</v>
      </c>
      <c r="AF45" s="581">
        <v>101.45382513661202185792349727</v>
      </c>
      <c r="AG45" s="113"/>
    </row>
    <row r="46" ht="21.95" customHeight="1">
      <c r="B46" s="38" t="s">
        <v>35</v>
      </c>
      <c r="C46" s="277">
        <v>140.94457899857795075218920739</v>
      </c>
      <c r="D46" s="94">
        <v>130.44174687523388967891624878</v>
      </c>
      <c r="E46" s="94">
        <v>93.40967594740912606341840681</v>
      </c>
      <c r="F46" s="94">
        <v>134.21127011451238679739540454</v>
      </c>
      <c r="G46" s="94">
        <v>174.43500077339520494972931168</v>
      </c>
      <c r="H46" s="1026">
        <v>259.80097148417034653094828231</v>
      </c>
      <c r="I46" s="94">
        <v>288.70146321383130005239128808</v>
      </c>
      <c r="J46" s="94">
        <v>340.89020081606516347631753397</v>
      </c>
      <c r="K46" s="94">
        <v>120.49226405209190928822692912</v>
      </c>
      <c r="L46" s="94"/>
      <c r="M46" s="94"/>
      <c r="N46" s="94"/>
      <c r="O46" s="94"/>
      <c r="P46" s="94"/>
      <c r="Q46" s="94"/>
      <c r="R46" s="94"/>
      <c r="S46" s="94"/>
      <c r="T46" s="1026">
        <v>111.49707169725293514191268665</v>
      </c>
      <c r="U46" s="113"/>
      <c r="V46" s="277">
        <v>195.17197944914043299060731727</v>
      </c>
      <c r="W46" s="94">
        <v>188.69756533070590852747671869</v>
      </c>
      <c r="X46" s="278"/>
      <c r="Y46" s="113"/>
      <c r="Z46" s="277">
        <v>191.60714768485826692222334308</v>
      </c>
      <c r="AA46" s="94">
        <v>189.64597296479370523554927872</v>
      </c>
      <c r="AB46" s="278"/>
      <c r="AC46" s="113"/>
      <c r="AD46" s="277">
        <v>195.17197944914043299060731727</v>
      </c>
      <c r="AE46" s="94">
        <v>188.69756533070590852747671869</v>
      </c>
      <c r="AF46" s="278"/>
      <c r="AG46" s="113"/>
    </row>
    <row r="47" ht="21.95" customHeight="1">
      <c r="B47" s="40" t="s">
        <v>102</v>
      </c>
      <c r="C47" s="577">
        <v>68.253535221090913050725377290</v>
      </c>
      <c r="D47" s="113">
        <v>71.159617017483263675711189500</v>
      </c>
      <c r="E47" s="113">
        <v>70.735972214958855245155369680</v>
      </c>
      <c r="F47" s="113">
        <v>71.475300123114781804945190130</v>
      </c>
      <c r="G47" s="113">
        <v>72.869173543598899458677275600</v>
      </c>
      <c r="H47" s="1023">
        <v>82.15835005311297143658393589</v>
      </c>
      <c r="I47" s="113">
        <v>93.80417555067820882458313004</v>
      </c>
      <c r="J47" s="113">
        <v>85.97986001026548756118925584</v>
      </c>
      <c r="K47" s="113">
        <v>73.552541224823691267479098540</v>
      </c>
      <c r="L47" s="113"/>
      <c r="M47" s="113"/>
      <c r="N47" s="113"/>
      <c r="O47" s="113"/>
      <c r="P47" s="113"/>
      <c r="Q47" s="113"/>
      <c r="R47" s="113"/>
      <c r="S47" s="113"/>
      <c r="T47" s="1023">
        <v>106.20542021979783207117921127</v>
      </c>
      <c r="U47" s="113"/>
      <c r="V47" s="577">
        <v>36.491729927148496462397180250</v>
      </c>
      <c r="W47" s="113">
        <v>69.735244743231591455304373950</v>
      </c>
      <c r="X47" s="578"/>
      <c r="Y47" s="113"/>
      <c r="Z47" s="577">
        <v>50.256541224166499822058835460</v>
      </c>
      <c r="AA47" s="113">
        <v>76.824723000805218871786471480</v>
      </c>
      <c r="AB47" s="578"/>
      <c r="AC47" s="113"/>
      <c r="AD47" s="577">
        <v>36.491729927148496462397180250</v>
      </c>
      <c r="AE47" s="113">
        <v>69.735244743231591455304373950</v>
      </c>
      <c r="AF47" s="578"/>
      <c r="AG47" s="113"/>
    </row>
    <row r="48" ht="21.95" customHeight="1">
      <c r="A48" s="23"/>
      <c r="B48" s="39" t="s">
        <v>23</v>
      </c>
      <c r="C48" s="274" t="s">
        <v>222</v>
      </c>
      <c r="D48" s="275" t="s">
        <v>222</v>
      </c>
      <c r="E48" s="275" t="s">
        <v>227</v>
      </c>
      <c r="F48" s="275" t="s">
        <v>227</v>
      </c>
      <c r="G48" s="275" t="s">
        <v>222</v>
      </c>
      <c r="H48" s="1024" t="s">
        <v>225</v>
      </c>
      <c r="I48" s="275" t="s">
        <v>223</v>
      </c>
      <c r="J48" s="275" t="s">
        <v>225</v>
      </c>
      <c r="K48" s="275" t="s">
        <v>227</v>
      </c>
      <c r="L48" s="275"/>
      <c r="M48" s="275"/>
      <c r="N48" s="275"/>
      <c r="O48" s="275"/>
      <c r="P48" s="275"/>
      <c r="Q48" s="275"/>
      <c r="R48" s="275"/>
      <c r="S48" s="275"/>
      <c r="T48" s="1024" t="s">
        <v>240</v>
      </c>
      <c r="U48" s="113"/>
      <c r="V48" s="274" t="s">
        <v>227</v>
      </c>
      <c r="W48" s="275" t="s">
        <v>227</v>
      </c>
      <c r="X48" s="276"/>
      <c r="Y48" s="113"/>
      <c r="Z48" s="274" t="s">
        <v>227</v>
      </c>
      <c r="AA48" s="275" t="s">
        <v>225</v>
      </c>
      <c r="AB48" s="276"/>
      <c r="AC48" s="113"/>
      <c r="AD48" s="274" t="s">
        <v>227</v>
      </c>
      <c r="AE48" s="275" t="s">
        <v>227</v>
      </c>
      <c r="AF48" s="276"/>
      <c r="AG48" s="113"/>
    </row>
    <row r="49" ht="21.95" customHeight="1">
      <c r="B49" s="25" t="s">
        <v>70</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4">
        <v>51.144056158357195182365007180</v>
      </c>
      <c r="D50" s="575">
        <v>41.531463065473817752004353590</v>
      </c>
      <c r="E50" s="575">
        <v>28.204575409988681519518254110</v>
      </c>
      <c r="F50" s="575">
        <v>34.788222164992703236329298650</v>
      </c>
      <c r="G50" s="575">
        <v>61.748421407798968492424364140</v>
      </c>
      <c r="H50" s="1021">
        <v>54.047351972175777970609607260</v>
      </c>
      <c r="I50" s="575">
        <v>72.480661177605877134274463420</v>
      </c>
      <c r="J50" s="575">
        <v>57.154928166901692289537093480</v>
      </c>
      <c r="K50" s="575">
        <v>-54.344265494011881816339197030</v>
      </c>
      <c r="L50" s="575"/>
      <c r="M50" s="575"/>
      <c r="N50" s="575">
        <v>-73.055427293279523144178125320</v>
      </c>
      <c r="O50" s="575">
        <v>-81.29958414729873567569078037</v>
      </c>
      <c r="P50" s="575">
        <v>-69.666453411684793340125899420</v>
      </c>
      <c r="Q50" s="575">
        <v>-19.390874972291652334762701890</v>
      </c>
      <c r="R50" s="575">
        <v>-34.227346721455557055767991300</v>
      </c>
      <c r="S50" s="575">
        <v>-48.469563109785776582239501900</v>
      </c>
      <c r="T50" s="1021">
        <v>-44.522400192345122104805193320</v>
      </c>
      <c r="U50" s="113"/>
      <c r="V50" s="574">
        <v>-52.138562415091744216081502640</v>
      </c>
      <c r="W50" s="575">
        <v>84.75946982514273021582185234</v>
      </c>
      <c r="X50" s="576">
        <v>-22.900812766138514581284091810</v>
      </c>
      <c r="Y50" s="113"/>
      <c r="Z50" s="574">
        <v>-23.293847492367481746500691100</v>
      </c>
      <c r="AA50" s="575">
        <v>51.300487084063047285464098080</v>
      </c>
      <c r="AB50" s="576">
        <v>-43.361291343567020098116790630</v>
      </c>
      <c r="AC50" s="113"/>
      <c r="AD50" s="574">
        <v>-52.138562415091744216081502640</v>
      </c>
      <c r="AE50" s="575">
        <v>84.75946982514273021582185234</v>
      </c>
      <c r="AF50" s="576">
        <v>-22.900812766138514581284091810</v>
      </c>
      <c r="AG50" s="113"/>
    </row>
    <row r="51" ht="21.95" customHeight="1">
      <c r="B51" s="38" t="s">
        <v>35</v>
      </c>
      <c r="C51" s="272">
        <v>-10.284841415300182574795700110</v>
      </c>
      <c r="D51" s="92">
        <v>-12.390280441084574427584129730</v>
      </c>
      <c r="E51" s="92">
        <v>-16.503173231287019360990126140</v>
      </c>
      <c r="F51" s="92">
        <v>-1.8886329810980112978407439500</v>
      </c>
      <c r="G51" s="92">
        <v>4.274466388133805713747834100</v>
      </c>
      <c r="H51" s="1022">
        <v>-3.7622825778233853913412384500</v>
      </c>
      <c r="I51" s="92">
        <v>24.174679414618990761758431220</v>
      </c>
      <c r="J51" s="92">
        <v>20.621840419760701659458211150</v>
      </c>
      <c r="K51" s="92">
        <v>-58.353729496244016587760481080</v>
      </c>
      <c r="L51" s="92"/>
      <c r="M51" s="92"/>
      <c r="N51" s="92"/>
      <c r="O51" s="92"/>
      <c r="P51" s="92"/>
      <c r="Q51" s="92"/>
      <c r="R51" s="92"/>
      <c r="S51" s="92"/>
      <c r="T51" s="1022">
        <v>-57.083658671366268060382971960</v>
      </c>
      <c r="U51" s="113"/>
      <c r="V51" s="272">
        <v>6.5964135528885600264955505400</v>
      </c>
      <c r="W51" s="92">
        <v>-3.317286701045977819650463500</v>
      </c>
      <c r="X51" s="273"/>
      <c r="Y51" s="113"/>
      <c r="Z51" s="272">
        <v>-1.2440432519971876943649888600</v>
      </c>
      <c r="AA51" s="92">
        <v>-1.0235394366864442897413396200</v>
      </c>
      <c r="AB51" s="273"/>
      <c r="AC51" s="113"/>
      <c r="AD51" s="272">
        <v>6.5964135528885600264955505400</v>
      </c>
      <c r="AE51" s="92">
        <v>-3.317286701045977819650463500</v>
      </c>
      <c r="AF51" s="273"/>
      <c r="AG51" s="113"/>
    </row>
    <row r="52" ht="21.95" customHeight="1">
      <c r="B52" s="40" t="s">
        <v>102</v>
      </c>
      <c r="C52" s="577">
        <v>68.471034931808693377909915290</v>
      </c>
      <c r="D52" s="113">
        <v>61.547672767400332606654070180</v>
      </c>
      <c r="E52" s="113">
        <v>53.544248771413311194620369300</v>
      </c>
      <c r="F52" s="113">
        <v>37.382880557585755251614722720</v>
      </c>
      <c r="G52" s="113">
        <v>55.117956495441310244899552240</v>
      </c>
      <c r="H52" s="1023">
        <v>60.069623530657175015961886980</v>
      </c>
      <c r="I52" s="113">
        <v>38.901635978212044252468043290</v>
      </c>
      <c r="J52" s="113">
        <v>30.287290941679256144363664600</v>
      </c>
      <c r="K52" s="113">
        <v>9.627426306685805722547428200</v>
      </c>
      <c r="L52" s="113"/>
      <c r="M52" s="113"/>
      <c r="N52" s="113"/>
      <c r="O52" s="113"/>
      <c r="P52" s="113"/>
      <c r="Q52" s="113"/>
      <c r="R52" s="113"/>
      <c r="S52" s="113"/>
      <c r="T52" s="1023">
        <v>29.269173676369027347970412740</v>
      </c>
      <c r="U52" s="113"/>
      <c r="V52" s="577">
        <v>-55.100330311618348182905290970</v>
      </c>
      <c r="W52" s="113">
        <v>91.09876369919955576768213360</v>
      </c>
      <c r="X52" s="578"/>
      <c r="Y52" s="113"/>
      <c r="Z52" s="577">
        <v>-22.327568854033928955621543140</v>
      </c>
      <c r="AA52" s="113">
        <v>52.865121891561987281910522510</v>
      </c>
      <c r="AB52" s="578"/>
      <c r="AC52" s="113"/>
      <c r="AD52" s="577">
        <v>-55.100330311618348182905290970</v>
      </c>
      <c r="AE52" s="113">
        <v>91.09876369919955576768213360</v>
      </c>
      <c r="AF52" s="578"/>
      <c r="AG52" s="113"/>
    </row>
    <row r="53" ht="21.95" customHeight="1">
      <c r="A53" s="23"/>
      <c r="B53" s="39" t="s">
        <v>23</v>
      </c>
      <c r="C53" s="274" t="s">
        <v>241</v>
      </c>
      <c r="D53" s="275" t="s">
        <v>241</v>
      </c>
      <c r="E53" s="275" t="s">
        <v>241</v>
      </c>
      <c r="F53" s="275" t="s">
        <v>241</v>
      </c>
      <c r="G53" s="275" t="s">
        <v>241</v>
      </c>
      <c r="H53" s="1024" t="s">
        <v>241</v>
      </c>
      <c r="I53" s="275" t="s">
        <v>241</v>
      </c>
      <c r="J53" s="275" t="s">
        <v>241</v>
      </c>
      <c r="K53" s="275" t="s">
        <v>241</v>
      </c>
      <c r="L53" s="275"/>
      <c r="M53" s="275"/>
      <c r="N53" s="275"/>
      <c r="O53" s="275"/>
      <c r="P53" s="275"/>
      <c r="Q53" s="275"/>
      <c r="R53" s="275"/>
      <c r="S53" s="275"/>
      <c r="T53" s="1024" t="s">
        <v>240</v>
      </c>
      <c r="U53" s="113"/>
      <c r="V53" s="274" t="s">
        <v>227</v>
      </c>
      <c r="W53" s="275" t="s">
        <v>241</v>
      </c>
      <c r="X53" s="276"/>
      <c r="Y53" s="113"/>
      <c r="Z53" s="274" t="s">
        <v>227</v>
      </c>
      <c r="AA53" s="275" t="s">
        <v>241</v>
      </c>
      <c r="AB53" s="276"/>
      <c r="AC53" s="113"/>
      <c r="AD53" s="274" t="s">
        <v>227</v>
      </c>
      <c r="AE53" s="275" t="s">
        <v>241</v>
      </c>
      <c r="AF53" s="276"/>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27" t="s">
        <v>103</v>
      </c>
      <c r="C55" s="1027"/>
      <c r="D55" s="1027"/>
      <c r="E55" s="1027"/>
      <c r="F55" s="1027"/>
      <c r="G55" s="1027"/>
      <c r="H55" s="1027"/>
      <c r="I55" s="1027"/>
      <c r="J55" s="1027"/>
      <c r="K55" s="1027"/>
      <c r="L55" s="1027"/>
      <c r="M55" s="1027"/>
      <c r="N55" s="1027"/>
      <c r="O55" s="1027"/>
      <c r="P55" s="1027"/>
      <c r="Q55" s="1027"/>
      <c r="R55" s="1027"/>
      <c r="S55" s="1027"/>
      <c r="T55" s="1027"/>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28" t="s">
        <v>129</v>
      </c>
      <c r="C57" s="1028"/>
      <c r="D57" s="1028"/>
      <c r="E57" s="1028"/>
      <c r="F57" s="1028"/>
      <c r="G57" s="1028"/>
      <c r="H57" s="1028"/>
      <c r="I57" s="1028"/>
      <c r="J57" s="1028"/>
      <c r="K57" s="1028"/>
      <c r="L57" s="1028"/>
      <c r="M57" s="1028"/>
      <c r="N57" s="1028"/>
      <c r="O57" s="1028"/>
      <c r="P57" s="1028"/>
      <c r="Q57" s="1028"/>
      <c r="R57" s="1028"/>
      <c r="S57" s="1028"/>
      <c r="T57" s="1028"/>
      <c r="U57" s="1028"/>
      <c r="V57" s="1028"/>
      <c r="W57" s="1028"/>
      <c r="X57" s="1028"/>
      <c r="Y57" s="1028"/>
      <c r="Z57" s="1028"/>
      <c r="AA57" s="1028"/>
      <c r="AB57" s="1028"/>
      <c r="AC57" s="1028"/>
      <c r="AD57" s="1028"/>
      <c r="AE57" s="1028"/>
      <c r="AF57" s="1028"/>
    </row>
    <row r="58">
      <c r="A58"/>
    </row>
    <row r="59" s="282" customFormat="1">
      <c r="A59" s="1029"/>
      <c r="B59" s="1029" t="s">
        <v>112</v>
      </c>
      <c r="C59" s="1029"/>
      <c r="D59" s="1029"/>
      <c r="E59" s="1029"/>
      <c r="F59" s="1029"/>
      <c r="G59" s="1029"/>
      <c r="H59" s="1029"/>
      <c r="I59" s="1029"/>
      <c r="J59" s="1029"/>
      <c r="K59" s="1029"/>
      <c r="L59" s="1029"/>
      <c r="M59" s="1029"/>
      <c r="N59" s="1029"/>
      <c r="O59" s="1029"/>
      <c r="P59" s="1029"/>
      <c r="Q59" s="1029"/>
      <c r="R59" s="1029"/>
      <c r="S59" s="1029"/>
      <c r="T59" s="1029"/>
      <c r="U59" s="1029"/>
      <c r="V59" s="1029"/>
      <c r="W59" s="1029"/>
      <c r="X59" s="1029"/>
      <c r="Y59" s="1029"/>
      <c r="Z59" s="1029"/>
      <c r="AA59" s="1029"/>
      <c r="AB59" s="1029"/>
      <c r="AC59" s="1029"/>
      <c r="AD59" s="1029"/>
      <c r="AE59" s="1029"/>
      <c r="AF59" s="1029"/>
      <c r="AG59" s="1029"/>
    </row>
    <row r="60" s="282" customFormat="1">
      <c r="A60" s="1029"/>
      <c r="B60" s="1029" t="s">
        <v>113</v>
      </c>
      <c r="C60" s="1029">
        <v>100</v>
      </c>
      <c r="D60" s="1029">
        <v>100</v>
      </c>
      <c r="E60" s="1029">
        <v>100</v>
      </c>
      <c r="F60" s="1029">
        <v>100</v>
      </c>
      <c r="G60" s="1029">
        <v>100</v>
      </c>
      <c r="H60" s="1029">
        <v>100</v>
      </c>
      <c r="I60" s="1029">
        <v>100</v>
      </c>
      <c r="J60" s="1029">
        <v>100</v>
      </c>
      <c r="K60" s="1029">
        <v>100</v>
      </c>
      <c r="L60" s="1029">
        <v>100</v>
      </c>
      <c r="M60" s="1029">
        <v>100</v>
      </c>
      <c r="N60" s="1029">
        <v>100</v>
      </c>
      <c r="O60" s="1029">
        <v>100</v>
      </c>
      <c r="P60" s="1029">
        <v>100</v>
      </c>
      <c r="Q60" s="1029">
        <v>100</v>
      </c>
      <c r="R60" s="1029">
        <v>100</v>
      </c>
      <c r="S60" s="1029">
        <v>100</v>
      </c>
      <c r="T60" s="1029">
        <v>100</v>
      </c>
      <c r="U60" s="1029"/>
      <c r="V60" s="1029"/>
      <c r="W60" s="1029"/>
      <c r="X60" s="1029"/>
      <c r="Y60" s="1029"/>
      <c r="Z60" s="1029"/>
      <c r="AA60" s="1029"/>
      <c r="AB60" s="1029"/>
      <c r="AC60" s="1029"/>
      <c r="AD60" s="1029"/>
      <c r="AE60" s="1029"/>
      <c r="AF60" s="1029"/>
      <c r="AG60" s="1029"/>
    </row>
    <row r="61" s="282" customFormat="1">
      <c r="A61" s="1029"/>
      <c r="B61" s="1029" t="s">
        <v>114</v>
      </c>
      <c r="C61" s="1029"/>
      <c r="D61" s="1029"/>
      <c r="E61" s="1029"/>
      <c r="F61" s="1029"/>
      <c r="G61" s="1029"/>
      <c r="H61" s="1029"/>
      <c r="I61" s="1029"/>
      <c r="J61" s="1029"/>
      <c r="K61" s="1029"/>
      <c r="L61" s="1029"/>
      <c r="M61" s="1029"/>
      <c r="N61" s="1029"/>
      <c r="O61" s="1029"/>
      <c r="P61" s="1029"/>
      <c r="Q61" s="1029"/>
      <c r="R61" s="1029"/>
      <c r="S61" s="1029"/>
      <c r="T61" s="1029"/>
      <c r="U61" s="1029"/>
      <c r="V61" s="1029"/>
      <c r="W61" s="1029"/>
      <c r="X61" s="1029"/>
      <c r="Y61" s="1029"/>
      <c r="Z61" s="1029"/>
      <c r="AA61" s="1029"/>
      <c r="AB61" s="1029"/>
      <c r="AC61" s="1029"/>
      <c r="AD61" s="1029"/>
      <c r="AE61" s="1029"/>
      <c r="AF61" s="1029"/>
      <c r="AG61" s="1029"/>
    </row>
    <row r="62" s="282" customFormat="1">
      <c r="A62" s="1029"/>
      <c r="B62" s="1029"/>
      <c r="C62" s="1029"/>
      <c r="D62" s="1029"/>
      <c r="E62" s="1029"/>
      <c r="F62" s="1029"/>
      <c r="G62" s="1029"/>
      <c r="H62" s="1029"/>
      <c r="I62" s="1029"/>
      <c r="J62" s="1029"/>
      <c r="K62" s="1029"/>
      <c r="L62" s="1029"/>
      <c r="M62" s="1029"/>
      <c r="N62" s="1029"/>
      <c r="O62" s="1029"/>
      <c r="P62" s="1029"/>
      <c r="Q62" s="1029"/>
      <c r="R62" s="1029"/>
      <c r="S62" s="1029"/>
      <c r="T62" s="1029"/>
      <c r="U62" s="1029"/>
      <c r="V62" s="1029"/>
      <c r="W62" s="1029"/>
      <c r="X62" s="1029"/>
      <c r="Y62" s="1029"/>
      <c r="Z62" s="1029"/>
      <c r="AA62" s="1029"/>
      <c r="AB62" s="1029"/>
      <c r="AC62" s="1029"/>
      <c r="AD62" s="1029"/>
      <c r="AE62" s="1029"/>
      <c r="AF62" s="1029"/>
      <c r="AG62" s="1029"/>
    </row>
    <row r="63" s="282" customFormat="1">
      <c r="A63" s="1029"/>
      <c r="B63" s="1029"/>
      <c r="C63" s="1029"/>
      <c r="D63" s="1029"/>
      <c r="E63" s="1029"/>
      <c r="F63" s="1029"/>
      <c r="G63" s="1029"/>
      <c r="H63" s="1029"/>
      <c r="I63" s="1029"/>
      <c r="J63" s="1029"/>
      <c r="K63" s="1029"/>
      <c r="L63" s="1029"/>
      <c r="M63" s="1029"/>
      <c r="N63" s="1029"/>
      <c r="O63" s="1029"/>
      <c r="P63" s="1029"/>
      <c r="Q63" s="1029"/>
      <c r="R63" s="1029"/>
      <c r="S63" s="1029"/>
      <c r="T63" s="1029"/>
      <c r="U63" s="1029"/>
      <c r="V63" s="1029"/>
      <c r="W63" s="1029"/>
      <c r="X63" s="1029"/>
      <c r="Y63" s="1029"/>
      <c r="Z63" s="1029"/>
      <c r="AA63" s="1029"/>
      <c r="AB63" s="1029"/>
      <c r="AC63" s="1029"/>
      <c r="AD63" s="1029"/>
      <c r="AE63" s="1029"/>
      <c r="AF63" s="1029"/>
      <c r="AG63" s="1029"/>
    </row>
    <row r="64" s="282" customFormat="1">
      <c r="A64" s="1029"/>
      <c r="B64" s="1029"/>
      <c r="C64" s="1029"/>
      <c r="D64" s="1029"/>
      <c r="E64" s="1029"/>
      <c r="F64" s="1029"/>
      <c r="G64" s="1029"/>
      <c r="H64" s="1029"/>
      <c r="I64" s="1029"/>
      <c r="J64" s="1029"/>
      <c r="K64" s="1029"/>
      <c r="L64" s="1029"/>
      <c r="M64" s="1029"/>
      <c r="N64" s="1029"/>
      <c r="O64" s="1029"/>
      <c r="P64" s="1029"/>
      <c r="Q64" s="1029"/>
      <c r="R64" s="1029"/>
      <c r="S64" s="1029"/>
      <c r="T64" s="1029"/>
      <c r="U64" s="1029"/>
      <c r="V64" s="1029"/>
      <c r="W64" s="1029"/>
      <c r="X64" s="1029"/>
      <c r="Y64" s="1029"/>
      <c r="Z64" s="1029"/>
      <c r="AA64" s="1029"/>
      <c r="AB64" s="1029"/>
      <c r="AC64" s="1029"/>
      <c r="AD64" s="1029"/>
      <c r="AE64" s="1029"/>
      <c r="AF64" s="1029"/>
      <c r="AG64" s="1029"/>
    </row>
    <row r="65" s="282" customFormat="1">
      <c r="A65" s="1029"/>
      <c r="B65" s="1029"/>
      <c r="C65" s="1029"/>
      <c r="D65" s="1029"/>
      <c r="E65" s="1029"/>
      <c r="F65" s="1029"/>
      <c r="G65" s="1029"/>
      <c r="H65" s="1029"/>
      <c r="I65" s="1029"/>
      <c r="J65" s="1029"/>
      <c r="K65" s="1029"/>
      <c r="L65" s="1029"/>
      <c r="M65" s="1029"/>
      <c r="N65" s="1029"/>
      <c r="O65" s="1029"/>
      <c r="P65" s="1029"/>
      <c r="Q65" s="1029"/>
      <c r="R65" s="1029"/>
      <c r="S65" s="1029"/>
      <c r="T65" s="1029"/>
      <c r="U65" s="1029"/>
      <c r="V65" s="1029"/>
      <c r="W65" s="1029"/>
      <c r="X65" s="1029"/>
      <c r="Y65" s="1029"/>
      <c r="Z65" s="1029"/>
      <c r="AA65" s="1029"/>
      <c r="AB65" s="1029"/>
      <c r="AC65" s="1029"/>
      <c r="AD65" s="1029"/>
      <c r="AE65" s="1029"/>
      <c r="AF65" s="1029"/>
      <c r="AG65" s="1029"/>
    </row>
    <row r="66" s="282" customFormat="1" ht="10.5" customHeight="1">
      <c r="A66" s="1029"/>
      <c r="B66" s="1029"/>
      <c r="C66" s="1029"/>
      <c r="D66" s="1029"/>
      <c r="E66" s="1029"/>
      <c r="F66" s="1029"/>
      <c r="G66" s="1029"/>
      <c r="H66" s="1029"/>
      <c r="I66" s="1029"/>
      <c r="J66" s="1029"/>
      <c r="K66" s="1029"/>
      <c r="L66" s="1029"/>
      <c r="M66" s="1029"/>
      <c r="N66" s="1029"/>
      <c r="O66" s="1029"/>
      <c r="P66" s="1029"/>
      <c r="Q66" s="1029"/>
      <c r="R66" s="1029"/>
      <c r="S66" s="1029"/>
      <c r="T66" s="1029"/>
      <c r="U66" s="1029"/>
      <c r="V66" s="1029"/>
      <c r="W66" s="1029"/>
      <c r="X66" s="1029"/>
      <c r="Y66" s="1029"/>
      <c r="Z66" s="1029"/>
      <c r="AA66" s="1029"/>
      <c r="AB66" s="1029"/>
      <c r="AC66" s="1029"/>
      <c r="AD66" s="1029"/>
      <c r="AE66" s="1029"/>
      <c r="AF66" s="1029"/>
      <c r="AG66" s="1029"/>
    </row>
    <row r="67" s="282" customFormat="1">
      <c r="A67" s="1029"/>
      <c r="B67" s="1029" t="s">
        <v>37</v>
      </c>
      <c r="C67" s="1029"/>
      <c r="D67" s="1029"/>
      <c r="E67" s="1029"/>
      <c r="F67" s="1029"/>
      <c r="G67" s="1029"/>
      <c r="H67" s="1029"/>
      <c r="I67" s="1029"/>
      <c r="J67" s="1029"/>
      <c r="K67" s="1029"/>
      <c r="L67" s="1029"/>
      <c r="M67" s="1029"/>
      <c r="N67" s="1029"/>
      <c r="O67" s="1029"/>
      <c r="P67" s="1029"/>
      <c r="Q67" s="1029"/>
      <c r="R67" s="1029"/>
      <c r="S67" s="1029"/>
      <c r="T67" s="1029"/>
      <c r="U67" s="1029"/>
      <c r="V67" s="1029"/>
      <c r="W67" s="1029"/>
      <c r="X67" s="1029"/>
      <c r="Y67" s="1029"/>
      <c r="Z67" s="1029"/>
      <c r="AA67" s="1029"/>
      <c r="AB67" s="1029"/>
      <c r="AC67" s="1029"/>
      <c r="AD67" s="1029"/>
      <c r="AE67" s="1029"/>
      <c r="AF67" s="1029"/>
      <c r="AG67" s="1029"/>
    </row>
    <row r="68" s="282" customFormat="1">
      <c r="A68" s="1029"/>
      <c r="B68" s="1029" t="s">
        <v>44</v>
      </c>
      <c r="C68" s="1029"/>
      <c r="D68" s="1029"/>
      <c r="E68" s="1029"/>
      <c r="F68" s="1029"/>
      <c r="G68" s="1029"/>
      <c r="H68" s="1029"/>
      <c r="I68" s="1029"/>
      <c r="J68" s="1029"/>
      <c r="K68" s="1029"/>
      <c r="L68" s="1029"/>
      <c r="M68" s="1029"/>
      <c r="N68" s="1029"/>
      <c r="O68" s="1029"/>
      <c r="P68" s="1029"/>
      <c r="Q68" s="1029"/>
      <c r="R68" s="1029"/>
      <c r="S68" s="1029"/>
      <c r="T68" s="1029"/>
      <c r="U68" s="1029"/>
      <c r="V68" s="1029"/>
      <c r="W68" s="1029"/>
      <c r="X68" s="1029"/>
      <c r="Y68" s="1029"/>
      <c r="Z68" s="1029"/>
      <c r="AA68" s="1029"/>
      <c r="AB68" s="1029"/>
      <c r="AC68" s="1029"/>
      <c r="AD68" s="1029"/>
      <c r="AE68" s="1029"/>
      <c r="AF68" s="1029"/>
      <c r="AG68" s="1029"/>
    </row>
    <row r="69" s="282" customFormat="1">
      <c r="A69" s="1029"/>
      <c r="B69" s="1029" t="s">
        <v>45</v>
      </c>
      <c r="C69" s="1029"/>
      <c r="D69" s="1029"/>
      <c r="E69" s="1029"/>
      <c r="F69" s="1029"/>
      <c r="G69" s="1029"/>
      <c r="H69" s="1029"/>
      <c r="I69" s="1029"/>
      <c r="J69" s="1029"/>
      <c r="K69" s="1029"/>
      <c r="L69" s="1029"/>
      <c r="M69" s="1029"/>
      <c r="N69" s="1029"/>
      <c r="O69" s="1029"/>
      <c r="P69" s="1029"/>
      <c r="Q69" s="1029"/>
      <c r="R69" s="1029"/>
      <c r="S69" s="1029"/>
      <c r="T69" s="1029"/>
      <c r="U69" s="1029"/>
      <c r="V69" s="1029"/>
      <c r="W69" s="1029"/>
      <c r="X69" s="1029"/>
      <c r="Y69" s="1029"/>
      <c r="Z69" s="1029"/>
      <c r="AA69" s="1029"/>
      <c r="AB69" s="1029"/>
      <c r="AC69" s="1029"/>
      <c r="AD69" s="1029"/>
      <c r="AE69" s="1029"/>
      <c r="AF69" s="1029"/>
      <c r="AG69" s="1029"/>
    </row>
    <row r="70" s="282" customFormat="1">
      <c r="A70" s="1029"/>
      <c r="B70" s="1029"/>
      <c r="C70" s="1029"/>
      <c r="D70" s="1029"/>
      <c r="E70" s="1029"/>
      <c r="F70" s="1029"/>
      <c r="G70" s="1029"/>
      <c r="H70" s="1029"/>
      <c r="I70" s="1029"/>
      <c r="J70" s="1029"/>
      <c r="K70" s="1029"/>
      <c r="L70" s="1029"/>
      <c r="M70" s="1029"/>
      <c r="N70" s="1029"/>
      <c r="O70" s="1029"/>
      <c r="P70" s="1029"/>
      <c r="Q70" s="1029"/>
      <c r="R70" s="1029"/>
      <c r="S70" s="1029"/>
      <c r="T70" s="1029"/>
      <c r="U70" s="1029"/>
      <c r="V70" s="1029"/>
      <c r="W70" s="1029"/>
      <c r="X70" s="1029"/>
      <c r="Y70" s="1029"/>
      <c r="Z70" s="1029"/>
      <c r="AA70" s="1029"/>
      <c r="AB70" s="1029"/>
      <c r="AC70" s="1029"/>
      <c r="AD70" s="1029"/>
      <c r="AE70" s="1029"/>
      <c r="AF70" s="1029"/>
      <c r="AG70" s="1029"/>
    </row>
    <row r="71" s="282" customFormat="1">
      <c r="A71" s="1029"/>
      <c r="B71" s="1029"/>
      <c r="C71" s="1029"/>
      <c r="D71" s="1029"/>
      <c r="E71" s="1029"/>
      <c r="F71" s="1029"/>
      <c r="G71" s="1029"/>
      <c r="H71" s="1029"/>
      <c r="I71" s="1029"/>
      <c r="J71" s="1029"/>
      <c r="K71" s="1029"/>
      <c r="L71" s="1029"/>
      <c r="M71" s="1029"/>
      <c r="N71" s="1029"/>
      <c r="O71" s="1029"/>
      <c r="P71" s="1029"/>
      <c r="Q71" s="1029"/>
      <c r="R71" s="1029"/>
      <c r="S71" s="1029"/>
      <c r="T71" s="1029"/>
      <c r="U71" s="1029"/>
      <c r="V71" s="1029"/>
      <c r="W71" s="1029"/>
      <c r="X71" s="1029"/>
      <c r="Y71" s="1029"/>
      <c r="Z71" s="1029"/>
      <c r="AA71" s="1029"/>
      <c r="AB71" s="1029"/>
      <c r="AC71" s="1029"/>
      <c r="AD71" s="1029"/>
      <c r="AE71" s="1029"/>
      <c r="AF71" s="1029"/>
      <c r="AG71" s="1029"/>
    </row>
    <row r="72" s="282" customFormat="1">
      <c r="A72" s="1029"/>
      <c r="B72" s="1029"/>
      <c r="C72" s="1029"/>
      <c r="D72" s="1029"/>
      <c r="E72" s="1029"/>
      <c r="F72" s="1029"/>
      <c r="G72" s="1029"/>
      <c r="H72" s="1029"/>
      <c r="I72" s="1029"/>
      <c r="J72" s="1029"/>
      <c r="K72" s="1029"/>
      <c r="L72" s="1029"/>
      <c r="M72" s="1029"/>
      <c r="N72" s="1029"/>
      <c r="O72" s="1029"/>
      <c r="P72" s="1029"/>
      <c r="Q72" s="1029"/>
      <c r="R72" s="1029"/>
      <c r="S72" s="1029"/>
      <c r="T72" s="1029"/>
      <c r="U72" s="1029"/>
      <c r="V72" s="1029"/>
      <c r="W72" s="1029"/>
      <c r="X72" s="1029"/>
      <c r="Y72" s="1029"/>
      <c r="Z72" s="1029"/>
      <c r="AA72" s="1029"/>
      <c r="AB72" s="1029"/>
      <c r="AC72" s="1029"/>
      <c r="AD72" s="1029"/>
      <c r="AE72" s="1029"/>
      <c r="AF72" s="1029"/>
      <c r="AG72" s="1029"/>
    </row>
    <row r="73" s="282" customFormat="1">
      <c r="A73" s="1029"/>
      <c r="B73" s="1029"/>
      <c r="C73" s="1029"/>
      <c r="D73" s="1029"/>
      <c r="E73" s="1029"/>
      <c r="F73" s="1029"/>
      <c r="G73" s="1029"/>
      <c r="H73" s="1029"/>
      <c r="I73" s="1029"/>
      <c r="J73" s="1029"/>
      <c r="K73" s="1029"/>
      <c r="L73" s="1029"/>
      <c r="M73" s="1029"/>
      <c r="N73" s="1029"/>
      <c r="O73" s="1029"/>
      <c r="P73" s="1029"/>
      <c r="Q73" s="1029"/>
      <c r="R73" s="1029"/>
      <c r="S73" s="1029"/>
      <c r="T73" s="1029"/>
      <c r="U73" s="1029"/>
      <c r="V73" s="1029"/>
      <c r="W73" s="1029"/>
      <c r="X73" s="1029"/>
      <c r="Y73" s="1029"/>
      <c r="Z73" s="1029"/>
      <c r="AA73" s="1029"/>
      <c r="AB73" s="1029"/>
      <c r="AC73" s="1029"/>
      <c r="AD73" s="1029"/>
      <c r="AE73" s="1029"/>
      <c r="AF73" s="1029"/>
      <c r="AG73" s="1029"/>
    </row>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25">
    <mergeCell ref="AA1:AF1"/>
    <mergeCell ref="AD43:AF43"/>
    <mergeCell ref="AD31:AF31"/>
    <mergeCell ref="B43:B44"/>
    <mergeCell ref="Z31:AB31"/>
    <mergeCell ref="Z43:AB43"/>
    <mergeCell ref="V31:X31"/>
    <mergeCell ref="B31:B32"/>
    <mergeCell ref="V43:X43"/>
    <mergeCell ref="B3:T3"/>
    <mergeCell ref="U3:AF3"/>
    <mergeCell ref="B4:AE4"/>
    <mergeCell ref="B19:B20"/>
    <mergeCell ref="Z19:AB19"/>
    <mergeCell ref="X18:AG18"/>
    <mergeCell ref="V19:X19"/>
    <mergeCell ref="AD19:AF19"/>
    <mergeCell ref="B2:AE2"/>
    <mergeCell ref="B57:AF57"/>
    <mergeCell ref="C19:H19"/>
    <mergeCell ref="C31:H31"/>
    <mergeCell ref="C43:H43"/>
    <mergeCell ref="I19:T19"/>
    <mergeCell ref="I31:T31"/>
    <mergeCell ref="I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3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142</v>
      </c>
      <c r="C1" s="12"/>
      <c r="D1" s="12"/>
      <c r="E1" s="12"/>
      <c r="F1" s="12"/>
      <c r="G1" s="12"/>
      <c r="H1" s="2"/>
      <c r="I1" s="2"/>
      <c r="J1" s="2"/>
      <c r="K1" s="2"/>
      <c r="L1" s="2"/>
      <c r="M1" s="2"/>
      <c r="N1" s="2"/>
      <c r="O1" s="2"/>
      <c r="P1" s="131"/>
      <c r="Q1" s="2"/>
      <c r="R1" s="2"/>
      <c r="S1" s="222"/>
      <c r="T1" s="2"/>
      <c r="U1" s="236"/>
    </row>
    <row r="2" ht="14.25" customHeight="1">
      <c r="B2" s="1014" t="s">
        <v>211</v>
      </c>
      <c r="C2" s="1014"/>
      <c r="D2" s="1014"/>
      <c r="E2" s="1014"/>
      <c r="F2" s="1014"/>
      <c r="G2" s="1014"/>
      <c r="H2" s="1014"/>
      <c r="I2" s="1014"/>
      <c r="J2" s="1014"/>
      <c r="K2" s="1014"/>
      <c r="L2" s="1014"/>
      <c r="M2" s="1014"/>
      <c r="N2" s="1014"/>
      <c r="O2" s="1014"/>
      <c r="P2" s="1014"/>
      <c r="Q2" s="1014"/>
      <c r="R2" s="1014"/>
      <c r="S2" s="1014"/>
      <c r="T2" s="2"/>
    </row>
    <row r="3" ht="14.25" customHeight="1">
      <c r="B3" s="1043" t="s">
        <v>212</v>
      </c>
      <c r="C3" s="1043"/>
      <c r="D3" s="1043"/>
      <c r="E3" s="1043"/>
      <c r="F3" s="1043"/>
      <c r="G3" s="1043"/>
      <c r="H3" s="1043"/>
      <c r="I3" s="1043"/>
      <c r="J3" s="1043"/>
      <c r="K3" s="1043"/>
      <c r="L3" s="1043"/>
      <c r="M3" s="1043"/>
      <c r="N3" s="1043"/>
      <c r="O3" s="1043"/>
      <c r="P3" s="1043"/>
      <c r="Q3" s="1043"/>
      <c r="R3" s="1043"/>
      <c r="S3" s="1043"/>
      <c r="T3" s="2"/>
    </row>
    <row r="4" ht="14.25" customHeight="1">
      <c r="B4" s="1043" t="s">
        <v>213</v>
      </c>
      <c r="C4" s="1043"/>
      <c r="D4" s="1043"/>
      <c r="E4" s="1043"/>
      <c r="F4" s="1043"/>
      <c r="G4" s="1043"/>
      <c r="H4" s="1043"/>
      <c r="I4" s="1043"/>
      <c r="J4" s="1043"/>
      <c r="K4" s="1043"/>
      <c r="L4" s="1043"/>
      <c r="M4" s="1043"/>
      <c r="N4" s="1043"/>
      <c r="O4" s="1043"/>
      <c r="P4" s="1043"/>
      <c r="Q4" s="1043"/>
      <c r="R4" s="1043"/>
      <c r="S4" s="1043"/>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44" t="s">
        <v>214</v>
      </c>
      <c r="C6" s="1044"/>
      <c r="D6" s="1044"/>
      <c r="E6" s="1044"/>
      <c r="F6" s="1044"/>
      <c r="G6" s="1044"/>
      <c r="H6" s="1044"/>
      <c r="I6" s="1044"/>
      <c r="J6" s="1044"/>
      <c r="K6" s="1044"/>
      <c r="L6" s="1044"/>
      <c r="M6" s="1044"/>
      <c r="N6" s="1044"/>
      <c r="O6" s="1044"/>
      <c r="P6" s="1044"/>
      <c r="Q6" s="1044"/>
      <c r="R6" s="1044"/>
      <c r="S6" s="1044"/>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45" t="s">
        <v>11</v>
      </c>
      <c r="E8" s="1045"/>
      <c r="F8" s="1045"/>
      <c r="G8" s="2"/>
      <c r="H8" s="1045" t="s">
        <v>13</v>
      </c>
      <c r="I8" s="1045"/>
      <c r="J8" s="1045"/>
      <c r="K8" s="2"/>
      <c r="L8" s="1045" t="s">
        <v>14</v>
      </c>
      <c r="M8" s="1045"/>
      <c r="N8" s="1045"/>
      <c r="O8" s="2"/>
      <c r="P8" s="1045" t="s">
        <v>12</v>
      </c>
      <c r="Q8" s="1045"/>
      <c r="R8" s="1045"/>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69.037145650048875855327468230</v>
      </c>
      <c r="F10" s="113">
        <v>-15.190633443410387271089762830</v>
      </c>
      <c r="G10" s="660"/>
      <c r="H10" s="18" t="s">
        <v>19</v>
      </c>
      <c r="I10" s="668">
        <v>2.6392961876832844574780058700</v>
      </c>
      <c r="J10" s="113">
        <v>-29.870129870129870129870129830</v>
      </c>
      <c r="K10" s="9"/>
      <c r="L10" s="18" t="s">
        <v>19</v>
      </c>
      <c r="M10" s="668">
        <v>0</v>
      </c>
      <c r="N10" s="113">
        <v>0</v>
      </c>
      <c r="O10" s="9"/>
      <c r="P10" s="18" t="s">
        <v>19</v>
      </c>
      <c r="Q10" s="668">
        <v>71.676441837732160312805474100</v>
      </c>
      <c r="R10" s="113">
        <v>-15.839311334289813486370157820</v>
      </c>
      <c r="S10" s="675"/>
      <c r="T10" s="9"/>
    </row>
    <row r="11" ht="15" customHeight="1">
      <c r="A11" s="2"/>
      <c r="B11" s="44"/>
      <c r="C11" s="45"/>
      <c r="D11" s="133" t="s">
        <v>16</v>
      </c>
      <c r="E11" s="92">
        <v>49.412971617462669554314373650</v>
      </c>
      <c r="F11" s="92">
        <v>-33.170694019544617075089144010</v>
      </c>
      <c r="G11" s="662"/>
      <c r="H11" s="133" t="s">
        <v>16</v>
      </c>
      <c r="I11" s="669">
        <v>0</v>
      </c>
      <c r="J11" s="92">
        <v>-100</v>
      </c>
      <c r="K11" s="120"/>
      <c r="L11" s="133" t="s">
        <v>16</v>
      </c>
      <c r="M11" s="669">
        <v>0</v>
      </c>
      <c r="N11" s="92">
        <v>0</v>
      </c>
      <c r="O11" s="120"/>
      <c r="P11" s="133" t="s">
        <v>16</v>
      </c>
      <c r="Q11" s="669">
        <v>49.412971617462669554314373650</v>
      </c>
      <c r="R11" s="92">
        <v>-36.652589351283944740434240420</v>
      </c>
      <c r="S11" s="675"/>
      <c r="T11" s="9"/>
    </row>
    <row r="12" ht="15" customHeight="1">
      <c r="A12" s="2"/>
      <c r="B12" s="44"/>
      <c r="C12" s="45"/>
      <c r="D12" s="19" t="s">
        <v>100</v>
      </c>
      <c r="E12" s="113">
        <v>139.71462025095243088322673097</v>
      </c>
      <c r="F12" s="113">
        <v>26.904455032635835715947140390</v>
      </c>
      <c r="G12" s="113"/>
      <c r="H12" s="19" t="s">
        <v>100</v>
      </c>
      <c r="I12" s="668">
        <v>0</v>
      </c>
      <c r="J12" s="113">
        <v>-100</v>
      </c>
      <c r="K12" s="9"/>
      <c r="L12" s="19" t="s">
        <v>100</v>
      </c>
      <c r="M12" s="668">
        <v>0</v>
      </c>
      <c r="N12" s="113">
        <v>0</v>
      </c>
      <c r="O12" s="9"/>
      <c r="P12" s="19" t="s">
        <v>100</v>
      </c>
      <c r="Q12" s="668">
        <v>145.05592254727202824088637237</v>
      </c>
      <c r="R12" s="113">
        <v>32.855767589951178460621986840</v>
      </c>
      <c r="S12" s="668"/>
      <c r="T12" s="9"/>
    </row>
    <row r="13" ht="15" customHeight="1">
      <c r="A13" s="2"/>
      <c r="B13" s="17"/>
      <c r="C13" s="2"/>
      <c r="D13" s="2"/>
      <c r="E13" s="663"/>
      <c r="F13" s="660"/>
      <c r="G13" s="663"/>
      <c r="H13" s="2"/>
      <c r="I13" s="9"/>
      <c r="J13" s="660"/>
      <c r="K13" s="9"/>
      <c r="L13" s="2"/>
      <c r="M13" s="9"/>
      <c r="N13" s="660"/>
      <c r="O13" s="9"/>
      <c r="P13" s="2"/>
      <c r="Q13" s="675"/>
      <c r="R13" s="660"/>
      <c r="S13" s="675"/>
      <c r="T13" s="9"/>
    </row>
    <row r="14" ht="15" customHeight="1">
      <c r="A14" s="2"/>
      <c r="B14" s="173" t="s">
        <v>9</v>
      </c>
      <c r="C14" s="45"/>
      <c r="D14" s="18" t="s">
        <v>19</v>
      </c>
      <c r="E14" s="664">
        <v>161.70017699115044247787610619</v>
      </c>
      <c r="F14" s="113">
        <v>-36.019318152038167721228610020</v>
      </c>
      <c r="G14" s="665"/>
      <c r="H14" s="53" t="s">
        <v>19</v>
      </c>
      <c r="I14" s="671">
        <v>256.99074074074074074074074074</v>
      </c>
      <c r="J14" s="113">
        <v>25.333546803287437293200981960</v>
      </c>
      <c r="K14" s="672"/>
      <c r="L14" s="53" t="s">
        <v>19</v>
      </c>
      <c r="M14" s="671">
        <v>0</v>
      </c>
      <c r="N14" s="113">
        <v>0</v>
      </c>
      <c r="O14" s="672"/>
      <c r="P14" s="53" t="s">
        <v>19</v>
      </c>
      <c r="Q14" s="671">
        <v>165.20900102284350494374360723</v>
      </c>
      <c r="R14" s="113">
        <v>-34.081338107849556950305522910</v>
      </c>
      <c r="S14" s="676"/>
      <c r="T14" s="9"/>
    </row>
    <row r="15" ht="15" customHeight="1">
      <c r="A15" s="2"/>
      <c r="B15" s="44"/>
      <c r="C15" s="45"/>
      <c r="D15" s="133" t="s">
        <v>16</v>
      </c>
      <c r="E15" s="666">
        <v>225.64332410611303344867358708</v>
      </c>
      <c r="F15" s="92">
        <v>-33.023522716629366361142695510</v>
      </c>
      <c r="G15" s="667"/>
      <c r="H15" s="143" t="s">
        <v>16</v>
      </c>
      <c r="I15" s="673">
        <v>0</v>
      </c>
      <c r="J15" s="92">
        <v>-100</v>
      </c>
      <c r="K15" s="674"/>
      <c r="L15" s="143" t="s">
        <v>16</v>
      </c>
      <c r="M15" s="673">
        <v>0</v>
      </c>
      <c r="N15" s="92">
        <v>0</v>
      </c>
      <c r="O15" s="674"/>
      <c r="P15" s="143" t="s">
        <v>16</v>
      </c>
      <c r="Q15" s="673">
        <v>225.64332410611303344867358707</v>
      </c>
      <c r="R15" s="92">
        <v>-32.252414283166010506540733020</v>
      </c>
      <c r="S15" s="676"/>
      <c r="T15" s="9"/>
    </row>
    <row r="16" ht="15" customHeight="1">
      <c r="A16" s="2"/>
      <c r="B16" s="44"/>
      <c r="C16" s="45"/>
      <c r="D16" s="19" t="s">
        <v>101</v>
      </c>
      <c r="E16" s="113">
        <v>71.661848464485428891669271670</v>
      </c>
      <c r="F16" s="113">
        <v>-4.4729068427022473843238271500</v>
      </c>
      <c r="G16" s="113"/>
      <c r="H16" s="19" t="s">
        <v>101</v>
      </c>
      <c r="I16" s="668">
        <v>0</v>
      </c>
      <c r="J16" s="113">
        <v>-100</v>
      </c>
      <c r="K16" s="9"/>
      <c r="L16" s="19" t="s">
        <v>101</v>
      </c>
      <c r="M16" s="668">
        <v>0</v>
      </c>
      <c r="N16" s="113">
        <v>0</v>
      </c>
      <c r="O16" s="9"/>
      <c r="P16" s="19" t="s">
        <v>101</v>
      </c>
      <c r="Q16" s="668">
        <v>73.216879638393756760550008220</v>
      </c>
      <c r="R16" s="113">
        <v>-2.6996147616653645244544367700</v>
      </c>
      <c r="S16" s="668"/>
      <c r="T16" s="9"/>
    </row>
    <row r="17" ht="15" customHeight="1">
      <c r="A17" s="2"/>
      <c r="B17" s="17"/>
      <c r="C17" s="2"/>
      <c r="D17" s="2"/>
      <c r="E17" s="663"/>
      <c r="F17" s="113"/>
      <c r="G17" s="663"/>
      <c r="H17" s="2"/>
      <c r="I17" s="9"/>
      <c r="J17" s="113"/>
      <c r="K17" s="9"/>
      <c r="L17" s="2"/>
      <c r="M17" s="9"/>
      <c r="N17" s="113"/>
      <c r="O17" s="9"/>
      <c r="P17" s="2"/>
      <c r="Q17" s="676"/>
      <c r="R17" s="113"/>
      <c r="S17" s="676"/>
      <c r="T17" s="9"/>
    </row>
    <row r="18" ht="15" customHeight="1">
      <c r="A18" s="2"/>
      <c r="B18" s="173" t="s">
        <v>10</v>
      </c>
      <c r="C18" s="45"/>
      <c r="D18" s="18" t="s">
        <v>19</v>
      </c>
      <c r="E18" s="664">
        <v>111.63318670576735092864125122</v>
      </c>
      <c r="F18" s="113">
        <v>-45.738389006156656803503699580</v>
      </c>
      <c r="G18" s="665"/>
      <c r="H18" s="53" t="s">
        <v>19</v>
      </c>
      <c r="I18" s="671">
        <v>6.7827468230694037145650048876</v>
      </c>
      <c r="J18" s="113">
        <v>-12.103746397694524495677233430</v>
      </c>
      <c r="K18" s="672"/>
      <c r="L18" s="53" t="s">
        <v>19</v>
      </c>
      <c r="M18" s="671">
        <v>0</v>
      </c>
      <c r="N18" s="113">
        <v>0</v>
      </c>
      <c r="O18" s="672"/>
      <c r="P18" s="53" t="s">
        <v>19</v>
      </c>
      <c r="Q18" s="671">
        <v>118.41593352883675464320625611</v>
      </c>
      <c r="R18" s="113">
        <v>-44.522400192345122104805193320</v>
      </c>
      <c r="S18" s="676"/>
      <c r="T18" s="9"/>
    </row>
    <row r="19" ht="15" customHeight="1">
      <c r="A19" s="2"/>
      <c r="B19" s="44"/>
      <c r="C19" s="45"/>
      <c r="D19" s="133" t="s">
        <v>16</v>
      </c>
      <c r="E19" s="666">
        <v>111.49707169725293514191268665</v>
      </c>
      <c r="F19" s="92">
        <v>-55.240085061366048146767975590</v>
      </c>
      <c r="G19" s="667"/>
      <c r="H19" s="143" t="s">
        <v>16</v>
      </c>
      <c r="I19" s="673">
        <v>0</v>
      </c>
      <c r="J19" s="92">
        <v>-100</v>
      </c>
      <c r="K19" s="674"/>
      <c r="L19" s="143" t="s">
        <v>16</v>
      </c>
      <c r="M19" s="673">
        <v>0</v>
      </c>
      <c r="N19" s="92">
        <v>0</v>
      </c>
      <c r="O19" s="674"/>
      <c r="P19" s="143" t="s">
        <v>16</v>
      </c>
      <c r="Q19" s="673">
        <v>111.49707169725293514191268665</v>
      </c>
      <c r="R19" s="92">
        <v>-57.083658671366268060382971960</v>
      </c>
      <c r="S19" s="676"/>
      <c r="T19" s="9"/>
    </row>
    <row r="20" ht="15" customHeight="1">
      <c r="A20" s="2"/>
      <c r="B20" s="44"/>
      <c r="C20" s="45"/>
      <c r="D20" s="19" t="s">
        <v>102</v>
      </c>
      <c r="E20" s="113">
        <v>100.12207944696880266884640692</v>
      </c>
      <c r="F20" s="113">
        <v>21.228136979787070871207568480</v>
      </c>
      <c r="G20" s="113"/>
      <c r="H20" s="19" t="s">
        <v>102</v>
      </c>
      <c r="I20" s="668">
        <v>0</v>
      </c>
      <c r="J20" s="113">
        <v>-100</v>
      </c>
      <c r="K20" s="9"/>
      <c r="L20" s="19" t="s">
        <v>102</v>
      </c>
      <c r="M20" s="668">
        <v>0</v>
      </c>
      <c r="N20" s="113">
        <v>0</v>
      </c>
      <c r="O20" s="9"/>
      <c r="P20" s="19" t="s">
        <v>102</v>
      </c>
      <c r="Q20" s="668">
        <v>106.20542021979783207117921127</v>
      </c>
      <c r="R20" s="113">
        <v>29.269173676369027347970412740</v>
      </c>
      <c r="S20" s="668"/>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46" t="s">
        <v>60</v>
      </c>
      <c r="C23" s="1046"/>
      <c r="D23" s="1046"/>
      <c r="E23" s="1046"/>
      <c r="F23" s="1046"/>
      <c r="G23" s="1046"/>
      <c r="H23" s="1046"/>
      <c r="I23" s="1046"/>
      <c r="J23" s="1046"/>
      <c r="K23" s="1046"/>
      <c r="L23" s="1046"/>
      <c r="M23" s="1046"/>
      <c r="N23" s="1046"/>
      <c r="O23" s="1046"/>
      <c r="P23" s="1046"/>
      <c r="Q23" s="1046"/>
      <c r="R23" s="1046"/>
      <c r="S23" s="1046"/>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45" t="s">
        <v>11</v>
      </c>
      <c r="E25" s="1045"/>
      <c r="F25" s="1045"/>
      <c r="G25" s="2"/>
      <c r="H25" s="1045" t="s">
        <v>13</v>
      </c>
      <c r="I25" s="1045"/>
      <c r="J25" s="1045"/>
      <c r="K25" s="2"/>
      <c r="L25" s="1045" t="s">
        <v>14</v>
      </c>
      <c r="M25" s="1045"/>
      <c r="N25" s="1045"/>
      <c r="O25" s="2"/>
      <c r="P25" s="1045" t="s">
        <v>12</v>
      </c>
      <c r="Q25" s="1045"/>
      <c r="R25" s="1045"/>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8">
        <v>45.213611525086934923000496770</v>
      </c>
      <c r="F27" s="113">
        <v>-26.035861629815003239502786420</v>
      </c>
      <c r="G27" s="9"/>
      <c r="H27" s="18" t="s">
        <v>19</v>
      </c>
      <c r="I27" s="668">
        <v>4.1231992051664182811723795300</v>
      </c>
      <c r="J27" s="113">
        <v>-36.164608706645876353828648540</v>
      </c>
      <c r="K27" s="9"/>
      <c r="L27" s="18" t="s">
        <v>19</v>
      </c>
      <c r="M27" s="668">
        <v>0</v>
      </c>
      <c r="N27" s="113">
        <v>0</v>
      </c>
      <c r="O27" s="9"/>
      <c r="P27" s="18" t="s">
        <v>19</v>
      </c>
      <c r="Q27" s="668">
        <v>49.336810730253353204172876300</v>
      </c>
      <c r="R27" s="113">
        <v>-27.003821981832497316759329930</v>
      </c>
      <c r="S27" s="675"/>
      <c r="T27" s="9"/>
    </row>
    <row r="28" ht="15" customHeight="1">
      <c r="A28" s="2"/>
      <c r="B28" s="44"/>
      <c r="C28" s="45"/>
      <c r="D28" s="133" t="s">
        <v>16</v>
      </c>
      <c r="E28" s="669"/>
      <c r="F28" s="92"/>
      <c r="G28" s="120"/>
      <c r="H28" s="133" t="s">
        <v>16</v>
      </c>
      <c r="I28" s="669"/>
      <c r="J28" s="92"/>
      <c r="K28" s="120"/>
      <c r="L28" s="133" t="s">
        <v>16</v>
      </c>
      <c r="M28" s="669"/>
      <c r="N28" s="92"/>
      <c r="O28" s="120"/>
      <c r="P28" s="133" t="s">
        <v>16</v>
      </c>
      <c r="Q28" s="669"/>
      <c r="R28" s="92"/>
      <c r="S28" s="675"/>
      <c r="T28" s="9"/>
    </row>
    <row r="29" ht="15" customHeight="1">
      <c r="A29" s="2"/>
      <c r="B29" s="44"/>
      <c r="C29" s="45"/>
      <c r="D29" s="19" t="s">
        <v>100</v>
      </c>
      <c r="E29" s="668"/>
      <c r="F29" s="113"/>
      <c r="G29" s="677"/>
      <c r="H29" s="19" t="s">
        <v>100</v>
      </c>
      <c r="I29" s="668"/>
      <c r="J29" s="113"/>
      <c r="K29" s="677"/>
      <c r="L29" s="19" t="s">
        <v>100</v>
      </c>
      <c r="M29" s="668"/>
      <c r="N29" s="113"/>
      <c r="O29" s="677"/>
      <c r="P29" s="19" t="s">
        <v>100</v>
      </c>
      <c r="Q29" s="668"/>
      <c r="R29" s="113"/>
      <c r="S29" s="668"/>
      <c r="T29" s="9"/>
    </row>
    <row r="30" ht="15" customHeight="1">
      <c r="A30" s="2"/>
      <c r="B30" s="17"/>
      <c r="C30" s="2"/>
      <c r="D30" s="2"/>
      <c r="E30" s="9"/>
      <c r="F30" s="660"/>
      <c r="G30" s="9"/>
      <c r="H30" s="2"/>
      <c r="I30" s="9"/>
      <c r="J30" s="660"/>
      <c r="K30" s="9"/>
      <c r="L30" s="2"/>
      <c r="M30" s="9"/>
      <c r="N30" s="660"/>
      <c r="O30" s="9"/>
      <c r="P30" s="2"/>
      <c r="Q30" s="675"/>
      <c r="R30" s="660"/>
      <c r="S30" s="675"/>
      <c r="T30" s="9"/>
    </row>
    <row r="31" ht="15" customHeight="1">
      <c r="A31" s="2"/>
      <c r="B31" s="173" t="s">
        <v>9</v>
      </c>
      <c r="C31" s="45"/>
      <c r="D31" s="18" t="s">
        <v>19</v>
      </c>
      <c r="E31" s="671">
        <v>191.36636818106905455144756359</v>
      </c>
      <c r="F31" s="113">
        <v>-0.9851504547039589682434917900</v>
      </c>
      <c r="G31" s="672"/>
      <c r="H31" s="53" t="s">
        <v>19</v>
      </c>
      <c r="I31" s="671">
        <v>362.10180722891566265060240964</v>
      </c>
      <c r="J31" s="113">
        <v>73.9667344551305748664481700</v>
      </c>
      <c r="K31" s="672"/>
      <c r="L31" s="53" t="s">
        <v>19</v>
      </c>
      <c r="M31" s="671">
        <v>0</v>
      </c>
      <c r="N31" s="113">
        <v>0</v>
      </c>
      <c r="O31" s="672"/>
      <c r="P31" s="53" t="s">
        <v>19</v>
      </c>
      <c r="Q31" s="671">
        <v>205.63515078286260887076473846</v>
      </c>
      <c r="R31" s="113">
        <v>5.6208548544456858809412660900</v>
      </c>
      <c r="S31" s="676"/>
      <c r="T31" s="9"/>
    </row>
    <row r="32" ht="15" customHeight="1">
      <c r="A32" s="2"/>
      <c r="B32" s="44"/>
      <c r="C32" s="45"/>
      <c r="D32" s="133" t="s">
        <v>16</v>
      </c>
      <c r="E32" s="673"/>
      <c r="F32" s="92"/>
      <c r="G32" s="674"/>
      <c r="H32" s="143" t="s">
        <v>16</v>
      </c>
      <c r="I32" s="673"/>
      <c r="J32" s="92"/>
      <c r="K32" s="674"/>
      <c r="L32" s="143" t="s">
        <v>16</v>
      </c>
      <c r="M32" s="673"/>
      <c r="N32" s="92"/>
      <c r="O32" s="674"/>
      <c r="P32" s="143" t="s">
        <v>16</v>
      </c>
      <c r="Q32" s="673"/>
      <c r="R32" s="92"/>
      <c r="S32" s="676"/>
      <c r="T32" s="9"/>
    </row>
    <row r="33" ht="15" customHeight="1">
      <c r="A33" s="2"/>
      <c r="B33" s="44"/>
      <c r="C33" s="45"/>
      <c r="D33" s="19" t="s">
        <v>101</v>
      </c>
      <c r="E33" s="668"/>
      <c r="F33" s="113"/>
      <c r="G33" s="677"/>
      <c r="H33" s="19" t="s">
        <v>101</v>
      </c>
      <c r="I33" s="668"/>
      <c r="J33" s="113"/>
      <c r="K33" s="677"/>
      <c r="L33" s="19" t="s">
        <v>101</v>
      </c>
      <c r="M33" s="668"/>
      <c r="N33" s="113"/>
      <c r="O33" s="677"/>
      <c r="P33" s="19" t="s">
        <v>101</v>
      </c>
      <c r="Q33" s="668"/>
      <c r="R33" s="113"/>
      <c r="S33" s="668"/>
      <c r="T33" s="9"/>
    </row>
    <row r="34" ht="15" customHeight="1">
      <c r="A34" s="2"/>
      <c r="B34" s="17"/>
      <c r="C34" s="2"/>
      <c r="D34" s="2"/>
      <c r="E34" s="9"/>
      <c r="F34" s="113"/>
      <c r="G34" s="9"/>
      <c r="H34" s="2"/>
      <c r="I34" s="9"/>
      <c r="J34" s="113"/>
      <c r="K34" s="9"/>
      <c r="L34" s="2"/>
      <c r="M34" s="9"/>
      <c r="N34" s="113"/>
      <c r="O34" s="9"/>
      <c r="P34" s="2"/>
      <c r="Q34" s="676"/>
      <c r="R34" s="113"/>
      <c r="S34" s="676"/>
      <c r="T34" s="9"/>
    </row>
    <row r="35" ht="15" customHeight="1">
      <c r="A35" s="2"/>
      <c r="B35" s="173" t="s">
        <v>10</v>
      </c>
      <c r="C35" s="45"/>
      <c r="D35" s="18" t="s">
        <v>19</v>
      </c>
      <c r="E35" s="671">
        <v>86.5236462990561351217088922</v>
      </c>
      <c r="F35" s="113">
        <v>-26.764519675286746121069652930</v>
      </c>
      <c r="G35" s="672"/>
      <c r="H35" s="53" t="s">
        <v>19</v>
      </c>
      <c r="I35" s="671">
        <v>14.930178837555886736214605067</v>
      </c>
      <c r="J35" s="113">
        <v>11.052345659702911323255242750</v>
      </c>
      <c r="K35" s="672"/>
      <c r="L35" s="53" t="s">
        <v>19</v>
      </c>
      <c r="M35" s="671">
        <v>0</v>
      </c>
      <c r="N35" s="113">
        <v>0</v>
      </c>
      <c r="O35" s="672"/>
      <c r="P35" s="53" t="s">
        <v>19</v>
      </c>
      <c r="Q35" s="671">
        <v>101.45382513661202185792349727</v>
      </c>
      <c r="R35" s="113">
        <v>-22.900812766138514581284091810</v>
      </c>
      <c r="S35" s="676"/>
      <c r="T35" s="9"/>
    </row>
    <row r="36" ht="15" customHeight="1">
      <c r="A36" s="2"/>
      <c r="B36" s="44"/>
      <c r="C36" s="45"/>
      <c r="D36" s="133" t="s">
        <v>16</v>
      </c>
      <c r="E36" s="673"/>
      <c r="F36" s="92"/>
      <c r="G36" s="674"/>
      <c r="H36" s="143" t="s">
        <v>16</v>
      </c>
      <c r="I36" s="673"/>
      <c r="J36" s="92"/>
      <c r="K36" s="674"/>
      <c r="L36" s="143" t="s">
        <v>16</v>
      </c>
      <c r="M36" s="673"/>
      <c r="N36" s="92"/>
      <c r="O36" s="674"/>
      <c r="P36" s="143" t="s">
        <v>16</v>
      </c>
      <c r="Q36" s="673"/>
      <c r="R36" s="92"/>
      <c r="S36" s="676"/>
      <c r="T36" s="9"/>
    </row>
    <row r="37" ht="15" customHeight="1">
      <c r="A37" s="2"/>
      <c r="B37" s="44"/>
      <c r="C37" s="45"/>
      <c r="D37" s="19" t="s">
        <v>102</v>
      </c>
      <c r="E37" s="668"/>
      <c r="F37" s="113"/>
      <c r="G37" s="677"/>
      <c r="H37" s="19" t="s">
        <v>102</v>
      </c>
      <c r="I37" s="668"/>
      <c r="J37" s="113"/>
      <c r="K37" s="677"/>
      <c r="L37" s="19" t="s">
        <v>102</v>
      </c>
      <c r="M37" s="668"/>
      <c r="N37" s="113"/>
      <c r="O37" s="677"/>
      <c r="P37" s="19" t="s">
        <v>102</v>
      </c>
      <c r="Q37" s="668"/>
      <c r="R37" s="113"/>
      <c r="S37" s="668"/>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1" customFormat="1" ht="9.75" customHeight="1">
      <c r="A39" s="679"/>
      <c r="B39" s="679"/>
      <c r="C39" s="679"/>
      <c r="D39" s="679"/>
      <c r="E39" s="679"/>
      <c r="F39" s="679"/>
      <c r="G39" s="679"/>
      <c r="H39" s="679"/>
      <c r="I39" s="679"/>
      <c r="J39" s="679"/>
      <c r="K39" s="679"/>
      <c r="L39" s="679"/>
      <c r="M39" s="679"/>
      <c r="N39" s="679"/>
      <c r="O39" s="679"/>
      <c r="P39" s="679"/>
      <c r="Q39" s="679"/>
      <c r="R39" s="679"/>
      <c r="S39" s="679"/>
      <c r="T39" s="679"/>
      <c r="U39" s="680"/>
      <c r="V39" s="680"/>
      <c r="W39" s="680"/>
      <c r="X39" s="680"/>
      <c r="Y39" s="680"/>
      <c r="Z39" s="680"/>
      <c r="AA39" s="680"/>
      <c r="AB39" s="680"/>
      <c r="AC39" s="680"/>
      <c r="AD39" s="680"/>
      <c r="AE39" s="680"/>
      <c r="AF39" s="680"/>
      <c r="AG39" s="680"/>
      <c r="AH39" s="680"/>
      <c r="AI39" s="680"/>
      <c r="AJ39" s="680"/>
      <c r="AK39" s="680"/>
      <c r="AL39" s="680"/>
      <c r="AM39" s="680"/>
      <c r="AN39" s="680"/>
      <c r="AO39" s="680"/>
    </row>
    <row r="40" ht="35.1" customHeight="1">
      <c r="A40" s="2"/>
      <c r="B40" s="1047" t="s">
        <v>129</v>
      </c>
      <c r="C40" s="1047"/>
      <c r="D40" s="1047"/>
      <c r="E40" s="1047"/>
      <c r="F40" s="1047"/>
      <c r="G40" s="1047"/>
      <c r="H40" s="1047"/>
      <c r="I40" s="1047"/>
      <c r="J40" s="1047"/>
      <c r="K40" s="1047"/>
      <c r="L40" s="1047"/>
      <c r="M40" s="1047"/>
      <c r="N40" s="1047"/>
      <c r="O40" s="1047"/>
      <c r="P40" s="1047"/>
      <c r="Q40" s="1047"/>
      <c r="R40" s="1047"/>
      <c r="S40" s="1047"/>
      <c r="T40" s="2"/>
    </row>
    <row r="41" s="684" customFormat="1" ht="15" customHeight="1">
      <c r="A41" s="682"/>
      <c r="B41" s="682"/>
      <c r="C41" s="682"/>
      <c r="D41" s="682"/>
      <c r="E41" s="682"/>
      <c r="F41" s="682"/>
      <c r="G41" s="682"/>
      <c r="H41" s="682"/>
      <c r="I41" s="682"/>
      <c r="J41" s="682"/>
      <c r="K41" s="682"/>
      <c r="L41" s="682"/>
      <c r="M41" s="682"/>
      <c r="N41" s="682"/>
      <c r="O41" s="682"/>
      <c r="P41" s="682"/>
      <c r="Q41" s="682"/>
      <c r="R41" s="682"/>
      <c r="S41" s="682"/>
      <c r="T41" s="682"/>
      <c r="U41" s="683"/>
      <c r="V41" s="683"/>
      <c r="W41" s="683"/>
      <c r="X41" s="683"/>
      <c r="Y41" s="683"/>
      <c r="Z41" s="683"/>
      <c r="AA41" s="683"/>
      <c r="AB41" s="683"/>
      <c r="AC41" s="683"/>
      <c r="AD41" s="683"/>
      <c r="AE41" s="683"/>
      <c r="AF41" s="683"/>
      <c r="AG41" s="683"/>
      <c r="AH41" s="683"/>
      <c r="AI41" s="683"/>
      <c r="AJ41" s="683"/>
      <c r="AK41" s="683"/>
      <c r="AL41" s="683"/>
      <c r="AM41" s="683"/>
      <c r="AN41" s="683"/>
      <c r="AO41" s="683"/>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7" t="s">
        <v>144</v>
      </c>
      <c r="Z1" s="5"/>
      <c r="AB1" s="686"/>
      <c r="AD1" s="236"/>
    </row>
    <row r="2" ht="15" customHeight="1">
      <c r="A2" s="11"/>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row>
    <row r="3" ht="17.1" customHeight="1">
      <c r="A3" s="11"/>
      <c r="B3" s="1014" t="s">
        <v>212</v>
      </c>
      <c r="C3" s="1014"/>
      <c r="D3" s="1014"/>
      <c r="E3" s="1014"/>
      <c r="F3" s="1014"/>
      <c r="G3" s="1014"/>
      <c r="H3" s="1014"/>
      <c r="I3" s="1014"/>
      <c r="J3" s="1014"/>
      <c r="K3" s="1014"/>
      <c r="L3" s="1014"/>
      <c r="M3" s="1014"/>
      <c r="N3" s="1014"/>
      <c r="O3" s="1014"/>
      <c r="P3" s="1014"/>
      <c r="Q3" s="1014"/>
      <c r="R3" s="1048" t="s">
        <v>298</v>
      </c>
      <c r="S3" s="1048"/>
      <c r="T3" s="1048"/>
      <c r="U3" s="1048"/>
      <c r="V3" s="1048"/>
      <c r="W3" s="1048"/>
      <c r="X3" s="1048"/>
      <c r="Y3" s="1048"/>
      <c r="Z3" s="1048"/>
      <c r="AA3" s="1048"/>
      <c r="AB3" s="1048"/>
    </row>
    <row r="4" ht="19.5" customHeight="1">
      <c r="A4" s="4"/>
      <c r="B4" s="1014" t="s">
        <v>213</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row>
    <row r="5" ht="12.75" customHeight="1"/>
    <row r="6" ht="15.75">
      <c r="D6" s="975" t="s">
        <v>22</v>
      </c>
      <c r="E6" s="975"/>
      <c r="F6" s="975"/>
      <c r="G6" s="975"/>
      <c r="H6" s="975"/>
      <c r="I6" s="975"/>
      <c r="J6" s="975"/>
      <c r="K6" s="975"/>
      <c r="L6" s="975"/>
      <c r="M6" s="975"/>
      <c r="N6" s="975"/>
      <c r="O6" s="975"/>
      <c r="Q6" s="975" t="s">
        <v>72</v>
      </c>
      <c r="R6" s="975"/>
      <c r="S6" s="975"/>
      <c r="T6" s="975"/>
      <c r="U6" s="975"/>
      <c r="V6" s="975"/>
      <c r="W6" s="975"/>
      <c r="X6" s="975"/>
      <c r="Y6" s="975"/>
      <c r="Z6" s="975"/>
      <c r="AA6" s="975"/>
      <c r="AB6" s="975"/>
    </row>
    <row r="7" ht="15.75">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958" t="s">
        <v>42</v>
      </c>
      <c r="C8" s="958"/>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18" customHeight="1">
      <c r="A9" s="57"/>
      <c r="B9" s="285">
        <v>2019</v>
      </c>
      <c r="C9" s="286" t="s">
        <v>221</v>
      </c>
      <c r="D9" s="416">
        <v>59.359726295210166177908113390</v>
      </c>
      <c r="E9" s="417">
        <v>72.898735124616420926577351990</v>
      </c>
      <c r="F9" s="418">
        <v>57.693572768212039448832662770</v>
      </c>
      <c r="G9" s="416">
        <v>1.7350928641251221896383186700</v>
      </c>
      <c r="H9" s="417">
        <v>2.3875458423770675847616196400</v>
      </c>
      <c r="I9" s="418">
        <v>13.514590603308316484634304860</v>
      </c>
      <c r="J9" s="416">
        <v>0</v>
      </c>
      <c r="K9" s="417">
        <v>0</v>
      </c>
      <c r="L9" s="418">
        <v>6.7611566132551034755984765200</v>
      </c>
      <c r="M9" s="416">
        <v>61.094819159335288367546432060</v>
      </c>
      <c r="N9" s="417">
        <v>75.286280966993488511338971630</v>
      </c>
      <c r="O9" s="418">
        <v>77.969319984775459409065444140</v>
      </c>
      <c r="P9" s="5"/>
      <c r="Q9" s="416">
        <v>36.739369501466275659824046920</v>
      </c>
      <c r="R9" s="417">
        <v>-7.8395163874111446366392164300</v>
      </c>
      <c r="S9" s="418">
        <v>0.3500314992567778129572820800</v>
      </c>
      <c r="T9" s="416">
        <v>69.235033259423503325942350150</v>
      </c>
      <c r="U9" s="417">
        <v>3.6677070973495469214084358600</v>
      </c>
      <c r="V9" s="418">
        <v>20.748331878123496376160939330</v>
      </c>
      <c r="W9" s="416">
        <v>0</v>
      </c>
      <c r="X9" s="417">
        <v>0</v>
      </c>
      <c r="Y9" s="418">
        <v>30.576352700938929597012158180</v>
      </c>
      <c r="Z9" s="416">
        <v>37.489128766562643883971965010</v>
      </c>
      <c r="AA9" s="417">
        <v>-7.5139503004310015799328640800</v>
      </c>
      <c r="AB9" s="418">
        <v>5.5599063621849392009312086100</v>
      </c>
    </row>
    <row r="10" ht="18" customHeight="1">
      <c r="A10" s="58"/>
      <c r="B10" s="287"/>
      <c r="C10" s="288" t="s">
        <v>224</v>
      </c>
      <c r="D10" s="272">
        <v>68.157380254154447702834799610</v>
      </c>
      <c r="E10" s="92">
        <v>73.115784746650699797919317420</v>
      </c>
      <c r="F10" s="273">
        <v>61.777650511811280053797886290</v>
      </c>
      <c r="G10" s="272">
        <v>0.1955034213098729227761485800</v>
      </c>
      <c r="H10" s="92">
        <v>1.9309931891325499588354165100</v>
      </c>
      <c r="I10" s="273">
        <v>7.3296683503518644727266463800</v>
      </c>
      <c r="J10" s="272">
        <v>0</v>
      </c>
      <c r="K10" s="92">
        <v>0</v>
      </c>
      <c r="L10" s="273">
        <v>6.5338438479761429136571354500</v>
      </c>
      <c r="M10" s="272">
        <v>68.352883675464320625610948190</v>
      </c>
      <c r="N10" s="92">
        <v>75.046777935783249756754733930</v>
      </c>
      <c r="O10" s="273">
        <v>75.641162710139287440181668110</v>
      </c>
      <c r="P10" s="5"/>
      <c r="Q10" s="272">
        <v>51.171028084505621943225936570</v>
      </c>
      <c r="R10" s="92">
        <v>-8.658251519401589527816736790</v>
      </c>
      <c r="S10" s="273">
        <v>6.138034810219237239047465500</v>
      </c>
      <c r="T10" s="272">
        <v>-2.2727272727272727272727284100</v>
      </c>
      <c r="U10" s="92">
        <v>8.860759493670886075949366780</v>
      </c>
      <c r="V10" s="273">
        <v>-9.513180241514760036507466820</v>
      </c>
      <c r="W10" s="272">
        <v>0</v>
      </c>
      <c r="X10" s="92">
        <v>0</v>
      </c>
      <c r="Y10" s="273">
        <v>32.405380962992402242292924500</v>
      </c>
      <c r="Z10" s="272">
        <v>50.934943024948546759700818220</v>
      </c>
      <c r="AA10" s="92">
        <v>-8.278448591291620929381631900</v>
      </c>
      <c r="AB10" s="273">
        <v>6.1779457415734737294601828600</v>
      </c>
    </row>
    <row r="11" ht="18" customHeight="1">
      <c r="A11" s="58"/>
      <c r="B11" s="289"/>
      <c r="C11" s="290" t="s">
        <v>226</v>
      </c>
      <c r="D11" s="421">
        <v>52.752525252525252525252525250</v>
      </c>
      <c r="E11" s="91">
        <v>56.542923433874709976798143850</v>
      </c>
      <c r="F11" s="422">
        <v>49.252390987077161528279892300</v>
      </c>
      <c r="G11" s="421">
        <v>0.6313131313131313131313131300</v>
      </c>
      <c r="H11" s="91">
        <v>4.083526682134570765661252900</v>
      </c>
      <c r="I11" s="422">
        <v>11.219499882632829317039255880</v>
      </c>
      <c r="J11" s="421">
        <v>0</v>
      </c>
      <c r="K11" s="91">
        <v>0</v>
      </c>
      <c r="L11" s="422">
        <v>5.9760299398706357842270094100</v>
      </c>
      <c r="M11" s="421">
        <v>53.383838383838383838383838380</v>
      </c>
      <c r="N11" s="91">
        <v>60.626450116009280742459396750</v>
      </c>
      <c r="O11" s="422">
        <v>66.447920809580626629546157590</v>
      </c>
      <c r="P11" s="5"/>
      <c r="Q11" s="421">
        <v>58.980213089802130898021308980</v>
      </c>
      <c r="R11" s="91">
        <v>-9.247765640516385302879841110</v>
      </c>
      <c r="S11" s="422">
        <v>-2.7205477767572771296788739400</v>
      </c>
      <c r="T11" s="421">
        <v>-83.66013071895424836601307191</v>
      </c>
      <c r="U11" s="91">
        <v>25.714285714285714285714285630</v>
      </c>
      <c r="V11" s="422">
        <v>14.323583684541970090206702550</v>
      </c>
      <c r="W11" s="421">
        <v>0</v>
      </c>
      <c r="X11" s="91">
        <v>0</v>
      </c>
      <c r="Y11" s="422">
        <v>31.432189197286791965465551980</v>
      </c>
      <c r="Z11" s="421">
        <v>44.103612815269256987048398060</v>
      </c>
      <c r="AA11" s="91">
        <v>-7.5153374233128834355828220900</v>
      </c>
      <c r="AB11" s="422">
        <v>2.242571007022558361130358300</v>
      </c>
    </row>
    <row r="12" ht="18" customHeight="1">
      <c r="A12" s="58"/>
      <c r="B12" s="287"/>
      <c r="C12" s="288" t="s">
        <v>228</v>
      </c>
      <c r="D12" s="272">
        <v>61.705767350928641251221896380</v>
      </c>
      <c r="E12" s="92">
        <v>71.820971484170346530948282310</v>
      </c>
      <c r="F12" s="273">
        <v>52.686006132759476036695666620</v>
      </c>
      <c r="G12" s="272">
        <v>5.03421309872922776148582600</v>
      </c>
      <c r="H12" s="92">
        <v>4.64785569942369583115036300</v>
      </c>
      <c r="I12" s="273">
        <v>14.170487583186469372377563260</v>
      </c>
      <c r="J12" s="272">
        <v>0</v>
      </c>
      <c r="K12" s="92">
        <v>0</v>
      </c>
      <c r="L12" s="273">
        <v>6.0883002181865337534059753700</v>
      </c>
      <c r="M12" s="272">
        <v>66.739980449657869012707722390</v>
      </c>
      <c r="N12" s="92">
        <v>76.468827183594042362098645310</v>
      </c>
      <c r="O12" s="273">
        <v>72.944793934132479162479205240</v>
      </c>
      <c r="P12" s="5"/>
      <c r="Q12" s="272">
        <v>74.378453038674033149171270710</v>
      </c>
      <c r="R12" s="92">
        <v>9.781489532090149868436105700</v>
      </c>
      <c r="S12" s="273">
        <v>7.2617182564624613165194674500</v>
      </c>
      <c r="T12" s="272">
        <v>-51.068883610451306413301662730</v>
      </c>
      <c r="U12" s="92">
        <v>-31.456953642384105960264900590</v>
      </c>
      <c r="V12" s="273">
        <v>1.7055395196617357683294723400</v>
      </c>
      <c r="W12" s="272">
        <v>0</v>
      </c>
      <c r="X12" s="92">
        <v>0</v>
      </c>
      <c r="Y12" s="273">
        <v>36.171693647058614520697252700</v>
      </c>
      <c r="Z12" s="272">
        <v>46.120920278223649010165864110</v>
      </c>
      <c r="AA12" s="92">
        <v>5.9085726132476417539131336100</v>
      </c>
      <c r="AB12" s="273">
        <v>8.029521749881904631683468740</v>
      </c>
    </row>
    <row r="13" ht="18" customHeight="1">
      <c r="A13" s="58"/>
      <c r="B13" s="289"/>
      <c r="C13" s="290" t="s">
        <v>229</v>
      </c>
      <c r="D13" s="421">
        <v>68.686868686868686868686868690</v>
      </c>
      <c r="E13" s="91">
        <v>74.818252126836813611755607110</v>
      </c>
      <c r="F13" s="422">
        <v>59.091769941361779279969023630</v>
      </c>
      <c r="G13" s="421">
        <v>6.2121212121212121212121212100</v>
      </c>
      <c r="H13" s="91">
        <v>9.505027068832173240525908740</v>
      </c>
      <c r="I13" s="422">
        <v>17.365373202994670599765328550</v>
      </c>
      <c r="J13" s="421">
        <v>0</v>
      </c>
      <c r="K13" s="91">
        <v>0</v>
      </c>
      <c r="L13" s="422">
        <v>6.242144100385340316601298700</v>
      </c>
      <c r="M13" s="421">
        <v>74.898989898989898989898989900</v>
      </c>
      <c r="N13" s="91">
        <v>84.32327919566898685228151585</v>
      </c>
      <c r="O13" s="422">
        <v>82.69928724474179019633565088</v>
      </c>
      <c r="P13" s="5"/>
      <c r="Q13" s="421">
        <v>72.917991099809281627463445660</v>
      </c>
      <c r="R13" s="91">
        <v>6.8124102903831290714364579700</v>
      </c>
      <c r="S13" s="422">
        <v>8.731682897588452401313149520</v>
      </c>
      <c r="T13" s="421">
        <v>13.888888888888888888888888940</v>
      </c>
      <c r="U13" s="91">
        <v>-5.4615384615384615384615384400</v>
      </c>
      <c r="V13" s="422">
        <v>8.978475796720935504500238890</v>
      </c>
      <c r="W13" s="421">
        <v>0</v>
      </c>
      <c r="X13" s="91">
        <v>0</v>
      </c>
      <c r="Y13" s="422">
        <v>27.468916338924888277322003820</v>
      </c>
      <c r="Z13" s="421">
        <v>65.790944661822247065399664610</v>
      </c>
      <c r="AA13" s="91">
        <v>5.2717968523703775224485854900</v>
      </c>
      <c r="AB13" s="422">
        <v>10.004509492220950030762306060</v>
      </c>
    </row>
    <row r="14" ht="18" customHeight="1">
      <c r="A14" s="58"/>
      <c r="B14" s="287"/>
      <c r="C14" s="288" t="s">
        <v>230</v>
      </c>
      <c r="D14" s="272">
        <v>81.40273704789833822091886608</v>
      </c>
      <c r="E14" s="92">
        <v>73.939076416435895516802634530</v>
      </c>
      <c r="F14" s="273">
        <v>67.153149528870341500912462810</v>
      </c>
      <c r="G14" s="272">
        <v>3.7634408602150537634408602200</v>
      </c>
      <c r="H14" s="92">
        <v>4.0640670608487388668512835900</v>
      </c>
      <c r="I14" s="273">
        <v>9.504700933857718741755820470</v>
      </c>
      <c r="J14" s="272">
        <v>0</v>
      </c>
      <c r="K14" s="92">
        <v>0</v>
      </c>
      <c r="L14" s="273">
        <v>6.5627087109102922813147392400</v>
      </c>
      <c r="M14" s="272">
        <v>85.16617790811339198435972630</v>
      </c>
      <c r="N14" s="92">
        <v>78.003143477284634383653918120</v>
      </c>
      <c r="O14" s="273">
        <v>83.22055917363835252398302252</v>
      </c>
      <c r="P14" s="5"/>
      <c r="Q14" s="272">
        <v>79.56873315363881401617250674</v>
      </c>
      <c r="R14" s="92">
        <v>1.3022969647251845775225594800</v>
      </c>
      <c r="S14" s="273">
        <v>6.982477737760945165481392900</v>
      </c>
      <c r="T14" s="272">
        <v>-28.372093023255813953488372030</v>
      </c>
      <c r="U14" s="92">
        <v>-4.2328042328042328042328042300</v>
      </c>
      <c r="V14" s="273">
        <v>-6.6114357820334781425270295400</v>
      </c>
      <c r="W14" s="272">
        <v>0</v>
      </c>
      <c r="X14" s="92">
        <v>0</v>
      </c>
      <c r="Y14" s="273">
        <v>9.631182793530237451467965700</v>
      </c>
      <c r="Z14" s="272">
        <v>68.357487922705314009661835750</v>
      </c>
      <c r="AA14" s="92">
        <v>0.9981587363116581064056594600</v>
      </c>
      <c r="AB14" s="273">
        <v>5.4305781983463402921138168400</v>
      </c>
    </row>
    <row r="15" ht="18" customHeight="1">
      <c r="A15" s="58"/>
      <c r="B15" s="289">
        <v>2020</v>
      </c>
      <c r="C15" s="290" t="s">
        <v>232</v>
      </c>
      <c r="D15" s="421">
        <v>66.251221896383186705767350930</v>
      </c>
      <c r="E15" s="91">
        <v>72.277524137414864156874485440</v>
      </c>
      <c r="F15" s="422">
        <v>51.018016849705899779971143490</v>
      </c>
      <c r="G15" s="421">
        <v>20.772238514173998044965786900</v>
      </c>
      <c r="H15" s="91">
        <v>15.305740588279320410148940950</v>
      </c>
      <c r="I15" s="422">
        <v>27.380590962465977117298537850</v>
      </c>
      <c r="J15" s="421">
        <v>0</v>
      </c>
      <c r="K15" s="91">
        <v>0</v>
      </c>
      <c r="L15" s="422">
        <v>6.9775670068181913596607456900</v>
      </c>
      <c r="M15" s="421">
        <v>87.02346041055718475073313783</v>
      </c>
      <c r="N15" s="91">
        <v>87.58326472569418456702342639</v>
      </c>
      <c r="O15" s="422">
        <v>85.37617481899006825693042702</v>
      </c>
      <c r="P15" s="5"/>
      <c r="Q15" s="421">
        <v>19.164835164835164835164835160</v>
      </c>
      <c r="R15" s="91">
        <v>1.7704710717673095162820107500</v>
      </c>
      <c r="S15" s="422">
        <v>-1.5490235553780543668915177600</v>
      </c>
      <c r="T15" s="421">
        <v>49.384885764499121265377855850</v>
      </c>
      <c r="U15" s="91">
        <v>24.240583232077764277035236970</v>
      </c>
      <c r="V15" s="422">
        <v>20.678718576908218750359300830</v>
      </c>
      <c r="W15" s="421">
        <v>0</v>
      </c>
      <c r="X15" s="91">
        <v>0</v>
      </c>
      <c r="Y15" s="422">
        <v>-5.3223639033943875489904677800</v>
      </c>
      <c r="Z15" s="421">
        <v>25.210970464135021097046413510</v>
      </c>
      <c r="AA15" s="91">
        <v>5.0920520880107768298158958300</v>
      </c>
      <c r="AB15" s="422">
        <v>4.2706672780098565162539633700</v>
      </c>
    </row>
    <row r="16" ht="18" customHeight="1">
      <c r="A16" s="58"/>
      <c r="B16" s="287"/>
      <c r="C16" s="288" t="s">
        <v>233</v>
      </c>
      <c r="D16" s="272">
        <v>71.995820271682340647857889240</v>
      </c>
      <c r="E16" s="92">
        <v>77.830226418113421279416639050</v>
      </c>
      <c r="F16" s="273">
        <v>54.163679774199080356972407830</v>
      </c>
      <c r="G16" s="272">
        <v>15.517241379310344827586206900</v>
      </c>
      <c r="H16" s="92">
        <v>12.561004880390426748425588330</v>
      </c>
      <c r="I16" s="273">
        <v>28.156405176629778412021665030</v>
      </c>
      <c r="J16" s="272">
        <v>0</v>
      </c>
      <c r="K16" s="92">
        <v>0</v>
      </c>
      <c r="L16" s="273">
        <v>6.3761747423216233437888560900</v>
      </c>
      <c r="M16" s="272">
        <v>87.51306165099268547544409613</v>
      </c>
      <c r="N16" s="92">
        <v>90.39123129850384802784222738</v>
      </c>
      <c r="O16" s="273">
        <v>88.69625969315048211278292895</v>
      </c>
      <c r="P16" s="5"/>
      <c r="Q16" s="272">
        <v>33.649699509863350594918512620</v>
      </c>
      <c r="R16" s="92">
        <v>1.4643159137725794533866263500</v>
      </c>
      <c r="S16" s="273">
        <v>-6.206959798131431073171853600</v>
      </c>
      <c r="T16" s="272">
        <v>-10.944527736131934032983508200</v>
      </c>
      <c r="U16" s="92">
        <v>10.324750288611113537117903860</v>
      </c>
      <c r="V16" s="273">
        <v>34.060566425144009393111359410</v>
      </c>
      <c r="W16" s="272">
        <v>0</v>
      </c>
      <c r="X16" s="92">
        <v>0</v>
      </c>
      <c r="Y16" s="273">
        <v>-7.8031106870630438800880623400</v>
      </c>
      <c r="Z16" s="272">
        <v>22.750768828109664332918929530</v>
      </c>
      <c r="AA16" s="92">
        <v>2.6094797582865617533628068900</v>
      </c>
      <c r="AB16" s="273">
        <v>3.5365055789233310552521414100</v>
      </c>
    </row>
    <row r="17" ht="18" customHeight="1">
      <c r="A17" s="58"/>
      <c r="B17" s="289"/>
      <c r="C17" s="290" t="s">
        <v>234</v>
      </c>
      <c r="D17" s="421">
        <v>39.565004887585532746823069400</v>
      </c>
      <c r="E17" s="91">
        <v>38.582441434024399371304543070</v>
      </c>
      <c r="F17" s="422">
        <v>25.595525267683616665460232920</v>
      </c>
      <c r="G17" s="421">
        <v>0.1221896383186705767350928600</v>
      </c>
      <c r="H17" s="91">
        <v>3.0312102387545842377067584800</v>
      </c>
      <c r="I17" s="422">
        <v>7.2978662927506920091914544900</v>
      </c>
      <c r="J17" s="421">
        <v>0</v>
      </c>
      <c r="K17" s="91">
        <v>0</v>
      </c>
      <c r="L17" s="422">
        <v>5.1384444203253585060377717800</v>
      </c>
      <c r="M17" s="421">
        <v>39.687194525904203323558162270</v>
      </c>
      <c r="N17" s="91">
        <v>41.613651672778983609011301550</v>
      </c>
      <c r="O17" s="422">
        <v>38.031835980759667180689459190</v>
      </c>
      <c r="P17" s="5"/>
      <c r="Q17" s="421">
        <v>-39.158211198797444569710635110</v>
      </c>
      <c r="R17" s="91">
        <v>-53.646254833198453376494919530</v>
      </c>
      <c r="S17" s="422">
        <v>-59.365456757241782676878212780</v>
      </c>
      <c r="T17" s="421">
        <v>-98.61878453038674033149171275</v>
      </c>
      <c r="U17" s="91">
        <v>-42.307692307692307692307692210</v>
      </c>
      <c r="V17" s="422">
        <v>-58.400179237742730898511732600</v>
      </c>
      <c r="W17" s="421">
        <v>0</v>
      </c>
      <c r="X17" s="91">
        <v>0</v>
      </c>
      <c r="Y17" s="422">
        <v>-30.712963129978045010942055580</v>
      </c>
      <c r="Z17" s="421">
        <v>-46.278531260337413165729407870</v>
      </c>
      <c r="AA17" s="91">
        <v>-52.973018692379260762919732720</v>
      </c>
      <c r="AB17" s="422">
        <v>-56.756828365870682271079176380</v>
      </c>
    </row>
    <row r="18" ht="18" customHeight="1">
      <c r="A18" s="58"/>
      <c r="B18" s="287"/>
      <c r="C18" s="288" t="s">
        <v>235</v>
      </c>
      <c r="D18" s="272"/>
      <c r="E18" s="92"/>
      <c r="F18" s="273">
        <v>3.6777283289994499672652025400</v>
      </c>
      <c r="G18" s="272"/>
      <c r="H18" s="92"/>
      <c r="I18" s="273">
        <v>1.4004444192885490455954276500</v>
      </c>
      <c r="J18" s="272"/>
      <c r="K18" s="92"/>
      <c r="L18" s="273">
        <v>5.1417776854170815323686139300</v>
      </c>
      <c r="M18" s="272"/>
      <c r="N18" s="92"/>
      <c r="O18" s="273">
        <v>10.219950433705080545229244110</v>
      </c>
      <c r="P18" s="5"/>
      <c r="Q18" s="272"/>
      <c r="R18" s="92"/>
      <c r="S18" s="273">
        <v>-93.81055635177858211864018669</v>
      </c>
      <c r="T18" s="272"/>
      <c r="U18" s="92"/>
      <c r="V18" s="273">
        <v>-91.37944778666553671295803683</v>
      </c>
      <c r="W18" s="272"/>
      <c r="X18" s="92"/>
      <c r="Y18" s="273">
        <v>-18.503347329589108855451887980</v>
      </c>
      <c r="Z18" s="272"/>
      <c r="AA18" s="92"/>
      <c r="AB18" s="273">
        <v>-87.53268843925290785954554573</v>
      </c>
    </row>
    <row r="19" ht="18" customHeight="1">
      <c r="A19" s="58"/>
      <c r="B19" s="289"/>
      <c r="C19" s="290" t="s">
        <v>236</v>
      </c>
      <c r="D19" s="421"/>
      <c r="E19" s="91"/>
      <c r="F19" s="422">
        <v>14.820790860369868869122037450</v>
      </c>
      <c r="G19" s="421"/>
      <c r="H19" s="91"/>
      <c r="I19" s="422">
        <v>1.0657310050246974955894818700</v>
      </c>
      <c r="J19" s="421"/>
      <c r="K19" s="91"/>
      <c r="L19" s="422">
        <v>10.2107537488457812869682400</v>
      </c>
      <c r="M19" s="421"/>
      <c r="N19" s="91"/>
      <c r="O19" s="422">
        <v>26.097275614240347651679759320</v>
      </c>
      <c r="P19" s="5"/>
      <c r="Q19" s="421"/>
      <c r="R19" s="91"/>
      <c r="S19" s="422">
        <v>-74.021956014640550123953697010</v>
      </c>
      <c r="T19" s="421"/>
      <c r="U19" s="91"/>
      <c r="V19" s="422">
        <v>-93.08398708554167973253765286</v>
      </c>
      <c r="W19" s="421"/>
      <c r="X19" s="91"/>
      <c r="Y19" s="422">
        <v>58.720000245689999697362435790</v>
      </c>
      <c r="Z19" s="421"/>
      <c r="AA19" s="91"/>
      <c r="AB19" s="422">
        <v>-66.921098576464421383187269940</v>
      </c>
    </row>
    <row r="20" ht="18" customHeight="1">
      <c r="A20" s="58"/>
      <c r="B20" s="287"/>
      <c r="C20" s="288" t="s">
        <v>237</v>
      </c>
      <c r="D20" s="272">
        <v>18.131313131313131313131313130</v>
      </c>
      <c r="E20" s="92"/>
      <c r="F20" s="273">
        <v>21.718671166529077876392896050</v>
      </c>
      <c r="G20" s="272">
        <v>0</v>
      </c>
      <c r="H20" s="92"/>
      <c r="I20" s="273">
        <v>0.3825327797387176751832225100</v>
      </c>
      <c r="J20" s="272">
        <v>0</v>
      </c>
      <c r="K20" s="92"/>
      <c r="L20" s="273">
        <v>3.263327528452859388129601100</v>
      </c>
      <c r="M20" s="272">
        <v>18.131313131313131313131313130</v>
      </c>
      <c r="N20" s="92"/>
      <c r="O20" s="273">
        <v>25.364531474720654939705719660</v>
      </c>
      <c r="P20" s="5"/>
      <c r="Q20" s="272">
        <v>-59.111617312072892938496583140</v>
      </c>
      <c r="R20" s="92"/>
      <c r="S20" s="273">
        <v>-60.560078734268672168603912440</v>
      </c>
      <c r="T20" s="272">
        <v>-100</v>
      </c>
      <c r="U20" s="92"/>
      <c r="V20" s="273">
        <v>-97.35015331401387140192575216</v>
      </c>
      <c r="W20" s="272">
        <v>0</v>
      </c>
      <c r="X20" s="92"/>
      <c r="Y20" s="273">
        <v>-48.735686808207592495735921920</v>
      </c>
      <c r="Z20" s="272">
        <v>-67.003676470588235294117647060</v>
      </c>
      <c r="AA20" s="92"/>
      <c r="AB20" s="273">
        <v>-66.568192751757363739953942970</v>
      </c>
    </row>
    <row r="21" ht="18" customHeight="1">
      <c r="A21" s="58"/>
      <c r="B21" s="289"/>
      <c r="C21" s="290" t="s">
        <v>221</v>
      </c>
      <c r="D21" s="421">
        <v>13.098729227761485826001955030</v>
      </c>
      <c r="E21" s="91"/>
      <c r="F21" s="422">
        <v>17.789278636981108462217434640</v>
      </c>
      <c r="G21" s="421">
        <v>0</v>
      </c>
      <c r="H21" s="91"/>
      <c r="I21" s="422">
        <v>3.6379461613017387768426354300</v>
      </c>
      <c r="J21" s="421">
        <v>0</v>
      </c>
      <c r="K21" s="91"/>
      <c r="L21" s="422">
        <v>3.1171560923454092507623137500</v>
      </c>
      <c r="M21" s="421">
        <v>13.098729227761485826001955030</v>
      </c>
      <c r="N21" s="91"/>
      <c r="O21" s="422">
        <v>24.544380890628256489822383810</v>
      </c>
      <c r="P21" s="5"/>
      <c r="Q21" s="421">
        <v>-77.933305887196377109921778520</v>
      </c>
      <c r="R21" s="91"/>
      <c r="S21" s="422">
        <v>-69.165926491585503636221029300</v>
      </c>
      <c r="T21" s="421">
        <v>-100</v>
      </c>
      <c r="U21" s="91"/>
      <c r="V21" s="422">
        <v>-73.081343948286643316877149480</v>
      </c>
      <c r="W21" s="421">
        <v>0</v>
      </c>
      <c r="X21" s="91"/>
      <c r="Y21" s="422">
        <v>-53.896111706179218639277838890</v>
      </c>
      <c r="Z21" s="421">
        <v>-78.560000000000000000000000010</v>
      </c>
      <c r="AA21" s="91"/>
      <c r="AB21" s="422">
        <v>-68.520463054672182122529659860</v>
      </c>
    </row>
    <row r="22" ht="18" customHeight="1">
      <c r="A22" s="58"/>
      <c r="B22" s="287"/>
      <c r="C22" s="288" t="s">
        <v>224</v>
      </c>
      <c r="D22" s="272">
        <v>25.537634408602150537634408600</v>
      </c>
      <c r="E22" s="92"/>
      <c r="F22" s="273">
        <v>19.084737011263703925265992210</v>
      </c>
      <c r="G22" s="272">
        <v>0</v>
      </c>
      <c r="H22" s="92"/>
      <c r="I22" s="273">
        <v>7.2833802541610204303200822600</v>
      </c>
      <c r="J22" s="272">
        <v>0</v>
      </c>
      <c r="K22" s="92"/>
      <c r="L22" s="273">
        <v>3.3045799573713680801486597600</v>
      </c>
      <c r="M22" s="272">
        <v>25.537634408602150537634408600</v>
      </c>
      <c r="N22" s="92"/>
      <c r="O22" s="273">
        <v>29.672697222796092435734734230</v>
      </c>
      <c r="P22" s="5"/>
      <c r="Q22" s="272">
        <v>-62.531373252061670849766941560</v>
      </c>
      <c r="R22" s="92"/>
      <c r="S22" s="273">
        <v>-69.10737644900417564165481800</v>
      </c>
      <c r="T22" s="272">
        <v>-100</v>
      </c>
      <c r="U22" s="92"/>
      <c r="V22" s="273">
        <v>-0.6315169251637689542618540800</v>
      </c>
      <c r="W22" s="272">
        <v>0</v>
      </c>
      <c r="X22" s="92"/>
      <c r="Y22" s="273">
        <v>-49.423646566102720787635557620</v>
      </c>
      <c r="Z22" s="272">
        <v>-62.638541294243832677869145520</v>
      </c>
      <c r="AA22" s="92"/>
      <c r="AB22" s="273">
        <v>-60.771759502820772513059239290</v>
      </c>
    </row>
    <row r="23" ht="18" customHeight="1">
      <c r="A23" s="58"/>
      <c r="B23" s="289"/>
      <c r="C23" s="290" t="s">
        <v>226</v>
      </c>
      <c r="D23" s="421">
        <v>47.424242424242424242424242420</v>
      </c>
      <c r="E23" s="91"/>
      <c r="F23" s="422">
        <v>26.743091198528067080441861150</v>
      </c>
      <c r="G23" s="421">
        <v>0</v>
      </c>
      <c r="H23" s="91"/>
      <c r="I23" s="422">
        <v>1.140954081155160854740771500</v>
      </c>
      <c r="J23" s="421">
        <v>0</v>
      </c>
      <c r="K23" s="91"/>
      <c r="L23" s="422">
        <v>2.7243719206827372981202035800</v>
      </c>
      <c r="M23" s="421">
        <v>47.424242424242424242424242420</v>
      </c>
      <c r="N23" s="91"/>
      <c r="O23" s="422">
        <v>30.608417200365965233302836230</v>
      </c>
      <c r="P23" s="5"/>
      <c r="Q23" s="421">
        <v>-10.100526567735758736237434180</v>
      </c>
      <c r="R23" s="91"/>
      <c r="S23" s="422">
        <v>-45.701943271048674073899901060</v>
      </c>
      <c r="T23" s="421">
        <v>-100</v>
      </c>
      <c r="U23" s="91"/>
      <c r="V23" s="422">
        <v>-89.83061550790427640282276415</v>
      </c>
      <c r="W23" s="421">
        <v>0</v>
      </c>
      <c r="X23" s="91"/>
      <c r="Y23" s="422">
        <v>-54.411675508745656040298202320</v>
      </c>
      <c r="Z23" s="421">
        <v>-11.163670766319772942289498580</v>
      </c>
      <c r="AA23" s="91"/>
      <c r="AB23" s="422">
        <v>-53.936230317754701741468434740</v>
      </c>
    </row>
    <row r="24" ht="18" customHeight="1">
      <c r="A24" s="59"/>
      <c r="B24" s="287"/>
      <c r="C24" s="288" t="s">
        <v>228</v>
      </c>
      <c r="D24" s="272">
        <v>51.392961876832844574780058650</v>
      </c>
      <c r="E24" s="92"/>
      <c r="F24" s="273">
        <v>30.791473449484944158438261120</v>
      </c>
      <c r="G24" s="272">
        <v>1.5151515151515151515151515200</v>
      </c>
      <c r="H24" s="92"/>
      <c r="I24" s="273">
        <v>2.8665583076494326221737989600</v>
      </c>
      <c r="J24" s="272">
        <v>0</v>
      </c>
      <c r="K24" s="92"/>
      <c r="L24" s="273">
        <v>3.6176302734974346711222053200</v>
      </c>
      <c r="M24" s="272">
        <v>52.908113391984359726295210170</v>
      </c>
      <c r="N24" s="92"/>
      <c r="O24" s="273">
        <v>37.275662030631811451734265390</v>
      </c>
      <c r="P24" s="93"/>
      <c r="Q24" s="272">
        <v>-16.712871287128712871287128710</v>
      </c>
      <c r="R24" s="92"/>
      <c r="S24" s="273">
        <v>-41.556637692567087774953682380</v>
      </c>
      <c r="T24" s="272">
        <v>-69.902912621359223300970873680</v>
      </c>
      <c r="U24" s="92"/>
      <c r="V24" s="273">
        <v>-79.77092678835798111634919663</v>
      </c>
      <c r="W24" s="272">
        <v>0</v>
      </c>
      <c r="X24" s="92"/>
      <c r="Y24" s="273">
        <v>-40.580619485696369278511554410</v>
      </c>
      <c r="Z24" s="272">
        <v>-20.725009154155986818015378980</v>
      </c>
      <c r="AA24" s="92"/>
      <c r="AB24" s="273">
        <v>-48.898804122620591272778884330</v>
      </c>
    </row>
    <row r="25" ht="18" customHeight="1">
      <c r="A25" s="60"/>
      <c r="B25" s="289"/>
      <c r="C25" s="290" t="s">
        <v>229</v>
      </c>
      <c r="D25" s="421">
        <v>50.808080808080808080808080810</v>
      </c>
      <c r="E25" s="91"/>
      <c r="F25" s="422">
        <v>33.398977766323469963779298880</v>
      </c>
      <c r="G25" s="421">
        <v>1.0353535353535353535353535400</v>
      </c>
      <c r="H25" s="91"/>
      <c r="I25" s="422">
        <v>2.3928930910756950482376092800</v>
      </c>
      <c r="J25" s="421">
        <v>0</v>
      </c>
      <c r="K25" s="91"/>
      <c r="L25" s="422">
        <v>3.7647018789761747104834494400</v>
      </c>
      <c r="M25" s="421">
        <v>51.843434343434343434343434340</v>
      </c>
      <c r="N25" s="91"/>
      <c r="O25" s="422">
        <v>39.556572736375339722500357600</v>
      </c>
      <c r="P25" s="93"/>
      <c r="Q25" s="421">
        <v>-26.029411764705882352941176470</v>
      </c>
      <c r="R25" s="91"/>
      <c r="S25" s="422">
        <v>-43.479476415300981277947379760</v>
      </c>
      <c r="T25" s="421">
        <v>-83.33333333333333333333333325</v>
      </c>
      <c r="U25" s="91"/>
      <c r="V25" s="422">
        <v>-86.22031865884092267955076445</v>
      </c>
      <c r="W25" s="421">
        <v>0</v>
      </c>
      <c r="X25" s="91"/>
      <c r="Y25" s="422">
        <v>-39.68896234318313851435850600</v>
      </c>
      <c r="Z25" s="421">
        <v>-30.782198246797033041132838850</v>
      </c>
      <c r="AA25" s="91"/>
      <c r="AB25" s="422">
        <v>-52.168181789389681738857333620</v>
      </c>
    </row>
    <row r="26" ht="18" customHeight="1">
      <c r="A26" s="60"/>
      <c r="B26" s="291"/>
      <c r="C26" s="292" t="s">
        <v>230</v>
      </c>
      <c r="D26" s="274">
        <v>69.037145650048875855327468230</v>
      </c>
      <c r="E26" s="275">
        <v>49.412971617462669554314373650</v>
      </c>
      <c r="F26" s="276">
        <v>41.735392500403479119568238240</v>
      </c>
      <c r="G26" s="274">
        <v>2.6392961876832844574780058700</v>
      </c>
      <c r="H26" s="275">
        <v>0</v>
      </c>
      <c r="I26" s="276">
        <v>0.9648744295962906046524514300</v>
      </c>
      <c r="J26" s="274">
        <v>0</v>
      </c>
      <c r="K26" s="275">
        <v>0</v>
      </c>
      <c r="L26" s="276">
        <v>4.2052013910212665389933043600</v>
      </c>
      <c r="M26" s="274">
        <v>71.676441837732160312805474100</v>
      </c>
      <c r="N26" s="275">
        <v>49.412971617462669554314373650</v>
      </c>
      <c r="O26" s="276">
        <v>46.905468321021036263213994030</v>
      </c>
      <c r="P26" s="184"/>
      <c r="Q26" s="274">
        <v>-15.190633443410387271089762830</v>
      </c>
      <c r="R26" s="275">
        <v>-33.170694019544617075089144010</v>
      </c>
      <c r="S26" s="276">
        <v>-37.850431747120533008478983050</v>
      </c>
      <c r="T26" s="274">
        <v>-29.870129870129870129870129830</v>
      </c>
      <c r="U26" s="275">
        <v>-100</v>
      </c>
      <c r="V26" s="276">
        <v>-89.84845040037811717691573804</v>
      </c>
      <c r="W26" s="274">
        <v>0</v>
      </c>
      <c r="X26" s="275">
        <v>0</v>
      </c>
      <c r="Y26" s="276">
        <v>-35.922778592469685608831475990</v>
      </c>
      <c r="Z26" s="274">
        <v>-15.839311334289813486370157820</v>
      </c>
      <c r="AA26" s="275">
        <v>-36.652589351283944740434240420</v>
      </c>
      <c r="AB26" s="276">
        <v>-43.637162755475441788311416240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88" t="s">
        <v>61</v>
      </c>
      <c r="C28" s="988"/>
      <c r="D28" s="988"/>
      <c r="E28" s="988"/>
      <c r="F28" s="988"/>
      <c r="G28" s="988"/>
      <c r="H28" s="988"/>
      <c r="I28" s="988"/>
      <c r="J28" s="988"/>
      <c r="K28" s="988"/>
      <c r="L28" s="988"/>
      <c r="M28" s="988"/>
      <c r="N28" s="988"/>
      <c r="O28" s="988"/>
      <c r="P28" s="412"/>
      <c r="Q28" s="986"/>
      <c r="R28" s="986"/>
      <c r="S28" s="986"/>
      <c r="T28" s="986"/>
      <c r="U28" s="986"/>
      <c r="V28" s="986"/>
      <c r="W28" s="986"/>
      <c r="X28" s="986"/>
      <c r="Y28" s="986"/>
      <c r="Z28" s="986"/>
      <c r="AA28" s="986"/>
      <c r="AB28" s="986"/>
      <c r="AC28" s="9"/>
    </row>
    <row r="29" ht="18" customHeight="1">
      <c r="A29" s="58"/>
      <c r="B29" s="285">
        <v>2018</v>
      </c>
      <c r="C29" s="286"/>
      <c r="D29" s="428">
        <v>34.887654022710799710074897320</v>
      </c>
      <c r="E29" s="429">
        <v>73.632535897321910544064319870</v>
      </c>
      <c r="F29" s="430">
        <v>55.854804198622832386849997250</v>
      </c>
      <c r="G29" s="428">
        <v>4.2683417894821615527099943600</v>
      </c>
      <c r="H29" s="429">
        <v>6.7374557832633698075103357600</v>
      </c>
      <c r="I29" s="430">
        <v>15.349214593730450560413663080</v>
      </c>
      <c r="J29" s="428">
        <v>0.3865668035757429330756221300</v>
      </c>
      <c r="K29" s="429">
        <v>0.0635069825927360713310428500</v>
      </c>
      <c r="L29" s="430">
        <v>5.5440511631543326367093445200</v>
      </c>
      <c r="M29" s="428">
        <v>39.542562615768704195860513810</v>
      </c>
      <c r="N29" s="429">
        <v>80.43349866317801642290569848</v>
      </c>
      <c r="O29" s="430">
        <v>76.748069955507615583973004860</v>
      </c>
      <c r="P29" s="5"/>
      <c r="Q29" s="428">
        <v>-42.133933625220472435555658980</v>
      </c>
      <c r="R29" s="429">
        <v>0.3767916028761271261862826900</v>
      </c>
      <c r="S29" s="430">
        <v>-1.0118207276085851160937544500</v>
      </c>
      <c r="T29" s="428">
        <v>5.5432809906041576095439630100</v>
      </c>
      <c r="U29" s="429">
        <v>1.9214453057501727245549296200</v>
      </c>
      <c r="V29" s="430">
        <v>-6.8895805603396010325849471700</v>
      </c>
      <c r="W29" s="428">
        <v>296.08601111379560280260932192</v>
      </c>
      <c r="X29" s="429">
        <v>729.86608674211387899271588268</v>
      </c>
      <c r="Y29" s="430">
        <v>3.7910959160778604141836047900</v>
      </c>
      <c r="Z29" s="428">
        <v>-38.629104276918286794761217130</v>
      </c>
      <c r="AA29" s="429">
        <v>0.5742725607065118330060302400</v>
      </c>
      <c r="AB29" s="430">
        <v>-1.922205176521229915978451800</v>
      </c>
    </row>
    <row r="30" ht="18" customHeight="1">
      <c r="A30" s="58"/>
      <c r="B30" s="287">
        <v>2019</v>
      </c>
      <c r="C30" s="288"/>
      <c r="D30" s="272">
        <v>61.129099211290992112909921130</v>
      </c>
      <c r="E30" s="92">
        <v>72.783269236881416266725995610</v>
      </c>
      <c r="F30" s="273">
        <v>57.688682304738133199394271740</v>
      </c>
      <c r="G30" s="272">
        <v>6.4591116645911166459111664600</v>
      </c>
      <c r="H30" s="92">
        <v>5.6962146012776912563964021200</v>
      </c>
      <c r="I30" s="273">
        <v>14.934339081560734228781134030</v>
      </c>
      <c r="J30" s="272">
        <v>0</v>
      </c>
      <c r="K30" s="92">
        <v>0</v>
      </c>
      <c r="L30" s="273">
        <v>6.5764360914707568927563732200</v>
      </c>
      <c r="M30" s="272">
        <v>67.588210875882108758821087590</v>
      </c>
      <c r="N30" s="92">
        <v>78.479483838159107523122397740</v>
      </c>
      <c r="O30" s="273">
        <v>79.19945747776962432093177900</v>
      </c>
      <c r="P30" s="5"/>
      <c r="Q30" s="272">
        <v>75.216995592474665066020888880</v>
      </c>
      <c r="R30" s="92">
        <v>-1.1533850492732832263206768200</v>
      </c>
      <c r="S30" s="273">
        <v>3.2832952015979268094986701800</v>
      </c>
      <c r="T30" s="272">
        <v>51.326017998543198853356516950</v>
      </c>
      <c r="U30" s="92">
        <v>-15.454515999529729634654852750</v>
      </c>
      <c r="V30" s="273">
        <v>-2.7029103648024872442758367800</v>
      </c>
      <c r="W30" s="272">
        <v>-100</v>
      </c>
      <c r="X30" s="92">
        <v>-100</v>
      </c>
      <c r="Y30" s="273">
        <v>18.621489916572857205867331390</v>
      </c>
      <c r="Z30" s="272">
        <v>70.925216791411027384578705630</v>
      </c>
      <c r="AA30" s="92">
        <v>-2.4293545071332890029180349800</v>
      </c>
      <c r="AB30" s="273">
        <v>3.1940705788212353710095077400</v>
      </c>
    </row>
    <row r="31" ht="18" customHeight="1">
      <c r="A31" s="58"/>
      <c r="B31" s="426">
        <v>2020</v>
      </c>
      <c r="C31" s="427"/>
      <c r="D31" s="431">
        <v>45.213611525086934923000496770</v>
      </c>
      <c r="E31" s="432"/>
      <c r="F31" s="433">
        <v>30.923800846352271168058437990</v>
      </c>
      <c r="G31" s="431">
        <v>4.1231992051664182811723795300</v>
      </c>
      <c r="H31" s="432"/>
      <c r="I31" s="433">
        <v>8.062426998566784472012739490</v>
      </c>
      <c r="J31" s="431">
        <v>0</v>
      </c>
      <c r="K31" s="432"/>
      <c r="L31" s="433">
        <v>4.5145798095111012411489580700</v>
      </c>
      <c r="M31" s="431">
        <v>49.336810730253353204172876300</v>
      </c>
      <c r="N31" s="432"/>
      <c r="O31" s="433">
        <v>43.500807654430156881220135560</v>
      </c>
      <c r="P31" s="184"/>
      <c r="Q31" s="431">
        <v>-26.035861629815003239502786420</v>
      </c>
      <c r="R31" s="432"/>
      <c r="S31" s="433">
        <v>-46.395376682381922399645219910</v>
      </c>
      <c r="T31" s="431">
        <v>-36.164608706645876353828648540</v>
      </c>
      <c r="U31" s="432"/>
      <c r="V31" s="433">
        <v>-46.014169394872149005292921860</v>
      </c>
      <c r="W31" s="431">
        <v>0</v>
      </c>
      <c r="X31" s="432"/>
      <c r="Y31" s="433">
        <v>-31.352183056013568867229725470</v>
      </c>
      <c r="Z31" s="431">
        <v>-27.003821981832497316759329930</v>
      </c>
      <c r="AA31" s="432"/>
      <c r="AB31" s="433">
        <v>-45.074361567892895416860372960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87" t="s">
        <v>44</v>
      </c>
      <c r="C33" s="987"/>
      <c r="D33" s="987"/>
      <c r="E33" s="987"/>
      <c r="F33" s="987"/>
      <c r="G33" s="987"/>
      <c r="H33" s="987"/>
      <c r="I33" s="987"/>
      <c r="J33" s="987"/>
      <c r="K33" s="987"/>
      <c r="L33" s="987"/>
      <c r="M33" s="987"/>
      <c r="N33" s="987"/>
      <c r="O33" s="987"/>
      <c r="P33" s="412"/>
      <c r="Q33" s="986"/>
      <c r="R33" s="986"/>
      <c r="S33" s="986"/>
      <c r="T33" s="986"/>
      <c r="U33" s="986"/>
      <c r="V33" s="986"/>
      <c r="W33" s="986"/>
      <c r="X33" s="986"/>
      <c r="Y33" s="986"/>
      <c r="Z33" s="986"/>
      <c r="AA33" s="986"/>
      <c r="AB33" s="986"/>
      <c r="AC33" s="9"/>
    </row>
    <row r="34" ht="18" customHeight="1">
      <c r="A34" s="58"/>
      <c r="B34" s="285">
        <v>2018</v>
      </c>
      <c r="C34" s="286"/>
      <c r="D34" s="428">
        <v>40.151515151515151515151515150</v>
      </c>
      <c r="E34" s="429">
        <v>69.479471401190356098053061640</v>
      </c>
      <c r="F34" s="430">
        <v>55.303308049091595372790180420</v>
      </c>
      <c r="G34" s="428">
        <v>7.0158102766798418972332015800</v>
      </c>
      <c r="H34" s="429">
        <v>6.9933420760617371128820740400</v>
      </c>
      <c r="I34" s="430">
        <v>13.371677376362193912375634430</v>
      </c>
      <c r="J34" s="428">
        <v>0</v>
      </c>
      <c r="K34" s="429">
        <v>0</v>
      </c>
      <c r="L34" s="430">
        <v>5.1063100081435152391935760200</v>
      </c>
      <c r="M34" s="428">
        <v>47.167325428194993412384716730</v>
      </c>
      <c r="N34" s="429">
        <v>76.472813477252093210935135680</v>
      </c>
      <c r="O34" s="430">
        <v>73.781295433597304524359390870</v>
      </c>
      <c r="P34" s="5"/>
      <c r="Q34" s="428">
        <v>-11.909235438647203353085706030</v>
      </c>
      <c r="R34" s="429">
        <v>-1.2950956550116249234320543700</v>
      </c>
      <c r="S34" s="430">
        <v>-0.9870129470899233343356446200</v>
      </c>
      <c r="T34" s="428">
        <v>92.35400361228175797712221573</v>
      </c>
      <c r="U34" s="429">
        <v>-27.451360692188708430007733970</v>
      </c>
      <c r="V34" s="430">
        <v>-10.489646228878340825572421460</v>
      </c>
      <c r="W34" s="428">
        <v>-100</v>
      </c>
      <c r="X34" s="429">
        <v>0</v>
      </c>
      <c r="Y34" s="430">
        <v>-5.0217282879475406281475195900</v>
      </c>
      <c r="Z34" s="428">
        <v>-4.9305125254492343099938036600</v>
      </c>
      <c r="AA34" s="429">
        <v>-4.4455632608822061682252104800</v>
      </c>
      <c r="AB34" s="430">
        <v>-3.1354916835383895278363956500</v>
      </c>
    </row>
    <row r="35" ht="18" customHeight="1">
      <c r="A35" s="58"/>
      <c r="B35" s="287">
        <v>2019</v>
      </c>
      <c r="C35" s="288"/>
      <c r="D35" s="272">
        <v>70.619235836627140974967061920</v>
      </c>
      <c r="E35" s="92">
        <v>73.512054877433672954705941690</v>
      </c>
      <c r="F35" s="273">
        <v>59.674352730179196370435839950</v>
      </c>
      <c r="G35" s="272">
        <v>4.9901185770750988142292490100</v>
      </c>
      <c r="H35" s="92">
        <v>6.0350045394935942701503076800</v>
      </c>
      <c r="I35" s="273">
        <v>13.638248763107241185674520110</v>
      </c>
      <c r="J35" s="272">
        <v>0</v>
      </c>
      <c r="K35" s="92">
        <v>0</v>
      </c>
      <c r="L35" s="273">
        <v>6.2990670526957385195354280700</v>
      </c>
      <c r="M35" s="272">
        <v>75.609354413702239789196310940</v>
      </c>
      <c r="N35" s="92">
        <v>79.54705941692726722485624937</v>
      </c>
      <c r="O35" s="273">
        <v>79.61166854598217607564578814</v>
      </c>
      <c r="P35" s="5"/>
      <c r="Q35" s="272">
        <v>75.881870385561936013125512710</v>
      </c>
      <c r="R35" s="92">
        <v>5.803992740471869328493647900</v>
      </c>
      <c r="S35" s="273">
        <v>7.9037671258426631929854381400</v>
      </c>
      <c r="T35" s="272">
        <v>-28.873239436619718309859154950</v>
      </c>
      <c r="U35" s="92">
        <v>-13.703570140641904075009015410</v>
      </c>
      <c r="V35" s="273">
        <v>1.9935523363454708294079331500</v>
      </c>
      <c r="W35" s="272">
        <v>0</v>
      </c>
      <c r="X35" s="92">
        <v>0</v>
      </c>
      <c r="Y35" s="273">
        <v>23.358492583686084024343890780</v>
      </c>
      <c r="Z35" s="272">
        <v>60.300279329608938547486033540</v>
      </c>
      <c r="AA35" s="92">
        <v>4.0200507865316756257626224300</v>
      </c>
      <c r="AB35" s="273">
        <v>7.9022373870246967663432072400</v>
      </c>
    </row>
    <row r="36" ht="18" customHeight="1">
      <c r="A36" s="58"/>
      <c r="B36" s="426">
        <v>2020</v>
      </c>
      <c r="C36" s="427"/>
      <c r="D36" s="431">
        <v>57.147562582345191040843214760</v>
      </c>
      <c r="E36" s="432"/>
      <c r="F36" s="433">
        <v>35.406332205813009846995427460</v>
      </c>
      <c r="G36" s="431">
        <v>1.7374835309617918313570487500</v>
      </c>
      <c r="H36" s="432"/>
      <c r="I36" s="433">
        <v>2.0578305465321752238174475600</v>
      </c>
      <c r="J36" s="431">
        <v>0</v>
      </c>
      <c r="K36" s="432"/>
      <c r="L36" s="433">
        <v>3.8677454263767927739359256800</v>
      </c>
      <c r="M36" s="431">
        <v>58.885046113306982872200263500</v>
      </c>
      <c r="N36" s="432"/>
      <c r="O36" s="433">
        <v>41.331908178721977844748800690</v>
      </c>
      <c r="P36" s="184"/>
      <c r="Q36" s="431">
        <v>-19.076492537313432835820895510</v>
      </c>
      <c r="R36" s="432"/>
      <c r="S36" s="433">
        <v>-40.667421453392799925969279100</v>
      </c>
      <c r="T36" s="431">
        <v>-65.181518151815181518151815140</v>
      </c>
      <c r="U36" s="432"/>
      <c r="V36" s="433">
        <v>-84.91132855635539961840810162</v>
      </c>
      <c r="W36" s="431">
        <v>0</v>
      </c>
      <c r="X36" s="432"/>
      <c r="Y36" s="433">
        <v>-38.598122642279879934188633600</v>
      </c>
      <c r="Z36" s="431">
        <v>-22.119363972990633848834676550</v>
      </c>
      <c r="AA36" s="432"/>
      <c r="AB36" s="433">
        <v>-48.083102724006520820136652180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87" t="s">
        <v>45</v>
      </c>
      <c r="C38" s="987"/>
      <c r="D38" s="987"/>
      <c r="E38" s="987"/>
      <c r="F38" s="987"/>
      <c r="G38" s="987"/>
      <c r="H38" s="987"/>
      <c r="I38" s="987"/>
      <c r="J38" s="987"/>
      <c r="K38" s="987"/>
      <c r="L38" s="987"/>
      <c r="M38" s="987"/>
      <c r="N38" s="987"/>
      <c r="O38" s="987"/>
      <c r="P38" s="412"/>
      <c r="Q38" s="986"/>
      <c r="R38" s="986"/>
      <c r="S38" s="986"/>
      <c r="T38" s="986"/>
      <c r="U38" s="986"/>
      <c r="V38" s="986"/>
      <c r="W38" s="986"/>
      <c r="X38" s="986"/>
      <c r="Y38" s="986"/>
      <c r="Z38" s="986"/>
      <c r="AA38" s="986"/>
      <c r="AB38" s="986"/>
      <c r="AC38" s="9"/>
    </row>
    <row r="39" ht="18" customHeight="1">
      <c r="A39" s="58"/>
      <c r="B39" s="285">
        <v>2018</v>
      </c>
      <c r="C39" s="286"/>
      <c r="D39" s="428">
        <v>34.887654022710799710074897320</v>
      </c>
      <c r="E39" s="429">
        <v>73.632535897321910544064319870</v>
      </c>
      <c r="F39" s="430">
        <v>55.854804198622832386849997250</v>
      </c>
      <c r="G39" s="428">
        <v>4.2683417894821615527099943600</v>
      </c>
      <c r="H39" s="429">
        <v>6.7374557832633698075103357600</v>
      </c>
      <c r="I39" s="430">
        <v>15.349214593730450560413663080</v>
      </c>
      <c r="J39" s="428">
        <v>0.3865668035757429330756221300</v>
      </c>
      <c r="K39" s="429">
        <v>0.0635069825927360713310428500</v>
      </c>
      <c r="L39" s="430">
        <v>5.5440511631543326367093445200</v>
      </c>
      <c r="M39" s="428">
        <v>39.542562615768704195860513810</v>
      </c>
      <c r="N39" s="429">
        <v>80.43349866317801642290569848</v>
      </c>
      <c r="O39" s="430">
        <v>76.748069955507615583973004860</v>
      </c>
      <c r="P39" s="5"/>
      <c r="Q39" s="428">
        <v>-42.133933625220472435555658980</v>
      </c>
      <c r="R39" s="429">
        <v>0.3767916028761271261862826900</v>
      </c>
      <c r="S39" s="430">
        <v>-1.0118207276085851160937544500</v>
      </c>
      <c r="T39" s="428">
        <v>5.5432809906041576095439630100</v>
      </c>
      <c r="U39" s="429">
        <v>1.9214453057501727245549296200</v>
      </c>
      <c r="V39" s="430">
        <v>-6.8895805603396010325849471700</v>
      </c>
      <c r="W39" s="428">
        <v>296.08601111379560280260932192</v>
      </c>
      <c r="X39" s="429">
        <v>729.86608674211387899271588268</v>
      </c>
      <c r="Y39" s="430">
        <v>3.7910959160778604141836047900</v>
      </c>
      <c r="Z39" s="428">
        <v>-38.629104276918286794761217130</v>
      </c>
      <c r="AA39" s="429">
        <v>0.5742725607065118330060302400</v>
      </c>
      <c r="AB39" s="430">
        <v>-1.922205176521229915978451800</v>
      </c>
    </row>
    <row r="40" ht="18" customHeight="1">
      <c r="A40" s="58"/>
      <c r="B40" s="287">
        <v>2019</v>
      </c>
      <c r="C40" s="288"/>
      <c r="D40" s="272">
        <v>61.129099211290992112909921130</v>
      </c>
      <c r="E40" s="92">
        <v>72.783269236881416266725995610</v>
      </c>
      <c r="F40" s="273">
        <v>57.688682304738133199394271740</v>
      </c>
      <c r="G40" s="272">
        <v>6.4591116645911166459111664600</v>
      </c>
      <c r="H40" s="92">
        <v>5.6962146012776912563964021200</v>
      </c>
      <c r="I40" s="273">
        <v>14.934339081560734228781134030</v>
      </c>
      <c r="J40" s="272">
        <v>0</v>
      </c>
      <c r="K40" s="92">
        <v>0</v>
      </c>
      <c r="L40" s="273">
        <v>6.5764360914707568927563732200</v>
      </c>
      <c r="M40" s="272">
        <v>67.588210875882108758821087590</v>
      </c>
      <c r="N40" s="92">
        <v>78.479483838159107523122397740</v>
      </c>
      <c r="O40" s="273">
        <v>79.19945747776962432093177900</v>
      </c>
      <c r="P40" s="5"/>
      <c r="Q40" s="272">
        <v>75.216995592474665066020888880</v>
      </c>
      <c r="R40" s="92">
        <v>-1.1533850492732832263206768200</v>
      </c>
      <c r="S40" s="273">
        <v>3.2832952015979268094986701800</v>
      </c>
      <c r="T40" s="272">
        <v>51.326017998543198853356516950</v>
      </c>
      <c r="U40" s="92">
        <v>-15.454515999529729634654852750</v>
      </c>
      <c r="V40" s="273">
        <v>-2.7029103648024872442758367800</v>
      </c>
      <c r="W40" s="272">
        <v>-100</v>
      </c>
      <c r="X40" s="92">
        <v>-100</v>
      </c>
      <c r="Y40" s="273">
        <v>18.621489916572857205867331390</v>
      </c>
      <c r="Z40" s="272">
        <v>70.925216791411027384578705630</v>
      </c>
      <c r="AA40" s="92">
        <v>-2.4293545071332890029180349800</v>
      </c>
      <c r="AB40" s="273">
        <v>3.1940705788212353710095077400</v>
      </c>
    </row>
    <row r="41" ht="18" customHeight="1">
      <c r="A41" s="58"/>
      <c r="B41" s="426">
        <v>2020</v>
      </c>
      <c r="C41" s="427"/>
      <c r="D41" s="431">
        <v>45.213611525086934923000496770</v>
      </c>
      <c r="E41" s="432"/>
      <c r="F41" s="433">
        <v>30.923800846352271168058437990</v>
      </c>
      <c r="G41" s="431">
        <v>4.1231992051664182811723795300</v>
      </c>
      <c r="H41" s="432"/>
      <c r="I41" s="433">
        <v>8.062426998566784472012739490</v>
      </c>
      <c r="J41" s="431">
        <v>0</v>
      </c>
      <c r="K41" s="432"/>
      <c r="L41" s="433">
        <v>4.5145798095111012411489580700</v>
      </c>
      <c r="M41" s="431">
        <v>49.336810730253353204172876300</v>
      </c>
      <c r="N41" s="432"/>
      <c r="O41" s="433">
        <v>43.500807654430156881220135560</v>
      </c>
      <c r="P41" s="184"/>
      <c r="Q41" s="431">
        <v>-26.035861629815003239502786420</v>
      </c>
      <c r="R41" s="432"/>
      <c r="S41" s="433">
        <v>-46.395376682381922399645219910</v>
      </c>
      <c r="T41" s="431">
        <v>-36.164608706645876353828648540</v>
      </c>
      <c r="U41" s="432"/>
      <c r="V41" s="433">
        <v>-46.014169394872149005292921860</v>
      </c>
      <c r="W41" s="431">
        <v>0</v>
      </c>
      <c r="X41" s="432"/>
      <c r="Y41" s="433">
        <v>-31.352183056013568867229725470</v>
      </c>
      <c r="Z41" s="431">
        <v>-27.003821981832497316759329930</v>
      </c>
      <c r="AA41" s="432"/>
      <c r="AB41" s="433">
        <v>-45.074361567892895416860372960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49" t="s">
        <v>129</v>
      </c>
      <c r="C43" s="1049"/>
      <c r="D43" s="1049"/>
      <c r="E43" s="1049"/>
      <c r="F43" s="1049"/>
      <c r="G43" s="1049"/>
      <c r="H43" s="1049"/>
      <c r="I43" s="1049"/>
      <c r="J43" s="1049"/>
      <c r="K43" s="1049"/>
      <c r="L43" s="1049"/>
      <c r="M43" s="1049"/>
      <c r="N43" s="1049"/>
      <c r="O43" s="1049"/>
      <c r="P43" s="1049"/>
      <c r="Q43" s="1049"/>
      <c r="R43" s="1049"/>
      <c r="S43" s="1049"/>
      <c r="T43" s="1049"/>
      <c r="U43" s="1049"/>
      <c r="V43" s="1049"/>
      <c r="W43" s="1049"/>
      <c r="X43" s="1049"/>
      <c r="Y43" s="1049"/>
      <c r="Z43" s="1049"/>
      <c r="AA43" s="1049"/>
      <c r="AB43" s="1049"/>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4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7" t="s">
        <v>146</v>
      </c>
      <c r="Z1" s="5"/>
      <c r="AB1" s="686"/>
      <c r="AD1" s="236"/>
    </row>
    <row r="2" ht="15" customHeight="1">
      <c r="A2" s="11"/>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row>
    <row r="3" ht="17.1" customHeight="1">
      <c r="A3" s="11"/>
      <c r="B3" s="1014" t="s">
        <v>212</v>
      </c>
      <c r="C3" s="1014"/>
      <c r="D3" s="1014"/>
      <c r="E3" s="1014"/>
      <c r="F3" s="1014"/>
      <c r="G3" s="1014"/>
      <c r="H3" s="1014"/>
      <c r="I3" s="1014"/>
      <c r="J3" s="1014"/>
      <c r="K3" s="1014"/>
      <c r="L3" s="1014"/>
      <c r="M3" s="1014"/>
      <c r="N3" s="1014"/>
      <c r="O3" s="1014"/>
      <c r="P3" s="1014"/>
      <c r="Q3" s="1014"/>
      <c r="R3" s="1048" t="s">
        <v>298</v>
      </c>
      <c r="S3" s="1048"/>
      <c r="T3" s="1048"/>
      <c r="U3" s="1048"/>
      <c r="V3" s="1048"/>
      <c r="W3" s="1048"/>
      <c r="X3" s="1048"/>
      <c r="Y3" s="1048"/>
      <c r="Z3" s="1048"/>
      <c r="AA3" s="1048"/>
      <c r="AB3" s="1048"/>
    </row>
    <row r="4" ht="19.5" customHeight="1">
      <c r="A4" s="4"/>
      <c r="B4" s="1014" t="s">
        <v>213</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row>
    <row r="5" ht="12.75" customHeight="1"/>
    <row r="6" ht="15.75" customHeight="1">
      <c r="D6" s="975" t="s">
        <v>93</v>
      </c>
      <c r="E6" s="975"/>
      <c r="F6" s="975"/>
      <c r="G6" s="975"/>
      <c r="H6" s="975"/>
      <c r="I6" s="975"/>
      <c r="J6" s="975"/>
      <c r="K6" s="975"/>
      <c r="L6" s="975"/>
      <c r="M6" s="975"/>
      <c r="N6" s="975"/>
      <c r="O6" s="975"/>
      <c r="Q6" s="975" t="s">
        <v>72</v>
      </c>
      <c r="R6" s="975"/>
      <c r="S6" s="975"/>
      <c r="T6" s="975"/>
      <c r="U6" s="975"/>
      <c r="V6" s="975"/>
      <c r="W6" s="975"/>
      <c r="X6" s="975"/>
      <c r="Y6" s="975"/>
      <c r="Z6" s="975"/>
      <c r="AA6" s="975"/>
      <c r="AB6" s="975"/>
    </row>
    <row r="7" ht="15.75" customHeight="1">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958" t="s">
        <v>42</v>
      </c>
      <c r="C8" s="958"/>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18" customHeight="1">
      <c r="A9" s="57"/>
      <c r="B9" s="285">
        <v>2019</v>
      </c>
      <c r="C9" s="286" t="s">
        <v>221</v>
      </c>
      <c r="D9" s="435">
        <v>157.34417455743104158089748868</v>
      </c>
      <c r="E9" s="436">
        <v>186.62038364370897472404537278</v>
      </c>
      <c r="F9" s="437">
        <v>147.38937249171230795207103329</v>
      </c>
      <c r="G9" s="435">
        <v>161.40845070422535211267605634</v>
      </c>
      <c r="H9" s="436">
        <v>205.2601357688858501184892455</v>
      </c>
      <c r="I9" s="437">
        <v>132.48375483109778180699508196</v>
      </c>
      <c r="J9" s="435">
        <v>0</v>
      </c>
      <c r="K9" s="436">
        <v>0</v>
      </c>
      <c r="L9" s="437">
        <v>116.81180759835526610576684141</v>
      </c>
      <c r="M9" s="435">
        <v>157.459600000</v>
      </c>
      <c r="N9" s="436">
        <v>187.21150412565861417635947908</v>
      </c>
      <c r="O9" s="437">
        <v>142.1541976107679987713774833</v>
      </c>
      <c r="P9" s="5"/>
      <c r="Q9" s="416">
        <v>10.456256988378228242093573730</v>
      </c>
      <c r="R9" s="417">
        <v>-3.4452654684617885804101530300</v>
      </c>
      <c r="S9" s="418">
        <v>-0.7692654100194855464108402100</v>
      </c>
      <c r="T9" s="416">
        <v>-8.531493035615211656949297720</v>
      </c>
      <c r="U9" s="417">
        <v>12.054326961426134582768423880</v>
      </c>
      <c r="V9" s="418">
        <v>-1.1900668976385146809615389800</v>
      </c>
      <c r="W9" s="416">
        <v>0</v>
      </c>
      <c r="X9" s="417">
        <v>0</v>
      </c>
      <c r="Y9" s="418">
        <v>4.6897732864571437896600545600</v>
      </c>
      <c r="Z9" s="416">
        <v>9.931641515438440715523304010</v>
      </c>
      <c r="AA9" s="417">
        <v>-2.9960098024189845405908879800</v>
      </c>
      <c r="AB9" s="418">
        <v>-1.1111552994981603855608704600</v>
      </c>
    </row>
    <row r="10" ht="18" customHeight="1">
      <c r="A10" s="58"/>
      <c r="B10" s="287"/>
      <c r="C10" s="288" t="s">
        <v>224</v>
      </c>
      <c r="D10" s="277">
        <v>135.78702043743277160272499104</v>
      </c>
      <c r="E10" s="94">
        <v>174.06696444096757886657961853</v>
      </c>
      <c r="F10" s="278">
        <v>137.26091953094840359765177761</v>
      </c>
      <c r="G10" s="277">
        <v>139.625</v>
      </c>
      <c r="H10" s="94">
        <v>164.23257510150279865265002526</v>
      </c>
      <c r="I10" s="278">
        <v>134.79568975440703404853933411</v>
      </c>
      <c r="J10" s="277">
        <v>0</v>
      </c>
      <c r="K10" s="94">
        <v>0</v>
      </c>
      <c r="L10" s="278">
        <v>120.08812240388068023156026712</v>
      </c>
      <c r="M10" s="277">
        <v>135.79799785484447622452627816</v>
      </c>
      <c r="N10" s="94">
        <v>173.81392041487982447392041487</v>
      </c>
      <c r="O10" s="278">
        <v>135.53866028924545156439047005</v>
      </c>
      <c r="P10" s="5"/>
      <c r="Q10" s="272">
        <v>-6.3104166448444066526427367700</v>
      </c>
      <c r="R10" s="92">
        <v>-4.4255249103049782693612760600</v>
      </c>
      <c r="S10" s="273">
        <v>-1.0643863451200324775550323200</v>
      </c>
      <c r="T10" s="272">
        <v>16.84100418410041841004184100</v>
      </c>
      <c r="U10" s="92">
        <v>-6.1302158065841369717974355500</v>
      </c>
      <c r="V10" s="273">
        <v>-1.4433442009859096837730833500</v>
      </c>
      <c r="W10" s="272">
        <v>0</v>
      </c>
      <c r="X10" s="92">
        <v>0</v>
      </c>
      <c r="Y10" s="273">
        <v>6.9426695286071373482066443300</v>
      </c>
      <c r="Z10" s="272">
        <v>-6.2301543771215364156719831700</v>
      </c>
      <c r="AA10" s="92">
        <v>-4.4829506115424920357384767400</v>
      </c>
      <c r="AB10" s="273">
        <v>-0.8365030211534312636723819700</v>
      </c>
    </row>
    <row r="11" ht="18" customHeight="1">
      <c r="A11" s="58"/>
      <c r="B11" s="289"/>
      <c r="C11" s="290" t="s">
        <v>226</v>
      </c>
      <c r="D11" s="440">
        <v>124.08808042125418860698898995</v>
      </c>
      <c r="E11" s="95">
        <v>150.95665442690567396316982989</v>
      </c>
      <c r="F11" s="441">
        <v>133.8526373915503800346898866</v>
      </c>
      <c r="G11" s="440">
        <v>97.36</v>
      </c>
      <c r="H11" s="95">
        <v>197.24054826684207889254805642</v>
      </c>
      <c r="I11" s="441">
        <v>140.36610514838389197421760619</v>
      </c>
      <c r="J11" s="440">
        <v>0</v>
      </c>
      <c r="K11" s="95">
        <v>0</v>
      </c>
      <c r="L11" s="441">
        <v>116.80006082392349968223349104</v>
      </c>
      <c r="M11" s="440">
        <v>123.77199621570482497634815516</v>
      </c>
      <c r="N11" s="95">
        <v>154.07413062890674830973338438</v>
      </c>
      <c r="O11" s="441">
        <v>133.41878096631529943803411698</v>
      </c>
      <c r="P11" s="5"/>
      <c r="Q11" s="421">
        <v>-9.679637463009204308751352830</v>
      </c>
      <c r="R11" s="91">
        <v>-11.457513591378128093013560340</v>
      </c>
      <c r="S11" s="422">
        <v>0.5262832552923274404779131800</v>
      </c>
      <c r="T11" s="421">
        <v>-36.787269255251432208784213870</v>
      </c>
      <c r="U11" s="91">
        <v>13.428065257225829677441395750</v>
      </c>
      <c r="V11" s="422">
        <v>-4.8572445987342079753231248300</v>
      </c>
      <c r="W11" s="421">
        <v>0</v>
      </c>
      <c r="X11" s="91">
        <v>0</v>
      </c>
      <c r="Y11" s="422">
        <v>5.2416696124942491582925818100</v>
      </c>
      <c r="Z11" s="421">
        <v>-11.033059542831884678744901230</v>
      </c>
      <c r="AA11" s="91">
        <v>-9.718190624874190088500103220</v>
      </c>
      <c r="AB11" s="422">
        <v>-0.2643090859990371196909375700</v>
      </c>
    </row>
    <row r="12" ht="18" customHeight="1">
      <c r="A12" s="58"/>
      <c r="B12" s="287"/>
      <c r="C12" s="288" t="s">
        <v>228</v>
      </c>
      <c r="D12" s="277">
        <v>145.01742574257425742574257426</v>
      </c>
      <c r="E12" s="94">
        <v>170.30749383813652901283511393</v>
      </c>
      <c r="F12" s="278">
        <v>154.12131600831741296308475905</v>
      </c>
      <c r="G12" s="277">
        <v>128</v>
      </c>
      <c r="H12" s="94">
        <v>255.91959602132345828153662929</v>
      </c>
      <c r="I12" s="278">
        <v>173.99299195942657439721351835</v>
      </c>
      <c r="J12" s="277">
        <v>0</v>
      </c>
      <c r="K12" s="94">
        <v>0</v>
      </c>
      <c r="L12" s="278">
        <v>119.97136643564412444449338907</v>
      </c>
      <c r="M12" s="277">
        <v>143.73379714390333211277920176</v>
      </c>
      <c r="N12" s="94">
        <v>175.51108740334736223940491339</v>
      </c>
      <c r="O12" s="278">
        <v>155.13134274106080237323311973</v>
      </c>
      <c r="P12" s="5"/>
      <c r="Q12" s="272">
        <v>-7.0960462272822688066421054700</v>
      </c>
      <c r="R12" s="92">
        <v>-8.71523766147007165858540200</v>
      </c>
      <c r="S12" s="273">
        <v>-4.4358516316300739791723439300</v>
      </c>
      <c r="T12" s="272">
        <v>-17.350960874833208079630680510</v>
      </c>
      <c r="U12" s="92">
        <v>17.738230823185400622534733230</v>
      </c>
      <c r="V12" s="273">
        <v>-3.7241734704556019150567888800</v>
      </c>
      <c r="W12" s="272">
        <v>0</v>
      </c>
      <c r="X12" s="92">
        <v>0</v>
      </c>
      <c r="Y12" s="273">
        <v>5.3190053317846716569196884400</v>
      </c>
      <c r="Z12" s="272">
        <v>-7.7556985622953634753938267300</v>
      </c>
      <c r="AA12" s="92">
        <v>-7.362204401355829988281262300</v>
      </c>
      <c r="AB12" s="273">
        <v>-4.3297315463078776464831159400</v>
      </c>
    </row>
    <row r="13" ht="18" customHeight="1">
      <c r="A13" s="58"/>
      <c r="B13" s="289"/>
      <c r="C13" s="290" t="s">
        <v>229</v>
      </c>
      <c r="D13" s="440">
        <v>170.94889705882352941176470588</v>
      </c>
      <c r="E13" s="95">
        <v>203.50688607960851065966498489</v>
      </c>
      <c r="F13" s="441">
        <v>169.31765433074289228848607608</v>
      </c>
      <c r="G13" s="440">
        <v>155.9837398373983739837398374</v>
      </c>
      <c r="H13" s="95">
        <v>233.29450290143797223629042833</v>
      </c>
      <c r="I13" s="441">
        <v>184.2477997973089922115205862</v>
      </c>
      <c r="J13" s="440">
        <v>0</v>
      </c>
      <c r="K13" s="95">
        <v>0</v>
      </c>
      <c r="L13" s="441">
        <v>123.56332577119624496981359983</v>
      </c>
      <c r="M13" s="440">
        <v>169.70768712070128118678354686</v>
      </c>
      <c r="N13" s="95">
        <v>206.86458405943318352746950383</v>
      </c>
      <c r="O13" s="441">
        <v>168.99918043621943159286186385</v>
      </c>
      <c r="P13" s="5"/>
      <c r="Q13" s="421">
        <v>0.0977572489314367795956977200</v>
      </c>
      <c r="R13" s="91">
        <v>-0.6096859597927235981570682900</v>
      </c>
      <c r="S13" s="422">
        <v>-0.3114274432602426813010479600</v>
      </c>
      <c r="T13" s="421">
        <v>-20.826018552748093571876853770</v>
      </c>
      <c r="U13" s="91">
        <v>-1.6975221390154249659755267100</v>
      </c>
      <c r="V13" s="422">
        <v>-2.3006080960391487812793600</v>
      </c>
      <c r="W13" s="421">
        <v>0</v>
      </c>
      <c r="X13" s="91">
        <v>0</v>
      </c>
      <c r="Y13" s="422">
        <v>3.4094713043506864785500510400</v>
      </c>
      <c r="Z13" s="421">
        <v>-2.4383257253700759834972395700</v>
      </c>
      <c r="AA13" s="91">
        <v>-0.9473861889478285079990536600</v>
      </c>
      <c r="AB13" s="422">
        <v>-0.9026132150260901784508272500</v>
      </c>
    </row>
    <row r="14" ht="18" customHeight="1">
      <c r="A14" s="58"/>
      <c r="B14" s="287"/>
      <c r="C14" s="288" t="s">
        <v>230</v>
      </c>
      <c r="D14" s="277">
        <v>252.73281296907835484839387571</v>
      </c>
      <c r="E14" s="94">
        <v>336.89936117637118918322342364</v>
      </c>
      <c r="F14" s="278">
        <v>219.49853506382507717856343768</v>
      </c>
      <c r="G14" s="277">
        <v>205.04545454545454545454545455</v>
      </c>
      <c r="H14" s="94">
        <v>263.30016747445492091885045621</v>
      </c>
      <c r="I14" s="278">
        <v>211.28755544106473949468841979</v>
      </c>
      <c r="J14" s="277">
        <v>0</v>
      </c>
      <c r="K14" s="94">
        <v>0</v>
      </c>
      <c r="L14" s="278">
        <v>126.71762568306437948951632735</v>
      </c>
      <c r="M14" s="277">
        <v>250.6255380200860832137733142</v>
      </c>
      <c r="N14" s="94">
        <v>333.06474573018614469391671463</v>
      </c>
      <c r="O14" s="278">
        <v>211.24412059330523082868489431</v>
      </c>
      <c r="P14" s="5"/>
      <c r="Q14" s="272">
        <v>-8.388269169150252616772649040</v>
      </c>
      <c r="R14" s="92">
        <v>-1.8497003458930293183255255100</v>
      </c>
      <c r="S14" s="273">
        <v>-2.0105778228478678241201149900</v>
      </c>
      <c r="T14" s="272">
        <v>-20.197000964351892993144215040</v>
      </c>
      <c r="U14" s="92">
        <v>-42.479421814928898826715792030</v>
      </c>
      <c r="V14" s="273">
        <v>-5.4800292579718461721080448800</v>
      </c>
      <c r="W14" s="272">
        <v>0</v>
      </c>
      <c r="X14" s="92">
        <v>0</v>
      </c>
      <c r="Y14" s="273">
        <v>-1.5143916544805014714353678700</v>
      </c>
      <c r="Z14" s="272">
        <v>-8.499851195866898020326574740</v>
      </c>
      <c r="AA14" s="92">
        <v>-4.7133941585645282914268124700</v>
      </c>
      <c r="AB14" s="273">
        <v>-2.5232319140341021886944667400</v>
      </c>
    </row>
    <row r="15" ht="18" customHeight="1">
      <c r="A15" s="58"/>
      <c r="B15" s="289">
        <v>2020</v>
      </c>
      <c r="C15" s="290" t="s">
        <v>232</v>
      </c>
      <c r="D15" s="440">
        <v>280.43009959424566580597565474</v>
      </c>
      <c r="E15" s="95">
        <v>315.59391192128585715836980195</v>
      </c>
      <c r="F15" s="441">
        <v>242.54386295758574300921010616</v>
      </c>
      <c r="G15" s="440">
        <v>409.32352941176470588235294118</v>
      </c>
      <c r="H15" s="95">
        <v>395.9167934357664926267104267</v>
      </c>
      <c r="I15" s="441">
        <v>297.77730493078559117260970963</v>
      </c>
      <c r="J15" s="440">
        <v>0</v>
      </c>
      <c r="K15" s="95">
        <v>0</v>
      </c>
      <c r="L15" s="441">
        <v>133.55883797673394523799006796</v>
      </c>
      <c r="M15" s="440">
        <v>311.19657399606852007862959843</v>
      </c>
      <c r="N15" s="95">
        <v>329.63085370022218424200991284</v>
      </c>
      <c r="O15" s="441">
        <v>251.35046467249882282966964883</v>
      </c>
      <c r="P15" s="5"/>
      <c r="Q15" s="421">
        <v>23.934665302350348642810306460</v>
      </c>
      <c r="R15" s="91">
        <v>18.046757600271197823175112390</v>
      </c>
      <c r="S15" s="422">
        <v>8.710721360637935296600003820</v>
      </c>
      <c r="T15" s="421">
        <v>82.35600394244763361028720915</v>
      </c>
      <c r="U15" s="91">
        <v>14.423794518121469847410979410</v>
      </c>
      <c r="V15" s="422">
        <v>27.183758134231418226731654650</v>
      </c>
      <c r="W15" s="421">
        <v>0</v>
      </c>
      <c r="X15" s="91">
        <v>0</v>
      </c>
      <c r="Y15" s="422">
        <v>3.2981407780694948850037150100</v>
      </c>
      <c r="Z15" s="421">
        <v>37.752036054229462108923497320</v>
      </c>
      <c r="AA15" s="91">
        <v>18.158011902391254668619050730</v>
      </c>
      <c r="AB15" s="422">
        <v>15.446896116686285784125877100</v>
      </c>
    </row>
    <row r="16" ht="18" customHeight="1">
      <c r="A16" s="58"/>
      <c r="B16" s="287"/>
      <c r="C16" s="288" t="s">
        <v>233</v>
      </c>
      <c r="D16" s="277">
        <v>330.54136429608127721335268505</v>
      </c>
      <c r="E16" s="94">
        <v>368.63709705716002484739877496</v>
      </c>
      <c r="F16" s="278">
        <v>278.51805757902339160823708642</v>
      </c>
      <c r="G16" s="277">
        <v>355.22390572390572390572390572</v>
      </c>
      <c r="H16" s="94">
        <v>429.73563046366068680541701724</v>
      </c>
      <c r="I16" s="278">
        <v>304.32549750452868171912323026</v>
      </c>
      <c r="J16" s="277">
        <v>0</v>
      </c>
      <c r="K16" s="94">
        <v>0</v>
      </c>
      <c r="L16" s="278">
        <v>135.39894146404878727832608102</v>
      </c>
      <c r="M16" s="277">
        <v>334.91791044776119402985074627</v>
      </c>
      <c r="N16" s="94">
        <v>377.12751106390511594972561514</v>
      </c>
      <c r="O16" s="278">
        <v>276.42205309309810590450754039</v>
      </c>
      <c r="P16" s="5"/>
      <c r="Q16" s="272">
        <v>30.625681070220205737811960800</v>
      </c>
      <c r="R16" s="92">
        <v>15.954553850402622217093515080</v>
      </c>
      <c r="S16" s="273">
        <v>8.11922952023045823751997400</v>
      </c>
      <c r="T16" s="272">
        <v>23.323681144478022089222149600</v>
      </c>
      <c r="U16" s="92">
        <v>26.272525313758654677841382300</v>
      </c>
      <c r="V16" s="273">
        <v>16.474318929106518393194662280</v>
      </c>
      <c r="W16" s="272">
        <v>0</v>
      </c>
      <c r="X16" s="92">
        <v>0</v>
      </c>
      <c r="Y16" s="273">
        <v>1.5511338371899356850603739800</v>
      </c>
      <c r="Z16" s="272">
        <v>28.027652834475403158901673760</v>
      </c>
      <c r="AA16" s="92">
        <v>17.554285143931346389349703490</v>
      </c>
      <c r="AB16" s="273">
        <v>11.248707411027424762526991630</v>
      </c>
    </row>
    <row r="17" ht="18" customHeight="1">
      <c r="A17" s="58"/>
      <c r="B17" s="289"/>
      <c r="C17" s="290" t="s">
        <v>234</v>
      </c>
      <c r="D17" s="440">
        <v>222.93761581222977146386658431</v>
      </c>
      <c r="E17" s="95">
        <v>287.3490220571221157026173218</v>
      </c>
      <c r="F17" s="441">
        <v>214.42825374268530271230802834</v>
      </c>
      <c r="G17" s="440">
        <v>343.6</v>
      </c>
      <c r="H17" s="95">
        <v>317.56279332230986062471038538</v>
      </c>
      <c r="I17" s="441">
        <v>220.71049101036142859384716051</v>
      </c>
      <c r="J17" s="440">
        <v>0</v>
      </c>
      <c r="K17" s="95">
        <v>0</v>
      </c>
      <c r="L17" s="441">
        <v>118.42410459009677671092351533</v>
      </c>
      <c r="M17" s="440">
        <v>223.30911330049261083743842365</v>
      </c>
      <c r="N17" s="95">
        <v>289.54984532374100719424460431</v>
      </c>
      <c r="O17" s="441">
        <v>202.66271454629365096806803947</v>
      </c>
      <c r="P17" s="5"/>
      <c r="Q17" s="421">
        <v>-14.865468608765293070787132340</v>
      </c>
      <c r="R17" s="91">
        <v>-11.927875363836959968191074060</v>
      </c>
      <c r="S17" s="422">
        <v>-12.215666138123503946422849760</v>
      </c>
      <c r="T17" s="421">
        <v>27.572512820512820512820512820</v>
      </c>
      <c r="U17" s="91">
        <v>-6.0346157516484552542949239600</v>
      </c>
      <c r="V17" s="422">
        <v>-6.558936001797518872494741400</v>
      </c>
      <c r="W17" s="421">
        <v>0</v>
      </c>
      <c r="X17" s="91">
        <v>0</v>
      </c>
      <c r="Y17" s="422">
        <v>-8.329198641201419582292557560</v>
      </c>
      <c r="Z17" s="421">
        <v>-15.013986815515959809601842740</v>
      </c>
      <c r="AA17" s="91">
        <v>-11.441752488146224481491397100</v>
      </c>
      <c r="AB17" s="422">
        <v>-13.003237646085337364886514700</v>
      </c>
    </row>
    <row r="18" ht="18" customHeight="1">
      <c r="A18" s="58"/>
      <c r="B18" s="287"/>
      <c r="C18" s="288" t="s">
        <v>235</v>
      </c>
      <c r="D18" s="277"/>
      <c r="E18" s="94"/>
      <c r="F18" s="278">
        <v>88.58141332485643896463212025</v>
      </c>
      <c r="G18" s="277"/>
      <c r="H18" s="94"/>
      <c r="I18" s="278">
        <v>96.74552224056216698349585343</v>
      </c>
      <c r="J18" s="277"/>
      <c r="K18" s="94"/>
      <c r="L18" s="278">
        <v>107.16589561187258389082154944</v>
      </c>
      <c r="M18" s="277"/>
      <c r="N18" s="94"/>
      <c r="O18" s="278">
        <v>99.05021723754673133272708902</v>
      </c>
      <c r="P18" s="5"/>
      <c r="Q18" s="272"/>
      <c r="R18" s="92"/>
      <c r="S18" s="273">
        <v>-56.559118587498940505439278820</v>
      </c>
      <c r="T18" s="272"/>
      <c r="U18" s="92"/>
      <c r="V18" s="273">
        <v>-51.573058840605773149110298390</v>
      </c>
      <c r="W18" s="272"/>
      <c r="X18" s="92"/>
      <c r="Y18" s="273">
        <v>-15.542201058761080716681129430</v>
      </c>
      <c r="Z18" s="272"/>
      <c r="AA18" s="92"/>
      <c r="AB18" s="273">
        <v>-49.762650453249984390985559440</v>
      </c>
    </row>
    <row r="19" ht="18" customHeight="1">
      <c r="A19" s="58"/>
      <c r="B19" s="289"/>
      <c r="C19" s="290" t="s">
        <v>236</v>
      </c>
      <c r="D19" s="440"/>
      <c r="E19" s="95"/>
      <c r="F19" s="441">
        <v>80.72492759591251898868127074</v>
      </c>
      <c r="G19" s="440"/>
      <c r="H19" s="95"/>
      <c r="I19" s="441">
        <v>115.26474110576959589923109472</v>
      </c>
      <c r="J19" s="440"/>
      <c r="K19" s="95"/>
      <c r="L19" s="441">
        <v>97.59264451341949949241459661</v>
      </c>
      <c r="M19" s="440"/>
      <c r="N19" s="95"/>
      <c r="O19" s="441">
        <v>88.73504547201229665684641988</v>
      </c>
      <c r="P19" s="5"/>
      <c r="Q19" s="421"/>
      <c r="R19" s="91"/>
      <c r="S19" s="422">
        <v>-52.882097742935422248925797420</v>
      </c>
      <c r="T19" s="421"/>
      <c r="U19" s="91"/>
      <c r="V19" s="422">
        <v>-34.939433365944879246276525310</v>
      </c>
      <c r="W19" s="421"/>
      <c r="X19" s="91"/>
      <c r="Y19" s="422">
        <v>-16.824933957435457088586273710</v>
      </c>
      <c r="Z19" s="421"/>
      <c r="AA19" s="91"/>
      <c r="AB19" s="422">
        <v>-47.201466655806815499137779980</v>
      </c>
    </row>
    <row r="20" ht="18" customHeight="1">
      <c r="A20" s="58"/>
      <c r="B20" s="287"/>
      <c r="C20" s="288" t="s">
        <v>237</v>
      </c>
      <c r="D20" s="277">
        <v>125.16016713091922005571030641</v>
      </c>
      <c r="E20" s="94"/>
      <c r="F20" s="278">
        <v>118.56398582559606656564616318</v>
      </c>
      <c r="G20" s="277">
        <v>0</v>
      </c>
      <c r="H20" s="94"/>
      <c r="I20" s="278">
        <v>107.71229995141240878592354717</v>
      </c>
      <c r="J20" s="277">
        <v>0</v>
      </c>
      <c r="K20" s="94"/>
      <c r="L20" s="278">
        <v>95.22863205590455269684441292</v>
      </c>
      <c r="M20" s="277">
        <v>125.16016713091922005571030641</v>
      </c>
      <c r="N20" s="94"/>
      <c r="O20" s="278">
        <v>115.39806778034631656998298949</v>
      </c>
      <c r="P20" s="5"/>
      <c r="Q20" s="272">
        <v>-21.813855040236872850292672340</v>
      </c>
      <c r="R20" s="92"/>
      <c r="S20" s="273">
        <v>-18.126230677668168437165536910</v>
      </c>
      <c r="T20" s="272">
        <v>-100</v>
      </c>
      <c r="U20" s="92"/>
      <c r="V20" s="273">
        <v>-28.814595513953509094914206610</v>
      </c>
      <c r="W20" s="272">
        <v>0</v>
      </c>
      <c r="X20" s="92"/>
      <c r="Y20" s="273">
        <v>-18.538425074965386988504662400</v>
      </c>
      <c r="Z20" s="272">
        <v>-18.340682159019836158400558070</v>
      </c>
      <c r="AA20" s="92"/>
      <c r="AB20" s="273">
        <v>-19.699501250325687442017747030</v>
      </c>
    </row>
    <row r="21" ht="18" customHeight="1">
      <c r="A21" s="58"/>
      <c r="B21" s="289"/>
      <c r="C21" s="290" t="s">
        <v>221</v>
      </c>
      <c r="D21" s="442">
        <v>137.33955223880597014925373134</v>
      </c>
      <c r="E21" s="154"/>
      <c r="F21" s="443">
        <v>118.98889571889652455290707279</v>
      </c>
      <c r="G21" s="442">
        <v>0</v>
      </c>
      <c r="H21" s="154"/>
      <c r="I21" s="443">
        <v>96.85387785021554310803953415</v>
      </c>
      <c r="J21" s="442">
        <v>0</v>
      </c>
      <c r="K21" s="154"/>
      <c r="L21" s="443">
        <v>87.68977954722496083279678603</v>
      </c>
      <c r="M21" s="442">
        <v>137.33955223880597014925373134</v>
      </c>
      <c r="N21" s="154"/>
      <c r="O21" s="443">
        <v>111.73305028776299650910463251</v>
      </c>
      <c r="P21" s="5"/>
      <c r="Q21" s="421">
        <v>-12.713926254272179080890001170</v>
      </c>
      <c r="R21" s="91"/>
      <c r="S21" s="422">
        <v>-19.269012611077328404425255290</v>
      </c>
      <c r="T21" s="421">
        <v>-100</v>
      </c>
      <c r="U21" s="91"/>
      <c r="V21" s="422">
        <v>-26.893770505150924834438428940</v>
      </c>
      <c r="W21" s="421">
        <v>0</v>
      </c>
      <c r="X21" s="91"/>
      <c r="Y21" s="422">
        <v>-24.930722886562324990819412020</v>
      </c>
      <c r="Z21" s="421">
        <v>-12.777911134788879084378639770</v>
      </c>
      <c r="AA21" s="91"/>
      <c r="AB21" s="422">
        <v>-21.400104839887358511628141110</v>
      </c>
    </row>
    <row r="22" ht="18" customHeight="1">
      <c r="A22" s="58"/>
      <c r="B22" s="287"/>
      <c r="C22" s="288" t="s">
        <v>224</v>
      </c>
      <c r="D22" s="277">
        <v>110.25358851674641148325358852</v>
      </c>
      <c r="E22" s="94"/>
      <c r="F22" s="278">
        <v>117.7523798021587226592754897</v>
      </c>
      <c r="G22" s="277">
        <v>0</v>
      </c>
      <c r="H22" s="94"/>
      <c r="I22" s="278">
        <v>98.90901793628866243673148227</v>
      </c>
      <c r="J22" s="277">
        <v>0</v>
      </c>
      <c r="K22" s="94"/>
      <c r="L22" s="278">
        <v>87.65158046967821802003917823</v>
      </c>
      <c r="M22" s="277">
        <v>110.25358851674641148325358852</v>
      </c>
      <c r="N22" s="94"/>
      <c r="O22" s="278">
        <v>109.77488230223459982759763941</v>
      </c>
      <c r="P22" s="5"/>
      <c r="Q22" s="272">
        <v>-18.804029898020717269997027180</v>
      </c>
      <c r="R22" s="92"/>
      <c r="S22" s="273">
        <v>-14.212741540312254956290993900</v>
      </c>
      <c r="T22" s="272">
        <v>-100</v>
      </c>
      <c r="U22" s="92"/>
      <c r="V22" s="273">
        <v>-26.623011376330070254124342470</v>
      </c>
      <c r="W22" s="272">
        <v>0</v>
      </c>
      <c r="X22" s="92"/>
      <c r="Y22" s="273">
        <v>-27.010616274865054069094014340</v>
      </c>
      <c r="Z22" s="272">
        <v>-18.810593485629059303667120270</v>
      </c>
      <c r="AA22" s="92"/>
      <c r="AB22" s="273">
        <v>-19.008434886422677053348783020</v>
      </c>
    </row>
    <row r="23" ht="18" customHeight="1">
      <c r="A23" s="58"/>
      <c r="B23" s="289"/>
      <c r="C23" s="290" t="s">
        <v>226</v>
      </c>
      <c r="D23" s="440">
        <v>112.30937167199148029818956337</v>
      </c>
      <c r="E23" s="95"/>
      <c r="F23" s="441">
        <v>116.79180570736913780585169154</v>
      </c>
      <c r="G23" s="440">
        <v>0</v>
      </c>
      <c r="H23" s="95"/>
      <c r="I23" s="441">
        <v>96.17683722589752515368760697</v>
      </c>
      <c r="J23" s="440">
        <v>0</v>
      </c>
      <c r="K23" s="95"/>
      <c r="L23" s="441">
        <v>85.78952020967659752701019748</v>
      </c>
      <c r="M23" s="440">
        <v>112.30937167199148029818956337</v>
      </c>
      <c r="N23" s="95"/>
      <c r="O23" s="441">
        <v>113.26393663129577043790165894</v>
      </c>
      <c r="P23" s="5"/>
      <c r="Q23" s="421">
        <v>-9.492216101076227782224366220</v>
      </c>
      <c r="R23" s="91"/>
      <c r="S23" s="422">
        <v>-12.745980965824607040056080270</v>
      </c>
      <c r="T23" s="421">
        <v>-100</v>
      </c>
      <c r="U23" s="91"/>
      <c r="V23" s="422">
        <v>-31.481437684527175798452598090</v>
      </c>
      <c r="W23" s="421">
        <v>0</v>
      </c>
      <c r="X23" s="91"/>
      <c r="Y23" s="422">
        <v>-26.550106562868490815051696370</v>
      </c>
      <c r="Z23" s="421">
        <v>-9.261080772856524513146087220</v>
      </c>
      <c r="AA23" s="91"/>
      <c r="AB23" s="422">
        <v>-15.106452171908310404797030800</v>
      </c>
    </row>
    <row r="24" ht="18" customHeight="1">
      <c r="A24" s="59"/>
      <c r="B24" s="287"/>
      <c r="C24" s="288" t="s">
        <v>228</v>
      </c>
      <c r="D24" s="277">
        <v>118.99476937708036138849262958</v>
      </c>
      <c r="E24" s="94"/>
      <c r="F24" s="278">
        <v>120.178392778469433293443546</v>
      </c>
      <c r="G24" s="277">
        <v>128</v>
      </c>
      <c r="H24" s="94"/>
      <c r="I24" s="278">
        <v>105.76413964106388477594669472</v>
      </c>
      <c r="J24" s="277">
        <v>0</v>
      </c>
      <c r="K24" s="94"/>
      <c r="L24" s="278">
        <v>92.24729483854924925015305843</v>
      </c>
      <c r="M24" s="277">
        <v>119.25265588914549653579676674</v>
      </c>
      <c r="N24" s="94"/>
      <c r="O24" s="278">
        <v>116.35918005886489724689396505</v>
      </c>
      <c r="P24" s="93"/>
      <c r="Q24" s="272">
        <v>-17.944503036267976670350605950</v>
      </c>
      <c r="R24" s="92"/>
      <c r="S24" s="273">
        <v>-22.023509861553604567904223760</v>
      </c>
      <c r="T24" s="272">
        <v>0</v>
      </c>
      <c r="U24" s="92"/>
      <c r="V24" s="273">
        <v>-39.213563460230039390324825840</v>
      </c>
      <c r="W24" s="272">
        <v>0</v>
      </c>
      <c r="X24" s="92"/>
      <c r="Y24" s="273">
        <v>-23.108907084063941773638272670</v>
      </c>
      <c r="Z24" s="272">
        <v>-17.032278935933083750255142840</v>
      </c>
      <c r="AA24" s="92"/>
      <c r="AB24" s="273">
        <v>-24.993120021472958931217439890</v>
      </c>
    </row>
    <row r="25" ht="18" customHeight="1">
      <c r="A25" s="60"/>
      <c r="B25" s="289"/>
      <c r="C25" s="290" t="s">
        <v>229</v>
      </c>
      <c r="D25" s="440">
        <v>126.55467196819085487077534791</v>
      </c>
      <c r="E25" s="95"/>
      <c r="F25" s="441">
        <v>118.72277975213408230817307539</v>
      </c>
      <c r="G25" s="440">
        <v>115.90243902439024390243902439</v>
      </c>
      <c r="H25" s="95"/>
      <c r="I25" s="441">
        <v>111.83026702091506172878477643</v>
      </c>
      <c r="J25" s="440">
        <v>0</v>
      </c>
      <c r="K25" s="95"/>
      <c r="L25" s="441">
        <v>93.56184969349228853412505066</v>
      </c>
      <c r="M25" s="440">
        <v>126.34193862640038967364831953</v>
      </c>
      <c r="N25" s="95"/>
      <c r="O25" s="441">
        <v>115.91120030857501024565463706</v>
      </c>
      <c r="P25" s="93"/>
      <c r="Q25" s="421">
        <v>-25.969296002744386276319043940</v>
      </c>
      <c r="R25" s="91"/>
      <c r="S25" s="422">
        <v>-29.881629755971839453005210560</v>
      </c>
      <c r="T25" s="421">
        <v>-25.695819868654227040550401340</v>
      </c>
      <c r="U25" s="91"/>
      <c r="V25" s="422">
        <v>-39.304422009956406296386369990</v>
      </c>
      <c r="W25" s="421">
        <v>0</v>
      </c>
      <c r="X25" s="91"/>
      <c r="Y25" s="422">
        <v>-24.280243260251884726386059950</v>
      </c>
      <c r="Z25" s="421">
        <v>-25.553202232647157010678208780</v>
      </c>
      <c r="AA25" s="91"/>
      <c r="AB25" s="422">
        <v>-31.413158330480728150644552780</v>
      </c>
    </row>
    <row r="26" ht="18" customHeight="1">
      <c r="A26" s="60"/>
      <c r="B26" s="291"/>
      <c r="C26" s="292" t="s">
        <v>230</v>
      </c>
      <c r="D26" s="444">
        <v>161.70017699115044247787610619</v>
      </c>
      <c r="E26" s="445">
        <v>225.64332410611303344867358708</v>
      </c>
      <c r="F26" s="446">
        <v>152.80384823873466678040346646</v>
      </c>
      <c r="G26" s="444">
        <v>256.99074074074074074074074074</v>
      </c>
      <c r="H26" s="445">
        <v>0</v>
      </c>
      <c r="I26" s="446">
        <v>141.92170600055404671611528985</v>
      </c>
      <c r="J26" s="444">
        <v>0</v>
      </c>
      <c r="K26" s="445">
        <v>0</v>
      </c>
      <c r="L26" s="446">
        <v>96.23548092331935005417239632</v>
      </c>
      <c r="M26" s="444">
        <v>165.20900102284350494374360723</v>
      </c>
      <c r="N26" s="445">
        <v>225.64332410611303344867358707</v>
      </c>
      <c r="O26" s="446">
        <v>147.50848958230861549963602023</v>
      </c>
      <c r="P26" s="184"/>
      <c r="Q26" s="274">
        <v>-36.019318152038167721228610020</v>
      </c>
      <c r="R26" s="275">
        <v>-33.023522716629366361142695510</v>
      </c>
      <c r="S26" s="276">
        <v>-30.385025943657047250403897840</v>
      </c>
      <c r="T26" s="274">
        <v>25.333546803287437293200981960</v>
      </c>
      <c r="U26" s="275">
        <v>-100</v>
      </c>
      <c r="V26" s="276">
        <v>-32.830068621745770183266451140</v>
      </c>
      <c r="W26" s="274">
        <v>0</v>
      </c>
      <c r="X26" s="275">
        <v>0</v>
      </c>
      <c r="Y26" s="276">
        <v>-24.055173536777309061174139150</v>
      </c>
      <c r="Z26" s="274">
        <v>-34.081338107849556950305522910</v>
      </c>
      <c r="AA26" s="275">
        <v>-32.252414283166010506540733020</v>
      </c>
      <c r="AB26" s="276">
        <v>-30.171552624511970030498361300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50" t="s">
        <v>61</v>
      </c>
      <c r="C28" s="1050"/>
      <c r="D28" s="1050"/>
      <c r="E28" s="1050"/>
      <c r="F28" s="1050"/>
      <c r="G28" s="1050"/>
      <c r="H28" s="1050"/>
      <c r="I28" s="1050"/>
      <c r="J28" s="1050"/>
      <c r="K28" s="1050"/>
      <c r="L28" s="1050"/>
      <c r="M28" s="1050"/>
      <c r="N28" s="1050"/>
      <c r="O28" s="1050"/>
      <c r="P28" s="412"/>
      <c r="Q28" s="1051"/>
      <c r="R28" s="1051"/>
      <c r="S28" s="1051"/>
      <c r="T28" s="1051"/>
      <c r="U28" s="1051"/>
      <c r="V28" s="1051"/>
      <c r="W28" s="1051"/>
      <c r="X28" s="1051"/>
      <c r="Y28" s="1051"/>
      <c r="Z28" s="1051"/>
      <c r="AA28" s="1051"/>
      <c r="AB28" s="1051"/>
      <c r="AC28" s="9"/>
    </row>
    <row r="29" ht="18" customHeight="1">
      <c r="A29" s="58"/>
      <c r="B29" s="285">
        <v>2018</v>
      </c>
      <c r="C29" s="286"/>
      <c r="D29" s="455">
        <v>181.23607263773468759618344106</v>
      </c>
      <c r="E29" s="456">
        <v>240.92770113478765373573803528</v>
      </c>
      <c r="F29" s="457">
        <v>185.43657238057626168479148082</v>
      </c>
      <c r="G29" s="455">
        <v>173.47232704402515723270440252</v>
      </c>
      <c r="H29" s="456">
        <v>260.95626545301218715178963391</v>
      </c>
      <c r="I29" s="457">
        <v>198.13545898701218322349925181</v>
      </c>
      <c r="J29" s="455">
        <v>152.16666666666666666666666667</v>
      </c>
      <c r="K29" s="456">
        <v>297.58999437173981770253013444</v>
      </c>
      <c r="L29" s="457">
        <v>122.5700521251882764714766336</v>
      </c>
      <c r="M29" s="455">
        <v>180.11384928716904276985743381</v>
      </c>
      <c r="N29" s="456">
        <v>242.6501180390515818812029719</v>
      </c>
      <c r="O29" s="457">
        <v>183.43499411012894283133064502</v>
      </c>
      <c r="P29" s="5"/>
      <c r="Q29" s="428">
        <v>-20.152882582147939757282075070</v>
      </c>
      <c r="R29" s="429">
        <v>5.6519230681768343977300523200</v>
      </c>
      <c r="S29" s="430">
        <v>3.8781405924272657800200336800</v>
      </c>
      <c r="T29" s="428">
        <v>-38.514916399713093204059180430</v>
      </c>
      <c r="U29" s="429">
        <v>9.159124261037691182428926660</v>
      </c>
      <c r="V29" s="430">
        <v>1.7107195433298517275896437500</v>
      </c>
      <c r="W29" s="428">
        <v>-73.073803730738037307380373070</v>
      </c>
      <c r="X29" s="429">
        <v>112.87351300316060837571178506</v>
      </c>
      <c r="Y29" s="430">
        <v>-8.187645338774698704564964350</v>
      </c>
      <c r="Z29" s="428">
        <v>-22.012809132085917965566863110</v>
      </c>
      <c r="AA29" s="429">
        <v>5.9877549584533072522146834600</v>
      </c>
      <c r="AB29" s="430">
        <v>2.5506730993053996793586976600</v>
      </c>
    </row>
    <row r="30" ht="18" customHeight="1">
      <c r="A30" s="58"/>
      <c r="B30" s="287">
        <v>2019</v>
      </c>
      <c r="C30" s="288"/>
      <c r="D30" s="277">
        <v>193.27037213092489474399022138</v>
      </c>
      <c r="E30" s="94">
        <v>237.48466245897486194825915411</v>
      </c>
      <c r="F30" s="278">
        <v>184.43020124128623645291449146</v>
      </c>
      <c r="G30" s="277">
        <v>208.14428020565552699228791774</v>
      </c>
      <c r="H30" s="94">
        <v>278.22800168617757859460719926</v>
      </c>
      <c r="I30" s="278">
        <v>193.62842695479473661796269632</v>
      </c>
      <c r="J30" s="277">
        <v>0</v>
      </c>
      <c r="K30" s="94">
        <v>0</v>
      </c>
      <c r="L30" s="278">
        <v>123.18686490172815656644426551</v>
      </c>
      <c r="M30" s="277">
        <v>194.69180690332882938213978627</v>
      </c>
      <c r="N30" s="94">
        <v>240.44190417949133322533614126</v>
      </c>
      <c r="O30" s="278">
        <v>181.07925068981587649151877853</v>
      </c>
      <c r="P30" s="5"/>
      <c r="Q30" s="272">
        <v>6.6401237447056537003892814400</v>
      </c>
      <c r="R30" s="92">
        <v>-1.4290754693610654974930072900</v>
      </c>
      <c r="S30" s="273">
        <v>-0.5427036999069545886266989500</v>
      </c>
      <c r="T30" s="272">
        <v>19.987022571520039416048012730</v>
      </c>
      <c r="U30" s="92">
        <v>6.6186325142192618102552178200</v>
      </c>
      <c r="V30" s="273">
        <v>-2.2747225838626307706498499800</v>
      </c>
      <c r="W30" s="272">
        <v>-100</v>
      </c>
      <c r="X30" s="92">
        <v>-100</v>
      </c>
      <c r="Y30" s="273">
        <v>0.5032328581453906482941415800</v>
      </c>
      <c r="Z30" s="272">
        <v>8.093746079968039254002769300</v>
      </c>
      <c r="AA30" s="92">
        <v>-0.9100402989315107291139448100</v>
      </c>
      <c r="AB30" s="273">
        <v>-1.2842388289874219387051951800</v>
      </c>
    </row>
    <row r="31" ht="18" customHeight="1">
      <c r="A31" s="58"/>
      <c r="B31" s="426">
        <v>2020</v>
      </c>
      <c r="C31" s="427"/>
      <c r="D31" s="458">
        <v>191.36636818106905455144756359</v>
      </c>
      <c r="E31" s="459"/>
      <c r="F31" s="460">
        <v>178.48533164111280773607847463</v>
      </c>
      <c r="G31" s="458">
        <v>362.10180722891566265060240964</v>
      </c>
      <c r="H31" s="459"/>
      <c r="I31" s="460">
        <v>249.65779728599754623846638273</v>
      </c>
      <c r="J31" s="458">
        <v>0</v>
      </c>
      <c r="K31" s="459"/>
      <c r="L31" s="460">
        <v>108.51605275344645694945881356</v>
      </c>
      <c r="M31" s="458">
        <v>205.63515078286260887076473846</v>
      </c>
      <c r="N31" s="459"/>
      <c r="O31" s="460">
        <v>184.41489775093437710379937967</v>
      </c>
      <c r="P31" s="93"/>
      <c r="Q31" s="431">
        <v>-0.9851504547039589682434917900</v>
      </c>
      <c r="R31" s="432"/>
      <c r="S31" s="433">
        <v>-3.2233709881365244364974021600</v>
      </c>
      <c r="T31" s="431">
        <v>73.9667344551305748664481700</v>
      </c>
      <c r="U31" s="432"/>
      <c r="V31" s="433">
        <v>28.936541608264807867376108920</v>
      </c>
      <c r="W31" s="431">
        <v>0</v>
      </c>
      <c r="X31" s="432"/>
      <c r="Y31" s="433">
        <v>-11.909396476633513708124759560</v>
      </c>
      <c r="Z31" s="431">
        <v>5.6208548544456858809412660900</v>
      </c>
      <c r="AA31" s="432"/>
      <c r="AB31" s="433">
        <v>1.8420923702806671567535338300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52" t="s">
        <v>44</v>
      </c>
      <c r="C33" s="1052"/>
      <c r="D33" s="1052"/>
      <c r="E33" s="1052"/>
      <c r="F33" s="1052"/>
      <c r="G33" s="1052"/>
      <c r="H33" s="1052"/>
      <c r="I33" s="1052"/>
      <c r="J33" s="1052"/>
      <c r="K33" s="1052"/>
      <c r="L33" s="1052"/>
      <c r="M33" s="1052"/>
      <c r="N33" s="1052"/>
      <c r="O33" s="1052"/>
      <c r="P33" s="412"/>
      <c r="Q33" s="1051"/>
      <c r="R33" s="1051"/>
      <c r="S33" s="1051"/>
      <c r="T33" s="1051"/>
      <c r="U33" s="1051"/>
      <c r="V33" s="1051"/>
      <c r="W33" s="1051"/>
      <c r="X33" s="1051"/>
      <c r="Y33" s="1051"/>
      <c r="Z33" s="1051"/>
      <c r="AA33" s="1051"/>
      <c r="AB33" s="1051"/>
      <c r="AC33" s="9"/>
    </row>
    <row r="34" ht="18" customHeight="1">
      <c r="A34" s="58"/>
      <c r="B34" s="285">
        <v>2018</v>
      </c>
      <c r="C34" s="286"/>
      <c r="D34" s="455">
        <v>206.40073831009023789991796555</v>
      </c>
      <c r="E34" s="456">
        <v>248.00767798400507297737245957</v>
      </c>
      <c r="F34" s="457">
        <v>187.28458108461412900366930453</v>
      </c>
      <c r="G34" s="455">
        <v>191.31220657276995305164319249</v>
      </c>
      <c r="H34" s="456">
        <v>275.87273405721609789880589206</v>
      </c>
      <c r="I34" s="457">
        <v>194.4558375354504924841801759</v>
      </c>
      <c r="J34" s="455">
        <v>0</v>
      </c>
      <c r="K34" s="456">
        <v>0</v>
      </c>
      <c r="L34" s="457">
        <v>121.32530945736628011968891121</v>
      </c>
      <c r="M34" s="455">
        <v>204.15642458100558659217877095</v>
      </c>
      <c r="N34" s="456">
        <v>250.55590212050258879398476404</v>
      </c>
      <c r="O34" s="457">
        <v>184.01929874197546114947658688</v>
      </c>
      <c r="P34" s="5"/>
      <c r="Q34" s="428">
        <v>-17.214204416664304694898621360</v>
      </c>
      <c r="R34" s="429">
        <v>1.941662383581149138971787700</v>
      </c>
      <c r="S34" s="430">
        <v>-1.347432624426599203837660100</v>
      </c>
      <c r="T34" s="428">
        <v>-28.174681271784527819994723850</v>
      </c>
      <c r="U34" s="429">
        <v>16.785679850975894629485853610</v>
      </c>
      <c r="V34" s="430">
        <v>8.968431474447957349129884700</v>
      </c>
      <c r="W34" s="428">
        <v>-100</v>
      </c>
      <c r="X34" s="429">
        <v>0</v>
      </c>
      <c r="Y34" s="430">
        <v>-9.020140824628807417470809950</v>
      </c>
      <c r="Z34" s="428">
        <v>-19.315697869764938667618091930</v>
      </c>
      <c r="AA34" s="429">
        <v>3.3504671453674004480150441500</v>
      </c>
      <c r="AB34" s="430">
        <v>0.2167059970600827209162807300</v>
      </c>
    </row>
    <row r="35" ht="18" customHeight="1">
      <c r="A35" s="58"/>
      <c r="B35" s="287">
        <v>2019</v>
      </c>
      <c r="C35" s="288"/>
      <c r="D35" s="277">
        <v>195.07964085820895522388059701</v>
      </c>
      <c r="E35" s="94">
        <v>237.78603437051912046621939069</v>
      </c>
      <c r="F35" s="278">
        <v>183.92379410005574987334923598</v>
      </c>
      <c r="G35" s="277">
        <v>158.93894389438943894389438944</v>
      </c>
      <c r="H35" s="94">
        <v>245.97451071196747076062305931</v>
      </c>
      <c r="I35" s="278">
        <v>187.05487848657526734788898446</v>
      </c>
      <c r="J35" s="277">
        <v>0</v>
      </c>
      <c r="K35" s="94">
        <v>0</v>
      </c>
      <c r="L35" s="278">
        <v>123.51293519333029735151709674</v>
      </c>
      <c r="M35" s="277">
        <v>192.69440209104770202570246134</v>
      </c>
      <c r="N35" s="94">
        <v>238.40727030625832223701731026</v>
      </c>
      <c r="O35" s="278">
        <v>179.68032641029558465368334966</v>
      </c>
      <c r="P35" s="5"/>
      <c r="Q35" s="272">
        <v>-5.4850082148799330619089843100</v>
      </c>
      <c r="R35" s="92">
        <v>-4.1215028891747391346940694500</v>
      </c>
      <c r="S35" s="273">
        <v>-1.7944814063684155174464886900</v>
      </c>
      <c r="T35" s="272">
        <v>-16.921692169216921692169216920</v>
      </c>
      <c r="U35" s="92">
        <v>-10.837686967298379532138636290</v>
      </c>
      <c r="V35" s="273">
        <v>-3.8059845066497347423742243200</v>
      </c>
      <c r="W35" s="272">
        <v>0</v>
      </c>
      <c r="X35" s="92">
        <v>0</v>
      </c>
      <c r="Y35" s="273">
        <v>1.803107484949584263044895600</v>
      </c>
      <c r="Z35" s="272">
        <v>-5.6143334766376459539165373800</v>
      </c>
      <c r="AA35" s="92">
        <v>-4.8486711793368540421605047600</v>
      </c>
      <c r="AB35" s="273">
        <v>-2.3578898307637889970577981200</v>
      </c>
    </row>
    <row r="36" ht="18" customHeight="1">
      <c r="A36" s="58"/>
      <c r="B36" s="426">
        <v>2020</v>
      </c>
      <c r="C36" s="427"/>
      <c r="D36" s="458">
        <v>138.57017291066282420749279539</v>
      </c>
      <c r="E36" s="459"/>
      <c r="F36" s="460">
        <v>132.90130179144105170962185703</v>
      </c>
      <c r="G36" s="458">
        <v>191.67298578199052132701421801</v>
      </c>
      <c r="H36" s="459"/>
      <c r="I36" s="460">
        <v>113.91280139932097731294231952</v>
      </c>
      <c r="J36" s="458">
        <v>0</v>
      </c>
      <c r="K36" s="459"/>
      <c r="L36" s="460">
        <v>94.15748361873684813492025249</v>
      </c>
      <c r="M36" s="458">
        <v>140.13704377010208362466787862</v>
      </c>
      <c r="N36" s="459"/>
      <c r="O36" s="460">
        <v>128.33034559796788088844002724</v>
      </c>
      <c r="P36" s="93"/>
      <c r="Q36" s="431">
        <v>-28.967383628012359786356736160</v>
      </c>
      <c r="R36" s="432"/>
      <c r="S36" s="433">
        <v>-27.741104710387894576923399150</v>
      </c>
      <c r="T36" s="431">
        <v>20.595356358572480376434706350</v>
      </c>
      <c r="U36" s="432"/>
      <c r="V36" s="433">
        <v>-39.101935046566358480059796730</v>
      </c>
      <c r="W36" s="431">
        <v>0</v>
      </c>
      <c r="X36" s="432"/>
      <c r="Y36" s="433">
        <v>-23.767107087726828297004740220</v>
      </c>
      <c r="Z36" s="431">
        <v>-27.274979319903842615145905690</v>
      </c>
      <c r="AA36" s="432"/>
      <c r="AB36" s="433">
        <v>-28.578521554480756934906488100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2" t="s">
        <v>45</v>
      </c>
      <c r="C38" s="1052"/>
      <c r="D38" s="1052"/>
      <c r="E38" s="1052"/>
      <c r="F38" s="1052"/>
      <c r="G38" s="1052"/>
      <c r="H38" s="1052"/>
      <c r="I38" s="1052"/>
      <c r="J38" s="1052"/>
      <c r="K38" s="1052"/>
      <c r="L38" s="1052"/>
      <c r="M38" s="1052"/>
      <c r="N38" s="1052"/>
      <c r="O38" s="1052"/>
      <c r="P38" s="412"/>
      <c r="Q38" s="1051"/>
      <c r="R38" s="1051"/>
      <c r="S38" s="1051"/>
      <c r="T38" s="1051"/>
      <c r="U38" s="1051"/>
      <c r="V38" s="1051"/>
      <c r="W38" s="1051"/>
      <c r="X38" s="1051"/>
      <c r="Y38" s="1051"/>
      <c r="Z38" s="1051"/>
      <c r="AA38" s="1051"/>
      <c r="AB38" s="1051"/>
      <c r="AC38" s="9"/>
    </row>
    <row r="39" ht="18" customHeight="1">
      <c r="A39" s="58"/>
      <c r="B39" s="285">
        <v>2018</v>
      </c>
      <c r="C39" s="286"/>
      <c r="D39" s="455">
        <v>181.23607263773468759618344106</v>
      </c>
      <c r="E39" s="456">
        <v>240.92770113478765373573803528</v>
      </c>
      <c r="F39" s="457">
        <v>185.43657238057626168479148082</v>
      </c>
      <c r="G39" s="455">
        <v>173.47232704402515723270440252</v>
      </c>
      <c r="H39" s="456">
        <v>260.95626545301218715178963391</v>
      </c>
      <c r="I39" s="457">
        <v>198.13545898701218322349925181</v>
      </c>
      <c r="J39" s="455">
        <v>152.16666666666666666666666667</v>
      </c>
      <c r="K39" s="456">
        <v>297.58999437173981770253013444</v>
      </c>
      <c r="L39" s="457">
        <v>122.5700521251882764714766336</v>
      </c>
      <c r="M39" s="455">
        <v>180.11384928716904276985743381</v>
      </c>
      <c r="N39" s="456">
        <v>242.6501180390515818812029719</v>
      </c>
      <c r="O39" s="457">
        <v>183.43499411012894283133064502</v>
      </c>
      <c r="P39" s="5"/>
      <c r="Q39" s="428">
        <v>-20.152882582147939757282075070</v>
      </c>
      <c r="R39" s="429">
        <v>5.6519230681768343977300523200</v>
      </c>
      <c r="S39" s="430">
        <v>3.8781405924272657800200336800</v>
      </c>
      <c r="T39" s="428">
        <v>-38.514916399713093204059180430</v>
      </c>
      <c r="U39" s="429">
        <v>9.159124261037691182428926660</v>
      </c>
      <c r="V39" s="430">
        <v>1.7107195433298517275896437500</v>
      </c>
      <c r="W39" s="428">
        <v>-73.073803730738037307380373070</v>
      </c>
      <c r="X39" s="429">
        <v>112.87351300316060837571178506</v>
      </c>
      <c r="Y39" s="430">
        <v>-8.187645338774698704564964350</v>
      </c>
      <c r="Z39" s="428">
        <v>-22.012809132085917965566863110</v>
      </c>
      <c r="AA39" s="429">
        <v>5.9877549584533072522146834600</v>
      </c>
      <c r="AB39" s="430">
        <v>2.5506730993053996793586976600</v>
      </c>
    </row>
    <row r="40" ht="18" customHeight="1">
      <c r="A40" s="58"/>
      <c r="B40" s="287">
        <v>2019</v>
      </c>
      <c r="C40" s="288"/>
      <c r="D40" s="277">
        <v>193.27037213092489474399022138</v>
      </c>
      <c r="E40" s="94">
        <v>237.48466245897486194825915411</v>
      </c>
      <c r="F40" s="278">
        <v>184.43020124128623645291449146</v>
      </c>
      <c r="G40" s="277">
        <v>208.14428020565552699228791774</v>
      </c>
      <c r="H40" s="94">
        <v>278.22800168617757859460719926</v>
      </c>
      <c r="I40" s="278">
        <v>193.62842695479473661796269632</v>
      </c>
      <c r="J40" s="277">
        <v>0</v>
      </c>
      <c r="K40" s="94">
        <v>0</v>
      </c>
      <c r="L40" s="278">
        <v>123.18686490172815656644426551</v>
      </c>
      <c r="M40" s="277">
        <v>194.69180690332882938213978627</v>
      </c>
      <c r="N40" s="94">
        <v>240.44190417949133322533614126</v>
      </c>
      <c r="O40" s="278">
        <v>181.07925068981587649151877853</v>
      </c>
      <c r="P40" s="5"/>
      <c r="Q40" s="272">
        <v>6.6401237447056537003892814400</v>
      </c>
      <c r="R40" s="92">
        <v>-1.4290754693610654974930072900</v>
      </c>
      <c r="S40" s="273">
        <v>-0.5427036999069545886266989500</v>
      </c>
      <c r="T40" s="272">
        <v>19.987022571520039416048012730</v>
      </c>
      <c r="U40" s="92">
        <v>6.6186325142192618102552178200</v>
      </c>
      <c r="V40" s="273">
        <v>-2.2747225838626307706498499800</v>
      </c>
      <c r="W40" s="272">
        <v>-100</v>
      </c>
      <c r="X40" s="92">
        <v>-100</v>
      </c>
      <c r="Y40" s="273">
        <v>0.5032328581453906482941415800</v>
      </c>
      <c r="Z40" s="272">
        <v>8.093746079968039254002769300</v>
      </c>
      <c r="AA40" s="92">
        <v>-0.9100402989315107291139448100</v>
      </c>
      <c r="AB40" s="273">
        <v>-1.2842388289874219387051951800</v>
      </c>
    </row>
    <row r="41" ht="18" customHeight="1">
      <c r="A41" s="58"/>
      <c r="B41" s="426">
        <v>2020</v>
      </c>
      <c r="C41" s="427"/>
      <c r="D41" s="458">
        <v>191.36636818106905455144756359</v>
      </c>
      <c r="E41" s="459"/>
      <c r="F41" s="460">
        <v>178.48533164111280773607847463</v>
      </c>
      <c r="G41" s="458">
        <v>362.10180722891566265060240964</v>
      </c>
      <c r="H41" s="459"/>
      <c r="I41" s="460">
        <v>249.65779728599754623846638273</v>
      </c>
      <c r="J41" s="458">
        <v>0</v>
      </c>
      <c r="K41" s="459"/>
      <c r="L41" s="460">
        <v>108.51605275344645694945881356</v>
      </c>
      <c r="M41" s="458">
        <v>205.63515078286260887076473846</v>
      </c>
      <c r="N41" s="459"/>
      <c r="O41" s="460">
        <v>184.41489775093437710379937967</v>
      </c>
      <c r="P41" s="93"/>
      <c r="Q41" s="431">
        <v>-0.9851504547039589682434917900</v>
      </c>
      <c r="R41" s="432"/>
      <c r="S41" s="433">
        <v>-3.2233709881365244364974021600</v>
      </c>
      <c r="T41" s="431">
        <v>73.9667344551305748664481700</v>
      </c>
      <c r="U41" s="432"/>
      <c r="V41" s="433">
        <v>28.936541608264807867376108920</v>
      </c>
      <c r="W41" s="431">
        <v>0</v>
      </c>
      <c r="X41" s="432"/>
      <c r="Y41" s="433">
        <v>-11.909396476633513708124759560</v>
      </c>
      <c r="Z41" s="431">
        <v>5.6208548544456858809412660900</v>
      </c>
      <c r="AA41" s="432"/>
      <c r="AB41" s="433">
        <v>1.8420923702806671567535338300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49" t="s">
        <v>129</v>
      </c>
      <c r="C43" s="1049"/>
      <c r="D43" s="1049"/>
      <c r="E43" s="1049"/>
      <c r="F43" s="1049"/>
      <c r="G43" s="1049"/>
      <c r="H43" s="1049"/>
      <c r="I43" s="1049"/>
      <c r="J43" s="1049"/>
      <c r="K43" s="1049"/>
      <c r="L43" s="1049"/>
      <c r="M43" s="1049"/>
      <c r="N43" s="1049"/>
      <c r="O43" s="1049"/>
      <c r="P43" s="1049"/>
      <c r="Q43" s="1049"/>
      <c r="R43" s="1049"/>
      <c r="S43" s="1049"/>
      <c r="T43" s="1049"/>
      <c r="U43" s="1049"/>
      <c r="V43" s="1049"/>
      <c r="W43" s="1049"/>
      <c r="X43" s="1049"/>
      <c r="Y43" s="1049"/>
      <c r="Z43" s="1049"/>
      <c r="AA43" s="1049"/>
      <c r="AB43" s="1049"/>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4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7" t="s">
        <v>148</v>
      </c>
      <c r="Z1" s="5"/>
      <c r="AB1" s="686"/>
      <c r="AD1" s="236"/>
    </row>
    <row r="2" ht="15" customHeight="1">
      <c r="A2" s="11"/>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row>
    <row r="3" ht="17.1" customHeight="1">
      <c r="A3" s="11"/>
      <c r="B3" s="1014" t="s">
        <v>212</v>
      </c>
      <c r="C3" s="1014"/>
      <c r="D3" s="1014"/>
      <c r="E3" s="1014"/>
      <c r="F3" s="1014"/>
      <c r="G3" s="1014"/>
      <c r="H3" s="1014"/>
      <c r="I3" s="1014"/>
      <c r="J3" s="1014"/>
      <c r="K3" s="1014"/>
      <c r="L3" s="1014"/>
      <c r="M3" s="1014"/>
      <c r="N3" s="1014"/>
      <c r="O3" s="1014"/>
      <c r="P3" s="1014"/>
      <c r="Q3" s="1014"/>
      <c r="R3" s="1048" t="s">
        <v>298</v>
      </c>
      <c r="S3" s="1048"/>
      <c r="T3" s="1048"/>
      <c r="U3" s="1048"/>
      <c r="V3" s="1048"/>
      <c r="W3" s="1048"/>
      <c r="X3" s="1048"/>
      <c r="Y3" s="1048"/>
      <c r="Z3" s="1048"/>
      <c r="AA3" s="1048"/>
      <c r="AB3" s="1048"/>
    </row>
    <row r="4" ht="19.5" customHeight="1">
      <c r="A4" s="4"/>
      <c r="B4" s="1014" t="s">
        <v>213</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row>
    <row r="5" ht="12.75" customHeight="1"/>
    <row r="6" ht="15.75" customHeight="1">
      <c r="D6" s="975" t="s">
        <v>10</v>
      </c>
      <c r="E6" s="975"/>
      <c r="F6" s="975"/>
      <c r="G6" s="975"/>
      <c r="H6" s="975"/>
      <c r="I6" s="975"/>
      <c r="J6" s="975"/>
      <c r="K6" s="975"/>
      <c r="L6" s="975"/>
      <c r="M6" s="975"/>
      <c r="N6" s="975"/>
      <c r="O6" s="975"/>
      <c r="Q6" s="975" t="s">
        <v>72</v>
      </c>
      <c r="R6" s="975"/>
      <c r="S6" s="975"/>
      <c r="T6" s="975"/>
      <c r="U6" s="975"/>
      <c r="V6" s="975"/>
      <c r="W6" s="975"/>
      <c r="X6" s="975"/>
      <c r="Y6" s="975"/>
      <c r="Z6" s="975"/>
      <c r="AA6" s="975"/>
      <c r="AB6" s="975"/>
    </row>
    <row r="7" ht="15.75" customHeight="1">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958" t="s">
        <v>42</v>
      </c>
      <c r="C8" s="958"/>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18" customHeight="1">
      <c r="A9" s="57"/>
      <c r="B9" s="285">
        <v>2019</v>
      </c>
      <c r="C9" s="286" t="s">
        <v>221</v>
      </c>
      <c r="D9" s="435">
        <v>93.39907135874877810361681329</v>
      </c>
      <c r="E9" s="436">
        <v>136.04389916097039247153670614</v>
      </c>
      <c r="F9" s="437">
        <v>85.0341948711171387706096992</v>
      </c>
      <c r="G9" s="435">
        <v>2.8005865102639296187683284457</v>
      </c>
      <c r="H9" s="436">
        <v>4.9006798376075582806525012581</v>
      </c>
      <c r="I9" s="437">
        <v>17.904637081313568597436372657</v>
      </c>
      <c r="J9" s="435">
        <v>0</v>
      </c>
      <c r="K9" s="436">
        <v>0</v>
      </c>
      <c r="L9" s="437">
        <v>7.8978292544990245346366119354</v>
      </c>
      <c r="M9" s="435">
        <v>96.19965786901270772238514174</v>
      </c>
      <c r="N9" s="436">
        <v>140.94457899857795075218920739</v>
      </c>
      <c r="O9" s="437">
        <v>110.8366612069297319026826838</v>
      </c>
      <c r="P9" s="5"/>
      <c r="Q9" s="416">
        <v>51.037189380827670784482974110</v>
      </c>
      <c r="R9" s="417">
        <v>-11.014689704883053960263257220</v>
      </c>
      <c r="S9" s="418">
        <v>-0.4219265820106627377994332600</v>
      </c>
      <c r="T9" s="416">
        <v>54.796758183074700006282590930</v>
      </c>
      <c r="U9" s="417">
        <v>16.164151464277627823472000600</v>
      </c>
      <c r="V9" s="418">
        <v>19.311345950991254434951272870</v>
      </c>
      <c r="W9" s="416">
        <v>0</v>
      </c>
      <c r="X9" s="417">
        <v>0</v>
      </c>
      <c r="Y9" s="418">
        <v>36.700087608337624675564133100</v>
      </c>
      <c r="Z9" s="416">
        <v>51.144056158357195182365007180</v>
      </c>
      <c r="AA9" s="417">
        <v>-10.284841415300182574795700110</v>
      </c>
      <c r="AB9" s="418">
        <v>4.3869718684962254802885789100</v>
      </c>
    </row>
    <row r="10" ht="18" customHeight="1">
      <c r="A10" s="58"/>
      <c r="B10" s="287"/>
      <c r="C10" s="288" t="s">
        <v>224</v>
      </c>
      <c r="D10" s="277">
        <v>92.54887585532746823069403715</v>
      </c>
      <c r="E10" s="94">
        <v>127.27042703568687058959780656</v>
      </c>
      <c r="F10" s="278">
        <v>84.79657115712781572010521739</v>
      </c>
      <c r="G10" s="277">
        <v>0.2729716520039100684261974585</v>
      </c>
      <c r="H10" s="94">
        <v>3.1713198395470190893184422212</v>
      </c>
      <c r="I10" s="278">
        <v>9.88007700956726324784210162</v>
      </c>
      <c r="J10" s="277">
        <v>0</v>
      </c>
      <c r="K10" s="94">
        <v>0</v>
      </c>
      <c r="L10" s="278">
        <v>7.8463703978360180115209339807</v>
      </c>
      <c r="M10" s="277">
        <v>92.8218475073313782991202346</v>
      </c>
      <c r="N10" s="94">
        <v>130.44174687523388967891624878</v>
      </c>
      <c r="O10" s="278">
        <v>102.52301856453109697946825298</v>
      </c>
      <c r="P10" s="5"/>
      <c r="Q10" s="272">
        <v>41.631506366078566572990905410</v>
      </c>
      <c r="R10" s="92">
        <v>-12.700603351918591184047714430</v>
      </c>
      <c r="S10" s="273">
        <v>5.0083160607205169005009604800</v>
      </c>
      <c r="T10" s="272">
        <v>14.185526816279954355268162820</v>
      </c>
      <c r="U10" s="92">
        <v>2.1873600080223319041192473700</v>
      </c>
      <c r="V10" s="273">
        <v>-10.819216507155429073913820100</v>
      </c>
      <c r="W10" s="272">
        <v>0</v>
      </c>
      <c r="X10" s="92">
        <v>0</v>
      </c>
      <c r="Y10" s="273">
        <v>41.597849001346271228585401110</v>
      </c>
      <c r="Z10" s="272">
        <v>41.531463065473817752004353590</v>
      </c>
      <c r="AA10" s="92">
        <v>-12.390280441084574427584129730</v>
      </c>
      <c r="AB10" s="273">
        <v>5.2897640176465606048859348200</v>
      </c>
    </row>
    <row r="11" ht="18" customHeight="1">
      <c r="A11" s="58"/>
      <c r="B11" s="289"/>
      <c r="C11" s="290" t="s">
        <v>226</v>
      </c>
      <c r="D11" s="440">
        <v>65.45959595959595959595959596</v>
      </c>
      <c r="E11" s="95">
        <v>85.35530553094411309704057435</v>
      </c>
      <c r="F11" s="441">
        <v>65.92562431460103401642411202</v>
      </c>
      <c r="G11" s="440">
        <v>0.6146464646464646464646464646</v>
      </c>
      <c r="H11" s="95">
        <v>8.054370416465012966377832466</v>
      </c>
      <c r="I11" s="441">
        <v>15.748375002379204549519473368</v>
      </c>
      <c r="J11" s="440">
        <v>0</v>
      </c>
      <c r="K11" s="95">
        <v>0</v>
      </c>
      <c r="L11" s="441">
        <v>6.9800066046247815409988336334</v>
      </c>
      <c r="M11" s="440">
        <v>66.074242424242424242424242424</v>
      </c>
      <c r="N11" s="95">
        <v>93.40967594740912606341840681</v>
      </c>
      <c r="O11" s="441">
        <v>88.65400592160502010694241902</v>
      </c>
      <c r="P11" s="5"/>
      <c r="Q11" s="421">
        <v>43.59150482478978097337779600</v>
      </c>
      <c r="R11" s="91">
        <v>-19.645715226733551947371169270</v>
      </c>
      <c r="S11" s="422">
        <v>-2.2085823088662509284111786300</v>
      </c>
      <c r="T11" s="421">
        <v>-89.67112242732866539359219181</v>
      </c>
      <c r="U11" s="91">
        <v>42.595282037655328737354897520</v>
      </c>
      <c r="V11" s="422">
        <v>8.770607590945173017870247900</v>
      </c>
      <c r="W11" s="421">
        <v>0</v>
      </c>
      <c r="X11" s="91">
        <v>0</v>
      </c>
      <c r="Y11" s="422">
        <v>38.321430319476922957242120750</v>
      </c>
      <c r="Z11" s="421">
        <v>28.204575409988681519518254110</v>
      </c>
      <c r="AA11" s="91">
        <v>-16.503173231287019360990126140</v>
      </c>
      <c r="AB11" s="422">
        <v>1.9723346020919805148959438500</v>
      </c>
    </row>
    <row r="12" ht="18" customHeight="1">
      <c r="A12" s="58"/>
      <c r="B12" s="287"/>
      <c r="C12" s="288" t="s">
        <v>228</v>
      </c>
      <c r="D12" s="277">
        <v>89.48411534701857282502443793</v>
      </c>
      <c r="E12" s="94">
        <v>122.31649658489320652699391912</v>
      </c>
      <c r="F12" s="278">
        <v>81.20036600403172428627777212</v>
      </c>
      <c r="G12" s="277">
        <v>6.4437927663734115347018572825</v>
      </c>
      <c r="H12" s="94">
        <v>11.894773529619180270401485427</v>
      </c>
      <c r="I12" s="278">
        <v>24.655655321225174763047085555</v>
      </c>
      <c r="J12" s="277">
        <v>0</v>
      </c>
      <c r="K12" s="94">
        <v>0</v>
      </c>
      <c r="L12" s="278">
        <v>7.3042169644626871510831258047</v>
      </c>
      <c r="M12" s="277">
        <v>95.92790811339198435972629521</v>
      </c>
      <c r="N12" s="94">
        <v>134.21127011451238679739540454</v>
      </c>
      <c r="O12" s="278">
        <v>113.16023828971958620040798348</v>
      </c>
      <c r="P12" s="5"/>
      <c r="Q12" s="272">
        <v>62.004477400630021590627543980</v>
      </c>
      <c r="R12" s="92">
        <v>0.2137718110666047779675646300</v>
      </c>
      <c r="S12" s="273">
        <v>2.5037475770687182869607730600</v>
      </c>
      <c r="T12" s="272">
        <v>-59.558902470820999677919050330</v>
      </c>
      <c r="U12" s="92">
        <v>-19.298629866227225401110298750</v>
      </c>
      <c r="V12" s="273">
        <v>-2.0821512011132444146665726500</v>
      </c>
      <c r="W12" s="272">
        <v>0</v>
      </c>
      <c r="X12" s="92">
        <v>0</v>
      </c>
      <c r="Y12" s="273">
        <v>43.414673292527151236543856580</v>
      </c>
      <c r="Z12" s="272">
        <v>34.788222164992703236329298650</v>
      </c>
      <c r="AA12" s="92">
        <v>-1.8886329810980112978407439500</v>
      </c>
      <c r="AB12" s="273">
        <v>3.3521334673517378400293322400</v>
      </c>
    </row>
    <row r="13" ht="18" customHeight="1">
      <c r="A13" s="58"/>
      <c r="B13" s="289"/>
      <c r="C13" s="290" t="s">
        <v>229</v>
      </c>
      <c r="D13" s="440">
        <v>117.41944444444444444444444444</v>
      </c>
      <c r="E13" s="95">
        <v>152.26029512251606590267587499</v>
      </c>
      <c r="F13" s="441">
        <v>100.05279876723276933801982409</v>
      </c>
      <c r="G13" s="440">
        <v>9.68989898989898989898989899</v>
      </c>
      <c r="H13" s="95">
        <v>22.17470565087913904705343669</v>
      </c>
      <c r="I13" s="441">
        <v>31.995318053109164745933978184</v>
      </c>
      <c r="J13" s="440">
        <v>0</v>
      </c>
      <c r="K13" s="95">
        <v>0</v>
      </c>
      <c r="L13" s="441">
        <v>7.7130008498666452155345881254</v>
      </c>
      <c r="M13" s="440">
        <v>127.10934343434343434343434343</v>
      </c>
      <c r="N13" s="95">
        <v>174.43500077339520494972931168</v>
      </c>
      <c r="O13" s="441">
        <v>139.7611176702085792994883904</v>
      </c>
      <c r="P13" s="5"/>
      <c r="Q13" s="421">
        <v>73.087030970815961882072662290</v>
      </c>
      <c r="R13" s="91">
        <v>6.16119002152646482405084700</v>
      </c>
      <c r="S13" s="422">
        <v>8.393062597526658128340030680</v>
      </c>
      <c r="T13" s="421">
        <v>-9.829632240629773234637527900</v>
      </c>
      <c r="U13" s="91">
        <v>-7.0663497760384286793722479500</v>
      </c>
      <c r="V13" s="422">
        <v>6.471308159601509414625529400</v>
      </c>
      <c r="W13" s="421">
        <v>0</v>
      </c>
      <c r="X13" s="91">
        <v>0</v>
      </c>
      <c r="Y13" s="422">
        <v>31.814932463467315979206243940</v>
      </c>
      <c r="Z13" s="421">
        <v>61.748421407798968492424364140</v>
      </c>
      <c r="AA13" s="91">
        <v>4.274466388133805713747834100</v>
      </c>
      <c r="AB13" s="422">
        <v>9.011594252419533965955621270</v>
      </c>
    </row>
    <row r="14" ht="18" customHeight="1">
      <c r="A14" s="58"/>
      <c r="B14" s="287"/>
      <c r="C14" s="288" t="s">
        <v>230</v>
      </c>
      <c r="D14" s="277">
        <v>205.73142717497556207233626588</v>
      </c>
      <c r="E14" s="94">
        <v>249.10027610668145931749601093</v>
      </c>
      <c r="F14" s="278">
        <v>147.4001794650903511586374725</v>
      </c>
      <c r="G14" s="277">
        <v>7.716764418377321603128054741</v>
      </c>
      <c r="H14" s="94">
        <v>10.700695377488887213452271366</v>
      </c>
      <c r="I14" s="278">
        <v>20.082250255132025521901401792</v>
      </c>
      <c r="J14" s="277">
        <v>0</v>
      </c>
      <c r="K14" s="94">
        <v>0</v>
      </c>
      <c r="L14" s="278">
        <v>8.316108658961163793324180213</v>
      </c>
      <c r="M14" s="277">
        <v>213.44819159335288367546432063</v>
      </c>
      <c r="N14" s="94">
        <v>259.80097148417034653094828231</v>
      </c>
      <c r="O14" s="278">
        <v>175.79853837918354047386305451</v>
      </c>
      <c r="P14" s="5"/>
      <c r="Q14" s="272">
        <v>64.506024473078441257967819970</v>
      </c>
      <c r="R14" s="92">
        <v>-0.5714919726289209019419469300</v>
      </c>
      <c r="S14" s="273">
        <v>4.8315117660323662764217026700</v>
      </c>
      <c r="T14" s="272">
        <v>-42.838782086093914050903298210</v>
      </c>
      <c r="U14" s="92">
        <v>-44.914155283080056548336287610</v>
      </c>
      <c r="V14" s="273">
        <v>-11.729156424777869977320819130</v>
      </c>
      <c r="W14" s="272">
        <v>0</v>
      </c>
      <c r="X14" s="92">
        <v>0</v>
      </c>
      <c r="Y14" s="273">
        <v>7.970937310596752037061641870</v>
      </c>
      <c r="Z14" s="272">
        <v>54.047351972175777970609607260</v>
      </c>
      <c r="AA14" s="92">
        <v>-3.7622825778233853913412384500</v>
      </c>
      <c r="AB14" s="273">
        <v>2.770320202094985078893292800</v>
      </c>
    </row>
    <row r="15" ht="18" customHeight="1">
      <c r="A15" s="58"/>
      <c r="B15" s="289">
        <v>2020</v>
      </c>
      <c r="C15" s="290" t="s">
        <v>232</v>
      </c>
      <c r="D15" s="440">
        <v>185.78836754643206256109481916</v>
      </c>
      <c r="E15" s="95">
        <v>228.10346586511919187024752469</v>
      </c>
      <c r="F15" s="441">
        <v>123.74106887162868068701176113</v>
      </c>
      <c r="G15" s="440">
        <v>85.0256598240469208211143695</v>
      </c>
      <c r="H15" s="95">
        <v>60.597997348712108182143763386</v>
      </c>
      <c r="I15" s="441">
        <v>81.53318584215343403369159547</v>
      </c>
      <c r="J15" s="440">
        <v>0</v>
      </c>
      <c r="K15" s="95">
        <v>0</v>
      </c>
      <c r="L15" s="441">
        <v>9.319157413354352591717034994</v>
      </c>
      <c r="M15" s="440">
        <v>270.81402737047898338220918866</v>
      </c>
      <c r="N15" s="95">
        <v>288.70146321383130005239128808</v>
      </c>
      <c r="O15" s="441">
        <v>214.5934121271364673124203916</v>
      </c>
      <c r="P15" s="5"/>
      <c r="Q15" s="421">
        <v>47.686539619635953921168677280</v>
      </c>
      <c r="R15" s="91">
        <v>20.136741294743277202908848180</v>
      </c>
      <c r="S15" s="422">
        <v>7.0267666795402515512068489300</v>
      </c>
      <c r="T15" s="421">
        <v>172.41230817413091136861885374</v>
      </c>
      <c r="U15" s="91">
        <v>42.160789665588338905197723510</v>
      </c>
      <c r="V15" s="422">
        <v>53.483729554344748261197775290</v>
      </c>
      <c r="W15" s="421">
        <v>0</v>
      </c>
      <c r="X15" s="91">
        <v>0</v>
      </c>
      <c r="Y15" s="422">
        <v>-2.1997621795799942565775053300</v>
      </c>
      <c r="Z15" s="421">
        <v>72.480661177605877134274463420</v>
      </c>
      <c r="AA15" s="91">
        <v>24.174679414618990761758431220</v>
      </c>
      <c r="AB15" s="422">
        <v>20.377248932619638731102544050</v>
      </c>
    </row>
    <row r="16" ht="18" customHeight="1">
      <c r="A16" s="58"/>
      <c r="B16" s="287"/>
      <c r="C16" s="288" t="s">
        <v>233</v>
      </c>
      <c r="D16" s="277">
        <v>237.97596656217345872518286311</v>
      </c>
      <c r="E16" s="94">
        <v>286.91108730074817513120211388</v>
      </c>
      <c r="F16" s="278">
        <v>150.85562882042164157050046024</v>
      </c>
      <c r="G16" s="277">
        <v>55.120950888192267502612330199</v>
      </c>
      <c r="H16" s="94">
        <v>53.979113515316988345115420086</v>
      </c>
      <c r="I16" s="278">
        <v>85.68712013316944085952883155</v>
      </c>
      <c r="J16" s="277">
        <v>0</v>
      </c>
      <c r="K16" s="94">
        <v>0</v>
      </c>
      <c r="L16" s="278">
        <v>8.633273107001518387989326469</v>
      </c>
      <c r="M16" s="277">
        <v>293.09691745036572622779519331</v>
      </c>
      <c r="N16" s="94">
        <v>340.89020081606516347631753397</v>
      </c>
      <c r="O16" s="278">
        <v>245.17602206059260081801861825</v>
      </c>
      <c r="P16" s="5"/>
      <c r="Q16" s="272">
        <v>74.580830233061757847823367060</v>
      </c>
      <c r="R16" s="92">
        <v>17.652494835178063087102030690</v>
      </c>
      <c r="S16" s="273">
        <v>1.4083124098603031541023514100</v>
      </c>
      <c r="T16" s="272">
        <v>9.826486656401716823085392600</v>
      </c>
      <c r="U16" s="92">
        <v>39.309848235527492776169747020</v>
      </c>
      <c r="V16" s="273">
        <v>56.146131696188926709333968410</v>
      </c>
      <c r="W16" s="272">
        <v>0</v>
      </c>
      <c r="X16" s="92">
        <v>0</v>
      </c>
      <c r="Y16" s="273">
        <v>-6.3730135400935271419133843600</v>
      </c>
      <c r="Z16" s="272">
        <v>57.154928166901692289537093480</v>
      </c>
      <c r="AA16" s="92">
        <v>20.621840419760701659458211150</v>
      </c>
      <c r="AB16" s="273">
        <v>15.183024155098502890456118730</v>
      </c>
    </row>
    <row r="17" ht="18" customHeight="1">
      <c r="A17" s="58"/>
      <c r="B17" s="289"/>
      <c r="C17" s="290" t="s">
        <v>234</v>
      </c>
      <c r="D17" s="440">
        <v>88.20527859237536656891495601</v>
      </c>
      <c r="E17" s="95">
        <v>110.86626814643099367165573639</v>
      </c>
      <c r="F17" s="441">
        <v>54.884037867761757098064590065</v>
      </c>
      <c r="G17" s="440">
        <v>0.4198435972629521016617790811</v>
      </c>
      <c r="H17" s="95">
        <v>9.625995905660915616571192731</v>
      </c>
      <c r="I17" s="441">
        <v>16.107156528009712944182028268</v>
      </c>
      <c r="J17" s="440">
        <v>0</v>
      </c>
      <c r="K17" s="95">
        <v>0</v>
      </c>
      <c r="L17" s="441">
        <v>6.0851567946300945929852560953</v>
      </c>
      <c r="M17" s="440">
        <v>88.62512218963831867057673509</v>
      </c>
      <c r="N17" s="95">
        <v>120.49226405209190928822692912</v>
      </c>
      <c r="O17" s="441">
        <v>77.076351190401564635231874428</v>
      </c>
      <c r="P17" s="5"/>
      <c r="Q17" s="421">
        <v>-48.202628214051487967532644590</v>
      </c>
      <c r="R17" s="91">
        <v>-59.175271783165140602106374140</v>
      </c>
      <c r="S17" s="422">
        <v>-64.329236896528550632146956810</v>
      </c>
      <c r="T17" s="421">
        <v>-98.23794871794871794871794872</v>
      </c>
      <c r="U17" s="91">
        <v>-45.789201395181801108247071510</v>
      </c>
      <c r="V17" s="422">
        <v>-61.128684858401661963351683300</v>
      </c>
      <c r="W17" s="421">
        <v>0</v>
      </c>
      <c r="X17" s="91">
        <v>0</v>
      </c>
      <c r="Y17" s="422">
        <v>-36.484018063484640282538790090</v>
      </c>
      <c r="Z17" s="421">
        <v>-54.344265494011881816339197030</v>
      </c>
      <c r="AA17" s="91">
        <v>-58.353729496244016587760481080</v>
      </c>
      <c r="AB17" s="422">
        <v>-62.379840739161081681495079910</v>
      </c>
    </row>
    <row r="18" ht="18" customHeight="1">
      <c r="A18" s="58"/>
      <c r="B18" s="287"/>
      <c r="C18" s="288" t="s">
        <v>235</v>
      </c>
      <c r="D18" s="277"/>
      <c r="E18" s="94"/>
      <c r="F18" s="278">
        <v>3.2577837320763388276126368261</v>
      </c>
      <c r="G18" s="277"/>
      <c r="H18" s="94"/>
      <c r="I18" s="278">
        <v>1.3548672671295149028272826552</v>
      </c>
      <c r="J18" s="277"/>
      <c r="K18" s="94"/>
      <c r="L18" s="278">
        <v>5.5102321069486278887257145539</v>
      </c>
      <c r="M18" s="277"/>
      <c r="N18" s="94"/>
      <c r="O18" s="278">
        <v>10.122883106154481619165634036</v>
      </c>
      <c r="P18" s="5"/>
      <c r="Q18" s="272"/>
      <c r="R18" s="92"/>
      <c r="S18" s="273">
        <v>-97.31125112468255461591362175</v>
      </c>
      <c r="T18" s="272"/>
      <c r="U18" s="92"/>
      <c r="V18" s="273">
        <v>-95.82533025203366278059580030</v>
      </c>
      <c r="W18" s="272"/>
      <c r="X18" s="92"/>
      <c r="Y18" s="273">
        <v>-31.169720943784550940082166980</v>
      </c>
      <c r="Z18" s="272"/>
      <c r="AA18" s="92"/>
      <c r="AB18" s="273">
        <v>-93.73675311214510840963913748</v>
      </c>
    </row>
    <row r="19" ht="18" customHeight="1">
      <c r="A19" s="58"/>
      <c r="B19" s="289"/>
      <c r="C19" s="290" t="s">
        <v>236</v>
      </c>
      <c r="D19" s="440"/>
      <c r="E19" s="95"/>
      <c r="F19" s="441">
        <v>11.964072691175196724668823374</v>
      </c>
      <c r="G19" s="440"/>
      <c r="H19" s="95"/>
      <c r="I19" s="441">
        <v>1.228412083825633931712139472</v>
      </c>
      <c r="J19" s="440"/>
      <c r="K19" s="95"/>
      <c r="L19" s="441">
        <v>9.964944608251718232136503309</v>
      </c>
      <c r="M19" s="440"/>
      <c r="N19" s="95"/>
      <c r="O19" s="441">
        <v>23.157429383252548888517466154</v>
      </c>
      <c r="P19" s="5"/>
      <c r="Q19" s="421"/>
      <c r="R19" s="91"/>
      <c r="S19" s="422">
        <v>-87.75969062668109098071278303</v>
      </c>
      <c r="T19" s="421"/>
      <c r="U19" s="91"/>
      <c r="V19" s="422">
        <v>-95.50040280936898696378447035</v>
      </c>
      <c r="W19" s="421"/>
      <c r="X19" s="91"/>
      <c r="Y19" s="422">
        <v>32.015465027111262017253697970</v>
      </c>
      <c r="Z19" s="421"/>
      <c r="AA19" s="91"/>
      <c r="AB19" s="422">
        <v>-82.53482520200177354969303373</v>
      </c>
    </row>
    <row r="20" ht="18" customHeight="1">
      <c r="A20" s="58"/>
      <c r="B20" s="287"/>
      <c r="C20" s="288" t="s">
        <v>237</v>
      </c>
      <c r="D20" s="277">
        <v>22.693181818181818181818181818</v>
      </c>
      <c r="E20" s="94"/>
      <c r="F20" s="278">
        <v>25.75052220339135577519599766</v>
      </c>
      <c r="G20" s="277">
        <v>0</v>
      </c>
      <c r="H20" s="94"/>
      <c r="I20" s="278">
        <v>0.4120348551246433351670865583</v>
      </c>
      <c r="J20" s="277">
        <v>0</v>
      </c>
      <c r="K20" s="94"/>
      <c r="L20" s="278">
        <v>3.1076221648494174180139486411</v>
      </c>
      <c r="M20" s="277">
        <v>22.693181818181818181818181818</v>
      </c>
      <c r="N20" s="94"/>
      <c r="O20" s="278">
        <v>29.270179223365416528377032858</v>
      </c>
      <c r="P20" s="5"/>
      <c r="Q20" s="272">
        <v>-68.030949839914621131270010670</v>
      </c>
      <c r="R20" s="92"/>
      <c r="S20" s="273">
        <v>-67.709049841985835907918424150</v>
      </c>
      <c r="T20" s="272">
        <v>-100</v>
      </c>
      <c r="U20" s="92"/>
      <c r="V20" s="273">
        <v>-98.11369591832067614190102463</v>
      </c>
      <c r="W20" s="272">
        <v>0</v>
      </c>
      <c r="X20" s="92"/>
      <c r="Y20" s="273">
        <v>-58.239283099463624887834514560</v>
      </c>
      <c r="Z20" s="272">
        <v>-73.055427293279523144178125320</v>
      </c>
      <c r="AA20" s="92"/>
      <c r="AB20" s="273">
        <v>-73.154092038631395670881774400</v>
      </c>
    </row>
    <row r="21" ht="18" customHeight="1">
      <c r="A21" s="58"/>
      <c r="B21" s="289"/>
      <c r="C21" s="290" t="s">
        <v>221</v>
      </c>
      <c r="D21" s="440">
        <v>17.989736070381231671554252199</v>
      </c>
      <c r="E21" s="95"/>
      <c r="F21" s="441">
        <v>21.167266206501388182233965025</v>
      </c>
      <c r="G21" s="440">
        <v>0</v>
      </c>
      <c r="H21" s="95"/>
      <c r="I21" s="441">
        <v>3.5234919313237913870741248949</v>
      </c>
      <c r="J21" s="440">
        <v>0</v>
      </c>
      <c r="K21" s="95"/>
      <c r="L21" s="441">
        <v>2.7334273055205814940733333262</v>
      </c>
      <c r="M21" s="440">
        <v>17.989736070381231671554252199</v>
      </c>
      <c r="N21" s="95"/>
      <c r="O21" s="441">
        <v>27.424185443345761063381423245</v>
      </c>
      <c r="P21" s="5"/>
      <c r="Q21" s="421">
        <v>-80.73884910345405022122562397</v>
      </c>
      <c r="R21" s="91"/>
      <c r="S21" s="422">
        <v>-75.107348004430746583773102860</v>
      </c>
      <c r="T21" s="421">
        <v>-100</v>
      </c>
      <c r="U21" s="91"/>
      <c r="V21" s="422">
        <v>-80.32078552990535452074738750</v>
      </c>
      <c r="W21" s="421">
        <v>0</v>
      </c>
      <c r="X21" s="91"/>
      <c r="Y21" s="422">
        <v>-65.390144336641924787415040630</v>
      </c>
      <c r="Z21" s="421">
        <v>-81.29958414729873567569078037</v>
      </c>
      <c r="AA21" s="91"/>
      <c r="AB21" s="422">
        <v>-75.257116964083409611044788940</v>
      </c>
    </row>
    <row r="22" ht="18" customHeight="1">
      <c r="A22" s="58"/>
      <c r="B22" s="287"/>
      <c r="C22" s="288" t="s">
        <v>224</v>
      </c>
      <c r="D22" s="277">
        <v>28.15615835777126099706744868</v>
      </c>
      <c r="E22" s="94"/>
      <c r="F22" s="278">
        <v>22.472732009746391967952004756</v>
      </c>
      <c r="G22" s="277">
        <v>0</v>
      </c>
      <c r="H22" s="94"/>
      <c r="I22" s="278">
        <v>7.2039198819562304666639953684</v>
      </c>
      <c r="J22" s="277">
        <v>0</v>
      </c>
      <c r="K22" s="94"/>
      <c r="L22" s="278">
        <v>2.8965165605202228466951785392</v>
      </c>
      <c r="M22" s="277">
        <v>28.15615835777126099706744868</v>
      </c>
      <c r="N22" s="94"/>
      <c r="O22" s="278">
        <v>32.573168452222845281311178664</v>
      </c>
      <c r="P22" s="5"/>
      <c r="Q22" s="272">
        <v>-69.576985028121781838345963930</v>
      </c>
      <c r="R22" s="92"/>
      <c r="S22" s="273">
        <v>-73.498065189328846002065085440</v>
      </c>
      <c r="T22" s="272">
        <v>-100</v>
      </c>
      <c r="U22" s="92"/>
      <c r="V22" s="273">
        <v>-27.086399478664039143542980680</v>
      </c>
      <c r="W22" s="272">
        <v>0</v>
      </c>
      <c r="X22" s="92"/>
      <c r="Y22" s="273">
        <v>-63.084631317952249922392985330</v>
      </c>
      <c r="Z22" s="272">
        <v>-69.666453411684793340125899420</v>
      </c>
      <c r="AA22" s="92"/>
      <c r="AB22" s="273">
        <v>-68.228434054816377407646239090</v>
      </c>
    </row>
    <row r="23" ht="18" customHeight="1">
      <c r="A23" s="58"/>
      <c r="B23" s="289"/>
      <c r="C23" s="290" t="s">
        <v>226</v>
      </c>
      <c r="D23" s="440">
        <v>53.261868686868686868686868687</v>
      </c>
      <c r="E23" s="95"/>
      <c r="F23" s="441">
        <v>31.233739112729436608519449221</v>
      </c>
      <c r="G23" s="440">
        <v>0</v>
      </c>
      <c r="H23" s="95"/>
      <c r="I23" s="441">
        <v>1.0973335494548338048213433788</v>
      </c>
      <c r="J23" s="440">
        <v>0</v>
      </c>
      <c r="K23" s="95"/>
      <c r="L23" s="441">
        <v>2.3372255994808713981871122477</v>
      </c>
      <c r="M23" s="440">
        <v>53.261868686868686868686868687</v>
      </c>
      <c r="N23" s="95"/>
      <c r="O23" s="441">
        <v>34.668298261665141811527904849</v>
      </c>
      <c r="P23" s="5"/>
      <c r="Q23" s="421">
        <v>-18.633978859655890749170588690</v>
      </c>
      <c r="R23" s="91"/>
      <c r="S23" s="422">
        <v>-52.622763246533457318956306480</v>
      </c>
      <c r="T23" s="421">
        <v>-100</v>
      </c>
      <c r="U23" s="91"/>
      <c r="V23" s="422">
        <v>-93.03208394968336206659091918</v>
      </c>
      <c r="W23" s="421">
        <v>0</v>
      </c>
      <c r="X23" s="91"/>
      <c r="Y23" s="422">
        <v>-66.515424241399959142995546870</v>
      </c>
      <c r="Z23" s="421">
        <v>-19.390874972291652334762701890</v>
      </c>
      <c r="AA23" s="91"/>
      <c r="AB23" s="422">
        <v>-60.894831653381088414655375790</v>
      </c>
    </row>
    <row r="24" ht="18" customHeight="1">
      <c r="A24" s="59"/>
      <c r="B24" s="287"/>
      <c r="C24" s="288" t="s">
        <v>228</v>
      </c>
      <c r="D24" s="277">
        <v>61.154936461388074291300097752</v>
      </c>
      <c r="E24" s="94"/>
      <c r="F24" s="278">
        <v>37.004697904400147036615612297</v>
      </c>
      <c r="G24" s="277">
        <v>1.9393939393939393939393939394</v>
      </c>
      <c r="H24" s="94"/>
      <c r="I24" s="278">
        <v>3.0317907313948635976123278604</v>
      </c>
      <c r="J24" s="277">
        <v>0</v>
      </c>
      <c r="K24" s="94"/>
      <c r="L24" s="278">
        <v>3.3371660645617941425870310796</v>
      </c>
      <c r="M24" s="277">
        <v>63.094330400782013685239491691</v>
      </c>
      <c r="N24" s="94"/>
      <c r="O24" s="278">
        <v>43.373654700356804776814971237</v>
      </c>
      <c r="P24" s="93"/>
      <c r="Q24" s="272">
        <v>-31.658332627830318787226663100</v>
      </c>
      <c r="R24" s="92"/>
      <c r="S24" s="273">
        <v>-54.427917353768077458166996600</v>
      </c>
      <c r="T24" s="272">
        <v>-69.902912621359223300970873790</v>
      </c>
      <c r="U24" s="92"/>
      <c r="V24" s="273">
        <v>-87.70346724962161913599921197</v>
      </c>
      <c r="W24" s="272">
        <v>0</v>
      </c>
      <c r="X24" s="92"/>
      <c r="Y24" s="273">
        <v>-54.311788918673190437364518050</v>
      </c>
      <c r="Z24" s="272">
        <v>-34.227346721455557055767991300</v>
      </c>
      <c r="AA24" s="92"/>
      <c r="AB24" s="273">
        <v>-61.670587340662018555374390370</v>
      </c>
    </row>
    <row r="25" ht="18" customHeight="1">
      <c r="A25" s="60"/>
      <c r="B25" s="289"/>
      <c r="C25" s="290" t="s">
        <v>229</v>
      </c>
      <c r="D25" s="440">
        <v>64.3</v>
      </c>
      <c r="E25" s="95"/>
      <c r="F25" s="441">
        <v>39.652194812976444593276869952</v>
      </c>
      <c r="G25" s="440">
        <v>1.2</v>
      </c>
      <c r="H25" s="95"/>
      <c r="I25" s="441">
        <v>2.6759787332749780116522049955</v>
      </c>
      <c r="J25" s="440">
        <v>0</v>
      </c>
      <c r="K25" s="95"/>
      <c r="L25" s="441">
        <v>3.5223247134157685455977929291</v>
      </c>
      <c r="M25" s="440">
        <v>65.500000000</v>
      </c>
      <c r="N25" s="95"/>
      <c r="O25" s="441">
        <v>45.850498259667191150526867878</v>
      </c>
      <c r="P25" s="93"/>
      <c r="Q25" s="421">
        <v>-45.239052778500626907335998670</v>
      </c>
      <c r="R25" s="91"/>
      <c r="S25" s="422">
        <v>-60.368730009017484630830496240</v>
      </c>
      <c r="T25" s="421">
        <v>-87.61596997810903784009173356</v>
      </c>
      <c r="U25" s="91"/>
      <c r="V25" s="422">
        <v>-91.63634276479730718155956444</v>
      </c>
      <c r="W25" s="421">
        <v>0</v>
      </c>
      <c r="X25" s="91"/>
      <c r="Y25" s="422">
        <v>-54.332628999040390747951977450</v>
      </c>
      <c r="Z25" s="421">
        <v>-48.469563109785776582239501900</v>
      </c>
      <c r="AA25" s="91"/>
      <c r="AB25" s="422">
        <v>-67.193666576236414888650513670</v>
      </c>
    </row>
    <row r="26" ht="18" customHeight="1">
      <c r="A26" s="60"/>
      <c r="B26" s="291"/>
      <c r="C26" s="292" t="s">
        <v>230</v>
      </c>
      <c r="D26" s="444">
        <v>111.63318670576735092864125122</v>
      </c>
      <c r="E26" s="445">
        <v>111.49707169725293514191268665</v>
      </c>
      <c r="F26" s="446">
        <v>63.773285818156781835908533354</v>
      </c>
      <c r="G26" s="444">
        <v>6.7827468230694037145650048876</v>
      </c>
      <c r="H26" s="445">
        <v>0</v>
      </c>
      <c r="I26" s="446">
        <v>1.3693662512461703939322888238</v>
      </c>
      <c r="J26" s="444">
        <v>0</v>
      </c>
      <c r="K26" s="445">
        <v>0</v>
      </c>
      <c r="L26" s="446">
        <v>4.0468957824434309079261685559</v>
      </c>
      <c r="M26" s="444">
        <v>118.41593352883675464320625611</v>
      </c>
      <c r="N26" s="445">
        <v>111.49707169725293514191268665</v>
      </c>
      <c r="O26" s="446">
        <v>69.189547851846383137766990739</v>
      </c>
      <c r="P26" s="184"/>
      <c r="Q26" s="274">
        <v>-45.738389006156656803503699580</v>
      </c>
      <c r="R26" s="275">
        <v>-55.240085061366048146767975590</v>
      </c>
      <c r="S26" s="276">
        <v>-56.734594184628802927716204010</v>
      </c>
      <c r="T26" s="274">
        <v>-12.103746397694524495677233430</v>
      </c>
      <c r="U26" s="275">
        <v>-100</v>
      </c>
      <c r="V26" s="276">
        <v>-93.18121110010453929431999806</v>
      </c>
      <c r="W26" s="274">
        <v>0</v>
      </c>
      <c r="X26" s="275">
        <v>0</v>
      </c>
      <c r="Y26" s="276">
        <v>-51.336665399596122555582794640</v>
      </c>
      <c r="Z26" s="274">
        <v>-44.522400192345122104805193320</v>
      </c>
      <c r="AA26" s="275">
        <v>-57.083658671366268060382971960</v>
      </c>
      <c r="AB26" s="276">
        <v>-60.642705855375201262785084730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88" t="s">
        <v>61</v>
      </c>
      <c r="C28" s="988"/>
      <c r="D28" s="988"/>
      <c r="E28" s="988"/>
      <c r="F28" s="988"/>
      <c r="G28" s="988"/>
      <c r="H28" s="988"/>
      <c r="I28" s="988"/>
      <c r="J28" s="988"/>
      <c r="K28" s="988"/>
      <c r="L28" s="988"/>
      <c r="M28" s="988"/>
      <c r="N28" s="988"/>
      <c r="O28" s="988"/>
      <c r="P28" s="412"/>
      <c r="Q28" s="986"/>
      <c r="R28" s="986"/>
      <c r="S28" s="986"/>
      <c r="T28" s="986"/>
      <c r="U28" s="986"/>
      <c r="V28" s="986"/>
      <c r="W28" s="986"/>
      <c r="X28" s="986"/>
      <c r="Y28" s="986"/>
      <c r="Z28" s="986"/>
      <c r="AA28" s="986"/>
      <c r="AB28" s="986"/>
      <c r="AC28" s="9"/>
    </row>
    <row r="29" ht="18" customHeight="1">
      <c r="A29" s="58"/>
      <c r="B29" s="285">
        <v>2018</v>
      </c>
      <c r="C29" s="286"/>
      <c r="D29" s="455">
        <v>63.229013986201712705699175861</v>
      </c>
      <c r="E29" s="456">
        <v>177.40117602466496716521602384</v>
      </c>
      <c r="F29" s="457">
        <v>103.57523441580837737795914346</v>
      </c>
      <c r="G29" s="455">
        <v>7.4043918284072910794341091514</v>
      </c>
      <c r="H29" s="456">
        <v>17.581812998552080764962792695</v>
      </c>
      <c r="I29" s="457">
        <v>30.412236786189285572578059036</v>
      </c>
      <c r="J29" s="455">
        <v>0.5882258194410888298300716759</v>
      </c>
      <c r="K29" s="456">
        <v>0.188990425923385060428500749</v>
      </c>
      <c r="L29" s="457">
        <v>6.7953464005253724509173767038</v>
      </c>
      <c r="M29" s="455">
        <v>71.221631634050092614963356688</v>
      </c>
      <c r="N29" s="456">
        <v>195.17197944914043299060731727</v>
      </c>
      <c r="O29" s="457">
        <v>140.7828176025230354014545792</v>
      </c>
      <c r="P29" s="5"/>
      <c r="Q29" s="428">
        <v>-53.795614036637581605135984700</v>
      </c>
      <c r="R29" s="429">
        <v>6.0500106425748706015879064100</v>
      </c>
      <c r="S29" s="430">
        <v>2.8270800344586992099379558200</v>
      </c>
      <c r="T29" s="428">
        <v>-35.106625448441314702875174180</v>
      </c>
      <c r="U29" s="429">
        <v>11.256557129949397820503433970</v>
      </c>
      <c r="V29" s="430">
        <v>-5.2967224181089331675299243100</v>
      </c>
      <c r="W29" s="428">
        <v>6.6508967475913545259256254700</v>
      </c>
      <c r="X29" s="429">
        <v>1666.5650920697938817171258466</v>
      </c>
      <c r="Y29" s="430">
        <v>-4.7069509107580651919840814600</v>
      </c>
      <c r="Z29" s="428">
        <v>-52.138562415091744216081502640</v>
      </c>
      <c r="AA29" s="429">
        <v>6.5964135528885600264955505400</v>
      </c>
      <c r="AB29" s="430">
        <v>0.5794387524331868794437310500</v>
      </c>
    </row>
    <row r="30" ht="18" customHeight="1">
      <c r="A30" s="58"/>
      <c r="B30" s="287">
        <v>2019</v>
      </c>
      <c r="C30" s="288"/>
      <c r="D30" s="277">
        <v>118.14443752594437525944375259</v>
      </c>
      <c r="E30" s="94">
        <v>172.84910127381472026325350339</v>
      </c>
      <c r="F30" s="278">
        <v>106.3953528680748219756716795</v>
      </c>
      <c r="G30" s="277">
        <v>13.444271481942714819427148194</v>
      </c>
      <c r="H30" s="94">
        <v>15.848464056891188264223215285</v>
      </c>
      <c r="I30" s="278">
        <v>28.917125839721189420653430338</v>
      </c>
      <c r="J30" s="277">
        <v>0</v>
      </c>
      <c r="K30" s="94">
        <v>0</v>
      </c>
      <c r="L30" s="278">
        <v>8.101305443348572828639993855</v>
      </c>
      <c r="M30" s="277">
        <v>131.58870900788709007887090079</v>
      </c>
      <c r="N30" s="94">
        <v>188.69756533070590852747671869</v>
      </c>
      <c r="O30" s="278">
        <v>143.41378415114458422496510369</v>
      </c>
      <c r="P30" s="5"/>
      <c r="Q30" s="272">
        <v>86.85162092157043399136343684</v>
      </c>
      <c r="R30" s="92">
        <v>-2.5659777758279061949892750200</v>
      </c>
      <c r="S30" s="273">
        <v>2.7227729371530327684804566400</v>
      </c>
      <c r="T30" s="272">
        <v>81.57158337249450539969063174</v>
      </c>
      <c r="U30" s="92">
        <v>-9.858761106170560448641945550</v>
      </c>
      <c r="V30" s="273">
        <v>-4.9161492361753920177245795800</v>
      </c>
      <c r="W30" s="272">
        <v>-100</v>
      </c>
      <c r="X30" s="92">
        <v>-100</v>
      </c>
      <c r="Y30" s="273">
        <v>19.218432230654673164042551590</v>
      </c>
      <c r="Z30" s="272">
        <v>84.75946982514273021582185234</v>
      </c>
      <c r="AA30" s="92">
        <v>-3.317286701045977819650463500</v>
      </c>
      <c r="AB30" s="273">
        <v>1.8688122552353278293275297100</v>
      </c>
    </row>
    <row r="31" ht="18" customHeight="1">
      <c r="A31" s="58"/>
      <c r="B31" s="426">
        <v>2020</v>
      </c>
      <c r="C31" s="427"/>
      <c r="D31" s="458">
        <v>86.5236462990561351217088922</v>
      </c>
      <c r="E31" s="459"/>
      <c r="F31" s="460">
        <v>55.194448496649100485088913686</v>
      </c>
      <c r="G31" s="458">
        <v>14.930178837555886736214605067</v>
      </c>
      <c r="H31" s="459"/>
      <c r="I31" s="460">
        <v>20.128477652413399069733723754</v>
      </c>
      <c r="J31" s="458">
        <v>0</v>
      </c>
      <c r="K31" s="459"/>
      <c r="L31" s="460">
        <v>4.8990438076855091895348678665</v>
      </c>
      <c r="M31" s="458">
        <v>101.45382513661202185792349727</v>
      </c>
      <c r="N31" s="459"/>
      <c r="O31" s="460">
        <v>80.2219699567480087443575053</v>
      </c>
      <c r="P31" s="93"/>
      <c r="Q31" s="431">
        <v>-26.764519675286746121069652930</v>
      </c>
      <c r="R31" s="432"/>
      <c r="S31" s="433">
        <v>-48.123252558701890015579315600</v>
      </c>
      <c r="T31" s="431">
        <v>11.052345659702911323255242750</v>
      </c>
      <c r="U31" s="432"/>
      <c r="V31" s="433">
        <v>-30.392537059251971493902548550</v>
      </c>
      <c r="W31" s="431">
        <v>0</v>
      </c>
      <c r="X31" s="432"/>
      <c r="Y31" s="433">
        <v>-39.527723748426513121142580810</v>
      </c>
      <c r="Z31" s="431">
        <v>-22.900812766138514581284091810</v>
      </c>
      <c r="AA31" s="432"/>
      <c r="AB31" s="433">
        <v>-44.062580573007104585390316320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87" t="s">
        <v>44</v>
      </c>
      <c r="C33" s="987"/>
      <c r="D33" s="987"/>
      <c r="E33" s="987"/>
      <c r="F33" s="987"/>
      <c r="G33" s="987"/>
      <c r="H33" s="987"/>
      <c r="I33" s="987"/>
      <c r="J33" s="987"/>
      <c r="K33" s="987"/>
      <c r="L33" s="987"/>
      <c r="M33" s="987"/>
      <c r="N33" s="987"/>
      <c r="O33" s="987"/>
      <c r="P33" s="412"/>
      <c r="Q33" s="986"/>
      <c r="R33" s="986"/>
      <c r="S33" s="986"/>
      <c r="T33" s="986"/>
      <c r="U33" s="986"/>
      <c r="V33" s="986"/>
      <c r="W33" s="986"/>
      <c r="X33" s="986"/>
      <c r="Y33" s="986"/>
      <c r="Z33" s="986"/>
      <c r="AA33" s="986"/>
      <c r="AB33" s="986"/>
      <c r="AC33" s="9"/>
    </row>
    <row r="34" ht="18" customHeight="1">
      <c r="A34" s="58"/>
      <c r="B34" s="285">
        <v>2018</v>
      </c>
      <c r="C34" s="286"/>
      <c r="D34" s="455">
        <v>82.8730237154150197628458498</v>
      </c>
      <c r="E34" s="456">
        <v>172.3144236976530757723850313</v>
      </c>
      <c r="F34" s="457">
        <v>103.57456880567488111610047004</v>
      </c>
      <c r="G34" s="455">
        <v>13.42210144927536231884057971</v>
      </c>
      <c r="H34" s="456">
        <v>19.29272398720519114983831178</v>
      </c>
      <c r="I34" s="457">
        <v>26.002007234743456689000156572</v>
      </c>
      <c r="J34" s="455">
        <v>0</v>
      </c>
      <c r="K34" s="456">
        <v>0</v>
      </c>
      <c r="L34" s="457">
        <v>6.1952464192325851630390747711</v>
      </c>
      <c r="M34" s="455">
        <v>96.29512516469038208168642951</v>
      </c>
      <c r="N34" s="456">
        <v>191.60714768485826692222334308</v>
      </c>
      <c r="O34" s="457">
        <v>135.77182245965092296813970137</v>
      </c>
      <c r="P34" s="5"/>
      <c r="Q34" s="428">
        <v>-27.073359722440950587571483920</v>
      </c>
      <c r="R34" s="429">
        <v>0.6214203434047696028764394800</v>
      </c>
      <c r="S34" s="430">
        <v>-2.3211462370601184631758174100</v>
      </c>
      <c r="T34" s="428">
        <v>38.158876181004475385380407750</v>
      </c>
      <c r="U34" s="429">
        <v>-15.273578361740250710148800150</v>
      </c>
      <c r="V34" s="430">
        <v>-2.4619714883793518133921515600</v>
      </c>
      <c r="W34" s="428">
        <v>-100</v>
      </c>
      <c r="X34" s="429">
        <v>0</v>
      </c>
      <c r="Y34" s="430">
        <v>-13.588902149173258661754965180</v>
      </c>
      <c r="Z34" s="428">
        <v>-23.293847492367481746500691100</v>
      </c>
      <c r="AA34" s="429">
        <v>-1.2440432519971876943649888600</v>
      </c>
      <c r="AB34" s="430">
        <v>-2.9255804849938546475417299400</v>
      </c>
    </row>
    <row r="35" ht="18" customHeight="1">
      <c r="A35" s="58"/>
      <c r="B35" s="287">
        <v>2019</v>
      </c>
      <c r="C35" s="288"/>
      <c r="D35" s="277">
        <v>137.76375164690382081686429513</v>
      </c>
      <c r="E35" s="94">
        <v>174.80140007732931106803765306</v>
      </c>
      <c r="F35" s="278">
        <v>109.75533364599578206946413879</v>
      </c>
      <c r="G35" s="277">
        <v>7.931241765480895915678524374</v>
      </c>
      <c r="H35" s="94">
        <v>14.844572887464394167511625666</v>
      </c>
      <c r="I35" s="278">
        <v>25.511009651527104389688448491</v>
      </c>
      <c r="J35" s="277">
        <v>0</v>
      </c>
      <c r="K35" s="94">
        <v>0</v>
      </c>
      <c r="L35" s="278">
        <v>7.7801626065805083287518709873</v>
      </c>
      <c r="M35" s="277">
        <v>145.6949934123847167325428195</v>
      </c>
      <c r="N35" s="94">
        <v>189.64597296479370523554927872</v>
      </c>
      <c r="O35" s="278">
        <v>143.04650590410339478790445827</v>
      </c>
      <c r="P35" s="5"/>
      <c r="Q35" s="272">
        <v>66.234735346429387625321687990</v>
      </c>
      <c r="R35" s="92">
        <v>1.4432781228110899805010007100</v>
      </c>
      <c r="S35" s="273">
        <v>5.9674540879983417591711811500</v>
      </c>
      <c r="T35" s="272">
        <v>-40.909090909090909090909090910</v>
      </c>
      <c r="U35" s="92">
        <v>-23.056107072753343750597820650</v>
      </c>
      <c r="V35" s="273">
        <v>-1.8883064633575263415029563700</v>
      </c>
      <c r="W35" s="272">
        <v>0</v>
      </c>
      <c r="X35" s="92">
        <v>0</v>
      </c>
      <c r="Y35" s="273">
        <v>25.582778796783505601157451690</v>
      </c>
      <c r="Z35" s="272">
        <v>51.300487084063047285464098080</v>
      </c>
      <c r="AA35" s="92">
        <v>-1.0235394366864442897413396200</v>
      </c>
      <c r="AB35" s="273">
        <v>5.358021504509438284959981500</v>
      </c>
    </row>
    <row r="36" ht="18" customHeight="1">
      <c r="A36" s="58"/>
      <c r="B36" s="426">
        <v>2020</v>
      </c>
      <c r="C36" s="427"/>
      <c r="D36" s="458">
        <v>79.189476284584980237154150198</v>
      </c>
      <c r="E36" s="459"/>
      <c r="F36" s="460">
        <v>47.055476418127735695404072833</v>
      </c>
      <c r="G36" s="458">
        <v>3.3302865612648221343873517787</v>
      </c>
      <c r="H36" s="459"/>
      <c r="I36" s="460">
        <v>2.3441324236057582135350180055</v>
      </c>
      <c r="J36" s="458">
        <v>0</v>
      </c>
      <c r="K36" s="459"/>
      <c r="L36" s="460">
        <v>3.6417717662551723171102477585</v>
      </c>
      <c r="M36" s="458">
        <v>82.51976284584980237154150198</v>
      </c>
      <c r="N36" s="459"/>
      <c r="O36" s="460">
        <v>53.0413806079886662260493386</v>
      </c>
      <c r="P36" s="93"/>
      <c r="Q36" s="431">
        <v>-42.517915389273061674127302820</v>
      </c>
      <c r="R36" s="432"/>
      <c r="S36" s="433">
        <v>-57.126934195380247305436444390</v>
      </c>
      <c r="T36" s="431">
        <v>-58.010527736536644621406397620</v>
      </c>
      <c r="U36" s="432"/>
      <c r="V36" s="433">
        <v>-90.81129106363911772495387603</v>
      </c>
      <c r="W36" s="431">
        <v>0</v>
      </c>
      <c r="X36" s="432"/>
      <c r="Y36" s="433">
        <v>-53.191572587763913151503052300</v>
      </c>
      <c r="Z36" s="431">
        <v>-43.361291343567020098116790630</v>
      </c>
      <c r="AA36" s="432"/>
      <c r="AB36" s="433">
        <v>-62.920184402443950219231017730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87" t="s">
        <v>45</v>
      </c>
      <c r="C38" s="987"/>
      <c r="D38" s="987"/>
      <c r="E38" s="987"/>
      <c r="F38" s="987"/>
      <c r="G38" s="987"/>
      <c r="H38" s="987"/>
      <c r="I38" s="987"/>
      <c r="J38" s="987"/>
      <c r="K38" s="987"/>
      <c r="L38" s="987"/>
      <c r="M38" s="987"/>
      <c r="N38" s="987"/>
      <c r="O38" s="987"/>
      <c r="P38" s="468"/>
      <c r="Q38" s="986"/>
      <c r="R38" s="986"/>
      <c r="S38" s="986"/>
      <c r="T38" s="986"/>
      <c r="U38" s="986"/>
      <c r="V38" s="986"/>
      <c r="W38" s="986"/>
      <c r="X38" s="986"/>
      <c r="Y38" s="986"/>
      <c r="Z38" s="986"/>
      <c r="AA38" s="986"/>
      <c r="AB38" s="986"/>
      <c r="AC38" s="9"/>
    </row>
    <row r="39" ht="18" customHeight="1">
      <c r="A39" s="58"/>
      <c r="B39" s="285">
        <v>2018</v>
      </c>
      <c r="C39" s="286"/>
      <c r="D39" s="455">
        <v>63.229013986201712705699175861</v>
      </c>
      <c r="E39" s="456">
        <v>177.40117602466496716521602384</v>
      </c>
      <c r="F39" s="457">
        <v>103.57523441580837737795914346</v>
      </c>
      <c r="G39" s="455">
        <v>7.4043918284072910794341091514</v>
      </c>
      <c r="H39" s="456">
        <v>17.581812998552080764962792695</v>
      </c>
      <c r="I39" s="457">
        <v>30.412236786189285572578059036</v>
      </c>
      <c r="J39" s="455">
        <v>0.5882258194410888298300716759</v>
      </c>
      <c r="K39" s="456">
        <v>0.188990425923385060428500749</v>
      </c>
      <c r="L39" s="457">
        <v>6.7953464005253724509173767038</v>
      </c>
      <c r="M39" s="455">
        <v>71.221631634050092614963356688</v>
      </c>
      <c r="N39" s="456">
        <v>195.17197944914043299060731727</v>
      </c>
      <c r="O39" s="457">
        <v>140.7828176025230354014545792</v>
      </c>
      <c r="P39" s="5"/>
      <c r="Q39" s="428">
        <v>-53.795614036637581605135984700</v>
      </c>
      <c r="R39" s="429">
        <v>6.0500106425748706015879064100</v>
      </c>
      <c r="S39" s="430">
        <v>2.8270800344586992099379558200</v>
      </c>
      <c r="T39" s="428">
        <v>-35.106625448441314702875174180</v>
      </c>
      <c r="U39" s="429">
        <v>11.256557129949397820503433970</v>
      </c>
      <c r="V39" s="430">
        <v>-5.2967224181089331675299243100</v>
      </c>
      <c r="W39" s="428">
        <v>6.6508967475913545259256254700</v>
      </c>
      <c r="X39" s="429">
        <v>1666.5650920697938817171258466</v>
      </c>
      <c r="Y39" s="430">
        <v>-4.7069509107580651919840814600</v>
      </c>
      <c r="Z39" s="428">
        <v>-52.138562415091744216081502640</v>
      </c>
      <c r="AA39" s="429">
        <v>6.5964135528885600264955505400</v>
      </c>
      <c r="AB39" s="430">
        <v>0.5794387524331868794437310500</v>
      </c>
    </row>
    <row r="40" ht="18" customHeight="1">
      <c r="A40" s="58"/>
      <c r="B40" s="287">
        <v>2019</v>
      </c>
      <c r="C40" s="288"/>
      <c r="D40" s="277">
        <v>118.14443752594437525944375259</v>
      </c>
      <c r="E40" s="94">
        <v>172.84910127381472026325350339</v>
      </c>
      <c r="F40" s="278">
        <v>106.3953528680748219756716795</v>
      </c>
      <c r="G40" s="277">
        <v>13.444271481942714819427148194</v>
      </c>
      <c r="H40" s="94">
        <v>15.848464056891188264223215285</v>
      </c>
      <c r="I40" s="278">
        <v>28.917125839721189420653430338</v>
      </c>
      <c r="J40" s="277">
        <v>0</v>
      </c>
      <c r="K40" s="94">
        <v>0</v>
      </c>
      <c r="L40" s="278">
        <v>8.101305443348572828639993855</v>
      </c>
      <c r="M40" s="277">
        <v>131.58870900788709007887090079</v>
      </c>
      <c r="N40" s="94">
        <v>188.69756533070590852747671869</v>
      </c>
      <c r="O40" s="278">
        <v>143.41378415114458422496510369</v>
      </c>
      <c r="P40" s="5"/>
      <c r="Q40" s="272">
        <v>86.85162092157043399136343684</v>
      </c>
      <c r="R40" s="92">
        <v>-2.5659777758279061949892750200</v>
      </c>
      <c r="S40" s="273">
        <v>2.7227729371530327684804566400</v>
      </c>
      <c r="T40" s="272">
        <v>81.57158337249450539969063174</v>
      </c>
      <c r="U40" s="92">
        <v>-9.858761106170560448641945550</v>
      </c>
      <c r="V40" s="273">
        <v>-4.9161492361753920177245795800</v>
      </c>
      <c r="W40" s="272">
        <v>-100</v>
      </c>
      <c r="X40" s="92">
        <v>-100</v>
      </c>
      <c r="Y40" s="273">
        <v>19.218432230654673164042551590</v>
      </c>
      <c r="Z40" s="272">
        <v>84.75946982514273021582185234</v>
      </c>
      <c r="AA40" s="92">
        <v>-3.317286701045977819650463500</v>
      </c>
      <c r="AB40" s="273">
        <v>1.8688122552353278293275297100</v>
      </c>
    </row>
    <row r="41" ht="18" customHeight="1">
      <c r="A41" s="58"/>
      <c r="B41" s="426">
        <v>2020</v>
      </c>
      <c r="C41" s="427"/>
      <c r="D41" s="458">
        <v>86.5236462990561351217088922</v>
      </c>
      <c r="E41" s="459"/>
      <c r="F41" s="460">
        <v>55.194448496649100485088913686</v>
      </c>
      <c r="G41" s="458">
        <v>14.930178837555886736214605067</v>
      </c>
      <c r="H41" s="459"/>
      <c r="I41" s="460">
        <v>20.128477652413399069733723754</v>
      </c>
      <c r="J41" s="458">
        <v>0</v>
      </c>
      <c r="K41" s="459"/>
      <c r="L41" s="460">
        <v>4.8990438076855091895348678665</v>
      </c>
      <c r="M41" s="458">
        <v>101.45382513661202185792349727</v>
      </c>
      <c r="N41" s="459"/>
      <c r="O41" s="460">
        <v>80.2219699567480087443575053</v>
      </c>
      <c r="P41" s="93"/>
      <c r="Q41" s="431">
        <v>-26.764519675286746121069652930</v>
      </c>
      <c r="R41" s="432"/>
      <c r="S41" s="433">
        <v>-48.123252558701890015579315600</v>
      </c>
      <c r="T41" s="431">
        <v>11.052345659702911323255242750</v>
      </c>
      <c r="U41" s="432"/>
      <c r="V41" s="433">
        <v>-30.392537059251971493902548550</v>
      </c>
      <c r="W41" s="431">
        <v>0</v>
      </c>
      <c r="X41" s="432"/>
      <c r="Y41" s="433">
        <v>-39.527723748426513121142580810</v>
      </c>
      <c r="Z41" s="431">
        <v>-22.900812766138514581284091810</v>
      </c>
      <c r="AA41" s="432"/>
      <c r="AB41" s="433">
        <v>-44.062580573007104585390316320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49" t="s">
        <v>129</v>
      </c>
      <c r="C43" s="1049"/>
      <c r="D43" s="1049"/>
      <c r="E43" s="1049"/>
      <c r="F43" s="1049"/>
      <c r="G43" s="1049"/>
      <c r="H43" s="1049"/>
      <c r="I43" s="1049"/>
      <c r="J43" s="1049"/>
      <c r="K43" s="1049"/>
      <c r="L43" s="1049"/>
      <c r="M43" s="1049"/>
      <c r="N43" s="1049"/>
      <c r="O43" s="1049"/>
      <c r="P43" s="1049"/>
      <c r="Q43" s="1049"/>
      <c r="R43" s="1049"/>
      <c r="S43" s="1049"/>
      <c r="T43" s="1049"/>
      <c r="U43" s="1049"/>
      <c r="V43" s="1049"/>
      <c r="W43" s="1049"/>
      <c r="X43" s="1049"/>
      <c r="Y43" s="1049"/>
      <c r="Z43" s="1049"/>
      <c r="AA43" s="1049"/>
      <c r="AB43" s="1049"/>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4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7" t="s">
        <v>150</v>
      </c>
      <c r="Y1" s="21"/>
      <c r="Z1" s="5"/>
      <c r="AB1" s="686"/>
      <c r="AD1" s="236"/>
    </row>
    <row r="2" ht="15" customHeight="1">
      <c r="A2" s="11"/>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row>
    <row r="3" ht="17.1" customHeight="1">
      <c r="A3" s="11"/>
      <c r="B3" s="1014" t="s">
        <v>212</v>
      </c>
      <c r="C3" s="1014"/>
      <c r="D3" s="1014"/>
      <c r="E3" s="1014"/>
      <c r="F3" s="1014"/>
      <c r="G3" s="1014"/>
      <c r="H3" s="1014"/>
      <c r="I3" s="1014"/>
      <c r="J3" s="1014"/>
      <c r="K3" s="1014"/>
      <c r="L3" s="1014"/>
      <c r="M3" s="1014"/>
      <c r="N3" s="1014"/>
      <c r="O3" s="1014"/>
      <c r="P3" s="1014"/>
      <c r="Q3" s="1014"/>
      <c r="R3" s="1014"/>
      <c r="S3" s="1014"/>
      <c r="T3" s="1014"/>
      <c r="U3" s="1014"/>
      <c r="V3" s="1014"/>
      <c r="W3" s="1014"/>
      <c r="X3" s="1014"/>
      <c r="Y3" s="1014"/>
      <c r="Z3" s="1014"/>
      <c r="AA3" s="1014"/>
      <c r="AB3" s="1014"/>
    </row>
    <row r="4" ht="19.5" customHeight="1">
      <c r="A4" s="4"/>
      <c r="B4" s="1014" t="s">
        <v>213</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row>
    <row r="5" ht="15" customHeight="1"/>
    <row r="6" ht="15.75" customHeight="1">
      <c r="D6" s="975" t="s">
        <v>54</v>
      </c>
      <c r="E6" s="975"/>
      <c r="F6" s="975"/>
      <c r="G6" s="975"/>
      <c r="H6" s="975"/>
      <c r="I6" s="975"/>
      <c r="J6" s="975"/>
      <c r="K6" s="975"/>
      <c r="L6" s="975"/>
      <c r="M6" s="975"/>
      <c r="N6" s="975"/>
      <c r="O6" s="975"/>
      <c r="Q6" s="975" t="s">
        <v>72</v>
      </c>
      <c r="R6" s="975"/>
      <c r="S6" s="975"/>
      <c r="T6" s="975"/>
      <c r="U6" s="975"/>
      <c r="V6" s="975"/>
      <c r="W6" s="975"/>
      <c r="X6" s="975"/>
      <c r="Y6" s="975"/>
      <c r="Z6" s="975"/>
      <c r="AA6" s="975"/>
      <c r="AB6" s="975"/>
    </row>
    <row r="7" ht="15.75" customHeight="1">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958" t="s">
        <v>42</v>
      </c>
      <c r="C8" s="958"/>
      <c r="D8" s="413" t="s">
        <v>53</v>
      </c>
      <c r="E8" s="414" t="s">
        <v>9</v>
      </c>
      <c r="F8" s="415" t="s">
        <v>10</v>
      </c>
      <c r="G8" s="413" t="s">
        <v>53</v>
      </c>
      <c r="H8" s="414" t="s">
        <v>9</v>
      </c>
      <c r="I8" s="415" t="s">
        <v>10</v>
      </c>
      <c r="J8" s="413" t="s">
        <v>53</v>
      </c>
      <c r="K8" s="414" t="s">
        <v>9</v>
      </c>
      <c r="L8" s="415" t="s">
        <v>10</v>
      </c>
      <c r="M8" s="413" t="s">
        <v>53</v>
      </c>
      <c r="N8" s="414" t="s">
        <v>9</v>
      </c>
      <c r="O8" s="415" t="s">
        <v>10</v>
      </c>
      <c r="P8" s="63"/>
      <c r="Q8" s="413" t="s">
        <v>53</v>
      </c>
      <c r="R8" s="414" t="s">
        <v>9</v>
      </c>
      <c r="S8" s="415" t="s">
        <v>10</v>
      </c>
      <c r="T8" s="413" t="s">
        <v>53</v>
      </c>
      <c r="U8" s="414" t="s">
        <v>9</v>
      </c>
      <c r="V8" s="415" t="s">
        <v>10</v>
      </c>
      <c r="W8" s="413" t="s">
        <v>53</v>
      </c>
      <c r="X8" s="414" t="s">
        <v>9</v>
      </c>
      <c r="Y8" s="415" t="s">
        <v>10</v>
      </c>
      <c r="Z8" s="413" t="s">
        <v>53</v>
      </c>
      <c r="AA8" s="414" t="s">
        <v>9</v>
      </c>
      <c r="AB8" s="415" t="s">
        <v>10</v>
      </c>
    </row>
    <row r="9" ht="18.95" customHeight="1">
      <c r="A9" s="57"/>
      <c r="B9" s="285">
        <v>2019</v>
      </c>
      <c r="C9" s="286" t="s">
        <v>221</v>
      </c>
      <c r="D9" s="416">
        <v>81.42764918175595793665608861</v>
      </c>
      <c r="E9" s="417">
        <v>84.31242690928588586069570780</v>
      </c>
      <c r="F9" s="418">
        <v>68.653627200317718733803493720</v>
      </c>
      <c r="G9" s="416">
        <v>72.672651277666951648142870670</v>
      </c>
      <c r="H9" s="417">
        <v>78.636044012932144180989345250</v>
      </c>
      <c r="I9" s="418">
        <v>57.146898044070878314867838750</v>
      </c>
      <c r="J9" s="416">
        <v>0</v>
      </c>
      <c r="K9" s="417">
        <v>0</v>
      </c>
      <c r="L9" s="418">
        <v>0</v>
      </c>
      <c r="M9" s="416">
        <v>81.15000286190265313438591100</v>
      </c>
      <c r="N9" s="417">
        <v>84.10786545163977842950955662</v>
      </c>
      <c r="O9" s="418">
        <v>68.253535221090913050725377290</v>
      </c>
      <c r="P9" s="5"/>
      <c r="Q9" s="416">
        <v>48.370933117356247779510679430</v>
      </c>
      <c r="R9" s="417">
        <v>14.397556499209559749271660200</v>
      </c>
      <c r="S9" s="418">
        <v>69.732722041332041284104916880</v>
      </c>
      <c r="T9" s="416">
        <v>63.247589821295762116925814190</v>
      </c>
      <c r="U9" s="417">
        <v>-18.371285210724491765782820160</v>
      </c>
      <c r="V9" s="418">
        <v>33.256909495591872994688038340</v>
      </c>
      <c r="W9" s="416">
        <v>0</v>
      </c>
      <c r="X9" s="417">
        <v>0</v>
      </c>
      <c r="Y9" s="418">
        <v>0</v>
      </c>
      <c r="Z9" s="416">
        <v>48.659315878644742120633908880</v>
      </c>
      <c r="AA9" s="417">
        <v>13.326927368169027719940098770</v>
      </c>
      <c r="AB9" s="418">
        <v>68.471034931808693377909915290</v>
      </c>
    </row>
    <row r="10" ht="18.95" customHeight="1">
      <c r="A10" s="58"/>
      <c r="B10" s="287"/>
      <c r="C10" s="288" t="s">
        <v>224</v>
      </c>
      <c r="D10" s="272">
        <v>93.21842128935997295092391827</v>
      </c>
      <c r="E10" s="92">
        <v>78.008495680685622166286110950</v>
      </c>
      <c r="F10" s="273">
        <v>72.718288145113700958492476390</v>
      </c>
      <c r="G10" s="272">
        <v>10.124500822175240779891942550</v>
      </c>
      <c r="H10" s="92">
        <v>85.01662956554492412410607563</v>
      </c>
      <c r="I10" s="273">
        <v>8.607509359349274676412900780</v>
      </c>
      <c r="J10" s="272">
        <v>0</v>
      </c>
      <c r="K10" s="92">
        <v>0</v>
      </c>
      <c r="L10" s="273">
        <v>0</v>
      </c>
      <c r="M10" s="272">
        <v>91.08037087741884789855269560</v>
      </c>
      <c r="N10" s="92">
        <v>78.128378630840151408228243250</v>
      </c>
      <c r="O10" s="273">
        <v>71.159617017483263675711189500</v>
      </c>
      <c r="P10" s="5"/>
      <c r="Q10" s="272">
        <v>65.500475520911825845306724500</v>
      </c>
      <c r="R10" s="92">
        <v>-1.9721706373699562582239684900</v>
      </c>
      <c r="S10" s="273">
        <v>62.236523737980750654744967920</v>
      </c>
      <c r="T10" s="272">
        <v>-10.227272727272727272727273510</v>
      </c>
      <c r="U10" s="92">
        <v>24.471367637698035472821962280</v>
      </c>
      <c r="V10" s="273">
        <v>11.741341402024372754010625280</v>
      </c>
      <c r="W10" s="272">
        <v>0</v>
      </c>
      <c r="X10" s="92">
        <v>0</v>
      </c>
      <c r="Y10" s="273">
        <v>0</v>
      </c>
      <c r="Z10" s="272">
        <v>64.557773725814053373596224670</v>
      </c>
      <c r="AA10" s="92">
        <v>-1.8292061749869969884126435200</v>
      </c>
      <c r="AB10" s="273">
        <v>61.547672767400332606654070180</v>
      </c>
    </row>
    <row r="11" ht="18.95" customHeight="1">
      <c r="A11" s="58"/>
      <c r="B11" s="289"/>
      <c r="C11" s="290" t="s">
        <v>226</v>
      </c>
      <c r="D11" s="421">
        <v>93.29642340516365957482083867</v>
      </c>
      <c r="E11" s="91">
        <v>82.20113309502268602371124951</v>
      </c>
      <c r="F11" s="422">
        <v>76.690717176174476158406631860</v>
      </c>
      <c r="G11" s="421">
        <v>15.459997704315886134067952220</v>
      </c>
      <c r="H11" s="91">
        <v>49.361047135340526259806781980</v>
      </c>
      <c r="I11" s="422">
        <v>7.6312167539499278358789324500</v>
      </c>
      <c r="J11" s="421">
        <v>0</v>
      </c>
      <c r="K11" s="91">
        <v>0</v>
      </c>
      <c r="L11" s="422">
        <v>0</v>
      </c>
      <c r="M11" s="421">
        <v>88.05370969550074027685967984</v>
      </c>
      <c r="N11" s="91">
        <v>80.33275651823359192743770781</v>
      </c>
      <c r="O11" s="422">
        <v>70.735972214958855245155369680</v>
      </c>
      <c r="P11" s="5"/>
      <c r="Q11" s="421">
        <v>75.180494686287233827719828350</v>
      </c>
      <c r="R11" s="91">
        <v>2.0079356255753420390172764200</v>
      </c>
      <c r="S11" s="422">
        <v>78.698006248152314215662302480</v>
      </c>
      <c r="T11" s="421">
        <v>-87.00237670825906120023767083</v>
      </c>
      <c r="U11" s="91">
        <v>-44.270643600066466427344529680</v>
      </c>
      <c r="V11" s="422">
        <v>-92.75650819222491950741628988</v>
      </c>
      <c r="W11" s="421">
        <v>0</v>
      </c>
      <c r="X11" s="91">
        <v>0</v>
      </c>
      <c r="Y11" s="422">
        <v>0</v>
      </c>
      <c r="Z11" s="421">
        <v>55.813524967753823475216510010</v>
      </c>
      <c r="AA11" s="91">
        <v>-1.4564051463505156275774900400</v>
      </c>
      <c r="AB11" s="422">
        <v>53.544248771413311194620369300</v>
      </c>
    </row>
    <row r="12" ht="18.95" customHeight="1">
      <c r="A12" s="58"/>
      <c r="B12" s="287"/>
      <c r="C12" s="288" t="s">
        <v>228</v>
      </c>
      <c r="D12" s="272">
        <v>85.91608561648161481425341367</v>
      </c>
      <c r="E12" s="92">
        <v>85.15034921505072948986953862</v>
      </c>
      <c r="F12" s="273">
        <v>73.157846934336065402557072500</v>
      </c>
      <c r="G12" s="272">
        <v>108.31259454447860244961694225</v>
      </c>
      <c r="H12" s="92">
        <v>50.015708835885674496049567260</v>
      </c>
      <c r="I12" s="273">
        <v>54.173311919959809395967609410</v>
      </c>
      <c r="J12" s="272">
        <v>0</v>
      </c>
      <c r="K12" s="92">
        <v>0</v>
      </c>
      <c r="L12" s="273">
        <v>0</v>
      </c>
      <c r="M12" s="272">
        <v>87.27736897209345090327766261</v>
      </c>
      <c r="N12" s="92">
        <v>81.89442574279328921147544690</v>
      </c>
      <c r="O12" s="273">
        <v>71.475300123114781804945190130</v>
      </c>
      <c r="P12" s="5"/>
      <c r="Q12" s="272">
        <v>58.841398292106057081795131050</v>
      </c>
      <c r="R12" s="92">
        <v>1.7737806318463365769853266800</v>
      </c>
      <c r="S12" s="273">
        <v>61.658896250365331977430856430</v>
      </c>
      <c r="T12" s="272">
        <v>-28.612574156310601627135759230</v>
      </c>
      <c r="U12" s="92">
        <v>-29.802716970254261181077487100</v>
      </c>
      <c r="V12" s="273">
        <v>-49.887966632855498142187254040</v>
      </c>
      <c r="W12" s="272">
        <v>0</v>
      </c>
      <c r="X12" s="92">
        <v>0</v>
      </c>
      <c r="Y12" s="273">
        <v>0</v>
      </c>
      <c r="Z12" s="272">
        <v>37.968926096116623470790847710</v>
      </c>
      <c r="AA12" s="92">
        <v>-0.4247663260947593147843403200</v>
      </c>
      <c r="AB12" s="273">
        <v>37.382880557585755251614722720</v>
      </c>
    </row>
    <row r="13" ht="18.95" customHeight="1">
      <c r="A13" s="58"/>
      <c r="B13" s="289"/>
      <c r="C13" s="290" t="s">
        <v>229</v>
      </c>
      <c r="D13" s="421">
        <v>91.80496300612074852306400788</v>
      </c>
      <c r="E13" s="91">
        <v>84.00152955608153858775565038</v>
      </c>
      <c r="F13" s="422">
        <v>77.117573133536243129974834180</v>
      </c>
      <c r="G13" s="421">
        <v>65.356165396848879354981877330</v>
      </c>
      <c r="H13" s="91">
        <v>66.861301015437225305626899050</v>
      </c>
      <c r="I13" s="422">
        <v>43.697982478134152244091017570</v>
      </c>
      <c r="J13" s="421">
        <v>0</v>
      </c>
      <c r="K13" s="91">
        <v>0</v>
      </c>
      <c r="L13" s="422">
        <v>0</v>
      </c>
      <c r="M13" s="421">
        <v>88.82362096615054516549517926</v>
      </c>
      <c r="N13" s="91">
        <v>82.03805783978153153006345725</v>
      </c>
      <c r="O13" s="422">
        <v>72.869173543598899458677275600</v>
      </c>
      <c r="P13" s="5"/>
      <c r="Q13" s="421">
        <v>61.889419618665770487899155230</v>
      </c>
      <c r="R13" s="91">
        <v>0.7117828488176140386755958200</v>
      </c>
      <c r="S13" s="422">
        <v>63.041720741561811070611722850</v>
      </c>
      <c r="T13" s="421">
        <v>20.468312087514691257571648150</v>
      </c>
      <c r="U13" s="91">
        <v>-19.458814090915817714917703750</v>
      </c>
      <c r="V13" s="422">
        <v>-2.9733928000590607586365068600</v>
      </c>
      <c r="W13" s="421">
        <v>0</v>
      </c>
      <c r="X13" s="91">
        <v>0</v>
      </c>
      <c r="Y13" s="422">
        <v>0</v>
      </c>
      <c r="Z13" s="421">
        <v>57.488472334448593309762847530</v>
      </c>
      <c r="AA13" s="91">
        <v>-1.5051995894487846776794617500</v>
      </c>
      <c r="AB13" s="422">
        <v>55.117956495441310244899552240</v>
      </c>
    </row>
    <row r="14" ht="18.95" customHeight="1">
      <c r="A14" s="58"/>
      <c r="B14" s="287"/>
      <c r="C14" s="288" t="s">
        <v>230</v>
      </c>
      <c r="D14" s="272">
        <v>110.09433846512498197891456319</v>
      </c>
      <c r="E14" s="92">
        <v>75.017302522212099504929644760</v>
      </c>
      <c r="F14" s="273">
        <v>82.58980294621092874336041767</v>
      </c>
      <c r="G14" s="272">
        <v>92.60282381829343155310006143</v>
      </c>
      <c r="H14" s="92">
        <v>77.875170575175505485599107130</v>
      </c>
      <c r="I14" s="273">
        <v>72.114607005925260911618326030</v>
      </c>
      <c r="J14" s="272">
        <v>0</v>
      </c>
      <c r="K14" s="92">
        <v>0</v>
      </c>
      <c r="L14" s="273">
        <v>0</v>
      </c>
      <c r="M14" s="272">
        <v>109.18300739112483499357419911</v>
      </c>
      <c r="N14" s="92">
        <v>75.248293682549159811318822090</v>
      </c>
      <c r="O14" s="273">
        <v>82.15835005311297143658393589</v>
      </c>
      <c r="P14" s="5"/>
      <c r="Q14" s="272">
        <v>77.260277934435237806024322880</v>
      </c>
      <c r="R14" s="92">
        <v>-6.661792013167455932053493600</v>
      </c>
      <c r="S14" s="273">
        <v>65.451566896480596906629316310</v>
      </c>
      <c r="T14" s="272">
        <v>-25.206218681742258769112167490</v>
      </c>
      <c r="U14" s="92">
        <v>38.738172587354465130283193700</v>
      </c>
      <c r="V14" s="273">
        <v>3.7675254099329066447905084300</v>
      </c>
      <c r="W14" s="272">
        <v>0</v>
      </c>
      <c r="X14" s="92">
        <v>0</v>
      </c>
      <c r="Y14" s="273">
        <v>0</v>
      </c>
      <c r="Z14" s="272">
        <v>66.693620981999245371876845450</v>
      </c>
      <c r="AA14" s="92">
        <v>-3.9737558116020386821414271500</v>
      </c>
      <c r="AB14" s="273">
        <v>60.069623530657175015961886980</v>
      </c>
    </row>
    <row r="15" ht="18.95" customHeight="1">
      <c r="A15" s="58"/>
      <c r="B15" s="289">
        <v>2020</v>
      </c>
      <c r="C15" s="290" t="s">
        <v>232</v>
      </c>
      <c r="D15" s="421">
        <v>91.66227355882528296321399770</v>
      </c>
      <c r="E15" s="91">
        <v>88.85789269096844757411132759</v>
      </c>
      <c r="F15" s="422">
        <v>81.44916467700291502469727857</v>
      </c>
      <c r="G15" s="421">
        <v>135.71534415055197451285470842</v>
      </c>
      <c r="H15" s="91">
        <v>103.38625089874428905132196971</v>
      </c>
      <c r="I15" s="422">
        <v>140.31100621158394566922947174</v>
      </c>
      <c r="J15" s="421">
        <v>0</v>
      </c>
      <c r="K15" s="91">
        <v>0</v>
      </c>
      <c r="L15" s="422">
        <v>0</v>
      </c>
      <c r="M15" s="421">
        <v>99.36083187023197277854601389</v>
      </c>
      <c r="N15" s="91">
        <v>94.40759883450763312777822907</v>
      </c>
      <c r="O15" s="422">
        <v>93.80417555067820882458313004</v>
      </c>
      <c r="P15" s="5"/>
      <c r="Q15" s="421">
        <v>17.091759436587022793919345640</v>
      </c>
      <c r="R15" s="91">
        <v>4.9877758794669546095395900600</v>
      </c>
      <c r="S15" s="422">
        <v>22.932033970608581985758837690</v>
      </c>
      <c r="T15" s="421">
        <v>20.238397050545502984260122570</v>
      </c>
      <c r="U15" s="91">
        <v>59.368953555868693679378073720</v>
      </c>
      <c r="V15" s="422">
        <v>91.62267515180485588049025478</v>
      </c>
      <c r="W15" s="421">
        <v>0</v>
      </c>
      <c r="X15" s="91">
        <v>0</v>
      </c>
      <c r="Y15" s="422">
        <v>0</v>
      </c>
      <c r="Z15" s="421">
        <v>19.144091276546185260264212480</v>
      </c>
      <c r="AA15" s="91">
        <v>16.582899319620041851881933650</v>
      </c>
      <c r="AB15" s="422">
        <v>38.901635978212044252468043290</v>
      </c>
    </row>
    <row r="16" ht="18.95" customHeight="1">
      <c r="A16" s="58"/>
      <c r="B16" s="287"/>
      <c r="C16" s="288" t="s">
        <v>233</v>
      </c>
      <c r="D16" s="272">
        <v>92.50367573763958646605416239</v>
      </c>
      <c r="E16" s="92">
        <v>89.66578972512587074947977892</v>
      </c>
      <c r="F16" s="273">
        <v>82.94415137492418934895899511</v>
      </c>
      <c r="G16" s="272">
        <v>123.53503184713380208143767066</v>
      </c>
      <c r="H16" s="92">
        <v>82.66103170003358032120928140</v>
      </c>
      <c r="I16" s="273">
        <v>102.11533183580585114045270832</v>
      </c>
      <c r="J16" s="272">
        <v>0</v>
      </c>
      <c r="K16" s="92">
        <v>0</v>
      </c>
      <c r="L16" s="273">
        <v>0</v>
      </c>
      <c r="M16" s="272">
        <v>96.81587516160010324036396128</v>
      </c>
      <c r="N16" s="92">
        <v>88.80760502009851810296131965</v>
      </c>
      <c r="O16" s="273">
        <v>85.97986001026548756118925584</v>
      </c>
      <c r="P16" s="5"/>
      <c r="Q16" s="272">
        <v>31.720889562240656099718764980</v>
      </c>
      <c r="R16" s="92">
        <v>12.652480418100148486356120840</v>
      </c>
      <c r="S16" s="273">
        <v>48.386849320650477511881805880</v>
      </c>
      <c r="T16" s="272">
        <v>-19.278790995766873888882609180</v>
      </c>
      <c r="U16" s="92">
        <v>-2.3353014933006384726745658500</v>
      </c>
      <c r="V16" s="273">
        <v>-21.163874595053059526030877120</v>
      </c>
      <c r="W16" s="272">
        <v>0</v>
      </c>
      <c r="X16" s="92">
        <v>0</v>
      </c>
      <c r="Y16" s="273">
        <v>0</v>
      </c>
      <c r="Z16" s="272">
        <v>19.629072398836061122914209460</v>
      </c>
      <c r="AA16" s="92">
        <v>8.909388269190403632374134400</v>
      </c>
      <c r="AB16" s="273">
        <v>30.287290941679256144363664600</v>
      </c>
    </row>
    <row r="17" ht="18.95" customHeight="1">
      <c r="A17" s="58"/>
      <c r="B17" s="289"/>
      <c r="C17" s="290" t="s">
        <v>234</v>
      </c>
      <c r="D17" s="421">
        <v>102.54665961261499573817711548</v>
      </c>
      <c r="E17" s="91">
        <v>77.584261194357571196955325230</v>
      </c>
      <c r="F17" s="422">
        <v>79.56006823994000418533383217</v>
      </c>
      <c r="G17" s="421">
        <v>4.0310512532734754956977177800</v>
      </c>
      <c r="H17" s="91">
        <v>108.19907345104617377600185675</v>
      </c>
      <c r="I17" s="422">
        <v>4.3615601063786850820666666900</v>
      </c>
      <c r="J17" s="421">
        <v>0</v>
      </c>
      <c r="K17" s="91">
        <v>0</v>
      </c>
      <c r="L17" s="422">
        <v>0</v>
      </c>
      <c r="M17" s="421">
        <v>95.37061260082842816655766296</v>
      </c>
      <c r="N17" s="91">
        <v>77.122857051024944131285159970</v>
      </c>
      <c r="O17" s="422">
        <v>73.552541224823691267479098540</v>
      </c>
      <c r="P17" s="5"/>
      <c r="Q17" s="421">
        <v>31.255389574815444993258589140</v>
      </c>
      <c r="R17" s="91">
        <v>-3.3354404212046639418060313300</v>
      </c>
      <c r="S17" s="422">
        <v>26.877444255927398150665741460</v>
      </c>
      <c r="T17" s="421">
        <v>-97.60589318600368324125230211</v>
      </c>
      <c r="U17" s="91">
        <v>35.765435155713581793990526070</v>
      </c>
      <c r="V17" s="422">
        <v>-96.74963046588531019646063197</v>
      </c>
      <c r="W17" s="421">
        <v>0</v>
      </c>
      <c r="X17" s="91">
        <v>0</v>
      </c>
      <c r="Y17" s="422">
        <v>0</v>
      </c>
      <c r="Z17" s="421">
        <v>14.235418149106252543449858050</v>
      </c>
      <c r="AA17" s="91">
        <v>-4.033768087937356161016075600</v>
      </c>
      <c r="AB17" s="422">
        <v>9.627426306685805722547428200</v>
      </c>
    </row>
    <row r="18" ht="18.95" customHeight="1">
      <c r="A18" s="58"/>
      <c r="B18" s="287"/>
      <c r="C18" s="288" t="s">
        <v>235</v>
      </c>
      <c r="D18" s="272"/>
      <c r="E18" s="92"/>
      <c r="F18" s="273"/>
      <c r="G18" s="272"/>
      <c r="H18" s="92"/>
      <c r="I18" s="273"/>
      <c r="J18" s="272"/>
      <c r="K18" s="92"/>
      <c r="L18" s="273"/>
      <c r="M18" s="272"/>
      <c r="N18" s="92"/>
      <c r="O18" s="273"/>
      <c r="P18" s="5"/>
      <c r="Q18" s="272"/>
      <c r="R18" s="92"/>
      <c r="S18" s="273"/>
      <c r="T18" s="272"/>
      <c r="U18" s="92"/>
      <c r="V18" s="273"/>
      <c r="W18" s="272"/>
      <c r="X18" s="92"/>
      <c r="Y18" s="273"/>
      <c r="Z18" s="272"/>
      <c r="AA18" s="92"/>
      <c r="AB18" s="273"/>
    </row>
    <row r="19" ht="18.95" customHeight="1">
      <c r="A19" s="58"/>
      <c r="B19" s="289"/>
      <c r="C19" s="290" t="s">
        <v>236</v>
      </c>
      <c r="D19" s="421"/>
      <c r="E19" s="91"/>
      <c r="F19" s="422"/>
      <c r="G19" s="421"/>
      <c r="H19" s="91"/>
      <c r="I19" s="422"/>
      <c r="J19" s="421"/>
      <c r="K19" s="91"/>
      <c r="L19" s="422"/>
      <c r="M19" s="421"/>
      <c r="N19" s="91"/>
      <c r="O19" s="422"/>
      <c r="P19" s="5"/>
      <c r="Q19" s="421"/>
      <c r="R19" s="91"/>
      <c r="S19" s="422"/>
      <c r="T19" s="421"/>
      <c r="U19" s="91"/>
      <c r="V19" s="422"/>
      <c r="W19" s="421"/>
      <c r="X19" s="91"/>
      <c r="Y19" s="422"/>
      <c r="Z19" s="421"/>
      <c r="AA19" s="91"/>
      <c r="AB19" s="422"/>
    </row>
    <row r="20" ht="18.95" customHeight="1">
      <c r="A20" s="58"/>
      <c r="B20" s="287"/>
      <c r="C20" s="288" t="s">
        <v>237</v>
      </c>
      <c r="D20" s="272"/>
      <c r="E20" s="92"/>
      <c r="F20" s="273"/>
      <c r="G20" s="272"/>
      <c r="H20" s="92"/>
      <c r="I20" s="273"/>
      <c r="J20" s="272"/>
      <c r="K20" s="92"/>
      <c r="L20" s="273"/>
      <c r="M20" s="272"/>
      <c r="N20" s="92"/>
      <c r="O20" s="273"/>
      <c r="P20" s="5"/>
      <c r="Q20" s="272"/>
      <c r="R20" s="92"/>
      <c r="S20" s="273"/>
      <c r="T20" s="272"/>
      <c r="U20" s="92"/>
      <c r="V20" s="273"/>
      <c r="W20" s="272"/>
      <c r="X20" s="92"/>
      <c r="Y20" s="273"/>
      <c r="Z20" s="272"/>
      <c r="AA20" s="92"/>
      <c r="AB20" s="273"/>
    </row>
    <row r="21" ht="18.95" customHeight="1">
      <c r="A21" s="58"/>
      <c r="B21" s="289"/>
      <c r="C21" s="290" t="s">
        <v>221</v>
      </c>
      <c r="D21" s="421"/>
      <c r="E21" s="91"/>
      <c r="F21" s="422"/>
      <c r="G21" s="421"/>
      <c r="H21" s="91"/>
      <c r="I21" s="422"/>
      <c r="J21" s="421"/>
      <c r="K21" s="91"/>
      <c r="L21" s="422"/>
      <c r="M21" s="421"/>
      <c r="N21" s="91"/>
      <c r="O21" s="422"/>
      <c r="P21" s="5"/>
      <c r="Q21" s="421"/>
      <c r="R21" s="91"/>
      <c r="S21" s="422"/>
      <c r="T21" s="421"/>
      <c r="U21" s="91"/>
      <c r="V21" s="422"/>
      <c r="W21" s="421"/>
      <c r="X21" s="91"/>
      <c r="Y21" s="422"/>
      <c r="Z21" s="421"/>
      <c r="AA21" s="91"/>
      <c r="AB21" s="422"/>
    </row>
    <row r="22" ht="18.95" customHeight="1">
      <c r="A22" s="58"/>
      <c r="B22" s="287"/>
      <c r="C22" s="288" t="s">
        <v>224</v>
      </c>
      <c r="D22" s="272"/>
      <c r="E22" s="92"/>
      <c r="F22" s="273"/>
      <c r="G22" s="272"/>
      <c r="H22" s="92"/>
      <c r="I22" s="273"/>
      <c r="J22" s="272"/>
      <c r="K22" s="92"/>
      <c r="L22" s="273"/>
      <c r="M22" s="272"/>
      <c r="N22" s="92"/>
      <c r="O22" s="273"/>
      <c r="P22" s="5"/>
      <c r="Q22" s="272"/>
      <c r="R22" s="92"/>
      <c r="S22" s="273"/>
      <c r="T22" s="272"/>
      <c r="U22" s="92"/>
      <c r="V22" s="273"/>
      <c r="W22" s="272"/>
      <c r="X22" s="92"/>
      <c r="Y22" s="273"/>
      <c r="Z22" s="272"/>
      <c r="AA22" s="92"/>
      <c r="AB22" s="273"/>
    </row>
    <row r="23" ht="18.95" customHeight="1">
      <c r="A23" s="58"/>
      <c r="B23" s="289"/>
      <c r="C23" s="290" t="s">
        <v>226</v>
      </c>
      <c r="D23" s="421"/>
      <c r="E23" s="91"/>
      <c r="F23" s="422"/>
      <c r="G23" s="421"/>
      <c r="H23" s="91"/>
      <c r="I23" s="422"/>
      <c r="J23" s="421"/>
      <c r="K23" s="91"/>
      <c r="L23" s="422"/>
      <c r="M23" s="421"/>
      <c r="N23" s="91"/>
      <c r="O23" s="422"/>
      <c r="P23" s="5"/>
      <c r="Q23" s="421"/>
      <c r="R23" s="91"/>
      <c r="S23" s="422"/>
      <c r="T23" s="421"/>
      <c r="U23" s="91"/>
      <c r="V23" s="422"/>
      <c r="W23" s="421"/>
      <c r="X23" s="91"/>
      <c r="Y23" s="422"/>
      <c r="Z23" s="421"/>
      <c r="AA23" s="91"/>
      <c r="AB23" s="422"/>
    </row>
    <row r="24" ht="18.95" customHeight="1">
      <c r="A24" s="59"/>
      <c r="B24" s="287"/>
      <c r="C24" s="288" t="s">
        <v>228</v>
      </c>
      <c r="D24" s="272"/>
      <c r="E24" s="92"/>
      <c r="F24" s="273"/>
      <c r="G24" s="272"/>
      <c r="H24" s="92"/>
      <c r="I24" s="273"/>
      <c r="J24" s="272"/>
      <c r="K24" s="92"/>
      <c r="L24" s="273"/>
      <c r="M24" s="272"/>
      <c r="N24" s="92"/>
      <c r="O24" s="273"/>
      <c r="P24" s="93"/>
      <c r="Q24" s="272"/>
      <c r="R24" s="92"/>
      <c r="S24" s="273"/>
      <c r="T24" s="272"/>
      <c r="U24" s="92"/>
      <c r="V24" s="273"/>
      <c r="W24" s="272"/>
      <c r="X24" s="92"/>
      <c r="Y24" s="273"/>
      <c r="Z24" s="272"/>
      <c r="AA24" s="92"/>
      <c r="AB24" s="273"/>
    </row>
    <row r="25" ht="18.95" customHeight="1">
      <c r="A25" s="60"/>
      <c r="B25" s="289"/>
      <c r="C25" s="290" t="s">
        <v>229</v>
      </c>
      <c r="D25" s="421"/>
      <c r="E25" s="91"/>
      <c r="F25" s="422"/>
      <c r="G25" s="421"/>
      <c r="H25" s="91"/>
      <c r="I25" s="422"/>
      <c r="J25" s="421"/>
      <c r="K25" s="91"/>
      <c r="L25" s="422"/>
      <c r="M25" s="421"/>
      <c r="N25" s="91"/>
      <c r="O25" s="422"/>
      <c r="P25" s="93"/>
      <c r="Q25" s="421"/>
      <c r="R25" s="91"/>
      <c r="S25" s="422"/>
      <c r="T25" s="421"/>
      <c r="U25" s="91"/>
      <c r="V25" s="422"/>
      <c r="W25" s="421"/>
      <c r="X25" s="91"/>
      <c r="Y25" s="422"/>
      <c r="Z25" s="421"/>
      <c r="AA25" s="91"/>
      <c r="AB25" s="422"/>
    </row>
    <row r="26" ht="18.95" customHeight="1">
      <c r="A26" s="60"/>
      <c r="B26" s="291"/>
      <c r="C26" s="292" t="s">
        <v>230</v>
      </c>
      <c r="D26" s="274">
        <v>139.71462025095243088322673097</v>
      </c>
      <c r="E26" s="275">
        <v>71.661848464485428891669271670</v>
      </c>
      <c r="F26" s="276">
        <v>100.12207944696880266884640692</v>
      </c>
      <c r="G26" s="274">
        <v>0</v>
      </c>
      <c r="H26" s="275">
        <v>0</v>
      </c>
      <c r="I26" s="276">
        <v>0</v>
      </c>
      <c r="J26" s="274">
        <v>0</v>
      </c>
      <c r="K26" s="275">
        <v>0</v>
      </c>
      <c r="L26" s="276">
        <v>0</v>
      </c>
      <c r="M26" s="274">
        <v>145.05592254727202824088637237</v>
      </c>
      <c r="N26" s="275">
        <v>73.216879638393756760550008220</v>
      </c>
      <c r="O26" s="276">
        <v>106.20542021979783207117921127</v>
      </c>
      <c r="P26" s="184"/>
      <c r="Q26" s="274">
        <v>26.904455032635835715947140390</v>
      </c>
      <c r="R26" s="275">
        <v>-4.4729068427022473843238271500</v>
      </c>
      <c r="S26" s="276">
        <v>21.228136979787070871207568480</v>
      </c>
      <c r="T26" s="274">
        <v>-100</v>
      </c>
      <c r="U26" s="275">
        <v>-100</v>
      </c>
      <c r="V26" s="276">
        <v>-100</v>
      </c>
      <c r="W26" s="274">
        <v>0</v>
      </c>
      <c r="X26" s="275">
        <v>0</v>
      </c>
      <c r="Y26" s="276">
        <v>0</v>
      </c>
      <c r="Z26" s="274">
        <v>32.855767589951178460621986840</v>
      </c>
      <c r="AA26" s="275">
        <v>-2.6996147616653645244544367700</v>
      </c>
      <c r="AB26" s="276">
        <v>29.269173676369027347970412740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88" t="s">
        <v>61</v>
      </c>
      <c r="C28" s="988"/>
      <c r="D28" s="988"/>
      <c r="E28" s="988"/>
      <c r="F28" s="988"/>
      <c r="G28" s="988"/>
      <c r="H28" s="988"/>
      <c r="I28" s="988"/>
      <c r="J28" s="988"/>
      <c r="K28" s="988"/>
      <c r="L28" s="988"/>
      <c r="M28" s="988"/>
      <c r="N28" s="988"/>
      <c r="O28" s="988"/>
      <c r="P28" s="412"/>
      <c r="Q28" s="986"/>
      <c r="R28" s="986"/>
      <c r="S28" s="986"/>
      <c r="T28" s="986"/>
      <c r="U28" s="986"/>
      <c r="V28" s="986"/>
      <c r="W28" s="986"/>
      <c r="X28" s="986"/>
      <c r="Y28" s="986"/>
      <c r="Z28" s="986"/>
      <c r="AA28" s="986"/>
      <c r="AB28" s="986"/>
      <c r="AC28" s="9"/>
    </row>
    <row r="29" ht="18.95" customHeight="1">
      <c r="A29" s="58"/>
      <c r="B29" s="285">
        <v>2018</v>
      </c>
      <c r="C29" s="286"/>
      <c r="D29" s="428">
        <v>47.380758515991432542844162330</v>
      </c>
      <c r="E29" s="429">
        <v>75.224256814014788941362480700</v>
      </c>
      <c r="F29" s="430">
        <v>35.641823466497577586860691800</v>
      </c>
      <c r="G29" s="428">
        <v>63.352427485835574000789314930</v>
      </c>
      <c r="H29" s="429">
        <v>66.475632130496059251678204360</v>
      </c>
      <c r="I29" s="430">
        <v>42.113926641223329607144841300</v>
      </c>
      <c r="J29" s="428">
        <v>608.69968591447209470886685694</v>
      </c>
      <c r="K29" s="429">
        <v>51.132991546948644081154702340</v>
      </c>
      <c r="L29" s="430">
        <v>311.24635894494996252044891597</v>
      </c>
      <c r="M29" s="428">
        <v>49.161808541185660574899797760</v>
      </c>
      <c r="N29" s="429">
        <v>74.227802047960228840474327970</v>
      </c>
      <c r="O29" s="430">
        <v>36.491729927148496462397180250</v>
      </c>
      <c r="P29" s="5"/>
      <c r="Q29" s="428">
        <v>-42.351149652484535736381403060</v>
      </c>
      <c r="R29" s="429">
        <v>-24.424359633920736998500217060</v>
      </c>
      <c r="S29" s="430">
        <v>-56.431512186182477302776800210</v>
      </c>
      <c r="T29" s="428">
        <v>3.5535560489639654612607182400</v>
      </c>
      <c r="U29" s="429">
        <v>-43.673894402766972358676261940</v>
      </c>
      <c r="V29" s="430">
        <v>-41.672314670170667380643923880</v>
      </c>
      <c r="W29" s="428">
        <v>-52.271093199054677221585386250</v>
      </c>
      <c r="X29" s="429">
        <v>-87.35108192212613133865394362</v>
      </c>
      <c r="Y29" s="430">
        <v>-93.96280967928365670125858627</v>
      </c>
      <c r="Z29" s="428">
        <v>-38.979528103433894376125106200</v>
      </c>
      <c r="AA29" s="429">
        <v>-26.418678366680483369811838420</v>
      </c>
      <c r="AB29" s="430">
        <v>-55.100330311618348182905290970</v>
      </c>
    </row>
    <row r="30" ht="18.95" customHeight="1">
      <c r="A30" s="58"/>
      <c r="B30" s="287">
        <v>2019</v>
      </c>
      <c r="C30" s="288"/>
      <c r="D30" s="272">
        <v>83.98784480584321630968326573</v>
      </c>
      <c r="E30" s="92">
        <v>81.38225438634887714300655867</v>
      </c>
      <c r="F30" s="273">
        <v>68.351201513503228482902085060</v>
      </c>
      <c r="G30" s="272">
        <v>113.39305339974908103465184156</v>
      </c>
      <c r="H30" s="92">
        <v>74.810687258009435446899692290</v>
      </c>
      <c r="I30" s="273">
        <v>84.83012255119392071090385278</v>
      </c>
      <c r="J30" s="272">
        <v>0</v>
      </c>
      <c r="K30" s="92">
        <v>0</v>
      </c>
      <c r="L30" s="273">
        <v>0</v>
      </c>
      <c r="M30" s="272">
        <v>86.12213991527129385545066737</v>
      </c>
      <c r="N30" s="92">
        <v>80.97249419468505789502135485</v>
      </c>
      <c r="O30" s="273">
        <v>69.735244743231591455304373950</v>
      </c>
      <c r="P30" s="5"/>
      <c r="Q30" s="272">
        <v>77.261503269299841601188554480</v>
      </c>
      <c r="R30" s="92">
        <v>8.186185989925009817855326390</v>
      </c>
      <c r="S30" s="273">
        <v>91.77245961546172848126320910</v>
      </c>
      <c r="T30" s="272">
        <v>78.987700866082300432002627620</v>
      </c>
      <c r="U30" s="92">
        <v>12.538512023700823356585862300</v>
      </c>
      <c r="V30" s="273">
        <v>101.43009526012169241382979833</v>
      </c>
      <c r="W30" s="272">
        <v>-100</v>
      </c>
      <c r="X30" s="92">
        <v>-100</v>
      </c>
      <c r="Y30" s="273">
        <v>-100</v>
      </c>
      <c r="Z30" s="272">
        <v>75.180983919909798327347585790</v>
      </c>
      <c r="AA30" s="92">
        <v>9.086476981181436439186743700</v>
      </c>
      <c r="AB30" s="273">
        <v>91.09876369919955576768213360</v>
      </c>
    </row>
    <row r="31" ht="18.95" customHeight="1">
      <c r="A31" s="58"/>
      <c r="B31" s="426">
        <v>2020</v>
      </c>
      <c r="C31" s="427"/>
      <c r="D31" s="431"/>
      <c r="E31" s="432"/>
      <c r="F31" s="433"/>
      <c r="G31" s="431"/>
      <c r="H31" s="432"/>
      <c r="I31" s="433"/>
      <c r="J31" s="431"/>
      <c r="K31" s="432"/>
      <c r="L31" s="433"/>
      <c r="M31" s="431"/>
      <c r="N31" s="432"/>
      <c r="O31" s="433"/>
      <c r="P31" s="184"/>
      <c r="Q31" s="431"/>
      <c r="R31" s="432"/>
      <c r="S31" s="433"/>
      <c r="T31" s="431"/>
      <c r="U31" s="432"/>
      <c r="V31" s="433"/>
      <c r="W31" s="431"/>
      <c r="X31" s="432"/>
      <c r="Y31" s="433"/>
      <c r="Z31" s="431"/>
      <c r="AA31" s="432"/>
      <c r="AB31" s="433"/>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87" t="s">
        <v>44</v>
      </c>
      <c r="C33" s="987"/>
      <c r="D33" s="987"/>
      <c r="E33" s="987"/>
      <c r="F33" s="987"/>
      <c r="G33" s="987"/>
      <c r="H33" s="987"/>
      <c r="I33" s="987"/>
      <c r="J33" s="987"/>
      <c r="K33" s="987"/>
      <c r="L33" s="987"/>
      <c r="M33" s="987"/>
      <c r="N33" s="987"/>
      <c r="O33" s="987"/>
      <c r="P33" s="412"/>
      <c r="Q33" s="986"/>
      <c r="R33" s="986"/>
      <c r="S33" s="986"/>
      <c r="T33" s="986"/>
      <c r="U33" s="986"/>
      <c r="V33" s="986"/>
      <c r="W33" s="986"/>
      <c r="X33" s="986"/>
      <c r="Y33" s="986"/>
      <c r="Z33" s="986"/>
      <c r="AA33" s="986"/>
      <c r="AB33" s="986"/>
      <c r="AC33" s="9"/>
    </row>
    <row r="34" ht="18.95" customHeight="1">
      <c r="A34" s="58"/>
      <c r="B34" s="285">
        <v>2018</v>
      </c>
      <c r="C34" s="286"/>
      <c r="D34" s="428">
        <v>57.789033712808667436616619910</v>
      </c>
      <c r="E34" s="429">
        <v>83.22352758909414909462999448</v>
      </c>
      <c r="F34" s="430">
        <v>48.094072415450240222931923410</v>
      </c>
      <c r="G34" s="428">
        <v>100.32127987411074320558633582</v>
      </c>
      <c r="H34" s="429">
        <v>69.347993822793570101471412830</v>
      </c>
      <c r="I34" s="430">
        <v>69.570794970045767258142697570</v>
      </c>
      <c r="J34" s="428">
        <v>0</v>
      </c>
      <c r="K34" s="429">
        <v>0</v>
      </c>
      <c r="L34" s="430">
        <v>0</v>
      </c>
      <c r="M34" s="428">
        <v>61.678553833024037159511881670</v>
      </c>
      <c r="N34" s="429">
        <v>81.48138712885653985379196786</v>
      </c>
      <c r="O34" s="430">
        <v>50.256541224166499822058835460</v>
      </c>
      <c r="P34" s="5"/>
      <c r="Q34" s="428">
        <v>-10.75340668639683336997947700</v>
      </c>
      <c r="R34" s="429">
        <v>-18.791008849911320999038329950</v>
      </c>
      <c r="S34" s="430">
        <v>-27.523741934200369677964052310</v>
      </c>
      <c r="T34" s="428">
        <v>165.13798941997669770315401317</v>
      </c>
      <c r="U34" s="429">
        <v>-38.498179896826383701030144960</v>
      </c>
      <c r="V34" s="430">
        <v>63.064689278245564530307963280</v>
      </c>
      <c r="W34" s="428">
        <v>0</v>
      </c>
      <c r="X34" s="429">
        <v>0</v>
      </c>
      <c r="Y34" s="430">
        <v>0</v>
      </c>
      <c r="Z34" s="428">
        <v>-0.5075109865291069633656589700</v>
      </c>
      <c r="AA34" s="429">
        <v>-21.931361938839897435873401660</v>
      </c>
      <c r="AB34" s="430">
        <v>-22.327568854033928955621543140</v>
      </c>
    </row>
    <row r="35" ht="18.95" customHeight="1">
      <c r="A35" s="58"/>
      <c r="B35" s="287">
        <v>2019</v>
      </c>
      <c r="C35" s="288"/>
      <c r="D35" s="272">
        <v>96.06483719489311447869202852</v>
      </c>
      <c r="E35" s="92">
        <v>82.03999085759389160246346140</v>
      </c>
      <c r="F35" s="273">
        <v>78.811583652052767390262149440</v>
      </c>
      <c r="G35" s="272">
        <v>82.68624396915245222808950340</v>
      </c>
      <c r="H35" s="92">
        <v>64.616021974937314270004967500</v>
      </c>
      <c r="I35" s="273">
        <v>53.428561573357828277316153940</v>
      </c>
      <c r="J35" s="272">
        <v>0</v>
      </c>
      <c r="K35" s="92">
        <v>0</v>
      </c>
      <c r="L35" s="273">
        <v>0</v>
      </c>
      <c r="M35" s="272">
        <v>95.04984215370367167970363710</v>
      </c>
      <c r="N35" s="92">
        <v>80.82572391500988876206229494</v>
      </c>
      <c r="O35" s="273">
        <v>76.824723000805218871786471480</v>
      </c>
      <c r="P35" s="5"/>
      <c r="Q35" s="272">
        <v>66.233679684456802537363473050</v>
      </c>
      <c r="R35" s="92">
        <v>-1.4221179584501913812334034200</v>
      </c>
      <c r="S35" s="273">
        <v>63.869640672671574915080459830</v>
      </c>
      <c r="T35" s="272">
        <v>-17.578559531026526900643308360</v>
      </c>
      <c r="U35" s="92">
        <v>-6.8235165676861048563244766500</v>
      </c>
      <c r="V35" s="273">
        <v>-23.202600176752471838123414970</v>
      </c>
      <c r="W35" s="272">
        <v>0</v>
      </c>
      <c r="X35" s="92">
        <v>0</v>
      </c>
      <c r="Y35" s="273">
        <v>0</v>
      </c>
      <c r="Z35" s="272">
        <v>54.105173106072279613702967300</v>
      </c>
      <c r="AA35" s="92">
        <v>-0.8046785124187566955382059800</v>
      </c>
      <c r="AB35" s="273">
        <v>52.865121891561987281910522510</v>
      </c>
    </row>
    <row r="36" ht="18.95" customHeight="1">
      <c r="A36" s="58"/>
      <c r="B36" s="426">
        <v>2020</v>
      </c>
      <c r="C36" s="427"/>
      <c r="D36" s="431"/>
      <c r="E36" s="432"/>
      <c r="F36" s="433"/>
      <c r="G36" s="431"/>
      <c r="H36" s="432"/>
      <c r="I36" s="433"/>
      <c r="J36" s="431"/>
      <c r="K36" s="432"/>
      <c r="L36" s="433"/>
      <c r="M36" s="431"/>
      <c r="N36" s="432"/>
      <c r="O36" s="433"/>
      <c r="P36" s="184"/>
      <c r="Q36" s="431"/>
      <c r="R36" s="432"/>
      <c r="S36" s="433"/>
      <c r="T36" s="431"/>
      <c r="U36" s="432"/>
      <c r="V36" s="433"/>
      <c r="W36" s="431"/>
      <c r="X36" s="432"/>
      <c r="Y36" s="433"/>
      <c r="Z36" s="431"/>
      <c r="AA36" s="432"/>
      <c r="AB36" s="433"/>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87" t="s">
        <v>45</v>
      </c>
      <c r="C38" s="987"/>
      <c r="D38" s="987"/>
      <c r="E38" s="987"/>
      <c r="F38" s="987"/>
      <c r="G38" s="987"/>
      <c r="H38" s="987"/>
      <c r="I38" s="987"/>
      <c r="J38" s="987"/>
      <c r="K38" s="987"/>
      <c r="L38" s="987"/>
      <c r="M38" s="987"/>
      <c r="N38" s="987"/>
      <c r="O38" s="987"/>
      <c r="P38" s="412"/>
      <c r="Q38" s="986"/>
      <c r="R38" s="986"/>
      <c r="S38" s="986"/>
      <c r="T38" s="986"/>
      <c r="U38" s="986"/>
      <c r="V38" s="986"/>
      <c r="W38" s="986"/>
      <c r="X38" s="986"/>
      <c r="Y38" s="986"/>
      <c r="Z38" s="986"/>
      <c r="AA38" s="986"/>
      <c r="AB38" s="986"/>
      <c r="AC38" s="9"/>
    </row>
    <row r="39" ht="18.95" customHeight="1">
      <c r="A39" s="58"/>
      <c r="B39" s="285">
        <v>2018</v>
      </c>
      <c r="C39" s="286"/>
      <c r="D39" s="428">
        <v>47.380758515991432542844162330</v>
      </c>
      <c r="E39" s="429">
        <v>75.224256814014788941362480700</v>
      </c>
      <c r="F39" s="430">
        <v>35.641823466497577586860691800</v>
      </c>
      <c r="G39" s="428">
        <v>63.352427485835574000789314930</v>
      </c>
      <c r="H39" s="429">
        <v>66.475632130496059251678204360</v>
      </c>
      <c r="I39" s="430">
        <v>42.113926641223329607144841300</v>
      </c>
      <c r="J39" s="428">
        <v>608.69968591447209470886685694</v>
      </c>
      <c r="K39" s="429">
        <v>51.132991546948644081154702340</v>
      </c>
      <c r="L39" s="430">
        <v>311.24635894494996252044891597</v>
      </c>
      <c r="M39" s="428">
        <v>49.161808541185660574899797760</v>
      </c>
      <c r="N39" s="429">
        <v>74.227802047960228840474327970</v>
      </c>
      <c r="O39" s="430">
        <v>36.491729927148496462397180250</v>
      </c>
      <c r="P39" s="5"/>
      <c r="Q39" s="428">
        <v>-42.351149652484535736381403060</v>
      </c>
      <c r="R39" s="429">
        <v>-24.424359633920736998500217060</v>
      </c>
      <c r="S39" s="430">
        <v>-56.431512186182477302776800210</v>
      </c>
      <c r="T39" s="428">
        <v>3.5535560489639654612607182400</v>
      </c>
      <c r="U39" s="429">
        <v>-43.673894402766972358676261940</v>
      </c>
      <c r="V39" s="430">
        <v>-41.672314670170667380643923880</v>
      </c>
      <c r="W39" s="428">
        <v>-52.271093199054677221585386250</v>
      </c>
      <c r="X39" s="429">
        <v>-87.35108192212613133865394362</v>
      </c>
      <c r="Y39" s="430">
        <v>-93.96280967928365670125858627</v>
      </c>
      <c r="Z39" s="428">
        <v>-38.979528103433894376125106200</v>
      </c>
      <c r="AA39" s="429">
        <v>-26.418678366680483369811838420</v>
      </c>
      <c r="AB39" s="430">
        <v>-55.100330311618348182905290970</v>
      </c>
    </row>
    <row r="40" ht="18.95" customHeight="1">
      <c r="A40" s="58"/>
      <c r="B40" s="287">
        <v>2019</v>
      </c>
      <c r="C40" s="288"/>
      <c r="D40" s="272">
        <v>83.98784480584321630968326573</v>
      </c>
      <c r="E40" s="92">
        <v>81.38225438634887714300655867</v>
      </c>
      <c r="F40" s="273">
        <v>68.351201513503228482902085060</v>
      </c>
      <c r="G40" s="272">
        <v>113.39305339974908103465184156</v>
      </c>
      <c r="H40" s="92">
        <v>74.810687258009435446899692290</v>
      </c>
      <c r="I40" s="273">
        <v>84.83012255119392071090385278</v>
      </c>
      <c r="J40" s="272">
        <v>0</v>
      </c>
      <c r="K40" s="92">
        <v>0</v>
      </c>
      <c r="L40" s="273">
        <v>0</v>
      </c>
      <c r="M40" s="272">
        <v>86.12213991527129385545066737</v>
      </c>
      <c r="N40" s="92">
        <v>80.97249419468505789502135485</v>
      </c>
      <c r="O40" s="273">
        <v>69.735244743231591455304373950</v>
      </c>
      <c r="P40" s="5"/>
      <c r="Q40" s="272">
        <v>77.261503269299841601188554480</v>
      </c>
      <c r="R40" s="92">
        <v>8.186185989925009817855326390</v>
      </c>
      <c r="S40" s="273">
        <v>91.77245961546172848126320910</v>
      </c>
      <c r="T40" s="272">
        <v>78.987700866082300432002627620</v>
      </c>
      <c r="U40" s="92">
        <v>12.538512023700823356585862300</v>
      </c>
      <c r="V40" s="273">
        <v>101.43009526012169241382979833</v>
      </c>
      <c r="W40" s="272">
        <v>-100</v>
      </c>
      <c r="X40" s="92">
        <v>-100</v>
      </c>
      <c r="Y40" s="273">
        <v>-100</v>
      </c>
      <c r="Z40" s="272">
        <v>75.180983919909798327347585790</v>
      </c>
      <c r="AA40" s="92">
        <v>9.086476981181436439186743700</v>
      </c>
      <c r="AB40" s="273">
        <v>91.09876369919955576768213360</v>
      </c>
    </row>
    <row r="41" ht="18.95" customHeight="1">
      <c r="A41" s="58"/>
      <c r="B41" s="426">
        <v>2020</v>
      </c>
      <c r="C41" s="427"/>
      <c r="D41" s="431"/>
      <c r="E41" s="432"/>
      <c r="F41" s="433"/>
      <c r="G41" s="431"/>
      <c r="H41" s="432"/>
      <c r="I41" s="433"/>
      <c r="J41" s="431"/>
      <c r="K41" s="432"/>
      <c r="L41" s="433"/>
      <c r="M41" s="431"/>
      <c r="N41" s="432"/>
      <c r="O41" s="433"/>
      <c r="P41" s="184"/>
      <c r="Q41" s="431"/>
      <c r="R41" s="432"/>
      <c r="S41" s="433"/>
      <c r="T41" s="431"/>
      <c r="U41" s="432"/>
      <c r="V41" s="433"/>
      <c r="W41" s="431"/>
      <c r="X41" s="432"/>
      <c r="Y41" s="433"/>
      <c r="Z41" s="431"/>
      <c r="AA41" s="432"/>
      <c r="AB41" s="433"/>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49" t="s">
        <v>129</v>
      </c>
      <c r="C43" s="1049"/>
      <c r="D43" s="1049"/>
      <c r="E43" s="1049"/>
      <c r="F43" s="1049"/>
      <c r="G43" s="1049"/>
      <c r="H43" s="1049"/>
      <c r="I43" s="1049"/>
      <c r="J43" s="1049"/>
      <c r="K43" s="1049"/>
      <c r="L43" s="1049"/>
      <c r="M43" s="1049"/>
      <c r="N43" s="1049"/>
      <c r="O43" s="1049"/>
      <c r="P43" s="1049"/>
      <c r="Q43" s="1049"/>
      <c r="R43" s="1049"/>
      <c r="S43" s="1049"/>
      <c r="T43" s="1049"/>
      <c r="U43" s="1049"/>
      <c r="V43" s="1049"/>
      <c r="W43" s="1049"/>
      <c r="X43" s="1049"/>
      <c r="Y43" s="1049"/>
      <c r="Z43" s="1049"/>
      <c r="AA43" s="1049"/>
      <c r="AB43" s="1049"/>
      <c r="AP43" s="236"/>
    </row>
    <row r="44" ht="12" customHeight="1">
      <c r="Z44" s="55"/>
      <c r="AA44" s="233"/>
      <c r="AB44" s="233"/>
      <c r="AP44" s="236"/>
    </row>
    <row r="45" ht="12" customHeight="1">
      <c r="AP45" s="236"/>
    </row>
    <row r="46" s="467" customFormat="1">
      <c r="A46"/>
    </row>
    <row r="47" s="467" customFormat="1"/>
    <row r="48" s="467" customFormat="1"/>
    <row r="49" s="467" customFormat="1"/>
    <row r="50" s="467" customFormat="1"/>
    <row r="51" s="467" customFormat="1"/>
    <row r="52" s="467" customFormat="1"/>
    <row r="53" s="467" customFormat="1"/>
    <row r="54" s="467" customFormat="1"/>
    <row r="55" s="467" customFormat="1"/>
    <row r="56" s="467" customFormat="1"/>
    <row r="57" s="467" customFormat="1"/>
    <row r="58" s="467" customFormat="1"/>
    <row r="59" s="467" customFormat="1"/>
    <row r="60" s="467" customFormat="1"/>
    <row r="61" s="467" customFormat="1"/>
    <row r="62" s="467" customFormat="1"/>
    <row r="63" s="467" customFormat="1"/>
    <row r="64" s="467" customFormat="1"/>
    <row r="65" s="467" customFormat="1"/>
    <row r="66" s="467" customFormat="1"/>
    <row r="67" s="467" customFormat="1"/>
    <row r="68" s="467" customFormat="1"/>
    <row r="69" s="467" customFormat="1"/>
    <row r="70" s="467" customFormat="1"/>
    <row r="71" s="467" customFormat="1"/>
    <row r="72" s="467" customFormat="1"/>
    <row r="73" s="467" customFormat="1"/>
    <row r="74" s="467" customFormat="1"/>
    <row r="75" s="467" customFormat="1"/>
    <row r="76" s="467" customFormat="1"/>
    <row r="77" s="467" customFormat="1"/>
    <row r="78" s="467" customFormat="1"/>
    <row r="79" s="467" customFormat="1"/>
    <row r="80" s="467" customFormat="1"/>
    <row r="81" s="467"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5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7" t="s">
        <v>152</v>
      </c>
      <c r="Z1" s="5"/>
      <c r="AB1" s="686"/>
      <c r="AD1" s="236"/>
    </row>
    <row r="2" ht="15" customHeight="1">
      <c r="A2" s="11"/>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row>
    <row r="3" ht="17.1" customHeight="1">
      <c r="A3" s="11"/>
      <c r="B3" s="1014" t="s">
        <v>212</v>
      </c>
      <c r="C3" s="1014"/>
      <c r="D3" s="1014"/>
      <c r="E3" s="1014"/>
      <c r="F3" s="1014"/>
      <c r="G3" s="1014"/>
      <c r="H3" s="1014"/>
      <c r="I3" s="1014"/>
      <c r="J3" s="1014"/>
      <c r="K3" s="1014"/>
      <c r="L3" s="1014"/>
      <c r="M3" s="1014"/>
      <c r="N3" s="1014"/>
      <c r="O3" s="1014"/>
      <c r="P3" s="1014"/>
      <c r="Q3" s="1014"/>
      <c r="R3" s="1014"/>
      <c r="S3" s="1014"/>
      <c r="T3" s="1014"/>
      <c r="U3" s="1014"/>
      <c r="V3" s="1014"/>
      <c r="W3" s="1014"/>
      <c r="X3" s="1014"/>
      <c r="Y3" s="1014"/>
      <c r="Z3" s="1014"/>
      <c r="AA3" s="1014"/>
      <c r="AB3" s="1014"/>
    </row>
    <row r="4" ht="19.5" customHeight="1">
      <c r="A4" s="4"/>
      <c r="B4" s="1014" t="s">
        <v>213</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row>
    <row r="5" ht="15" customHeight="1"/>
    <row r="6" ht="15.75" customHeight="1">
      <c r="D6" s="975" t="s">
        <v>80</v>
      </c>
      <c r="E6" s="975"/>
      <c r="F6" s="975"/>
      <c r="G6" s="975"/>
      <c r="H6" s="975"/>
      <c r="I6" s="975"/>
      <c r="J6" s="975"/>
      <c r="K6" s="975"/>
      <c r="L6" s="975"/>
      <c r="M6" s="975"/>
      <c r="N6" s="975"/>
      <c r="O6" s="975"/>
      <c r="Q6" s="975" t="s">
        <v>72</v>
      </c>
      <c r="R6" s="975"/>
      <c r="S6" s="975"/>
      <c r="T6" s="975"/>
      <c r="U6" s="975"/>
      <c r="V6" s="975"/>
      <c r="W6" s="975"/>
      <c r="X6" s="975"/>
      <c r="Y6" s="975"/>
      <c r="Z6" s="975"/>
      <c r="AA6" s="975"/>
      <c r="AB6" s="975"/>
    </row>
    <row r="7" ht="15.75" customHeight="1">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958" t="s">
        <v>42</v>
      </c>
      <c r="C8" s="958"/>
      <c r="D8" s="413" t="s">
        <v>53</v>
      </c>
      <c r="E8" s="414" t="s">
        <v>9</v>
      </c>
      <c r="F8" s="415" t="s">
        <v>10</v>
      </c>
      <c r="G8" s="413" t="s">
        <v>53</v>
      </c>
      <c r="H8" s="414" t="s">
        <v>9</v>
      </c>
      <c r="I8" s="415" t="s">
        <v>10</v>
      </c>
      <c r="J8" s="413" t="s">
        <v>53</v>
      </c>
      <c r="K8" s="414" t="s">
        <v>9</v>
      </c>
      <c r="L8" s="415" t="s">
        <v>10</v>
      </c>
      <c r="M8" s="413" t="s">
        <v>53</v>
      </c>
      <c r="N8" s="414" t="s">
        <v>9</v>
      </c>
      <c r="O8" s="415" t="s">
        <v>10</v>
      </c>
      <c r="P8" s="63"/>
      <c r="Q8" s="413" t="s">
        <v>53</v>
      </c>
      <c r="R8" s="414" t="s">
        <v>9</v>
      </c>
      <c r="S8" s="415" t="s">
        <v>10</v>
      </c>
      <c r="T8" s="413" t="s">
        <v>53</v>
      </c>
      <c r="U8" s="414" t="s">
        <v>9</v>
      </c>
      <c r="V8" s="415" t="s">
        <v>10</v>
      </c>
      <c r="W8" s="413" t="s">
        <v>53</v>
      </c>
      <c r="X8" s="414" t="s">
        <v>9</v>
      </c>
      <c r="Y8" s="415" t="s">
        <v>10</v>
      </c>
      <c r="Z8" s="413" t="s">
        <v>53</v>
      </c>
      <c r="AA8" s="414" t="s">
        <v>9</v>
      </c>
      <c r="AB8" s="415" t="s">
        <v>10</v>
      </c>
    </row>
    <row r="9" ht="18.95" customHeight="1">
      <c r="A9" s="57"/>
      <c r="B9" s="285">
        <v>2019</v>
      </c>
      <c r="C9" s="286" t="s">
        <v>221</v>
      </c>
      <c r="D9" s="416" t="s">
        <v>222</v>
      </c>
      <c r="E9" s="417" t="s">
        <v>223</v>
      </c>
      <c r="F9" s="418" t="s">
        <v>222</v>
      </c>
      <c r="G9" s="416" t="s">
        <v>225</v>
      </c>
      <c r="H9" s="417" t="s">
        <v>225</v>
      </c>
      <c r="I9" s="418" t="s">
        <v>223</v>
      </c>
      <c r="J9" s="416" t="s">
        <v>268</v>
      </c>
      <c r="K9" s="417" t="s">
        <v>268</v>
      </c>
      <c r="L9" s="418" t="s">
        <v>268</v>
      </c>
      <c r="M9" s="416" t="s">
        <v>222</v>
      </c>
      <c r="N9" s="417" t="s">
        <v>223</v>
      </c>
      <c r="O9" s="418" t="s">
        <v>222</v>
      </c>
      <c r="P9" s="5"/>
      <c r="Q9" s="416" t="s">
        <v>241</v>
      </c>
      <c r="R9" s="417" t="s">
        <v>241</v>
      </c>
      <c r="S9" s="418" t="s">
        <v>241</v>
      </c>
      <c r="T9" s="416" t="s">
        <v>231</v>
      </c>
      <c r="U9" s="417" t="s">
        <v>225</v>
      </c>
      <c r="V9" s="418" t="s">
        <v>223</v>
      </c>
      <c r="W9" s="416"/>
      <c r="X9" s="417"/>
      <c r="Y9" s="418"/>
      <c r="Z9" s="416" t="s">
        <v>241</v>
      </c>
      <c r="AA9" s="417" t="s">
        <v>241</v>
      </c>
      <c r="AB9" s="418" t="s">
        <v>241</v>
      </c>
    </row>
    <row r="10" ht="18.95" customHeight="1">
      <c r="A10" s="58"/>
      <c r="B10" s="287"/>
      <c r="C10" s="288" t="s">
        <v>224</v>
      </c>
      <c r="D10" s="272" t="s">
        <v>225</v>
      </c>
      <c r="E10" s="92" t="s">
        <v>222</v>
      </c>
      <c r="F10" s="273" t="s">
        <v>222</v>
      </c>
      <c r="G10" s="272" t="s">
        <v>222</v>
      </c>
      <c r="H10" s="92" t="s">
        <v>225</v>
      </c>
      <c r="I10" s="273" t="s">
        <v>222</v>
      </c>
      <c r="J10" s="272" t="s">
        <v>268</v>
      </c>
      <c r="K10" s="92" t="s">
        <v>268</v>
      </c>
      <c r="L10" s="273" t="s">
        <v>268</v>
      </c>
      <c r="M10" s="272" t="s">
        <v>225</v>
      </c>
      <c r="N10" s="92" t="s">
        <v>222</v>
      </c>
      <c r="O10" s="273" t="s">
        <v>222</v>
      </c>
      <c r="P10" s="5"/>
      <c r="Q10" s="272" t="s">
        <v>241</v>
      </c>
      <c r="R10" s="92" t="s">
        <v>222</v>
      </c>
      <c r="S10" s="273" t="s">
        <v>241</v>
      </c>
      <c r="T10" s="272" t="s">
        <v>225</v>
      </c>
      <c r="U10" s="92" t="s">
        <v>231</v>
      </c>
      <c r="V10" s="273" t="s">
        <v>225</v>
      </c>
      <c r="W10" s="272"/>
      <c r="X10" s="92"/>
      <c r="Y10" s="273"/>
      <c r="Z10" s="272" t="s">
        <v>241</v>
      </c>
      <c r="AA10" s="92" t="s">
        <v>225</v>
      </c>
      <c r="AB10" s="273" t="s">
        <v>241</v>
      </c>
    </row>
    <row r="11" ht="18.95" customHeight="1">
      <c r="A11" s="58"/>
      <c r="B11" s="289"/>
      <c r="C11" s="290" t="s">
        <v>226</v>
      </c>
      <c r="D11" s="421" t="s">
        <v>222</v>
      </c>
      <c r="E11" s="91" t="s">
        <v>225</v>
      </c>
      <c r="F11" s="422" t="s">
        <v>227</v>
      </c>
      <c r="G11" s="421" t="s">
        <v>222</v>
      </c>
      <c r="H11" s="91" t="s">
        <v>227</v>
      </c>
      <c r="I11" s="422" t="s">
        <v>227</v>
      </c>
      <c r="J11" s="421" t="s">
        <v>268</v>
      </c>
      <c r="K11" s="91" t="s">
        <v>268</v>
      </c>
      <c r="L11" s="422" t="s">
        <v>268</v>
      </c>
      <c r="M11" s="421" t="s">
        <v>222</v>
      </c>
      <c r="N11" s="91" t="s">
        <v>225</v>
      </c>
      <c r="O11" s="422" t="s">
        <v>227</v>
      </c>
      <c r="P11" s="5"/>
      <c r="Q11" s="421" t="s">
        <v>241</v>
      </c>
      <c r="R11" s="91" t="s">
        <v>223</v>
      </c>
      <c r="S11" s="422" t="s">
        <v>241</v>
      </c>
      <c r="T11" s="421" t="s">
        <v>222</v>
      </c>
      <c r="U11" s="91" t="s">
        <v>227</v>
      </c>
      <c r="V11" s="422" t="s">
        <v>227</v>
      </c>
      <c r="W11" s="421"/>
      <c r="X11" s="91"/>
      <c r="Y11" s="422"/>
      <c r="Z11" s="421" t="s">
        <v>241</v>
      </c>
      <c r="AA11" s="91" t="s">
        <v>225</v>
      </c>
      <c r="AB11" s="422" t="s">
        <v>241</v>
      </c>
    </row>
    <row r="12" ht="18.95" customHeight="1">
      <c r="A12" s="58"/>
      <c r="B12" s="287"/>
      <c r="C12" s="288" t="s">
        <v>228</v>
      </c>
      <c r="D12" s="272" t="s">
        <v>222</v>
      </c>
      <c r="E12" s="92" t="s">
        <v>223</v>
      </c>
      <c r="F12" s="273" t="s">
        <v>227</v>
      </c>
      <c r="G12" s="272" t="s">
        <v>231</v>
      </c>
      <c r="H12" s="92" t="s">
        <v>222</v>
      </c>
      <c r="I12" s="273" t="s">
        <v>231</v>
      </c>
      <c r="J12" s="272" t="s">
        <v>268</v>
      </c>
      <c r="K12" s="92" t="s">
        <v>268</v>
      </c>
      <c r="L12" s="273" t="s">
        <v>268</v>
      </c>
      <c r="M12" s="272" t="s">
        <v>227</v>
      </c>
      <c r="N12" s="92" t="s">
        <v>223</v>
      </c>
      <c r="O12" s="273" t="s">
        <v>227</v>
      </c>
      <c r="P12" s="5"/>
      <c r="Q12" s="272" t="s">
        <v>241</v>
      </c>
      <c r="R12" s="92" t="s">
        <v>225</v>
      </c>
      <c r="S12" s="273" t="s">
        <v>241</v>
      </c>
      <c r="T12" s="272" t="s">
        <v>223</v>
      </c>
      <c r="U12" s="92" t="s">
        <v>222</v>
      </c>
      <c r="V12" s="273" t="s">
        <v>223</v>
      </c>
      <c r="W12" s="272"/>
      <c r="X12" s="92"/>
      <c r="Y12" s="273"/>
      <c r="Z12" s="272" t="s">
        <v>241</v>
      </c>
      <c r="AA12" s="92" t="s">
        <v>223</v>
      </c>
      <c r="AB12" s="273" t="s">
        <v>241</v>
      </c>
    </row>
    <row r="13" ht="18.95" customHeight="1">
      <c r="A13" s="58"/>
      <c r="B13" s="289"/>
      <c r="C13" s="290" t="s">
        <v>229</v>
      </c>
      <c r="D13" s="421" t="s">
        <v>222</v>
      </c>
      <c r="E13" s="91" t="s">
        <v>223</v>
      </c>
      <c r="F13" s="422" t="s">
        <v>227</v>
      </c>
      <c r="G13" s="421" t="s">
        <v>225</v>
      </c>
      <c r="H13" s="91" t="s">
        <v>222</v>
      </c>
      <c r="I13" s="422" t="s">
        <v>225</v>
      </c>
      <c r="J13" s="421" t="s">
        <v>268</v>
      </c>
      <c r="K13" s="91" t="s">
        <v>268</v>
      </c>
      <c r="L13" s="422" t="s">
        <v>268</v>
      </c>
      <c r="M13" s="421" t="s">
        <v>227</v>
      </c>
      <c r="N13" s="91" t="s">
        <v>223</v>
      </c>
      <c r="O13" s="422" t="s">
        <v>222</v>
      </c>
      <c r="P13" s="5"/>
      <c r="Q13" s="421" t="s">
        <v>241</v>
      </c>
      <c r="R13" s="91" t="s">
        <v>223</v>
      </c>
      <c r="S13" s="422" t="s">
        <v>241</v>
      </c>
      <c r="T13" s="421" t="s">
        <v>223</v>
      </c>
      <c r="U13" s="91" t="s">
        <v>222</v>
      </c>
      <c r="V13" s="422" t="s">
        <v>225</v>
      </c>
      <c r="W13" s="421"/>
      <c r="X13" s="91"/>
      <c r="Y13" s="422"/>
      <c r="Z13" s="421" t="s">
        <v>241</v>
      </c>
      <c r="AA13" s="91" t="s">
        <v>225</v>
      </c>
      <c r="AB13" s="422" t="s">
        <v>241</v>
      </c>
    </row>
    <row r="14" ht="18.95" customHeight="1">
      <c r="A14" s="58"/>
      <c r="B14" s="287"/>
      <c r="C14" s="288" t="s">
        <v>230</v>
      </c>
      <c r="D14" s="272" t="s">
        <v>231</v>
      </c>
      <c r="E14" s="92" t="s">
        <v>225</v>
      </c>
      <c r="F14" s="273" t="s">
        <v>225</v>
      </c>
      <c r="G14" s="272" t="s">
        <v>225</v>
      </c>
      <c r="H14" s="92" t="s">
        <v>225</v>
      </c>
      <c r="I14" s="273" t="s">
        <v>225</v>
      </c>
      <c r="J14" s="272" t="s">
        <v>268</v>
      </c>
      <c r="K14" s="92" t="s">
        <v>268</v>
      </c>
      <c r="L14" s="273" t="s">
        <v>268</v>
      </c>
      <c r="M14" s="272" t="s">
        <v>231</v>
      </c>
      <c r="N14" s="92" t="s">
        <v>225</v>
      </c>
      <c r="O14" s="273" t="s">
        <v>225</v>
      </c>
      <c r="P14" s="5"/>
      <c r="Q14" s="272" t="s">
        <v>241</v>
      </c>
      <c r="R14" s="92" t="s">
        <v>223</v>
      </c>
      <c r="S14" s="273" t="s">
        <v>241</v>
      </c>
      <c r="T14" s="272" t="s">
        <v>222</v>
      </c>
      <c r="U14" s="92" t="s">
        <v>222</v>
      </c>
      <c r="V14" s="273" t="s">
        <v>225</v>
      </c>
      <c r="W14" s="272"/>
      <c r="X14" s="92"/>
      <c r="Y14" s="273"/>
      <c r="Z14" s="272" t="s">
        <v>241</v>
      </c>
      <c r="AA14" s="92" t="s">
        <v>223</v>
      </c>
      <c r="AB14" s="273" t="s">
        <v>241</v>
      </c>
    </row>
    <row r="15" ht="18.95" customHeight="1">
      <c r="A15" s="58"/>
      <c r="B15" s="289">
        <v>2020</v>
      </c>
      <c r="C15" s="290" t="s">
        <v>232</v>
      </c>
      <c r="D15" s="421" t="s">
        <v>222</v>
      </c>
      <c r="E15" s="91" t="s">
        <v>223</v>
      </c>
      <c r="F15" s="422" t="s">
        <v>225</v>
      </c>
      <c r="G15" s="421" t="s">
        <v>231</v>
      </c>
      <c r="H15" s="91" t="s">
        <v>231</v>
      </c>
      <c r="I15" s="422" t="s">
        <v>231</v>
      </c>
      <c r="J15" s="421" t="s">
        <v>268</v>
      </c>
      <c r="K15" s="91" t="s">
        <v>268</v>
      </c>
      <c r="L15" s="422" t="s">
        <v>268</v>
      </c>
      <c r="M15" s="421" t="s">
        <v>222</v>
      </c>
      <c r="N15" s="91" t="s">
        <v>223</v>
      </c>
      <c r="O15" s="422" t="s">
        <v>223</v>
      </c>
      <c r="P15" s="5"/>
      <c r="Q15" s="421" t="s">
        <v>231</v>
      </c>
      <c r="R15" s="91" t="s">
        <v>231</v>
      </c>
      <c r="S15" s="422" t="s">
        <v>231</v>
      </c>
      <c r="T15" s="421" t="s">
        <v>225</v>
      </c>
      <c r="U15" s="91" t="s">
        <v>241</v>
      </c>
      <c r="V15" s="422" t="s">
        <v>225</v>
      </c>
      <c r="W15" s="421"/>
      <c r="X15" s="91"/>
      <c r="Y15" s="422"/>
      <c r="Z15" s="421" t="s">
        <v>241</v>
      </c>
      <c r="AA15" s="91" t="s">
        <v>241</v>
      </c>
      <c r="AB15" s="422" t="s">
        <v>241</v>
      </c>
    </row>
    <row r="16" ht="18.95" customHeight="1">
      <c r="A16" s="58"/>
      <c r="B16" s="287"/>
      <c r="C16" s="288" t="s">
        <v>233</v>
      </c>
      <c r="D16" s="272" t="s">
        <v>227</v>
      </c>
      <c r="E16" s="92" t="s">
        <v>223</v>
      </c>
      <c r="F16" s="273" t="s">
        <v>225</v>
      </c>
      <c r="G16" s="272" t="s">
        <v>231</v>
      </c>
      <c r="H16" s="92" t="s">
        <v>222</v>
      </c>
      <c r="I16" s="273" t="s">
        <v>225</v>
      </c>
      <c r="J16" s="272" t="s">
        <v>268</v>
      </c>
      <c r="K16" s="92" t="s">
        <v>268</v>
      </c>
      <c r="L16" s="273" t="s">
        <v>268</v>
      </c>
      <c r="M16" s="272" t="s">
        <v>225</v>
      </c>
      <c r="N16" s="92" t="s">
        <v>223</v>
      </c>
      <c r="O16" s="273" t="s">
        <v>225</v>
      </c>
      <c r="P16" s="5"/>
      <c r="Q16" s="272" t="s">
        <v>241</v>
      </c>
      <c r="R16" s="92" t="s">
        <v>241</v>
      </c>
      <c r="S16" s="273" t="s">
        <v>241</v>
      </c>
      <c r="T16" s="272" t="s">
        <v>225</v>
      </c>
      <c r="U16" s="92" t="s">
        <v>225</v>
      </c>
      <c r="V16" s="273" t="s">
        <v>223</v>
      </c>
      <c r="W16" s="272"/>
      <c r="X16" s="92"/>
      <c r="Y16" s="273"/>
      <c r="Z16" s="272" t="s">
        <v>241</v>
      </c>
      <c r="AA16" s="92" t="s">
        <v>241</v>
      </c>
      <c r="AB16" s="273" t="s">
        <v>241</v>
      </c>
    </row>
    <row r="17" ht="18.95" customHeight="1">
      <c r="A17" s="58"/>
      <c r="B17" s="289"/>
      <c r="C17" s="290" t="s">
        <v>234</v>
      </c>
      <c r="D17" s="421" t="s">
        <v>223</v>
      </c>
      <c r="E17" s="91" t="s">
        <v>222</v>
      </c>
      <c r="F17" s="422" t="s">
        <v>222</v>
      </c>
      <c r="G17" s="421" t="s">
        <v>225</v>
      </c>
      <c r="H17" s="91" t="s">
        <v>231</v>
      </c>
      <c r="I17" s="422" t="s">
        <v>225</v>
      </c>
      <c r="J17" s="421" t="s">
        <v>268</v>
      </c>
      <c r="K17" s="91" t="s">
        <v>268</v>
      </c>
      <c r="L17" s="422" t="s">
        <v>268</v>
      </c>
      <c r="M17" s="421" t="s">
        <v>222</v>
      </c>
      <c r="N17" s="91" t="s">
        <v>222</v>
      </c>
      <c r="O17" s="422" t="s">
        <v>227</v>
      </c>
      <c r="P17" s="5"/>
      <c r="Q17" s="421" t="s">
        <v>241</v>
      </c>
      <c r="R17" s="91" t="s">
        <v>225</v>
      </c>
      <c r="S17" s="422" t="s">
        <v>241</v>
      </c>
      <c r="T17" s="421" t="s">
        <v>225</v>
      </c>
      <c r="U17" s="91" t="s">
        <v>241</v>
      </c>
      <c r="V17" s="422" t="s">
        <v>225</v>
      </c>
      <c r="W17" s="421"/>
      <c r="X17" s="91"/>
      <c r="Y17" s="422"/>
      <c r="Z17" s="421" t="s">
        <v>241</v>
      </c>
      <c r="AA17" s="91" t="s">
        <v>225</v>
      </c>
      <c r="AB17" s="422" t="s">
        <v>241</v>
      </c>
    </row>
    <row r="18" ht="18.95" customHeight="1">
      <c r="A18" s="58"/>
      <c r="B18" s="287"/>
      <c r="C18" s="288" t="s">
        <v>235</v>
      </c>
      <c r="D18" s="272"/>
      <c r="E18" s="92"/>
      <c r="F18" s="273"/>
      <c r="G18" s="272"/>
      <c r="H18" s="92"/>
      <c r="I18" s="273"/>
      <c r="J18" s="272"/>
      <c r="K18" s="92"/>
      <c r="L18" s="273"/>
      <c r="M18" s="272"/>
      <c r="N18" s="92"/>
      <c r="O18" s="273"/>
      <c r="P18" s="5"/>
      <c r="Q18" s="272"/>
      <c r="R18" s="92"/>
      <c r="S18" s="273"/>
      <c r="T18" s="272"/>
      <c r="U18" s="92"/>
      <c r="V18" s="273"/>
      <c r="W18" s="272"/>
      <c r="X18" s="92"/>
      <c r="Y18" s="273"/>
      <c r="Z18" s="272"/>
      <c r="AA18" s="92"/>
      <c r="AB18" s="273"/>
    </row>
    <row r="19" ht="18.95" customHeight="1">
      <c r="A19" s="58"/>
      <c r="B19" s="289"/>
      <c r="C19" s="290" t="s">
        <v>236</v>
      </c>
      <c r="D19" s="421"/>
      <c r="E19" s="91"/>
      <c r="F19" s="422"/>
      <c r="G19" s="421"/>
      <c r="H19" s="91"/>
      <c r="I19" s="422"/>
      <c r="J19" s="421"/>
      <c r="K19" s="91"/>
      <c r="L19" s="422"/>
      <c r="M19" s="421"/>
      <c r="N19" s="91"/>
      <c r="O19" s="422"/>
      <c r="P19" s="5"/>
      <c r="Q19" s="421"/>
      <c r="R19" s="91"/>
      <c r="S19" s="422"/>
      <c r="T19" s="421"/>
      <c r="U19" s="91"/>
      <c r="V19" s="422"/>
      <c r="W19" s="421"/>
      <c r="X19" s="91"/>
      <c r="Y19" s="422"/>
      <c r="Z19" s="421"/>
      <c r="AA19" s="91"/>
      <c r="AB19" s="422"/>
    </row>
    <row r="20" ht="18.95" customHeight="1">
      <c r="A20" s="58"/>
      <c r="B20" s="287"/>
      <c r="C20" s="288" t="s">
        <v>237</v>
      </c>
      <c r="D20" s="272"/>
      <c r="E20" s="92"/>
      <c r="F20" s="273"/>
      <c r="G20" s="272"/>
      <c r="H20" s="92"/>
      <c r="I20" s="273"/>
      <c r="J20" s="272"/>
      <c r="K20" s="92"/>
      <c r="L20" s="273"/>
      <c r="M20" s="272"/>
      <c r="N20" s="92"/>
      <c r="O20" s="273"/>
      <c r="P20" s="5"/>
      <c r="Q20" s="272"/>
      <c r="R20" s="92"/>
      <c r="S20" s="273"/>
      <c r="T20" s="272"/>
      <c r="U20" s="92"/>
      <c r="V20" s="273"/>
      <c r="W20" s="272"/>
      <c r="X20" s="92"/>
      <c r="Y20" s="273"/>
      <c r="Z20" s="272"/>
      <c r="AA20" s="92"/>
      <c r="AB20" s="273"/>
    </row>
    <row r="21" ht="18.95" customHeight="1">
      <c r="A21" s="58"/>
      <c r="B21" s="289"/>
      <c r="C21" s="290" t="s">
        <v>221</v>
      </c>
      <c r="D21" s="421"/>
      <c r="E21" s="91"/>
      <c r="F21" s="422"/>
      <c r="G21" s="421"/>
      <c r="H21" s="91"/>
      <c r="I21" s="422"/>
      <c r="J21" s="421"/>
      <c r="K21" s="91"/>
      <c r="L21" s="422"/>
      <c r="M21" s="421"/>
      <c r="N21" s="91"/>
      <c r="O21" s="422"/>
      <c r="P21" s="5"/>
      <c r="Q21" s="421"/>
      <c r="R21" s="91"/>
      <c r="S21" s="422"/>
      <c r="T21" s="421"/>
      <c r="U21" s="91"/>
      <c r="V21" s="422"/>
      <c r="W21" s="421"/>
      <c r="X21" s="91"/>
      <c r="Y21" s="422"/>
      <c r="Z21" s="421"/>
      <c r="AA21" s="91"/>
      <c r="AB21" s="422"/>
    </row>
    <row r="22" ht="18.95" customHeight="1">
      <c r="A22" s="58"/>
      <c r="B22" s="287"/>
      <c r="C22" s="288" t="s">
        <v>224</v>
      </c>
      <c r="D22" s="272"/>
      <c r="E22" s="92"/>
      <c r="F22" s="273"/>
      <c r="G22" s="272"/>
      <c r="H22" s="92"/>
      <c r="I22" s="273"/>
      <c r="J22" s="272"/>
      <c r="K22" s="92"/>
      <c r="L22" s="273"/>
      <c r="M22" s="272"/>
      <c r="N22" s="92"/>
      <c r="O22" s="273"/>
      <c r="P22" s="5"/>
      <c r="Q22" s="272"/>
      <c r="R22" s="92"/>
      <c r="S22" s="273"/>
      <c r="T22" s="272"/>
      <c r="U22" s="92"/>
      <c r="V22" s="273"/>
      <c r="W22" s="272"/>
      <c r="X22" s="92"/>
      <c r="Y22" s="273"/>
      <c r="Z22" s="272"/>
      <c r="AA22" s="92"/>
      <c r="AB22" s="273"/>
    </row>
    <row r="23" ht="18.95" customHeight="1">
      <c r="A23" s="58"/>
      <c r="B23" s="289"/>
      <c r="C23" s="290" t="s">
        <v>226</v>
      </c>
      <c r="D23" s="421"/>
      <c r="E23" s="91"/>
      <c r="F23" s="422"/>
      <c r="G23" s="421"/>
      <c r="H23" s="91"/>
      <c r="I23" s="422"/>
      <c r="J23" s="421"/>
      <c r="K23" s="91"/>
      <c r="L23" s="422"/>
      <c r="M23" s="421"/>
      <c r="N23" s="91"/>
      <c r="O23" s="422"/>
      <c r="P23" s="5"/>
      <c r="Q23" s="421"/>
      <c r="R23" s="91"/>
      <c r="S23" s="422"/>
      <c r="T23" s="421"/>
      <c r="U23" s="91"/>
      <c r="V23" s="422"/>
      <c r="W23" s="421"/>
      <c r="X23" s="91"/>
      <c r="Y23" s="422"/>
      <c r="Z23" s="421"/>
      <c r="AA23" s="91"/>
      <c r="AB23" s="422"/>
    </row>
    <row r="24" ht="18.95" customHeight="1">
      <c r="A24" s="59"/>
      <c r="B24" s="287"/>
      <c r="C24" s="288" t="s">
        <v>228</v>
      </c>
      <c r="D24" s="272"/>
      <c r="E24" s="92"/>
      <c r="F24" s="273"/>
      <c r="G24" s="272"/>
      <c r="H24" s="92"/>
      <c r="I24" s="273"/>
      <c r="J24" s="272"/>
      <c r="K24" s="92"/>
      <c r="L24" s="273"/>
      <c r="M24" s="272"/>
      <c r="N24" s="92"/>
      <c r="O24" s="273"/>
      <c r="P24" s="93"/>
      <c r="Q24" s="272"/>
      <c r="R24" s="92"/>
      <c r="S24" s="273"/>
      <c r="T24" s="272"/>
      <c r="U24" s="92"/>
      <c r="V24" s="273"/>
      <c r="W24" s="272"/>
      <c r="X24" s="92"/>
      <c r="Y24" s="273"/>
      <c r="Z24" s="272"/>
      <c r="AA24" s="92"/>
      <c r="AB24" s="273"/>
    </row>
    <row r="25" ht="18.95" customHeight="1">
      <c r="A25" s="60"/>
      <c r="B25" s="289"/>
      <c r="C25" s="290" t="s">
        <v>229</v>
      </c>
      <c r="D25" s="421"/>
      <c r="E25" s="91"/>
      <c r="F25" s="422"/>
      <c r="G25" s="421"/>
      <c r="H25" s="91"/>
      <c r="I25" s="422"/>
      <c r="J25" s="421"/>
      <c r="K25" s="91"/>
      <c r="L25" s="422"/>
      <c r="M25" s="421"/>
      <c r="N25" s="91"/>
      <c r="O25" s="422"/>
      <c r="P25" s="93"/>
      <c r="Q25" s="421"/>
      <c r="R25" s="91"/>
      <c r="S25" s="422"/>
      <c r="T25" s="421"/>
      <c r="U25" s="91"/>
      <c r="V25" s="422"/>
      <c r="W25" s="421"/>
      <c r="X25" s="91"/>
      <c r="Y25" s="422"/>
      <c r="Z25" s="421"/>
      <c r="AA25" s="91"/>
      <c r="AB25" s="422"/>
    </row>
    <row r="26" ht="18.95" customHeight="1">
      <c r="A26" s="60"/>
      <c r="B26" s="291"/>
      <c r="C26" s="292" t="s">
        <v>230</v>
      </c>
      <c r="D26" s="274" t="s">
        <v>240</v>
      </c>
      <c r="E26" s="275" t="s">
        <v>239</v>
      </c>
      <c r="F26" s="276" t="s">
        <v>240</v>
      </c>
      <c r="G26" s="274" t="s">
        <v>238</v>
      </c>
      <c r="H26" s="275" t="s">
        <v>238</v>
      </c>
      <c r="I26" s="276" t="s">
        <v>238</v>
      </c>
      <c r="J26" s="274" t="s">
        <v>268</v>
      </c>
      <c r="K26" s="275" t="s">
        <v>268</v>
      </c>
      <c r="L26" s="276" t="s">
        <v>268</v>
      </c>
      <c r="M26" s="274" t="s">
        <v>238</v>
      </c>
      <c r="N26" s="275" t="s">
        <v>239</v>
      </c>
      <c r="O26" s="276" t="s">
        <v>240</v>
      </c>
      <c r="P26" s="184"/>
      <c r="Q26" s="274" t="s">
        <v>238</v>
      </c>
      <c r="R26" s="275" t="s">
        <v>239</v>
      </c>
      <c r="S26" s="276" t="s">
        <v>240</v>
      </c>
      <c r="T26" s="274" t="s">
        <v>240</v>
      </c>
      <c r="U26" s="275" t="s">
        <v>238</v>
      </c>
      <c r="V26" s="276" t="s">
        <v>240</v>
      </c>
      <c r="W26" s="274"/>
      <c r="X26" s="275"/>
      <c r="Y26" s="276"/>
      <c r="Z26" s="274" t="s">
        <v>238</v>
      </c>
      <c r="AA26" s="275" t="s">
        <v>239</v>
      </c>
      <c r="AB26" s="276" t="s">
        <v>240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88" t="s">
        <v>61</v>
      </c>
      <c r="C28" s="988"/>
      <c r="D28" s="988"/>
      <c r="E28" s="988"/>
      <c r="F28" s="988"/>
      <c r="G28" s="988"/>
      <c r="H28" s="988"/>
      <c r="I28" s="988"/>
      <c r="J28" s="988"/>
      <c r="K28" s="988"/>
      <c r="L28" s="988"/>
      <c r="M28" s="988"/>
      <c r="N28" s="988"/>
      <c r="O28" s="988"/>
      <c r="P28" s="412"/>
      <c r="Q28" s="986"/>
      <c r="R28" s="986"/>
      <c r="S28" s="986"/>
      <c r="T28" s="986"/>
      <c r="U28" s="986"/>
      <c r="V28" s="986"/>
      <c r="W28" s="986"/>
      <c r="X28" s="986"/>
      <c r="Y28" s="986"/>
      <c r="Z28" s="986"/>
      <c r="AA28" s="986"/>
      <c r="AB28" s="986"/>
      <c r="AC28" s="9"/>
    </row>
    <row r="29" ht="18.95" customHeight="1">
      <c r="A29" s="58"/>
      <c r="B29" s="285">
        <v>2018</v>
      </c>
      <c r="C29" s="286"/>
      <c r="D29" s="428" t="s">
        <v>227</v>
      </c>
      <c r="E29" s="429" t="s">
        <v>227</v>
      </c>
      <c r="F29" s="430" t="s">
        <v>227</v>
      </c>
      <c r="G29" s="428" t="s">
        <v>223</v>
      </c>
      <c r="H29" s="429" t="s">
        <v>227</v>
      </c>
      <c r="I29" s="430" t="s">
        <v>223</v>
      </c>
      <c r="J29" s="428" t="s">
        <v>241</v>
      </c>
      <c r="K29" s="429" t="s">
        <v>231</v>
      </c>
      <c r="L29" s="430" t="s">
        <v>231</v>
      </c>
      <c r="M29" s="428" t="s">
        <v>227</v>
      </c>
      <c r="N29" s="429" t="s">
        <v>227</v>
      </c>
      <c r="O29" s="430" t="s">
        <v>227</v>
      </c>
      <c r="P29" s="5"/>
      <c r="Q29" s="428" t="s">
        <v>227</v>
      </c>
      <c r="R29" s="429" t="s">
        <v>227</v>
      </c>
      <c r="S29" s="430" t="s">
        <v>227</v>
      </c>
      <c r="T29" s="428" t="s">
        <v>231</v>
      </c>
      <c r="U29" s="429" t="s">
        <v>227</v>
      </c>
      <c r="V29" s="430" t="s">
        <v>227</v>
      </c>
      <c r="W29" s="428" t="s">
        <v>241</v>
      </c>
      <c r="X29" s="429" t="s">
        <v>222</v>
      </c>
      <c r="Y29" s="430" t="s">
        <v>241</v>
      </c>
      <c r="Z29" s="428" t="s">
        <v>227</v>
      </c>
      <c r="AA29" s="429" t="s">
        <v>227</v>
      </c>
      <c r="AB29" s="430" t="s">
        <v>227</v>
      </c>
    </row>
    <row r="30" ht="18.95" customHeight="1">
      <c r="A30" s="58"/>
      <c r="B30" s="287">
        <v>2019</v>
      </c>
      <c r="C30" s="288"/>
      <c r="D30" s="272" t="s">
        <v>222</v>
      </c>
      <c r="E30" s="92" t="s">
        <v>223</v>
      </c>
      <c r="F30" s="273" t="s">
        <v>227</v>
      </c>
      <c r="G30" s="272" t="s">
        <v>231</v>
      </c>
      <c r="H30" s="92" t="s">
        <v>225</v>
      </c>
      <c r="I30" s="273" t="s">
        <v>231</v>
      </c>
      <c r="J30" s="272" t="s">
        <v>268</v>
      </c>
      <c r="K30" s="92" t="s">
        <v>268</v>
      </c>
      <c r="L30" s="273" t="s">
        <v>268</v>
      </c>
      <c r="M30" s="272" t="s">
        <v>227</v>
      </c>
      <c r="N30" s="92" t="s">
        <v>223</v>
      </c>
      <c r="O30" s="273" t="s">
        <v>227</v>
      </c>
      <c r="P30" s="5"/>
      <c r="Q30" s="272" t="s">
        <v>241</v>
      </c>
      <c r="R30" s="92" t="s">
        <v>241</v>
      </c>
      <c r="S30" s="273" t="s">
        <v>241</v>
      </c>
      <c r="T30" s="272" t="s">
        <v>241</v>
      </c>
      <c r="U30" s="92" t="s">
        <v>241</v>
      </c>
      <c r="V30" s="273" t="s">
        <v>241</v>
      </c>
      <c r="W30" s="272"/>
      <c r="X30" s="92"/>
      <c r="Y30" s="273"/>
      <c r="Z30" s="272" t="s">
        <v>241</v>
      </c>
      <c r="AA30" s="92" t="s">
        <v>241</v>
      </c>
      <c r="AB30" s="273" t="s">
        <v>241</v>
      </c>
    </row>
    <row r="31" ht="18.95" customHeight="1">
      <c r="A31" s="58"/>
      <c r="B31" s="426">
        <v>2020</v>
      </c>
      <c r="C31" s="427"/>
      <c r="D31" s="431"/>
      <c r="E31" s="432"/>
      <c r="F31" s="433"/>
      <c r="G31" s="431"/>
      <c r="H31" s="432"/>
      <c r="I31" s="433"/>
      <c r="J31" s="431"/>
      <c r="K31" s="432"/>
      <c r="L31" s="433"/>
      <c r="M31" s="431"/>
      <c r="N31" s="432"/>
      <c r="O31" s="433"/>
      <c r="P31" s="184"/>
      <c r="Q31" s="431"/>
      <c r="R31" s="432"/>
      <c r="S31" s="433"/>
      <c r="T31" s="431"/>
      <c r="U31" s="432"/>
      <c r="V31" s="433"/>
      <c r="W31" s="431"/>
      <c r="X31" s="432"/>
      <c r="Y31" s="433"/>
      <c r="Z31" s="431"/>
      <c r="AA31" s="432"/>
      <c r="AB31" s="433"/>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87" t="s">
        <v>44</v>
      </c>
      <c r="C33" s="987"/>
      <c r="D33" s="987"/>
      <c r="E33" s="987"/>
      <c r="F33" s="987"/>
      <c r="G33" s="987"/>
      <c r="H33" s="987"/>
      <c r="I33" s="987"/>
      <c r="J33" s="987"/>
      <c r="K33" s="987"/>
      <c r="L33" s="987"/>
      <c r="M33" s="987"/>
      <c r="N33" s="987"/>
      <c r="O33" s="987"/>
      <c r="P33" s="412"/>
      <c r="Q33" s="986"/>
      <c r="R33" s="986"/>
      <c r="S33" s="986"/>
      <c r="T33" s="986"/>
      <c r="U33" s="986"/>
      <c r="V33" s="986"/>
      <c r="W33" s="986"/>
      <c r="X33" s="986"/>
      <c r="Y33" s="986"/>
      <c r="Z33" s="986"/>
      <c r="AA33" s="986"/>
      <c r="AB33" s="986"/>
      <c r="AC33" s="9"/>
    </row>
    <row r="34" ht="18.95" customHeight="1">
      <c r="A34" s="58"/>
      <c r="B34" s="285">
        <v>2018</v>
      </c>
      <c r="C34" s="286"/>
      <c r="D34" s="428" t="s">
        <v>227</v>
      </c>
      <c r="E34" s="429" t="s">
        <v>223</v>
      </c>
      <c r="F34" s="430" t="s">
        <v>227</v>
      </c>
      <c r="G34" s="428" t="s">
        <v>231</v>
      </c>
      <c r="H34" s="429" t="s">
        <v>225</v>
      </c>
      <c r="I34" s="430" t="s">
        <v>223</v>
      </c>
      <c r="J34" s="428" t="s">
        <v>268</v>
      </c>
      <c r="K34" s="429" t="s">
        <v>268</v>
      </c>
      <c r="L34" s="430" t="s">
        <v>268</v>
      </c>
      <c r="M34" s="428" t="s">
        <v>227</v>
      </c>
      <c r="N34" s="429" t="s">
        <v>223</v>
      </c>
      <c r="O34" s="430" t="s">
        <v>227</v>
      </c>
      <c r="P34" s="5"/>
      <c r="Q34" s="428" t="s">
        <v>227</v>
      </c>
      <c r="R34" s="429" t="s">
        <v>227</v>
      </c>
      <c r="S34" s="430" t="s">
        <v>227</v>
      </c>
      <c r="T34" s="428" t="s">
        <v>241</v>
      </c>
      <c r="U34" s="429" t="s">
        <v>227</v>
      </c>
      <c r="V34" s="430" t="s">
        <v>241</v>
      </c>
      <c r="W34" s="428"/>
      <c r="X34" s="429"/>
      <c r="Y34" s="430"/>
      <c r="Z34" s="428" t="s">
        <v>222</v>
      </c>
      <c r="AA34" s="429" t="s">
        <v>227</v>
      </c>
      <c r="AB34" s="430" t="s">
        <v>227</v>
      </c>
    </row>
    <row r="35" ht="18.95" customHeight="1">
      <c r="A35" s="58"/>
      <c r="B35" s="287">
        <v>2019</v>
      </c>
      <c r="C35" s="288"/>
      <c r="D35" s="272" t="s">
        <v>222</v>
      </c>
      <c r="E35" s="92" t="s">
        <v>223</v>
      </c>
      <c r="F35" s="273" t="s">
        <v>225</v>
      </c>
      <c r="G35" s="272" t="s">
        <v>231</v>
      </c>
      <c r="H35" s="92" t="s">
        <v>222</v>
      </c>
      <c r="I35" s="273" t="s">
        <v>223</v>
      </c>
      <c r="J35" s="272" t="s">
        <v>268</v>
      </c>
      <c r="K35" s="92" t="s">
        <v>268</v>
      </c>
      <c r="L35" s="273" t="s">
        <v>268</v>
      </c>
      <c r="M35" s="272" t="s">
        <v>222</v>
      </c>
      <c r="N35" s="92" t="s">
        <v>223</v>
      </c>
      <c r="O35" s="273" t="s">
        <v>225</v>
      </c>
      <c r="P35" s="5"/>
      <c r="Q35" s="272" t="s">
        <v>241</v>
      </c>
      <c r="R35" s="92" t="s">
        <v>223</v>
      </c>
      <c r="S35" s="273" t="s">
        <v>241</v>
      </c>
      <c r="T35" s="272" t="s">
        <v>225</v>
      </c>
      <c r="U35" s="92" t="s">
        <v>222</v>
      </c>
      <c r="V35" s="273" t="s">
        <v>225</v>
      </c>
      <c r="W35" s="272"/>
      <c r="X35" s="92"/>
      <c r="Y35" s="273"/>
      <c r="Z35" s="272" t="s">
        <v>241</v>
      </c>
      <c r="AA35" s="92" t="s">
        <v>225</v>
      </c>
      <c r="AB35" s="273" t="s">
        <v>241</v>
      </c>
    </row>
    <row r="36" ht="18.95" customHeight="1">
      <c r="A36" s="58"/>
      <c r="B36" s="426">
        <v>2020</v>
      </c>
      <c r="C36" s="427"/>
      <c r="D36" s="431"/>
      <c r="E36" s="432"/>
      <c r="F36" s="433"/>
      <c r="G36" s="431"/>
      <c r="H36" s="432"/>
      <c r="I36" s="433"/>
      <c r="J36" s="431"/>
      <c r="K36" s="432"/>
      <c r="L36" s="433"/>
      <c r="M36" s="431"/>
      <c r="N36" s="432"/>
      <c r="O36" s="433"/>
      <c r="P36" s="184"/>
      <c r="Q36" s="431"/>
      <c r="R36" s="432"/>
      <c r="S36" s="433"/>
      <c r="T36" s="431"/>
      <c r="U36" s="432"/>
      <c r="V36" s="433"/>
      <c r="W36" s="431"/>
      <c r="X36" s="432"/>
      <c r="Y36" s="433"/>
      <c r="Z36" s="431"/>
      <c r="AA36" s="432"/>
      <c r="AB36" s="433"/>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87" t="s">
        <v>45</v>
      </c>
      <c r="C38" s="987"/>
      <c r="D38" s="987"/>
      <c r="E38" s="987"/>
      <c r="F38" s="987"/>
      <c r="G38" s="987"/>
      <c r="H38" s="987"/>
      <c r="I38" s="987"/>
      <c r="J38" s="987"/>
      <c r="K38" s="987"/>
      <c r="L38" s="987"/>
      <c r="M38" s="987"/>
      <c r="N38" s="987"/>
      <c r="O38" s="987"/>
      <c r="P38" s="412"/>
      <c r="Q38" s="986"/>
      <c r="R38" s="986"/>
      <c r="S38" s="986"/>
      <c r="T38" s="986"/>
      <c r="U38" s="986"/>
      <c r="V38" s="986"/>
      <c r="W38" s="986"/>
      <c r="X38" s="986"/>
      <c r="Y38" s="986"/>
      <c r="Z38" s="986"/>
      <c r="AA38" s="986"/>
      <c r="AB38" s="986"/>
      <c r="AC38" s="9"/>
    </row>
    <row r="39" ht="18.95" customHeight="1">
      <c r="A39" s="58"/>
      <c r="B39" s="285">
        <v>2018</v>
      </c>
      <c r="C39" s="286"/>
      <c r="D39" s="428" t="s">
        <v>227</v>
      </c>
      <c r="E39" s="429" t="s">
        <v>227</v>
      </c>
      <c r="F39" s="430" t="s">
        <v>227</v>
      </c>
      <c r="G39" s="428" t="s">
        <v>223</v>
      </c>
      <c r="H39" s="429" t="s">
        <v>227</v>
      </c>
      <c r="I39" s="430" t="s">
        <v>223</v>
      </c>
      <c r="J39" s="428" t="s">
        <v>241</v>
      </c>
      <c r="K39" s="429" t="s">
        <v>231</v>
      </c>
      <c r="L39" s="430" t="s">
        <v>231</v>
      </c>
      <c r="M39" s="428" t="s">
        <v>227</v>
      </c>
      <c r="N39" s="429" t="s">
        <v>227</v>
      </c>
      <c r="O39" s="430" t="s">
        <v>227</v>
      </c>
      <c r="P39" s="5"/>
      <c r="Q39" s="428" t="s">
        <v>227</v>
      </c>
      <c r="R39" s="429" t="s">
        <v>227</v>
      </c>
      <c r="S39" s="430" t="s">
        <v>227</v>
      </c>
      <c r="T39" s="428" t="s">
        <v>231</v>
      </c>
      <c r="U39" s="429" t="s">
        <v>227</v>
      </c>
      <c r="V39" s="430" t="s">
        <v>227</v>
      </c>
      <c r="W39" s="428" t="s">
        <v>241</v>
      </c>
      <c r="X39" s="429" t="s">
        <v>222</v>
      </c>
      <c r="Y39" s="430" t="s">
        <v>241</v>
      </c>
      <c r="Z39" s="428" t="s">
        <v>227</v>
      </c>
      <c r="AA39" s="429" t="s">
        <v>227</v>
      </c>
      <c r="AB39" s="430" t="s">
        <v>227</v>
      </c>
    </row>
    <row r="40" ht="18.95" customHeight="1">
      <c r="A40" s="58"/>
      <c r="B40" s="287">
        <v>2019</v>
      </c>
      <c r="C40" s="288"/>
      <c r="D40" s="272" t="s">
        <v>222</v>
      </c>
      <c r="E40" s="92" t="s">
        <v>223</v>
      </c>
      <c r="F40" s="273" t="s">
        <v>227</v>
      </c>
      <c r="G40" s="272" t="s">
        <v>231</v>
      </c>
      <c r="H40" s="92" t="s">
        <v>225</v>
      </c>
      <c r="I40" s="273" t="s">
        <v>231</v>
      </c>
      <c r="J40" s="272" t="s">
        <v>268</v>
      </c>
      <c r="K40" s="92" t="s">
        <v>268</v>
      </c>
      <c r="L40" s="273" t="s">
        <v>268</v>
      </c>
      <c r="M40" s="272" t="s">
        <v>227</v>
      </c>
      <c r="N40" s="92" t="s">
        <v>223</v>
      </c>
      <c r="O40" s="273" t="s">
        <v>227</v>
      </c>
      <c r="P40" s="5"/>
      <c r="Q40" s="272" t="s">
        <v>241</v>
      </c>
      <c r="R40" s="92" t="s">
        <v>241</v>
      </c>
      <c r="S40" s="273" t="s">
        <v>241</v>
      </c>
      <c r="T40" s="272" t="s">
        <v>241</v>
      </c>
      <c r="U40" s="92" t="s">
        <v>241</v>
      </c>
      <c r="V40" s="273" t="s">
        <v>241</v>
      </c>
      <c r="W40" s="272"/>
      <c r="X40" s="92"/>
      <c r="Y40" s="273"/>
      <c r="Z40" s="272" t="s">
        <v>241</v>
      </c>
      <c r="AA40" s="92" t="s">
        <v>241</v>
      </c>
      <c r="AB40" s="273" t="s">
        <v>241</v>
      </c>
    </row>
    <row r="41" ht="18.95" customHeight="1">
      <c r="A41" s="58"/>
      <c r="B41" s="426">
        <v>2020</v>
      </c>
      <c r="C41" s="427"/>
      <c r="D41" s="431"/>
      <c r="E41" s="432"/>
      <c r="F41" s="433"/>
      <c r="G41" s="431"/>
      <c r="H41" s="432"/>
      <c r="I41" s="433"/>
      <c r="J41" s="431"/>
      <c r="K41" s="432"/>
      <c r="L41" s="433"/>
      <c r="M41" s="431"/>
      <c r="N41" s="432"/>
      <c r="O41" s="433"/>
      <c r="P41" s="184"/>
      <c r="Q41" s="431"/>
      <c r="R41" s="432"/>
      <c r="S41" s="433"/>
      <c r="T41" s="431"/>
      <c r="U41" s="432"/>
      <c r="V41" s="433"/>
      <c r="W41" s="431"/>
      <c r="X41" s="432"/>
      <c r="Y41" s="433"/>
      <c r="Z41" s="431"/>
      <c r="AA41" s="432"/>
      <c r="AB41" s="433"/>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49" t="s">
        <v>129</v>
      </c>
      <c r="C43" s="1049"/>
      <c r="D43" s="1049"/>
      <c r="E43" s="1049"/>
      <c r="F43" s="1049"/>
      <c r="G43" s="1049"/>
      <c r="H43" s="1049"/>
      <c r="I43" s="1049"/>
      <c r="J43" s="1049"/>
      <c r="K43" s="1049"/>
      <c r="L43" s="1049"/>
      <c r="M43" s="1049"/>
      <c r="N43" s="1049"/>
      <c r="O43" s="1049"/>
      <c r="P43" s="1049"/>
      <c r="Q43" s="1049"/>
      <c r="R43" s="1049"/>
      <c r="S43" s="1049"/>
      <c r="T43" s="1049"/>
      <c r="U43" s="1049"/>
      <c r="V43" s="1049"/>
      <c r="W43" s="1049"/>
      <c r="X43" s="1049"/>
      <c r="Y43" s="1049"/>
      <c r="Z43" s="1049"/>
      <c r="AA43" s="1049"/>
      <c r="AB43" s="1049"/>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9"/>
      <c r="B1" s="657" t="s">
        <v>154</v>
      </c>
      <c r="Y1" s="5"/>
      <c r="AB1" s="686"/>
      <c r="AD1" s="236"/>
    </row>
    <row r="2" ht="15" customHeight="1">
      <c r="A2" s="11"/>
      <c r="B2" s="11" t="s">
        <v>211</v>
      </c>
    </row>
    <row r="3" ht="17.1" customHeight="1">
      <c r="A3" s="11"/>
      <c r="B3" s="11" t="s">
        <v>212</v>
      </c>
      <c r="R3" s="1053" t="s">
        <v>298</v>
      </c>
      <c r="S3" s="1053"/>
      <c r="T3" s="1053"/>
      <c r="U3" s="1053"/>
      <c r="V3" s="1053"/>
      <c r="W3" s="1053"/>
      <c r="X3" s="1053"/>
      <c r="Y3" s="1053"/>
      <c r="Z3" s="1053"/>
      <c r="AA3" s="1053"/>
      <c r="AB3" s="1053"/>
    </row>
    <row r="4" ht="19.5" customHeight="1">
      <c r="A4" s="4"/>
      <c r="B4" s="211" t="s">
        <v>213</v>
      </c>
      <c r="C4" s="5"/>
      <c r="D4" s="5"/>
      <c r="E4" s="5"/>
      <c r="F4" s="5"/>
      <c r="G4" s="5"/>
      <c r="H4" s="212"/>
      <c r="I4" s="212"/>
      <c r="J4" s="212"/>
      <c r="K4" s="212"/>
      <c r="L4" s="212"/>
      <c r="M4" s="212"/>
      <c r="N4" s="212"/>
      <c r="O4" s="212"/>
      <c r="P4" s="212"/>
      <c r="Q4" s="212"/>
      <c r="R4" s="212"/>
      <c r="S4" s="212"/>
      <c r="T4" s="212"/>
      <c r="U4" s="4"/>
      <c r="V4" s="4"/>
    </row>
    <row r="5" ht="12.75" customHeight="1"/>
    <row r="6" ht="15.75">
      <c r="D6" s="993" t="s">
        <v>42</v>
      </c>
      <c r="E6" s="993"/>
      <c r="F6" s="993"/>
      <c r="G6" s="993"/>
      <c r="H6" s="993"/>
      <c r="I6" s="993"/>
      <c r="J6" s="993"/>
      <c r="K6" s="993"/>
      <c r="L6" s="993"/>
      <c r="M6" s="993"/>
      <c r="N6" s="993"/>
      <c r="O6" s="993"/>
      <c r="Q6" s="975" t="s">
        <v>72</v>
      </c>
      <c r="R6" s="975"/>
      <c r="S6" s="975"/>
      <c r="T6" s="975"/>
      <c r="U6" s="975"/>
      <c r="V6" s="975"/>
      <c r="W6" s="975"/>
      <c r="X6" s="975"/>
      <c r="Y6" s="975"/>
      <c r="Z6" s="975"/>
      <c r="AA6" s="975"/>
      <c r="AB6" s="975"/>
    </row>
    <row r="7" ht="15.75">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1054"/>
      <c r="C8" s="1054"/>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88" t="s">
        <v>22</v>
      </c>
      <c r="C10" s="988"/>
      <c r="D10" s="988"/>
      <c r="E10" s="988"/>
      <c r="F10" s="988"/>
      <c r="G10" s="988"/>
      <c r="H10" s="988"/>
      <c r="I10" s="988"/>
      <c r="J10" s="988"/>
      <c r="K10" s="988"/>
      <c r="L10" s="988"/>
      <c r="M10" s="988"/>
      <c r="N10" s="988"/>
      <c r="O10" s="988"/>
      <c r="P10" s="412"/>
      <c r="Q10" s="986"/>
      <c r="R10" s="986"/>
      <c r="S10" s="986"/>
      <c r="T10" s="986"/>
      <c r="U10" s="986"/>
      <c r="V10" s="986"/>
      <c r="W10" s="986"/>
      <c r="X10" s="986"/>
      <c r="Y10" s="986"/>
      <c r="Z10" s="986"/>
      <c r="AA10" s="986"/>
      <c r="AB10" s="986"/>
      <c r="AC10" s="9"/>
    </row>
    <row r="11" ht="18" customHeight="1">
      <c r="A11" s="58"/>
      <c r="B11" s="1055" t="s">
        <v>43</v>
      </c>
      <c r="C11" s="1055"/>
      <c r="D11" s="428">
        <v>75.000000000000000000000000070</v>
      </c>
      <c r="E11" s="429"/>
      <c r="F11" s="430">
        <v>41.621042639211488434337611620</v>
      </c>
      <c r="G11" s="428">
        <v>2.4621212121212121212121212200</v>
      </c>
      <c r="H11" s="429"/>
      <c r="I11" s="430">
        <v>0.6439371327858607991749769500</v>
      </c>
      <c r="J11" s="428">
        <v>0</v>
      </c>
      <c r="K11" s="429"/>
      <c r="L11" s="430">
        <v>4.2407470165287628307175514200</v>
      </c>
      <c r="M11" s="428">
        <v>77.462121212121212121212121290</v>
      </c>
      <c r="N11" s="429"/>
      <c r="O11" s="430">
        <v>46.505726788526112064230139990</v>
      </c>
      <c r="P11" s="5"/>
      <c r="Q11" s="428">
        <v>-5.7683951629432260709161713500</v>
      </c>
      <c r="R11" s="429"/>
      <c r="S11" s="430">
        <v>-35.367433919429171787461847930</v>
      </c>
      <c r="T11" s="428">
        <v>-9.774031563845050215208034280</v>
      </c>
      <c r="U11" s="429"/>
      <c r="V11" s="430">
        <v>-91.05665893809992916950800004</v>
      </c>
      <c r="W11" s="428">
        <v>0</v>
      </c>
      <c r="X11" s="429"/>
      <c r="Y11" s="430">
        <v>-33.420939233536159612425790010</v>
      </c>
      <c r="Z11" s="428">
        <v>-5.9011786900449439983512607300</v>
      </c>
      <c r="AA11" s="429"/>
      <c r="AB11" s="430">
        <v>-40.351327003153400838606613650</v>
      </c>
    </row>
    <row r="12" ht="18" customHeight="1">
      <c r="A12" s="58"/>
      <c r="B12" s="1056" t="s">
        <v>46</v>
      </c>
      <c r="C12" s="1056"/>
      <c r="D12" s="421">
        <v>65.340909090909090909090909140</v>
      </c>
      <c r="E12" s="91"/>
      <c r="F12" s="422">
        <v>37.286498862473461027463094600</v>
      </c>
      <c r="G12" s="421">
        <v>2.6515151515151515151515151500</v>
      </c>
      <c r="H12" s="91"/>
      <c r="I12" s="422">
        <v>0.4712814143676831579798012300</v>
      </c>
      <c r="J12" s="421">
        <v>0</v>
      </c>
      <c r="K12" s="91"/>
      <c r="L12" s="422">
        <v>3.9471245616694261564644096800</v>
      </c>
      <c r="M12" s="421">
        <v>67.992424242424242424242424290</v>
      </c>
      <c r="N12" s="91"/>
      <c r="O12" s="422">
        <v>41.704904838510570341907305510</v>
      </c>
      <c r="P12" s="5"/>
      <c r="Q12" s="421">
        <v>-18.215842360455081278126097470</v>
      </c>
      <c r="R12" s="91"/>
      <c r="S12" s="422">
        <v>-41.113581844665784780606176960</v>
      </c>
      <c r="T12" s="421">
        <v>-39.689803591747885024489190290</v>
      </c>
      <c r="U12" s="91"/>
      <c r="V12" s="422">
        <v>-93.93936825802977557562021851</v>
      </c>
      <c r="W12" s="421">
        <v>0</v>
      </c>
      <c r="X12" s="91"/>
      <c r="Y12" s="422">
        <v>-37.012956407781119151789828320</v>
      </c>
      <c r="Z12" s="421">
        <v>-19.335887100936180754105467410</v>
      </c>
      <c r="AA12" s="91"/>
      <c r="AB12" s="422">
        <v>-46.091247398448862343521952790</v>
      </c>
    </row>
    <row r="13" ht="18" customHeight="1">
      <c r="A13" s="58"/>
      <c r="B13" s="1056" t="s">
        <v>47</v>
      </c>
      <c r="C13" s="1056"/>
      <c r="D13" s="421">
        <v>59.545454545454545454545454600</v>
      </c>
      <c r="E13" s="91"/>
      <c r="F13" s="422">
        <v>35.487994523418291035555131130</v>
      </c>
      <c r="G13" s="421">
        <v>2.8787878787878787878787878800</v>
      </c>
      <c r="H13" s="91"/>
      <c r="I13" s="422">
        <v>0.740458372629891976069728600</v>
      </c>
      <c r="J13" s="421">
        <v>0</v>
      </c>
      <c r="K13" s="91"/>
      <c r="L13" s="422">
        <v>4.2444079189263570999039180400</v>
      </c>
      <c r="M13" s="421">
        <v>62.424242424242424242424242490</v>
      </c>
      <c r="N13" s="91"/>
      <c r="O13" s="422">
        <v>40.472860814974540111528777770</v>
      </c>
      <c r="P13" s="184"/>
      <c r="Q13" s="421">
        <v>-23.136113115476728613262879490</v>
      </c>
      <c r="R13" s="91"/>
      <c r="S13" s="422">
        <v>-45.905975587511399021546765580</v>
      </c>
      <c r="T13" s="421">
        <v>-45.745439639270342283254765340</v>
      </c>
      <c r="U13" s="91"/>
      <c r="V13" s="422">
        <v>-92.12978501436208236702370898</v>
      </c>
      <c r="W13" s="421">
        <v>0</v>
      </c>
      <c r="X13" s="91"/>
      <c r="Y13" s="422">
        <v>-34.158155561770461368993664150</v>
      </c>
      <c r="Z13" s="421">
        <v>-24.585428918284011540826461900</v>
      </c>
      <c r="AA13" s="91"/>
      <c r="AB13" s="422">
        <v>-50.315059234216593840616029540</v>
      </c>
    </row>
    <row r="14" ht="18" customHeight="1">
      <c r="A14" s="58"/>
      <c r="B14" s="1056" t="s">
        <v>48</v>
      </c>
      <c r="C14" s="1056"/>
      <c r="D14" s="421">
        <v>58.787878787878787878787878850</v>
      </c>
      <c r="E14" s="91"/>
      <c r="F14" s="422">
        <v>39.266344546254586954357936350</v>
      </c>
      <c r="G14" s="421">
        <v>2.7272727272727272727272727300</v>
      </c>
      <c r="H14" s="91"/>
      <c r="I14" s="422">
        <v>0.7825061773346934356545618600</v>
      </c>
      <c r="J14" s="421">
        <v>0</v>
      </c>
      <c r="K14" s="91"/>
      <c r="L14" s="422">
        <v>4.1215731074329973699461467100</v>
      </c>
      <c r="M14" s="421">
        <v>61.515151515151515151515151580</v>
      </c>
      <c r="N14" s="91"/>
      <c r="O14" s="422">
        <v>44.170423831022277759958644920</v>
      </c>
      <c r="P14" s="5"/>
      <c r="Q14" s="421">
        <v>-23.402008608321377331420373010</v>
      </c>
      <c r="R14" s="91"/>
      <c r="S14" s="422">
        <v>-37.071616372926585687796916480</v>
      </c>
      <c r="T14" s="421">
        <v>-4.0550932568149210903873744300</v>
      </c>
      <c r="U14" s="91"/>
      <c r="V14" s="422">
        <v>-93.68735520352237713503373919</v>
      </c>
      <c r="W14" s="421">
        <v>0</v>
      </c>
      <c r="X14" s="91"/>
      <c r="Y14" s="422">
        <v>-36.959491421188975157756099530</v>
      </c>
      <c r="Z14" s="421">
        <v>-22.711047345767575322812051630</v>
      </c>
      <c r="AA14" s="91"/>
      <c r="AB14" s="422">
        <v>-45.691406771729605986337658200</v>
      </c>
    </row>
    <row r="15" ht="18" customHeight="1">
      <c r="A15" s="58"/>
      <c r="B15" s="1056" t="s">
        <v>49</v>
      </c>
      <c r="C15" s="1056"/>
      <c r="D15" s="421">
        <v>67.121212121212121212121212160</v>
      </c>
      <c r="E15" s="91"/>
      <c r="F15" s="422">
        <v>44.327218936912757427642646690</v>
      </c>
      <c r="G15" s="421">
        <v>3.3333333333333333333333333400</v>
      </c>
      <c r="H15" s="91"/>
      <c r="I15" s="422">
        <v>1.2657272316873745825680064300</v>
      </c>
      <c r="J15" s="421">
        <v>0</v>
      </c>
      <c r="K15" s="91"/>
      <c r="L15" s="422">
        <v>4.2697786213377418664097609400</v>
      </c>
      <c r="M15" s="421">
        <v>70.454545454545454545454545500</v>
      </c>
      <c r="N15" s="91"/>
      <c r="O15" s="422">
        <v>49.862724789937873876620414070</v>
      </c>
      <c r="P15" s="184"/>
      <c r="Q15" s="421">
        <v>-23.664522831840894473853460630</v>
      </c>
      <c r="R15" s="91"/>
      <c r="S15" s="422">
        <v>-32.641735070584874804239362180</v>
      </c>
      <c r="T15" s="421">
        <v>251.79799139167862266857962742</v>
      </c>
      <c r="U15" s="91"/>
      <c r="V15" s="422">
        <v>-90.36684492704846016468733596</v>
      </c>
      <c r="W15" s="421">
        <v>0</v>
      </c>
      <c r="X15" s="91"/>
      <c r="Y15" s="422">
        <v>-37.363022087829551062202913880</v>
      </c>
      <c r="Z15" s="421">
        <v>-20.727822253764993438219845620</v>
      </c>
      <c r="AA15" s="91"/>
      <c r="AB15" s="422">
        <v>-41.860625101121448809907745440</v>
      </c>
    </row>
    <row r="16" ht="18" customHeight="1">
      <c r="A16" s="58"/>
      <c r="B16" s="1057" t="s">
        <v>78</v>
      </c>
      <c r="C16" s="1057"/>
      <c r="D16" s="431">
        <v>64.723320158102766798418972380</v>
      </c>
      <c r="E16" s="432"/>
      <c r="F16" s="433">
        <v>39.610345914768172823260060690</v>
      </c>
      <c r="G16" s="431">
        <v>2.8326745718050065876152832700</v>
      </c>
      <c r="H16" s="432"/>
      <c r="I16" s="433">
        <v>0.8001883955162598173948085700</v>
      </c>
      <c r="J16" s="431">
        <v>0</v>
      </c>
      <c r="K16" s="432"/>
      <c r="L16" s="433">
        <v>4.170881937012097288262042300</v>
      </c>
      <c r="M16" s="431">
        <v>67.555994729907773386034255650</v>
      </c>
      <c r="N16" s="432"/>
      <c r="O16" s="433">
        <v>44.581416247296529928916911570</v>
      </c>
      <c r="P16" s="5"/>
      <c r="Q16" s="431">
        <v>-19.248671467945329608094842550</v>
      </c>
      <c r="R16" s="432"/>
      <c r="S16" s="433">
        <v>-38.419520305513028726987018170</v>
      </c>
      <c r="T16" s="431">
        <v>-15.734661152839902101443159700</v>
      </c>
      <c r="U16" s="432"/>
      <c r="V16" s="433">
        <v>-91.78612028587060955896783193</v>
      </c>
      <c r="W16" s="431">
        <v>0</v>
      </c>
      <c r="X16" s="432"/>
      <c r="Y16" s="433">
        <v>-35.544086651662944801656769480</v>
      </c>
      <c r="Z16" s="630">
        <v>-19.107223538923722028900496990</v>
      </c>
      <c r="AA16" s="214"/>
      <c r="AB16" s="631">
        <v>-44.643911213412446801322861140</v>
      </c>
    </row>
    <row r="17" ht="6" customHeight="1">
      <c r="A17" s="58"/>
      <c r="B17" s="632"/>
      <c r="C17" s="632"/>
      <c r="D17" s="91"/>
      <c r="E17" s="91"/>
      <c r="F17" s="91"/>
      <c r="G17" s="91"/>
      <c r="H17" s="91"/>
      <c r="I17" s="91"/>
      <c r="J17" s="91"/>
      <c r="K17" s="91"/>
      <c r="L17" s="91"/>
      <c r="M17" s="91"/>
      <c r="N17" s="91"/>
      <c r="O17" s="91"/>
      <c r="P17" s="5"/>
      <c r="Q17" s="91"/>
      <c r="R17" s="91"/>
      <c r="S17" s="91"/>
      <c r="T17" s="91"/>
      <c r="U17" s="91"/>
      <c r="V17" s="91"/>
      <c r="W17" s="91"/>
      <c r="X17" s="91"/>
      <c r="Y17" s="91"/>
      <c r="Z17" s="633"/>
      <c r="AA17" s="633"/>
      <c r="AB17" s="633"/>
      <c r="AC17" s="4"/>
    </row>
    <row r="18" ht="18" customHeight="1">
      <c r="A18" s="58"/>
      <c r="B18" s="1058" t="s">
        <v>50</v>
      </c>
      <c r="C18" s="1058"/>
      <c r="D18" s="480">
        <v>77.840909090909090909090909130</v>
      </c>
      <c r="E18" s="481"/>
      <c r="F18" s="482">
        <v>44.978054442252343320931243700</v>
      </c>
      <c r="G18" s="480">
        <v>2.0833333333333333333333333300</v>
      </c>
      <c r="H18" s="481"/>
      <c r="I18" s="482">
        <v>1.6234899627159479134291498800</v>
      </c>
      <c r="J18" s="480">
        <v>0</v>
      </c>
      <c r="K18" s="481"/>
      <c r="L18" s="482">
        <v>4.411660518445736306864359900</v>
      </c>
      <c r="M18" s="480">
        <v>79.92424242424242424242424246</v>
      </c>
      <c r="N18" s="481"/>
      <c r="O18" s="482">
        <v>51.013204923414027541224753490</v>
      </c>
      <c r="P18" s="184"/>
      <c r="Q18" s="480">
        <v>-8.311577679852428776388604260</v>
      </c>
      <c r="R18" s="481"/>
      <c r="S18" s="482">
        <v>-38.288734499140609026971939420</v>
      </c>
      <c r="T18" s="480">
        <v>-35.331251582412017891805215780</v>
      </c>
      <c r="U18" s="481"/>
      <c r="V18" s="482">
        <v>-85.53990718826659003817330747</v>
      </c>
      <c r="W18" s="480">
        <v>0</v>
      </c>
      <c r="X18" s="481"/>
      <c r="Y18" s="482">
        <v>-33.348524464236247198287253310</v>
      </c>
      <c r="Z18" s="480">
        <v>-9.299393714999768593511362100</v>
      </c>
      <c r="AA18" s="481"/>
      <c r="AB18" s="482">
        <v>-43.775364767638068105831746460</v>
      </c>
    </row>
    <row r="19" ht="18" customHeight="1">
      <c r="A19" s="58"/>
      <c r="B19" s="1059" t="s">
        <v>51</v>
      </c>
      <c r="C19" s="1059"/>
      <c r="D19" s="272">
        <v>85.03787878787878787878787891</v>
      </c>
      <c r="E19" s="92"/>
      <c r="F19" s="273">
        <v>50.568339062232253855667843970</v>
      </c>
      <c r="G19" s="272">
        <v>2.0833333333333333333333333400</v>
      </c>
      <c r="H19" s="92"/>
      <c r="I19" s="273">
        <v>1.2807070401231782925241128600</v>
      </c>
      <c r="J19" s="272">
        <v>0</v>
      </c>
      <c r="K19" s="92"/>
      <c r="L19" s="273">
        <v>4.3119850401885242592195021800</v>
      </c>
      <c r="M19" s="272">
        <v>87.12121212121212121212121225</v>
      </c>
      <c r="N19" s="92"/>
      <c r="O19" s="273">
        <v>56.16103114254395640741145900</v>
      </c>
      <c r="P19" s="5"/>
      <c r="Q19" s="272">
        <v>-1.8069312370302233077678954900</v>
      </c>
      <c r="R19" s="92"/>
      <c r="S19" s="273">
        <v>-32.480291380443213590070789400</v>
      </c>
      <c r="T19" s="272">
        <v>-59.282639885222381635581061590</v>
      </c>
      <c r="U19" s="92"/>
      <c r="V19" s="273">
        <v>-86.38299936240088064061154857</v>
      </c>
      <c r="W19" s="272">
        <v>0</v>
      </c>
      <c r="X19" s="92"/>
      <c r="Y19" s="273">
        <v>-37.038250488433916740442593520</v>
      </c>
      <c r="Z19" s="272">
        <v>-5.0132207690574718095260679800</v>
      </c>
      <c r="AA19" s="92"/>
      <c r="AB19" s="273">
        <v>-38.384774084947707939795863850</v>
      </c>
    </row>
    <row r="20" ht="18" customHeight="1">
      <c r="A20" s="58"/>
      <c r="B20" s="1060" t="s">
        <v>79</v>
      </c>
      <c r="C20" s="1060"/>
      <c r="D20" s="274">
        <v>81.43939393939393939393939402</v>
      </c>
      <c r="E20" s="275"/>
      <c r="F20" s="276">
        <v>47.773196752242298588299543830</v>
      </c>
      <c r="G20" s="274">
        <v>2.0833333333333333333333333300</v>
      </c>
      <c r="H20" s="275"/>
      <c r="I20" s="276">
        <v>1.4520985014195631029766313700</v>
      </c>
      <c r="J20" s="274">
        <v>0</v>
      </c>
      <c r="K20" s="275"/>
      <c r="L20" s="276">
        <v>4.3618227793171302830419310400</v>
      </c>
      <c r="M20" s="274">
        <v>83.52272727272727272727272735</v>
      </c>
      <c r="N20" s="275"/>
      <c r="O20" s="276">
        <v>53.587118032978991974318106240</v>
      </c>
      <c r="P20" s="184"/>
      <c r="Q20" s="274">
        <v>-5.0269109125930388325657712100</v>
      </c>
      <c r="R20" s="275"/>
      <c r="S20" s="276">
        <v>-35.345020947983472282119499460</v>
      </c>
      <c r="T20" s="274">
        <v>-50.028694404591104734576757650</v>
      </c>
      <c r="U20" s="275"/>
      <c r="V20" s="276">
        <v>-85.92422424833550029068496291</v>
      </c>
      <c r="W20" s="274">
        <v>0</v>
      </c>
      <c r="X20" s="275"/>
      <c r="Y20" s="276">
        <v>-35.224836580637142088073597410</v>
      </c>
      <c r="Z20" s="274">
        <v>-7.1134003474169744486758696300</v>
      </c>
      <c r="AA20" s="275"/>
      <c r="AB20" s="276">
        <v>-41.073891015225782669844773190</v>
      </c>
    </row>
    <row r="21" ht="6" customHeight="1">
      <c r="A21" s="58"/>
      <c r="B21" s="632"/>
      <c r="C21" s="632"/>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7" t="s">
        <v>12</v>
      </c>
      <c r="C22" s="997"/>
      <c r="D22" s="469">
        <v>69.037145650048875855327468230</v>
      </c>
      <c r="E22" s="470">
        <v>49.412971617462669554314373650</v>
      </c>
      <c r="F22" s="471">
        <v>41.735392500403479119568238240</v>
      </c>
      <c r="G22" s="469">
        <v>2.6392961876832844574780058700</v>
      </c>
      <c r="H22" s="470">
        <v>0</v>
      </c>
      <c r="I22" s="471">
        <v>0.9648744295962906046524514300</v>
      </c>
      <c r="J22" s="469">
        <v>0</v>
      </c>
      <c r="K22" s="470">
        <v>0</v>
      </c>
      <c r="L22" s="471">
        <v>4.2052013910212665389933043600</v>
      </c>
      <c r="M22" s="469">
        <v>71.676441837732160312805474100</v>
      </c>
      <c r="N22" s="470">
        <v>49.412971617462669554314373650</v>
      </c>
      <c r="O22" s="471">
        <v>46.905468321021036263213994030</v>
      </c>
      <c r="P22" s="184"/>
      <c r="Q22" s="469">
        <v>-15.190633443410387271089762830</v>
      </c>
      <c r="R22" s="470">
        <v>-33.170694019544617075089144010</v>
      </c>
      <c r="S22" s="471">
        <v>-37.850431747120533008478983050</v>
      </c>
      <c r="T22" s="469">
        <v>-29.870129870129870129870129830</v>
      </c>
      <c r="U22" s="470">
        <v>-100</v>
      </c>
      <c r="V22" s="471">
        <v>-89.84845040037811717691573804</v>
      </c>
      <c r="W22" s="469">
        <v>0</v>
      </c>
      <c r="X22" s="470">
        <v>0</v>
      </c>
      <c r="Y22" s="471">
        <v>-35.922778592469685608831475990</v>
      </c>
      <c r="Z22" s="469">
        <v>-15.839311334289813486370157820</v>
      </c>
      <c r="AA22" s="470">
        <v>-36.652589351283944740434240420</v>
      </c>
      <c r="AB22" s="471">
        <v>-43.637162755475441788311416240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0" t="s">
        <v>9</v>
      </c>
      <c r="C24" s="1050"/>
      <c r="D24" s="1050"/>
      <c r="E24" s="1050"/>
      <c r="F24" s="1050"/>
      <c r="G24" s="1050"/>
      <c r="H24" s="1050"/>
      <c r="I24" s="1050"/>
      <c r="J24" s="1050"/>
      <c r="K24" s="1050"/>
      <c r="L24" s="1050"/>
      <c r="M24" s="1050"/>
      <c r="N24" s="1050"/>
      <c r="O24" s="1050"/>
      <c r="P24" s="412"/>
      <c r="Q24" s="1051"/>
      <c r="R24" s="1051"/>
      <c r="S24" s="1051"/>
      <c r="T24" s="1051"/>
      <c r="U24" s="1051"/>
      <c r="V24" s="1051"/>
      <c r="W24" s="1051"/>
      <c r="X24" s="1051"/>
      <c r="Y24" s="1051"/>
      <c r="Z24" s="1051"/>
      <c r="AA24" s="1051"/>
      <c r="AB24" s="1051"/>
      <c r="AC24" s="9"/>
    </row>
    <row r="25" ht="18" customHeight="1">
      <c r="A25" s="58"/>
      <c r="B25" s="1055" t="s">
        <v>43</v>
      </c>
      <c r="C25" s="1055"/>
      <c r="D25" s="455">
        <v>140.33219331741315115043794238</v>
      </c>
      <c r="E25" s="456"/>
      <c r="F25" s="457">
        <v>140.00249482009185059027115233</v>
      </c>
      <c r="G25" s="455">
        <v>251.91098778223611168092106751</v>
      </c>
      <c r="H25" s="456"/>
      <c r="I25" s="457">
        <v>142.49433957035694449888842971</v>
      </c>
      <c r="J25" s="455">
        <v>0</v>
      </c>
      <c r="K25" s="456"/>
      <c r="L25" s="457">
        <v>96.94976640352320362988628296</v>
      </c>
      <c r="M25" s="455">
        <v>143.87870756690630148514767496</v>
      </c>
      <c r="N25" s="456"/>
      <c r="O25" s="457">
        <v>136.11112163405226475072983034</v>
      </c>
      <c r="P25" s="5"/>
      <c r="Q25" s="428">
        <v>-33.492020939858917717157772250</v>
      </c>
      <c r="R25" s="429"/>
      <c r="S25" s="430">
        <v>-29.915451222045066518011140510</v>
      </c>
      <c r="T25" s="428">
        <v>47.565076916834237107611927710</v>
      </c>
      <c r="U25" s="429"/>
      <c r="V25" s="430">
        <v>-31.714434438899427504927316950</v>
      </c>
      <c r="W25" s="428">
        <v>0</v>
      </c>
      <c r="X25" s="429"/>
      <c r="Y25" s="430">
        <v>-21.756615749053000000195894660</v>
      </c>
      <c r="Z25" s="428">
        <v>-31.376859160711133174707322230</v>
      </c>
      <c r="AA25" s="429"/>
      <c r="AB25" s="430">
        <v>-29.979786450192002601707695770</v>
      </c>
    </row>
    <row r="26" ht="18" customHeight="1">
      <c r="A26" s="58"/>
      <c r="B26" s="1056" t="s">
        <v>46</v>
      </c>
      <c r="C26" s="1056"/>
      <c r="D26" s="440">
        <v>150.79218328346251756282079873</v>
      </c>
      <c r="E26" s="95"/>
      <c r="F26" s="441">
        <v>147.03437407014254154881787563</v>
      </c>
      <c r="G26" s="440">
        <v>249.4548172736951136389376815</v>
      </c>
      <c r="H26" s="95"/>
      <c r="I26" s="441">
        <v>131.46351846847177676960909391</v>
      </c>
      <c r="J26" s="440">
        <v>0</v>
      </c>
      <c r="K26" s="95"/>
      <c r="L26" s="441">
        <v>96.08099906327571180415454838</v>
      </c>
      <c r="M26" s="440">
        <v>154.63975118280306448500920085</v>
      </c>
      <c r="N26" s="95"/>
      <c r="O26" s="441">
        <v>142.0359794293295391158969013</v>
      </c>
      <c r="P26" s="5"/>
      <c r="Q26" s="421">
        <v>-31.942301083486871395353795320</v>
      </c>
      <c r="R26" s="91"/>
      <c r="S26" s="422">
        <v>-26.924683042390587424002739310</v>
      </c>
      <c r="T26" s="421">
        <v>31.711481042229036798178401400</v>
      </c>
      <c r="U26" s="91"/>
      <c r="V26" s="422">
        <v>-36.793761365095676386392758650</v>
      </c>
      <c r="W26" s="421">
        <v>0</v>
      </c>
      <c r="X26" s="91"/>
      <c r="Y26" s="422">
        <v>-21.655664432419004744330753900</v>
      </c>
      <c r="Z26" s="421">
        <v>-29.673165156180401770917929270</v>
      </c>
      <c r="AA26" s="91"/>
      <c r="AB26" s="422">
        <v>-27.357224058659596118284696160</v>
      </c>
    </row>
    <row r="27" ht="18" customHeight="1">
      <c r="A27" s="58"/>
      <c r="B27" s="1056" t="s">
        <v>47</v>
      </c>
      <c r="C27" s="1056"/>
      <c r="D27" s="440">
        <v>146.99172713733643673295326326</v>
      </c>
      <c r="E27" s="95"/>
      <c r="F27" s="441">
        <v>148.78345688817501904101489093</v>
      </c>
      <c r="G27" s="440">
        <v>259.01287553555037904573487213</v>
      </c>
      <c r="H27" s="95"/>
      <c r="I27" s="441">
        <v>134.82410207582834601990319408</v>
      </c>
      <c r="J27" s="440">
        <v>0</v>
      </c>
      <c r="K27" s="95"/>
      <c r="L27" s="441">
        <v>93.26003596496249239975190183</v>
      </c>
      <c r="M27" s="440">
        <v>152.15775097123465251922231805</v>
      </c>
      <c r="N27" s="95"/>
      <c r="O27" s="441">
        <v>142.70530072016179798137780103</v>
      </c>
      <c r="P27" s="93"/>
      <c r="Q27" s="421">
        <v>-42.926803106853312663378362060</v>
      </c>
      <c r="R27" s="91"/>
      <c r="S27" s="422">
        <v>-33.206162371975650123663247040</v>
      </c>
      <c r="T27" s="421">
        <v>7.8293193759095375901429703100</v>
      </c>
      <c r="U27" s="91"/>
      <c r="V27" s="422">
        <v>-33.761142546550843817320972380</v>
      </c>
      <c r="W27" s="421">
        <v>0</v>
      </c>
      <c r="X27" s="91"/>
      <c r="Y27" s="422">
        <v>-26.499823891277754789120731180</v>
      </c>
      <c r="Z27" s="421">
        <v>-40.664839290530697830015380260</v>
      </c>
      <c r="AA27" s="91"/>
      <c r="AB27" s="422">
        <v>-32.984993824193767347547412090</v>
      </c>
    </row>
    <row r="28" ht="18" customHeight="1">
      <c r="A28" s="58"/>
      <c r="B28" s="1056" t="s">
        <v>48</v>
      </c>
      <c r="C28" s="1056"/>
      <c r="D28" s="440">
        <v>164.91535120938398507550676998</v>
      </c>
      <c r="E28" s="95"/>
      <c r="F28" s="441">
        <v>162.02951988522069121021069788</v>
      </c>
      <c r="G28" s="440">
        <v>261.65038611818687475017463489</v>
      </c>
      <c r="H28" s="95"/>
      <c r="I28" s="441">
        <v>133.57698046259175439580427987</v>
      </c>
      <c r="J28" s="440">
        <v>0</v>
      </c>
      <c r="K28" s="95"/>
      <c r="L28" s="441">
        <v>99.13870037104066856242221285</v>
      </c>
      <c r="M28" s="440">
        <v>169.20409659942943338620633048</v>
      </c>
      <c r="N28" s="95"/>
      <c r="O28" s="441">
        <v>155.65707937276526937276750208</v>
      </c>
      <c r="P28" s="5"/>
      <c r="Q28" s="421">
        <v>-25.938550934652519496703301780</v>
      </c>
      <c r="R28" s="91"/>
      <c r="S28" s="422">
        <v>-21.101184741366636619927040810</v>
      </c>
      <c r="T28" s="421">
        <v>4.2156262045028134449947240800</v>
      </c>
      <c r="U28" s="91"/>
      <c r="V28" s="422">
        <v>-36.881849615015218013869392950</v>
      </c>
      <c r="W28" s="421">
        <v>0</v>
      </c>
      <c r="X28" s="91"/>
      <c r="Y28" s="422">
        <v>-24.194711697078620444886793530</v>
      </c>
      <c r="Z28" s="421">
        <v>-24.356995926914996599357906510</v>
      </c>
      <c r="AA28" s="91"/>
      <c r="AB28" s="422">
        <v>-22.297076439391839454822362300</v>
      </c>
    </row>
    <row r="29" ht="18" customHeight="1">
      <c r="A29" s="58"/>
      <c r="B29" s="1056" t="s">
        <v>49</v>
      </c>
      <c r="C29" s="1056"/>
      <c r="D29" s="440">
        <v>204.00561363533285627544797905</v>
      </c>
      <c r="E29" s="95"/>
      <c r="F29" s="441">
        <v>181.25417885527232421005266952</v>
      </c>
      <c r="G29" s="440">
        <v>260.43082923373769863905093936</v>
      </c>
      <c r="H29" s="95"/>
      <c r="I29" s="441">
        <v>147.44835275978099160589952827</v>
      </c>
      <c r="J29" s="440">
        <v>0</v>
      </c>
      <c r="K29" s="95"/>
      <c r="L29" s="441">
        <v>95.63634435973205890217213931</v>
      </c>
      <c r="M29" s="440">
        <v>206.67519372816061225824209759</v>
      </c>
      <c r="N29" s="95"/>
      <c r="O29" s="441">
        <v>173.06453106258997981328037796</v>
      </c>
      <c r="P29" s="93"/>
      <c r="Q29" s="421">
        <v>-23.415785003940193476812492110</v>
      </c>
      <c r="R29" s="91"/>
      <c r="S29" s="422">
        <v>-19.562519905250182208937355040</v>
      </c>
      <c r="T29" s="421">
        <v>-34.746369106507100054845329090</v>
      </c>
      <c r="U29" s="91"/>
      <c r="V29" s="422">
        <v>-32.606457758456848421528218280</v>
      </c>
      <c r="W29" s="421">
        <v>0</v>
      </c>
      <c r="X29" s="91"/>
      <c r="Y29" s="422">
        <v>-23.363258077296842939022776980</v>
      </c>
      <c r="Z29" s="421">
        <v>-22.823567990437102153447259900</v>
      </c>
      <c r="AA29" s="91"/>
      <c r="AB29" s="422">
        <v>-20.003757692258405348199813560</v>
      </c>
    </row>
    <row r="30" ht="18" customHeight="1">
      <c r="A30" s="58"/>
      <c r="B30" s="1057" t="s">
        <v>78</v>
      </c>
      <c r="C30" s="1057"/>
      <c r="D30" s="458">
        <v>162.70953875885844152168820086</v>
      </c>
      <c r="E30" s="459"/>
      <c r="F30" s="460">
        <v>157.64647564370245432574074492</v>
      </c>
      <c r="G30" s="458">
        <v>257.29814083076571349102707073</v>
      </c>
      <c r="H30" s="459"/>
      <c r="I30" s="460">
        <v>139.62929483302632680670525287</v>
      </c>
      <c r="J30" s="458">
        <v>0</v>
      </c>
      <c r="K30" s="459"/>
      <c r="L30" s="460">
        <v>96.16845956820999621709100066</v>
      </c>
      <c r="M30" s="458">
        <v>166.6757112494406089470237166</v>
      </c>
      <c r="N30" s="459"/>
      <c r="O30" s="460">
        <v>151.5714177255131493309981772</v>
      </c>
      <c r="P30" s="5"/>
      <c r="Q30" s="431">
        <v>-30.932470256024210655528544630</v>
      </c>
      <c r="R30" s="432"/>
      <c r="S30" s="433">
        <v>-25.166907242116417281117244270</v>
      </c>
      <c r="T30" s="431">
        <v>15.441186858575216905806554770</v>
      </c>
      <c r="U30" s="432"/>
      <c r="V30" s="433">
        <v>-33.669207850077811839656810200</v>
      </c>
      <c r="W30" s="431">
        <v>0</v>
      </c>
      <c r="X30" s="432"/>
      <c r="Y30" s="433">
        <v>-23.466261526824264098084442370</v>
      </c>
      <c r="Z30" s="431">
        <v>-29.095057133076800886484220060</v>
      </c>
      <c r="AA30" s="432"/>
      <c r="AB30" s="433">
        <v>-25.632651530391985420867555370</v>
      </c>
    </row>
    <row r="31" ht="6" customHeight="1">
      <c r="A31" s="58"/>
      <c r="B31" s="632"/>
      <c r="C31" s="632"/>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58" t="s">
        <v>50</v>
      </c>
      <c r="C32" s="1058"/>
      <c r="D32" s="494">
        <v>160.05652300148805602797318279</v>
      </c>
      <c r="E32" s="495"/>
      <c r="F32" s="496">
        <v>138.3610725570676154496443902</v>
      </c>
      <c r="G32" s="494">
        <v>250.3619257001449140521701824</v>
      </c>
      <c r="H32" s="495"/>
      <c r="I32" s="496">
        <v>148.44199640321109323261404346</v>
      </c>
      <c r="J32" s="494">
        <v>0</v>
      </c>
      <c r="K32" s="495"/>
      <c r="L32" s="496">
        <v>94.36337825283391025870160534</v>
      </c>
      <c r="M32" s="494">
        <v>162.41045529932034379637642212</v>
      </c>
      <c r="N32" s="495"/>
      <c r="O32" s="496">
        <v>134.87694305663041790082866906</v>
      </c>
      <c r="P32" s="93"/>
      <c r="Q32" s="480">
        <v>-47.006152146425109883252665490</v>
      </c>
      <c r="R32" s="481"/>
      <c r="S32" s="482">
        <v>-42.706827731787426755520962070</v>
      </c>
      <c r="T32" s="480">
        <v>7.3688536629753519696021538400</v>
      </c>
      <c r="U32" s="481"/>
      <c r="V32" s="482">
        <v>-37.204241513971647286742247600</v>
      </c>
      <c r="W32" s="480">
        <v>0</v>
      </c>
      <c r="X32" s="481"/>
      <c r="Y32" s="482">
        <v>-24.912502392383345935896875260</v>
      </c>
      <c r="Z32" s="480">
        <v>-45.774872431385509641120387510</v>
      </c>
      <c r="AA32" s="481"/>
      <c r="AB32" s="482">
        <v>-41.967158213085086579075267290</v>
      </c>
    </row>
    <row r="33" ht="18" customHeight="1">
      <c r="A33" s="58"/>
      <c r="B33" s="1059" t="s">
        <v>51</v>
      </c>
      <c r="C33" s="1059"/>
      <c r="D33" s="277">
        <v>159.02883495862469783521051639</v>
      </c>
      <c r="E33" s="94"/>
      <c r="F33" s="278">
        <v>144.20576796859417064190748594</v>
      </c>
      <c r="G33" s="277">
        <v>251.35974496923969450672593241</v>
      </c>
      <c r="H33" s="94"/>
      <c r="I33" s="278">
        <v>139.91758384420411204403693571</v>
      </c>
      <c r="J33" s="277">
        <v>0</v>
      </c>
      <c r="K33" s="94"/>
      <c r="L33" s="278">
        <v>96.39671033255863010464485949</v>
      </c>
      <c r="M33" s="277">
        <v>161.23674802409592601648588503</v>
      </c>
      <c r="N33" s="94"/>
      <c r="O33" s="278">
        <v>140.43725010836529535217915988</v>
      </c>
      <c r="P33" s="5"/>
      <c r="Q33" s="272">
        <v>-45.346457117300633064313345780</v>
      </c>
      <c r="R33" s="92"/>
      <c r="S33" s="273">
        <v>-38.653117435325603633688351370</v>
      </c>
      <c r="T33" s="272">
        <v>35.346481601394358630184867620</v>
      </c>
      <c r="U33" s="92"/>
      <c r="V33" s="273">
        <v>-41.996617249283637639299521620</v>
      </c>
      <c r="W33" s="272">
        <v>0</v>
      </c>
      <c r="X33" s="92"/>
      <c r="Y33" s="273">
        <v>-26.672004651998637872826533490</v>
      </c>
      <c r="Z33" s="272">
        <v>-43.446397046314727393154086590</v>
      </c>
      <c r="AA33" s="92"/>
      <c r="AB33" s="273">
        <v>-38.382231986659291931067243870</v>
      </c>
    </row>
    <row r="34" ht="18" customHeight="1">
      <c r="A34" s="58"/>
      <c r="B34" s="1060" t="s">
        <v>79</v>
      </c>
      <c r="C34" s="1060"/>
      <c r="D34" s="444">
        <v>159.51997424422567483198430231</v>
      </c>
      <c r="E34" s="445"/>
      <c r="F34" s="446">
        <v>141.45440270219418769842973605</v>
      </c>
      <c r="G34" s="444">
        <v>250.86083533469230427944805742</v>
      </c>
      <c r="H34" s="445"/>
      <c r="I34" s="446">
        <v>144.68285913856891720897419207</v>
      </c>
      <c r="J34" s="444">
        <v>0</v>
      </c>
      <c r="K34" s="445"/>
      <c r="L34" s="446">
        <v>95.36842797093376480517988276</v>
      </c>
      <c r="M34" s="634">
        <v>161.79831771813754087262398782</v>
      </c>
      <c r="N34" s="635"/>
      <c r="O34" s="636">
        <v>137.7906337807929680897118546</v>
      </c>
      <c r="P34" s="93"/>
      <c r="Q34" s="274">
        <v>-46.189454961322512256187758900</v>
      </c>
      <c r="R34" s="275"/>
      <c r="S34" s="276">
        <v>-40.624670726418311775180033550</v>
      </c>
      <c r="T34" s="274">
        <v>22.938491709088674617253965730</v>
      </c>
      <c r="U34" s="275"/>
      <c r="V34" s="276">
        <v>-39.359814173403681893779816810</v>
      </c>
      <c r="W34" s="274">
        <v>0</v>
      </c>
      <c r="X34" s="275"/>
      <c r="Y34" s="276">
        <v>-25.849548645096894191969809610</v>
      </c>
      <c r="Z34" s="274">
        <v>-44.620651830130648816473525630</v>
      </c>
      <c r="AA34" s="275"/>
      <c r="AB34" s="276">
        <v>-40.132851044372050820461030510</v>
      </c>
    </row>
    <row r="35" ht="6" customHeight="1">
      <c r="A35" s="58"/>
      <c r="B35" s="632"/>
      <c r="C35" s="632"/>
      <c r="D35" s="95"/>
      <c r="E35" s="95"/>
      <c r="F35" s="95"/>
      <c r="G35" s="95"/>
      <c r="H35" s="95"/>
      <c r="I35" s="95"/>
      <c r="J35" s="95"/>
      <c r="K35" s="95"/>
      <c r="L35" s="95"/>
      <c r="M35" s="637"/>
      <c r="N35" s="637"/>
      <c r="O35" s="637"/>
      <c r="P35" s="93"/>
      <c r="Q35" s="91"/>
      <c r="R35" s="91"/>
      <c r="S35" s="91"/>
      <c r="T35" s="91"/>
      <c r="U35" s="91"/>
      <c r="V35" s="91"/>
      <c r="W35" s="91"/>
      <c r="X35" s="91"/>
      <c r="Y35" s="91"/>
      <c r="Z35" s="91"/>
      <c r="AA35" s="91"/>
      <c r="AB35" s="91"/>
    </row>
    <row r="36" ht="18" customHeight="1">
      <c r="A36" s="58"/>
      <c r="B36" s="997" t="s">
        <v>12</v>
      </c>
      <c r="C36" s="997"/>
      <c r="D36" s="483">
        <v>161.70017699115044247787610619</v>
      </c>
      <c r="E36" s="484">
        <v>225.64332410611303344867358708</v>
      </c>
      <c r="F36" s="485">
        <v>152.80384823873466678040346646</v>
      </c>
      <c r="G36" s="483">
        <v>256.99074074074074074074074074</v>
      </c>
      <c r="H36" s="484">
        <v>0</v>
      </c>
      <c r="I36" s="485">
        <v>141.92170600055404671611528985</v>
      </c>
      <c r="J36" s="483">
        <v>0</v>
      </c>
      <c r="K36" s="484">
        <v>0</v>
      </c>
      <c r="L36" s="485">
        <v>96.23548092331935005417239632</v>
      </c>
      <c r="M36" s="483">
        <v>165.20900102284350494374360723</v>
      </c>
      <c r="N36" s="484">
        <v>225.64332410611303344867358707</v>
      </c>
      <c r="O36" s="485">
        <v>147.50848958230861549963602023</v>
      </c>
      <c r="P36" s="93"/>
      <c r="Q36" s="469">
        <v>-36.019318152038167721228610020</v>
      </c>
      <c r="R36" s="470">
        <v>-33.023522716629366361142695510</v>
      </c>
      <c r="S36" s="471">
        <v>-30.385025943657047250403897840</v>
      </c>
      <c r="T36" s="469">
        <v>25.333546803287437293200981960</v>
      </c>
      <c r="U36" s="470">
        <v>-100</v>
      </c>
      <c r="V36" s="471">
        <v>-32.830068621745770183266451140</v>
      </c>
      <c r="W36" s="469">
        <v>0</v>
      </c>
      <c r="X36" s="470">
        <v>0</v>
      </c>
      <c r="Y36" s="471">
        <v>-24.055173536777309061174139150</v>
      </c>
      <c r="Z36" s="469">
        <v>-34.081338107849556950305522910</v>
      </c>
      <c r="AA36" s="470">
        <v>-32.252414283166010506540733020</v>
      </c>
      <c r="AB36" s="471">
        <v>-30.171552624511970030498361300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0" t="s">
        <v>10</v>
      </c>
      <c r="C38" s="1050"/>
      <c r="D38" s="1050"/>
      <c r="E38" s="1050"/>
      <c r="F38" s="1050"/>
      <c r="G38" s="1050"/>
      <c r="H38" s="1050"/>
      <c r="I38" s="1050"/>
      <c r="J38" s="1050"/>
      <c r="K38" s="1050"/>
      <c r="L38" s="1050"/>
      <c r="M38" s="1050"/>
      <c r="N38" s="1050"/>
      <c r="O38" s="1050"/>
      <c r="P38" s="412"/>
      <c r="Q38" s="1051"/>
      <c r="R38" s="1051"/>
      <c r="S38" s="1051"/>
      <c r="T38" s="1051"/>
      <c r="U38" s="1051"/>
      <c r="V38" s="1051"/>
      <c r="W38" s="1051"/>
      <c r="X38" s="1051"/>
      <c r="Y38" s="1051"/>
      <c r="Z38" s="1051"/>
      <c r="AA38" s="1051"/>
      <c r="AB38" s="1051"/>
      <c r="AC38" s="9"/>
    </row>
    <row r="39" ht="18" customHeight="1">
      <c r="A39" s="58"/>
      <c r="B39" s="1055" t="s">
        <v>43</v>
      </c>
      <c r="C39" s="1055"/>
      <c r="D39" s="455">
        <v>105.24914498805986336282845689</v>
      </c>
      <c r="E39" s="456"/>
      <c r="F39" s="457">
        <v>58.270498065030284557469537554</v>
      </c>
      <c r="G39" s="455">
        <v>6.2023538658505103254772232653</v>
      </c>
      <c r="H39" s="456"/>
      <c r="I39" s="457">
        <v>0.917573964611504786295686425</v>
      </c>
      <c r="J39" s="455">
        <v>0</v>
      </c>
      <c r="K39" s="456"/>
      <c r="L39" s="457">
        <v>4.111394326289015106011329168</v>
      </c>
      <c r="M39" s="455">
        <v>111.45149885391037368830568015</v>
      </c>
      <c r="N39" s="456"/>
      <c r="O39" s="457">
        <v>63.299466355930804449776553146</v>
      </c>
      <c r="P39" s="5"/>
      <c r="Q39" s="428">
        <v>-37.328463986935389575670401180</v>
      </c>
      <c r="R39" s="429"/>
      <c r="S39" s="430">
        <v>-54.702557698818382767578876050</v>
      </c>
      <c r="T39" s="428">
        <v>33.142019721770632512266070420</v>
      </c>
      <c r="U39" s="429"/>
      <c r="V39" s="430">
        <v>-93.89298897582339899949013551</v>
      </c>
      <c r="W39" s="428">
        <v>0</v>
      </c>
      <c r="X39" s="429"/>
      <c r="Y39" s="430">
        <v>-47.906289653824198522915633830</v>
      </c>
      <c r="Z39" s="428">
        <v>-35.426433324358776914631366570</v>
      </c>
      <c r="AA39" s="429"/>
      <c r="AB39" s="430">
        <v>-58.233871787981353505317902980</v>
      </c>
    </row>
    <row r="40" ht="18" customHeight="1">
      <c r="A40" s="58"/>
      <c r="B40" s="1056" t="s">
        <v>46</v>
      </c>
      <c r="C40" s="1056"/>
      <c r="D40" s="440">
        <v>98.52898339544425863479768106</v>
      </c>
      <c r="E40" s="95"/>
      <c r="F40" s="441">
        <v>54.823970215108672294574281196</v>
      </c>
      <c r="G40" s="440">
        <v>6.6143322761964613464869839833</v>
      </c>
      <c r="H40" s="95"/>
      <c r="I40" s="441">
        <v>0.6195631292157341500469735037</v>
      </c>
      <c r="J40" s="440">
        <v>0</v>
      </c>
      <c r="K40" s="95"/>
      <c r="L40" s="441">
        <v>3.7924367131239268908912524619</v>
      </c>
      <c r="M40" s="440">
        <v>105.14331567164071998128466505</v>
      </c>
      <c r="N40" s="95"/>
      <c r="O40" s="441">
        <v>59.235970057448333335512507159</v>
      </c>
      <c r="P40" s="5"/>
      <c r="Q40" s="421">
        <v>-44.339584232272048756772694730</v>
      </c>
      <c r="R40" s="91"/>
      <c r="S40" s="422">
        <v>-56.968563288006268387966490030</v>
      </c>
      <c r="T40" s="421">
        <v>-20.564547091213918117637470860</v>
      </c>
      <c r="U40" s="91"/>
      <c r="V40" s="422">
        <v>-96.16930263838754109312474984</v>
      </c>
      <c r="W40" s="421">
        <v>0</v>
      </c>
      <c r="X40" s="91"/>
      <c r="Y40" s="422">
        <v>-50.653219204013517152189215580</v>
      </c>
      <c r="Z40" s="421">
        <v>-43.271482543243206904946214760</v>
      </c>
      <c r="AA40" s="91"/>
      <c r="AB40" s="422">
        <v>-60.839185634883691095228193990</v>
      </c>
    </row>
    <row r="41" ht="18" customHeight="1">
      <c r="A41" s="58"/>
      <c r="B41" s="1056" t="s">
        <v>47</v>
      </c>
      <c r="C41" s="1056"/>
      <c r="D41" s="440">
        <v>87.52689206814124187280398866</v>
      </c>
      <c r="E41" s="95"/>
      <c r="F41" s="441">
        <v>52.800265032227964854481840988</v>
      </c>
      <c r="G41" s="440">
        <v>7.4564312654173593967711554231</v>
      </c>
      <c r="H41" s="95"/>
      <c r="I41" s="441">
        <v>0.9983163521435429772372051308</v>
      </c>
      <c r="J41" s="440">
        <v>0</v>
      </c>
      <c r="K41" s="95"/>
      <c r="L41" s="441">
        <v>3.9583363516904366976795954276</v>
      </c>
      <c r="M41" s="440">
        <v>94.98332333355860126957514409</v>
      </c>
      <c r="N41" s="95"/>
      <c r="O41" s="441">
        <v>57.756917736061944529398641547</v>
      </c>
      <c r="P41" s="93"/>
      <c r="Q41" s="421">
        <v>-56.131322498670480188548016050</v>
      </c>
      <c r="R41" s="91"/>
      <c r="S41" s="422">
        <v>-63.868525167458511080393113400</v>
      </c>
      <c r="T41" s="421">
        <v>-41.497676832633199679418804200</v>
      </c>
      <c r="U41" s="91"/>
      <c r="V41" s="422">
        <v>-94.78685951438330575917715883</v>
      </c>
      <c r="W41" s="421">
        <v>0</v>
      </c>
      <c r="X41" s="91"/>
      <c r="Y41" s="422">
        <v>-51.606128384670346260724759740</v>
      </c>
      <c r="Z41" s="421">
        <v>-55.252643050306856314230401670</v>
      </c>
      <c r="AA41" s="91"/>
      <c r="AB41" s="422">
        <v>-66.703633877364581859358029150</v>
      </c>
    </row>
    <row r="42" ht="18" customHeight="1">
      <c r="A42" s="58"/>
      <c r="B42" s="1056" t="s">
        <v>48</v>
      </c>
      <c r="C42" s="1056"/>
      <c r="D42" s="440">
        <v>96.95023677157725183226761639</v>
      </c>
      <c r="E42" s="95"/>
      <c r="F42" s="441">
        <v>63.623069544772846362920639962</v>
      </c>
      <c r="G42" s="440">
        <v>7.135919621405096584095671866</v>
      </c>
      <c r="H42" s="95"/>
      <c r="I42" s="441">
        <v>1.0452481236169370375937087253</v>
      </c>
      <c r="J42" s="440">
        <v>0</v>
      </c>
      <c r="K42" s="95"/>
      <c r="L42" s="441">
        <v>4.0860740135513893767071943192</v>
      </c>
      <c r="M42" s="440">
        <v>104.08615639298234841636328825</v>
      </c>
      <c r="N42" s="95"/>
      <c r="O42" s="441">
        <v>68.75439168194117277722154301</v>
      </c>
      <c r="P42" s="5"/>
      <c r="Q42" s="421">
        <v>-43.270417620372689137813389350</v>
      </c>
      <c r="R42" s="91"/>
      <c r="S42" s="422">
        <v>-50.350250856831261832216246980</v>
      </c>
      <c r="T42" s="421">
        <v>-0.010414626263424028763282900</v>
      </c>
      <c r="U42" s="91"/>
      <c r="V42" s="422">
        <v>-96.01557536408933747637810348</v>
      </c>
      <c r="W42" s="421">
        <v>0</v>
      </c>
      <c r="X42" s="91"/>
      <c r="Y42" s="422">
        <v>-52.211960724204417377091618760</v>
      </c>
      <c r="Z42" s="421">
        <v>-41.536314395714227156471307980</v>
      </c>
      <c r="AA42" s="91"/>
      <c r="AB42" s="422">
        <v>-57.800635316995435992797779730</v>
      </c>
    </row>
    <row r="43" ht="18" customHeight="1">
      <c r="A43" s="58"/>
      <c r="B43" s="1056" t="s">
        <v>49</v>
      </c>
      <c r="C43" s="1056"/>
      <c r="D43" s="440">
        <v>136.93104066735220504549008299</v>
      </c>
      <c r="E43" s="95"/>
      <c r="F43" s="441">
        <v>80.34493669347999271201996504</v>
      </c>
      <c r="G43" s="440">
        <v>8.681027641124589954635031319</v>
      </c>
      <c r="H43" s="95"/>
      <c r="I43" s="441">
        <v>1.8662939535550105260036407185</v>
      </c>
      <c r="J43" s="440">
        <v>0</v>
      </c>
      <c r="K43" s="95"/>
      <c r="L43" s="441">
        <v>4.0834601857007827582946985017</v>
      </c>
      <c r="M43" s="440">
        <v>145.6120683084767950001251143</v>
      </c>
      <c r="N43" s="95"/>
      <c r="O43" s="441">
        <v>86.29469083273578599631830426</v>
      </c>
      <c r="P43" s="93"/>
      <c r="Q43" s="421">
        <v>-41.539074047268884573652547420</v>
      </c>
      <c r="R43" s="91"/>
      <c r="S43" s="422">
        <v>-45.818709055232861265842993660</v>
      </c>
      <c r="T43" s="421">
        <v>129.56096279344789445956599400</v>
      </c>
      <c r="U43" s="91"/>
      <c r="V43" s="422">
        <v>-93.50787556671704700179324710</v>
      </c>
      <c r="W43" s="421">
        <v>0</v>
      </c>
      <c r="X43" s="91"/>
      <c r="Y43" s="422">
        <v>-51.997060889269352885819486710</v>
      </c>
      <c r="Z43" s="421">
        <v>-38.820561639177090222042033260</v>
      </c>
      <c r="AA43" s="91"/>
      <c r="AB43" s="422">
        <v>-53.490684779686819469482624490</v>
      </c>
    </row>
    <row r="44" ht="18" customHeight="1">
      <c r="A44" s="58"/>
      <c r="B44" s="1057" t="s">
        <v>78</v>
      </c>
      <c r="C44" s="1057"/>
      <c r="D44" s="458">
        <v>105.31101569866826007579621704</v>
      </c>
      <c r="E44" s="459"/>
      <c r="F44" s="460">
        <v>62.444314324911297698055978489</v>
      </c>
      <c r="G44" s="458">
        <v>7.2884190090401354941463531309</v>
      </c>
      <c r="H44" s="459"/>
      <c r="I44" s="460">
        <v>1.1172974139950612369366701128</v>
      </c>
      <c r="J44" s="458">
        <v>0</v>
      </c>
      <c r="K44" s="459"/>
      <c r="L44" s="460">
        <v>4.0110729092332527022181638167</v>
      </c>
      <c r="M44" s="458">
        <v>112.59943470770839556994257016</v>
      </c>
      <c r="N44" s="459"/>
      <c r="O44" s="460">
        <v>67.572684648139611637210812418</v>
      </c>
      <c r="P44" s="5"/>
      <c r="Q44" s="431">
        <v>-44.227052147467532378715363140</v>
      </c>
      <c r="R44" s="432"/>
      <c r="S44" s="433">
        <v>-53.917422509474900095200660300</v>
      </c>
      <c r="T44" s="431">
        <v>-2.7230927244383398837272236400</v>
      </c>
      <c r="U44" s="432"/>
      <c r="V44" s="433">
        <v>-94.55166851937621121540974587</v>
      </c>
      <c r="W44" s="431">
        <v>0</v>
      </c>
      <c r="X44" s="432"/>
      <c r="Y44" s="433">
        <v>-50.669479847486948499289730120</v>
      </c>
      <c r="Z44" s="431">
        <v>-42.643023066805966980725595690</v>
      </c>
      <c r="AA44" s="432"/>
      <c r="AB44" s="433">
        <v>-58.833144552932827488699063560</v>
      </c>
    </row>
    <row r="45" ht="6" customHeight="1">
      <c r="A45" s="58"/>
      <c r="B45" s="632"/>
      <c r="C45" s="632"/>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58" t="s">
        <v>50</v>
      </c>
      <c r="C46" s="1058"/>
      <c r="D46" s="494">
        <v>124.58945256365831633995639803</v>
      </c>
      <c r="E46" s="495"/>
      <c r="F46" s="496">
        <v>62.232118541602138521058849008</v>
      </c>
      <c r="G46" s="494">
        <v>5.215873452086352376086878801</v>
      </c>
      <c r="H46" s="495"/>
      <c r="I46" s="496">
        <v>2.4099409120613005202033138468</v>
      </c>
      <c r="J46" s="494">
        <v>0</v>
      </c>
      <c r="K46" s="495"/>
      <c r="L46" s="496">
        <v>4.162991902251883672255318799</v>
      </c>
      <c r="M46" s="494">
        <v>129.80532601574466871604327683</v>
      </c>
      <c r="N46" s="495"/>
      <c r="O46" s="496">
        <v>68.805051355915322713517481652</v>
      </c>
      <c r="P46" s="93"/>
      <c r="Q46" s="480">
        <v>-51.410776976317795862564481040</v>
      </c>
      <c r="R46" s="481"/>
      <c r="S46" s="482">
        <v>-64.643658347698594470083141810</v>
      </c>
      <c r="T46" s="480">
        <v>-30.565906145842270908745593380</v>
      </c>
      <c r="U46" s="481"/>
      <c r="V46" s="482">
        <v>-90.91967504108834138154732970</v>
      </c>
      <c r="W46" s="480">
        <v>0</v>
      </c>
      <c r="X46" s="481"/>
      <c r="Y46" s="482">
        <v>-49.953074901642192653164558750</v>
      </c>
      <c r="Z46" s="480">
        <v>-50.817480536451852389669653180</v>
      </c>
      <c r="AA46" s="481"/>
      <c r="AB46" s="482">
        <v>-67.371246390333379859357409370</v>
      </c>
    </row>
    <row r="47" ht="18" customHeight="1">
      <c r="A47" s="58"/>
      <c r="B47" s="1059" t="s">
        <v>51</v>
      </c>
      <c r="C47" s="1059"/>
      <c r="D47" s="277">
        <v>135.23474790989107827274530675</v>
      </c>
      <c r="E47" s="94"/>
      <c r="F47" s="278">
        <v>72.922461693654613341169124025</v>
      </c>
      <c r="G47" s="277">
        <v>5.2366613535258269688901236</v>
      </c>
      <c r="H47" s="94"/>
      <c r="I47" s="278">
        <v>1.7919343466629727856377535478</v>
      </c>
      <c r="J47" s="277">
        <v>0</v>
      </c>
      <c r="K47" s="94"/>
      <c r="L47" s="278">
        <v>4.1566117287737935634076481617</v>
      </c>
      <c r="M47" s="277">
        <v>140.47140926341690524163543035</v>
      </c>
      <c r="N47" s="94"/>
      <c r="O47" s="278">
        <v>78.871007769091379690214525732</v>
      </c>
      <c r="P47" s="5"/>
      <c r="Q47" s="272">
        <v>-46.334009055791836302747014600</v>
      </c>
      <c r="R47" s="92"/>
      <c r="S47" s="273">
        <v>-58.578763645150162242333911550</v>
      </c>
      <c r="T47" s="272">
        <v>-44.890485683679025854739647850</v>
      </c>
      <c r="U47" s="92"/>
      <c r="V47" s="273">
        <v>-92.10167900100589532012046424</v>
      </c>
      <c r="W47" s="272">
        <v>0</v>
      </c>
      <c r="X47" s="92"/>
      <c r="Y47" s="273">
        <v>-53.831411247138552126386951220</v>
      </c>
      <c r="Z47" s="272">
        <v>-46.281554015239177309344424390</v>
      </c>
      <c r="AA47" s="92"/>
      <c r="AB47" s="273">
        <v>-62.034073034767294184320467320</v>
      </c>
    </row>
    <row r="48" ht="18" customHeight="1">
      <c r="A48" s="58"/>
      <c r="B48" s="1060" t="s">
        <v>79</v>
      </c>
      <c r="C48" s="1060"/>
      <c r="D48" s="444">
        <v>129.91210023677469730635085238</v>
      </c>
      <c r="E48" s="445"/>
      <c r="F48" s="446">
        <v>67.577290117628375931113986513</v>
      </c>
      <c r="G48" s="444">
        <v>5.2262674028060896724885012002</v>
      </c>
      <c r="H48" s="445"/>
      <c r="I48" s="446">
        <v>2.1009376293621366529205336971</v>
      </c>
      <c r="J48" s="444">
        <v>0</v>
      </c>
      <c r="K48" s="445"/>
      <c r="L48" s="446">
        <v>4.1598018155128386178314834803</v>
      </c>
      <c r="M48" s="444">
        <v>135.13836763958078697883935359</v>
      </c>
      <c r="N48" s="445"/>
      <c r="O48" s="446">
        <v>73.838029562503351201866003691</v>
      </c>
      <c r="P48" s="93"/>
      <c r="Q48" s="274">
        <v>-48.894463121997582936163570550</v>
      </c>
      <c r="R48" s="275"/>
      <c r="S48" s="276">
        <v>-61.610893296099922321221744200</v>
      </c>
      <c r="T48" s="274">
        <v>-38.566030613664870345495615110</v>
      </c>
      <c r="U48" s="275"/>
      <c r="V48" s="276">
        <v>-91.46442342765566268880000618</v>
      </c>
      <c r="W48" s="274">
        <v>0</v>
      </c>
      <c r="X48" s="275"/>
      <c r="Y48" s="276">
        <v>-51.968923958666352764271559380</v>
      </c>
      <c r="Z48" s="274">
        <v>-48.560006575243391124720749490</v>
      </c>
      <c r="AA48" s="275"/>
      <c r="AB48" s="276">
        <v>-64.722618560329555022616417550</v>
      </c>
    </row>
    <row r="49" ht="6" customHeight="1">
      <c r="A49" s="58"/>
      <c r="B49" s="632"/>
      <c r="C49" s="632"/>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7" t="s">
        <v>12</v>
      </c>
      <c r="C50" s="997"/>
      <c r="D50" s="483">
        <v>111.63318670576735092864125122</v>
      </c>
      <c r="E50" s="484">
        <v>111.49707169725293514191268665</v>
      </c>
      <c r="F50" s="485">
        <v>63.773285818156781835908533354</v>
      </c>
      <c r="G50" s="483">
        <v>6.7827468230694037145650048876</v>
      </c>
      <c r="H50" s="484">
        <v>0</v>
      </c>
      <c r="I50" s="485">
        <v>1.3693662512461703939322888238</v>
      </c>
      <c r="J50" s="483">
        <v>0</v>
      </c>
      <c r="K50" s="484">
        <v>0</v>
      </c>
      <c r="L50" s="485">
        <v>4.0468957824434309079261685559</v>
      </c>
      <c r="M50" s="483">
        <v>118.41593352883675464320625611</v>
      </c>
      <c r="N50" s="484">
        <v>111.49707169725293514191268665</v>
      </c>
      <c r="O50" s="485">
        <v>69.189547851846383137766990739</v>
      </c>
      <c r="P50" s="93"/>
      <c r="Q50" s="469">
        <v>-45.738389006156656803503699580</v>
      </c>
      <c r="R50" s="470">
        <v>-55.240085061366048146767975590</v>
      </c>
      <c r="S50" s="471">
        <v>-56.734594184628802927716204010</v>
      </c>
      <c r="T50" s="469">
        <v>-12.103746397694524495677233430</v>
      </c>
      <c r="U50" s="470">
        <v>-100</v>
      </c>
      <c r="V50" s="471">
        <v>-93.18121110010453929431999806</v>
      </c>
      <c r="W50" s="469">
        <v>0</v>
      </c>
      <c r="X50" s="470">
        <v>0</v>
      </c>
      <c r="Y50" s="471">
        <v>-51.336665399596122555582794640</v>
      </c>
      <c r="Z50" s="469">
        <v>-44.522400192345122104805193320</v>
      </c>
      <c r="AA50" s="470">
        <v>-57.083658671366268060382971960</v>
      </c>
      <c r="AB50" s="471">
        <v>-60.642705855375201262785084730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61" t="s">
        <v>129</v>
      </c>
      <c r="C52" s="1061"/>
      <c r="D52" s="1061"/>
      <c r="E52" s="1061"/>
      <c r="F52" s="1061"/>
      <c r="G52" s="1061"/>
      <c r="H52" s="1061"/>
      <c r="I52" s="1061"/>
      <c r="J52" s="1061"/>
      <c r="K52" s="1061"/>
      <c r="L52" s="1061"/>
      <c r="M52" s="1061"/>
      <c r="N52" s="1061"/>
      <c r="O52" s="1061"/>
      <c r="P52" s="1061"/>
      <c r="Q52" s="1061"/>
      <c r="R52" s="1061"/>
      <c r="S52" s="1061"/>
      <c r="T52" s="1061"/>
      <c r="U52" s="1061"/>
      <c r="V52" s="1061"/>
      <c r="W52" s="1061"/>
      <c r="X52" s="1061"/>
      <c r="Y52" s="1061"/>
      <c r="Z52" s="1061"/>
      <c r="AA52" s="1061"/>
      <c r="AB52" s="1061"/>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9"/>
      <c r="B1" s="657" t="s">
        <v>156</v>
      </c>
      <c r="Y1" s="5"/>
      <c r="AB1" s="686"/>
      <c r="AD1" s="236"/>
    </row>
    <row r="2" ht="15" customHeight="1">
      <c r="A2" s="11"/>
      <c r="B2" s="11" t="s">
        <v>211</v>
      </c>
    </row>
    <row r="3" ht="17.1" customHeight="1">
      <c r="A3" s="11"/>
      <c r="B3" s="11" t="s">
        <v>212</v>
      </c>
      <c r="R3" s="1053" t="s">
        <v>298</v>
      </c>
      <c r="S3" s="1053"/>
      <c r="T3" s="1053"/>
      <c r="U3" s="1053"/>
      <c r="V3" s="1053"/>
      <c r="W3" s="1053"/>
      <c r="X3" s="1053"/>
      <c r="Y3" s="1053"/>
      <c r="Z3" s="1053"/>
      <c r="AA3" s="1053"/>
      <c r="AB3" s="1053"/>
    </row>
    <row r="4" ht="19.5" customHeight="1">
      <c r="A4" s="4"/>
      <c r="B4" s="211" t="s">
        <v>213</v>
      </c>
      <c r="C4" s="5"/>
      <c r="D4" s="5"/>
      <c r="E4" s="5"/>
      <c r="F4" s="5"/>
      <c r="G4" s="5"/>
      <c r="H4" s="212"/>
      <c r="I4" s="212"/>
      <c r="J4" s="212"/>
      <c r="K4" s="212"/>
      <c r="L4" s="212"/>
      <c r="M4" s="212"/>
      <c r="N4" s="212"/>
      <c r="O4" s="212"/>
      <c r="P4" s="212"/>
      <c r="Q4" s="212"/>
      <c r="R4" s="212"/>
      <c r="S4" s="212"/>
      <c r="T4" s="212"/>
      <c r="U4" s="4"/>
      <c r="V4" s="4"/>
    </row>
    <row r="5" ht="12.75" customHeight="1"/>
    <row r="6" ht="15.75">
      <c r="D6" s="993" t="s">
        <v>60</v>
      </c>
      <c r="E6" s="993"/>
      <c r="F6" s="993"/>
      <c r="G6" s="993"/>
      <c r="H6" s="993"/>
      <c r="I6" s="993"/>
      <c r="J6" s="993"/>
      <c r="K6" s="993"/>
      <c r="L6" s="993"/>
      <c r="M6" s="993"/>
      <c r="N6" s="993"/>
      <c r="O6" s="993"/>
      <c r="Q6" s="975" t="s">
        <v>72</v>
      </c>
      <c r="R6" s="975"/>
      <c r="S6" s="975"/>
      <c r="T6" s="975"/>
      <c r="U6" s="975"/>
      <c r="V6" s="975"/>
      <c r="W6" s="975"/>
      <c r="X6" s="975"/>
      <c r="Y6" s="975"/>
      <c r="Z6" s="975"/>
      <c r="AA6" s="975"/>
      <c r="AB6" s="975"/>
    </row>
    <row r="7" ht="15.75">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1054"/>
      <c r="C8" s="1054"/>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88" t="s">
        <v>22</v>
      </c>
      <c r="C10" s="988"/>
      <c r="D10" s="988"/>
      <c r="E10" s="988"/>
      <c r="F10" s="988"/>
      <c r="G10" s="988"/>
      <c r="H10" s="988"/>
      <c r="I10" s="988"/>
      <c r="J10" s="988"/>
      <c r="K10" s="988"/>
      <c r="L10" s="988"/>
      <c r="M10" s="988"/>
      <c r="N10" s="988"/>
      <c r="O10" s="988"/>
      <c r="P10" s="412"/>
      <c r="Q10" s="986"/>
      <c r="R10" s="986"/>
      <c r="S10" s="986"/>
      <c r="T10" s="986"/>
      <c r="U10" s="986"/>
      <c r="V10" s="986"/>
      <c r="W10" s="986"/>
      <c r="X10" s="986"/>
      <c r="Y10" s="986"/>
      <c r="Z10" s="986"/>
      <c r="AA10" s="986"/>
      <c r="AB10" s="986"/>
      <c r="AC10" s="9"/>
    </row>
    <row r="11" ht="18" customHeight="1">
      <c r="A11" s="58"/>
      <c r="B11" s="1055" t="s">
        <v>43</v>
      </c>
      <c r="C11" s="1055"/>
      <c r="D11" s="428">
        <v>45.345187905564496691932316360</v>
      </c>
      <c r="E11" s="429"/>
      <c r="F11" s="430">
        <v>30.175907856102688221537470980</v>
      </c>
      <c r="G11" s="428">
        <v>3.7187713358245619815498950800</v>
      </c>
      <c r="H11" s="429"/>
      <c r="I11" s="430">
        <v>7.4862670973684567766306429500</v>
      </c>
      <c r="J11" s="428">
        <v>0</v>
      </c>
      <c r="K11" s="429"/>
      <c r="L11" s="430">
        <v>4.6769312491268364248892507600</v>
      </c>
      <c r="M11" s="428">
        <v>50.317098822904803950362969820</v>
      </c>
      <c r="N11" s="429"/>
      <c r="O11" s="430">
        <v>42.339106202597981423057364690</v>
      </c>
      <c r="P11" s="5"/>
      <c r="Q11" s="428">
        <v>-24.685114251246927682546147360</v>
      </c>
      <c r="R11" s="429"/>
      <c r="S11" s="430">
        <v>-43.588100415423150095702760360</v>
      </c>
      <c r="T11" s="428">
        <v>-21.673390576028035043406449030</v>
      </c>
      <c r="U11" s="429"/>
      <c r="V11" s="430">
        <v>-37.289069139802290794737510200</v>
      </c>
      <c r="W11" s="428">
        <v>0</v>
      </c>
      <c r="X11" s="429"/>
      <c r="Y11" s="430">
        <v>-30.064782259922224283022105840</v>
      </c>
      <c r="Z11" s="428">
        <v>-22.535742898665066865214441050</v>
      </c>
      <c r="AA11" s="429"/>
      <c r="AB11" s="430">
        <v>-41.291376656801285353959080650</v>
      </c>
    </row>
    <row r="12" ht="18" customHeight="1">
      <c r="A12" s="58"/>
      <c r="B12" s="1056" t="s">
        <v>46</v>
      </c>
      <c r="C12" s="1056"/>
      <c r="D12" s="421">
        <v>38.588748820623190176615657660</v>
      </c>
      <c r="E12" s="91"/>
      <c r="F12" s="422">
        <v>26.164078125885545280723203530</v>
      </c>
      <c r="G12" s="421">
        <v>3.9047322090795292386668965200</v>
      </c>
      <c r="H12" s="91"/>
      <c r="I12" s="422">
        <v>7.4955664368855213220267501500</v>
      </c>
      <c r="J12" s="421">
        <v>0</v>
      </c>
      <c r="K12" s="91"/>
      <c r="L12" s="422">
        <v>4.4462238587969655330083441100</v>
      </c>
      <c r="M12" s="421">
        <v>42.922064678779111637021941900</v>
      </c>
      <c r="N12" s="91"/>
      <c r="O12" s="422">
        <v>38.105868421568032135758297800</v>
      </c>
      <c r="P12" s="5"/>
      <c r="Q12" s="421">
        <v>-33.043998500880132472310859850</v>
      </c>
      <c r="R12" s="91"/>
      <c r="S12" s="422">
        <v>-49.656486866385570384793981170</v>
      </c>
      <c r="T12" s="421">
        <v>-49.617582141340714489495306860</v>
      </c>
      <c r="U12" s="91"/>
      <c r="V12" s="422">
        <v>-52.200813888145867027209429320</v>
      </c>
      <c r="W12" s="421">
        <v>0</v>
      </c>
      <c r="X12" s="91"/>
      <c r="Y12" s="422">
        <v>-30.154373815796084631080460560</v>
      </c>
      <c r="Z12" s="421">
        <v>-34.353051131387267767691811530</v>
      </c>
      <c r="AA12" s="91"/>
      <c r="AB12" s="422">
        <v>-48.518284288990325014277755460</v>
      </c>
    </row>
    <row r="13" ht="18" customHeight="1">
      <c r="A13" s="58"/>
      <c r="B13" s="1056" t="s">
        <v>47</v>
      </c>
      <c r="C13" s="1056"/>
      <c r="D13" s="421">
        <v>33.579187159192584069913984480</v>
      </c>
      <c r="E13" s="91"/>
      <c r="F13" s="422">
        <v>25.810135395152739548040965400</v>
      </c>
      <c r="G13" s="421">
        <v>4.2744317277357031322761274100</v>
      </c>
      <c r="H13" s="91"/>
      <c r="I13" s="422">
        <v>8.503149710010737010829869980</v>
      </c>
      <c r="J13" s="421">
        <v>0</v>
      </c>
      <c r="K13" s="91"/>
      <c r="L13" s="422">
        <v>4.4112673434584361164400471200</v>
      </c>
      <c r="M13" s="421">
        <v>38.413070008479988698744432120</v>
      </c>
      <c r="N13" s="91"/>
      <c r="O13" s="422">
        <v>38.724552448621912675310882500</v>
      </c>
      <c r="P13" s="184"/>
      <c r="Q13" s="421">
        <v>-39.310671869912429982997746950</v>
      </c>
      <c r="R13" s="91"/>
      <c r="S13" s="422">
        <v>-51.592567218804372304896537750</v>
      </c>
      <c r="T13" s="421">
        <v>-51.933045434799030001380987190</v>
      </c>
      <c r="U13" s="91"/>
      <c r="V13" s="422">
        <v>-53.564650302117327433942368540</v>
      </c>
      <c r="W13" s="421">
        <v>0</v>
      </c>
      <c r="X13" s="91"/>
      <c r="Y13" s="422">
        <v>-28.401209952516964917583218970</v>
      </c>
      <c r="Z13" s="421">
        <v>-40.187335979421552163437295040</v>
      </c>
      <c r="AA13" s="91"/>
      <c r="AB13" s="422">
        <v>-50.220029322135095503518891940</v>
      </c>
    </row>
    <row r="14" ht="18" customHeight="1">
      <c r="A14" s="58"/>
      <c r="B14" s="1056" t="s">
        <v>48</v>
      </c>
      <c r="C14" s="1056"/>
      <c r="D14" s="421">
        <v>36.656758664682554826722612370</v>
      </c>
      <c r="E14" s="91"/>
      <c r="F14" s="422">
        <v>28.207760050654217341466774050</v>
      </c>
      <c r="G14" s="421">
        <v>4.2131289897361564322759037400</v>
      </c>
      <c r="H14" s="91"/>
      <c r="I14" s="422">
        <v>8.561820982538313070444114060</v>
      </c>
      <c r="J14" s="421">
        <v>0</v>
      </c>
      <c r="K14" s="91"/>
      <c r="L14" s="422">
        <v>4.5715381731539074094882212900</v>
      </c>
      <c r="M14" s="421">
        <v>41.565584815630140396655707910</v>
      </c>
      <c r="N14" s="91"/>
      <c r="O14" s="422">
        <v>41.341119206346437821399109410</v>
      </c>
      <c r="P14" s="5"/>
      <c r="Q14" s="421">
        <v>-37.184977693169752688915796320</v>
      </c>
      <c r="R14" s="91"/>
      <c r="S14" s="422">
        <v>-47.963375990725368322660467040</v>
      </c>
      <c r="T14" s="421">
        <v>-33.952284363316146740877054730</v>
      </c>
      <c r="U14" s="91"/>
      <c r="V14" s="422">
        <v>-53.947074498842467472909983570</v>
      </c>
      <c r="W14" s="421">
        <v>0</v>
      </c>
      <c r="X14" s="91"/>
      <c r="Y14" s="422">
        <v>-28.175066463290471498545100580</v>
      </c>
      <c r="Z14" s="421">
        <v>-35.791759599269602175972826380</v>
      </c>
      <c r="AA14" s="91"/>
      <c r="AB14" s="422">
        <v>-47.777624021302695909837627780</v>
      </c>
    </row>
    <row r="15" ht="18" customHeight="1">
      <c r="A15" s="58"/>
      <c r="B15" s="1056" t="s">
        <v>49</v>
      </c>
      <c r="C15" s="1056"/>
      <c r="D15" s="421">
        <v>43.973913355082488335992626500</v>
      </c>
      <c r="E15" s="91"/>
      <c r="F15" s="422">
        <v>30.332627194666318287517343780</v>
      </c>
      <c r="G15" s="421">
        <v>5.1050000567554594902224247100</v>
      </c>
      <c r="H15" s="91"/>
      <c r="I15" s="422">
        <v>8.777638529530618808341266690</v>
      </c>
      <c r="J15" s="421">
        <v>0</v>
      </c>
      <c r="K15" s="91"/>
      <c r="L15" s="422">
        <v>4.6028633223864074324859035200</v>
      </c>
      <c r="M15" s="421">
        <v>49.876854078455981184975680320</v>
      </c>
      <c r="N15" s="91"/>
      <c r="O15" s="422">
        <v>43.713129046583344528344513990</v>
      </c>
      <c r="P15" s="184"/>
      <c r="Q15" s="421">
        <v>-31.328451015852698403463256140</v>
      </c>
      <c r="R15" s="91"/>
      <c r="S15" s="422">
        <v>-46.359625531083966910695579460</v>
      </c>
      <c r="T15" s="421">
        <v>-18.093301658610374651915303240</v>
      </c>
      <c r="U15" s="91"/>
      <c r="V15" s="422">
        <v>-49.675649956212397454691866220</v>
      </c>
      <c r="W15" s="421">
        <v>0</v>
      </c>
      <c r="X15" s="91"/>
      <c r="Y15" s="422">
        <v>-29.858225162419974379070369650</v>
      </c>
      <c r="Z15" s="421">
        <v>-29.018933178746750359482547080</v>
      </c>
      <c r="AA15" s="91"/>
      <c r="AB15" s="422">
        <v>-45.733357756165182118591719890</v>
      </c>
    </row>
    <row r="16" ht="18" customHeight="1">
      <c r="A16" s="58"/>
      <c r="B16" s="1057" t="s">
        <v>78</v>
      </c>
      <c r="C16" s="1057"/>
      <c r="D16" s="431">
        <v>39.690915548613039270330363990</v>
      </c>
      <c r="E16" s="432"/>
      <c r="F16" s="433">
        <v>28.138751260284660604557185620</v>
      </c>
      <c r="G16" s="431">
        <v>4.2385572711723544324591329400</v>
      </c>
      <c r="H16" s="432"/>
      <c r="I16" s="433">
        <v>8.169136970639050365454956410</v>
      </c>
      <c r="J16" s="431">
        <v>0</v>
      </c>
      <c r="K16" s="432"/>
      <c r="L16" s="433">
        <v>4.5416556402952841266280550900</v>
      </c>
      <c r="M16" s="431">
        <v>44.660199503614621555768888870</v>
      </c>
      <c r="N16" s="432"/>
      <c r="O16" s="433">
        <v>40.849543871218995096640197110</v>
      </c>
      <c r="P16" s="5"/>
      <c r="Q16" s="431">
        <v>-32.838673839412249793721709990</v>
      </c>
      <c r="R16" s="432"/>
      <c r="S16" s="433">
        <v>-47.799029132613074344034572350</v>
      </c>
      <c r="T16" s="431">
        <v>-37.747254812426955670567981390</v>
      </c>
      <c r="U16" s="432"/>
      <c r="V16" s="433">
        <v>-50.186477182271953717402011490</v>
      </c>
      <c r="W16" s="431">
        <v>0</v>
      </c>
      <c r="X16" s="432"/>
      <c r="Y16" s="433">
        <v>-29.337805984578817558675754430</v>
      </c>
      <c r="Z16" s="630">
        <v>-32.237034081836137956641274830</v>
      </c>
      <c r="AA16" s="214"/>
      <c r="AB16" s="631">
        <v>-46.762912933613031521267924300</v>
      </c>
    </row>
    <row r="17" ht="6" customHeight="1">
      <c r="A17" s="58"/>
      <c r="B17" s="632"/>
      <c r="C17" s="632"/>
      <c r="D17" s="91"/>
      <c r="E17" s="91"/>
      <c r="F17" s="91"/>
      <c r="G17" s="91"/>
      <c r="H17" s="91"/>
      <c r="I17" s="91"/>
      <c r="J17" s="91"/>
      <c r="K17" s="91"/>
      <c r="L17" s="91"/>
      <c r="M17" s="91"/>
      <c r="N17" s="91"/>
      <c r="O17" s="91"/>
      <c r="P17" s="5"/>
      <c r="Q17" s="91"/>
      <c r="R17" s="91"/>
      <c r="S17" s="91"/>
      <c r="T17" s="91"/>
      <c r="U17" s="91"/>
      <c r="V17" s="91"/>
      <c r="W17" s="91"/>
      <c r="X17" s="91"/>
      <c r="Y17" s="91"/>
      <c r="Z17" s="633"/>
      <c r="AA17" s="633"/>
      <c r="AB17" s="633"/>
      <c r="AC17" s="4"/>
    </row>
    <row r="18" ht="18" customHeight="1">
      <c r="A18" s="58"/>
      <c r="B18" s="1058" t="s">
        <v>50</v>
      </c>
      <c r="C18" s="1058"/>
      <c r="D18" s="480">
        <v>51.992488447462726499522687280</v>
      </c>
      <c r="E18" s="481"/>
      <c r="F18" s="482">
        <v>35.795242922698909057392574800</v>
      </c>
      <c r="G18" s="480">
        <v>3.4227613058459205368097046200</v>
      </c>
      <c r="H18" s="481"/>
      <c r="I18" s="482">
        <v>8.349397408817193430184734500</v>
      </c>
      <c r="J18" s="480">
        <v>0</v>
      </c>
      <c r="K18" s="481"/>
      <c r="L18" s="482">
        <v>4.7175970317884813863049657400</v>
      </c>
      <c r="M18" s="480">
        <v>57.760214226031940517556561380</v>
      </c>
      <c r="N18" s="481"/>
      <c r="O18" s="482">
        <v>48.862237363304583873882275050</v>
      </c>
      <c r="P18" s="184"/>
      <c r="Q18" s="480">
        <v>-21.500164146530700867095984160</v>
      </c>
      <c r="R18" s="481"/>
      <c r="S18" s="482">
        <v>-43.255697750024663575088870030</v>
      </c>
      <c r="T18" s="480">
        <v>-32.075273350348703439184147290</v>
      </c>
      <c r="U18" s="481"/>
      <c r="V18" s="482">
        <v>-47.194882907841978682319358780</v>
      </c>
      <c r="W18" s="480">
        <v>0</v>
      </c>
      <c r="X18" s="481"/>
      <c r="Y18" s="482">
        <v>-30.910583884981380971564461190</v>
      </c>
      <c r="Z18" s="480">
        <v>-18.957667709744023867610888240</v>
      </c>
      <c r="AA18" s="481"/>
      <c r="AB18" s="482">
        <v>-42.998933918997779396337199440</v>
      </c>
    </row>
    <row r="19" ht="18" customHeight="1">
      <c r="A19" s="58"/>
      <c r="B19" s="1059" t="s">
        <v>51</v>
      </c>
      <c r="C19" s="1059"/>
      <c r="D19" s="272">
        <v>59.744757258762844114451860860</v>
      </c>
      <c r="E19" s="92"/>
      <c r="F19" s="273">
        <v>39.009060736412477322996439870</v>
      </c>
      <c r="G19" s="272">
        <v>2.6306835700663747189255918700</v>
      </c>
      <c r="H19" s="92"/>
      <c r="I19" s="273">
        <v>7.8275622263724760817358663100</v>
      </c>
      <c r="J19" s="272">
        <v>0</v>
      </c>
      <c r="K19" s="92"/>
      <c r="L19" s="273">
        <v>4.7777760201548225903633721300</v>
      </c>
      <c r="M19" s="272">
        <v>64.004063830235333711956095940</v>
      </c>
      <c r="N19" s="92"/>
      <c r="O19" s="273">
        <v>51.614398982939775995095678320</v>
      </c>
      <c r="P19" s="5"/>
      <c r="Q19" s="272">
        <v>-11.370360199328860465799447400</v>
      </c>
      <c r="R19" s="92"/>
      <c r="S19" s="273">
        <v>-39.517667184337382225622189210</v>
      </c>
      <c r="T19" s="272">
        <v>-46.733714792268170929322278930</v>
      </c>
      <c r="U19" s="92"/>
      <c r="V19" s="273">
        <v>-42.881826949471475398584089470</v>
      </c>
      <c r="W19" s="272">
        <v>0</v>
      </c>
      <c r="X19" s="92"/>
      <c r="Y19" s="273">
        <v>-30.363112365113304880816797130</v>
      </c>
      <c r="Z19" s="272">
        <v>-11.533296251829920740451451380</v>
      </c>
      <c r="AA19" s="92"/>
      <c r="AB19" s="273">
        <v>-39.321265230608493727493827720</v>
      </c>
    </row>
    <row r="20" ht="18" customHeight="1">
      <c r="A20" s="58"/>
      <c r="B20" s="1060" t="s">
        <v>79</v>
      </c>
      <c r="C20" s="1060"/>
      <c r="D20" s="274">
        <v>55.913332917599372982188400960</v>
      </c>
      <c r="E20" s="275"/>
      <c r="F20" s="276">
        <v>37.400709975005907843046763690</v>
      </c>
      <c r="G20" s="274">
        <v>3.0221542466940653908725827900</v>
      </c>
      <c r="H20" s="275"/>
      <c r="I20" s="276">
        <v>8.088713934920600827233211960</v>
      </c>
      <c r="J20" s="274">
        <v>0</v>
      </c>
      <c r="K20" s="275"/>
      <c r="L20" s="276">
        <v>4.7476595271331343728908410600</v>
      </c>
      <c r="M20" s="274">
        <v>60.882139028133637114756328640</v>
      </c>
      <c r="N20" s="275"/>
      <c r="O20" s="276">
        <v>50.237083437059643043170816730</v>
      </c>
      <c r="P20" s="184"/>
      <c r="Q20" s="274">
        <v>-16.323750657991140671778150900</v>
      </c>
      <c r="R20" s="275"/>
      <c r="S20" s="276">
        <v>-41.368267057645711461688960360</v>
      </c>
      <c r="T20" s="274">
        <v>-39.422378130301151182683583040</v>
      </c>
      <c r="U20" s="275"/>
      <c r="V20" s="276">
        <v>-45.190432549102571215294250710</v>
      </c>
      <c r="W20" s="274">
        <v>0</v>
      </c>
      <c r="X20" s="275"/>
      <c r="Y20" s="276">
        <v>-30.636601617295369216812022480</v>
      </c>
      <c r="Z20" s="274">
        <v>-15.217656399750932810134524950</v>
      </c>
      <c r="AA20" s="275"/>
      <c r="AB20" s="276">
        <v>-41.168631615828770583547535880</v>
      </c>
    </row>
    <row r="21" ht="6" customHeight="1">
      <c r="A21" s="58"/>
      <c r="B21" s="632"/>
      <c r="C21" s="632"/>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7" t="s">
        <v>12</v>
      </c>
      <c r="C22" s="997"/>
      <c r="D22" s="469">
        <v>45.213611525086934923000496770</v>
      </c>
      <c r="E22" s="470"/>
      <c r="F22" s="471">
        <v>30.923800846352271168058437990</v>
      </c>
      <c r="G22" s="469">
        <v>4.1231992051664182811723795300</v>
      </c>
      <c r="H22" s="470"/>
      <c r="I22" s="471">
        <v>8.062426998566784472012739490</v>
      </c>
      <c r="J22" s="469">
        <v>0</v>
      </c>
      <c r="K22" s="470"/>
      <c r="L22" s="471">
        <v>4.5145798095111012411489580700</v>
      </c>
      <c r="M22" s="469">
        <v>49.336810730253353204172876300</v>
      </c>
      <c r="N22" s="470"/>
      <c r="O22" s="471">
        <v>43.500807654430156881220135560</v>
      </c>
      <c r="P22" s="184"/>
      <c r="Q22" s="469">
        <v>-26.035861629815003239502786420</v>
      </c>
      <c r="R22" s="470"/>
      <c r="S22" s="471">
        <v>-46.395376682381922399645219910</v>
      </c>
      <c r="T22" s="469">
        <v>-36.164608706645876353828648540</v>
      </c>
      <c r="U22" s="470"/>
      <c r="V22" s="471">
        <v>-46.014169394872149005292921860</v>
      </c>
      <c r="W22" s="469">
        <v>0</v>
      </c>
      <c r="X22" s="470"/>
      <c r="Y22" s="471">
        <v>-31.352183056013568867229725470</v>
      </c>
      <c r="Z22" s="469">
        <v>-27.003821981832497316759329930</v>
      </c>
      <c r="AA22" s="470"/>
      <c r="AB22" s="471">
        <v>-45.074361567892895416860372960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0" t="s">
        <v>9</v>
      </c>
      <c r="C24" s="1050"/>
      <c r="D24" s="1050"/>
      <c r="E24" s="1050"/>
      <c r="F24" s="1050"/>
      <c r="G24" s="1050"/>
      <c r="H24" s="1050"/>
      <c r="I24" s="1050"/>
      <c r="J24" s="1050"/>
      <c r="K24" s="1050"/>
      <c r="L24" s="1050"/>
      <c r="M24" s="1050"/>
      <c r="N24" s="1050"/>
      <c r="O24" s="1050"/>
      <c r="P24" s="412"/>
      <c r="Q24" s="1051"/>
      <c r="R24" s="1051"/>
      <c r="S24" s="1051"/>
      <c r="T24" s="1051"/>
      <c r="U24" s="1051"/>
      <c r="V24" s="1051"/>
      <c r="W24" s="1051"/>
      <c r="X24" s="1051"/>
      <c r="Y24" s="1051"/>
      <c r="Z24" s="1051"/>
      <c r="AA24" s="1051"/>
      <c r="AB24" s="1051"/>
      <c r="AC24" s="9"/>
    </row>
    <row r="25" ht="18" customHeight="1">
      <c r="A25" s="58"/>
      <c r="B25" s="1055" t="s">
        <v>43</v>
      </c>
      <c r="C25" s="1055"/>
      <c r="D25" s="455">
        <v>177.56501267109552021477454888</v>
      </c>
      <c r="E25" s="456"/>
      <c r="F25" s="457">
        <v>169.90439743055686817217246696</v>
      </c>
      <c r="G25" s="455">
        <v>490.17062655741700651558313682</v>
      </c>
      <c r="H25" s="456"/>
      <c r="I25" s="457">
        <v>271.20295889481488151438934201</v>
      </c>
      <c r="J25" s="455">
        <v>0</v>
      </c>
      <c r="K25" s="456"/>
      <c r="L25" s="457">
        <v>111.82654736518736453061960792</v>
      </c>
      <c r="M25" s="455">
        <v>201.2587547643269876538852591</v>
      </c>
      <c r="N25" s="456"/>
      <c r="O25" s="457">
        <v>181.40019929086953243385409168</v>
      </c>
      <c r="P25" s="5"/>
      <c r="Q25" s="428">
        <v>0.1098020854787925808792149700</v>
      </c>
      <c r="R25" s="429"/>
      <c r="S25" s="430">
        <v>-1.3735620279921255259471449200</v>
      </c>
      <c r="T25" s="428">
        <v>139.88608917688298345999457011</v>
      </c>
      <c r="U25" s="429"/>
      <c r="V25" s="430">
        <v>37.530522979434625961235694760</v>
      </c>
      <c r="W25" s="428">
        <v>0</v>
      </c>
      <c r="X25" s="429"/>
      <c r="Y25" s="430">
        <v>-8.116846094577301025480066200</v>
      </c>
      <c r="Z25" s="428">
        <v>12.221166044128604312493979770</v>
      </c>
      <c r="AA25" s="429"/>
      <c r="AB25" s="430">
        <v>5.6449573765265501646137040600</v>
      </c>
    </row>
    <row r="26" ht="18" customHeight="1">
      <c r="A26" s="58"/>
      <c r="B26" s="1056" t="s">
        <v>46</v>
      </c>
      <c r="C26" s="1056"/>
      <c r="D26" s="440">
        <v>169.71469743640299227584724596</v>
      </c>
      <c r="E26" s="95"/>
      <c r="F26" s="441">
        <v>167.88098140206038717627241033</v>
      </c>
      <c r="G26" s="440">
        <v>235.95307528455047455614105203</v>
      </c>
      <c r="H26" s="95"/>
      <c r="I26" s="441">
        <v>215.49166252006732927107767609</v>
      </c>
      <c r="J26" s="440">
        <v>0</v>
      </c>
      <c r="K26" s="95"/>
      <c r="L26" s="441">
        <v>110.03601251887462946080488964</v>
      </c>
      <c r="M26" s="440">
        <v>174.77720619306342929545428943</v>
      </c>
      <c r="N26" s="95"/>
      <c r="O26" s="441">
        <v>170.49678171824438525381491686</v>
      </c>
      <c r="P26" s="5"/>
      <c r="Q26" s="421">
        <v>-1.4792977245166785331973339800</v>
      </c>
      <c r="R26" s="91"/>
      <c r="S26" s="422">
        <v>-3.3177238491996408961969056100</v>
      </c>
      <c r="T26" s="421">
        <v>28.772304462014261048933333750</v>
      </c>
      <c r="U26" s="91"/>
      <c r="V26" s="422">
        <v>11.391240603655159829974996100</v>
      </c>
      <c r="W26" s="421">
        <v>0</v>
      </c>
      <c r="X26" s="91"/>
      <c r="Y26" s="422">
        <v>-8.174261649612752160282084580</v>
      </c>
      <c r="Z26" s="421">
        <v>0.699411867593999788931054100</v>
      </c>
      <c r="AA26" s="91"/>
      <c r="AB26" s="422">
        <v>-1.5673303557268735736323984400</v>
      </c>
    </row>
    <row r="27" ht="18" customHeight="1">
      <c r="A27" s="58"/>
      <c r="B27" s="1056" t="s">
        <v>47</v>
      </c>
      <c r="C27" s="1056"/>
      <c r="D27" s="440">
        <v>169.12377593898961740020575117</v>
      </c>
      <c r="E27" s="95"/>
      <c r="F27" s="441">
        <v>171.89535041691429527973790488</v>
      </c>
      <c r="G27" s="440">
        <v>247.5945926431999572436501134</v>
      </c>
      <c r="H27" s="95"/>
      <c r="I27" s="441">
        <v>219.43446728540334834004452497</v>
      </c>
      <c r="J27" s="440">
        <v>0</v>
      </c>
      <c r="K27" s="95"/>
      <c r="L27" s="441">
        <v>109.17641452708921680389809917</v>
      </c>
      <c r="M27" s="440">
        <v>177.05039109812616512288499814</v>
      </c>
      <c r="N27" s="95"/>
      <c r="O27" s="441">
        <v>175.18944230542494309999515314</v>
      </c>
      <c r="P27" s="93"/>
      <c r="Q27" s="421">
        <v>-5.4206758862660901158535952900</v>
      </c>
      <c r="R27" s="91"/>
      <c r="S27" s="422">
        <v>-5.2619744861998930586853809200</v>
      </c>
      <c r="T27" s="421">
        <v>23.940543639866372122781163840</v>
      </c>
      <c r="U27" s="91"/>
      <c r="V27" s="422">
        <v>15.763925737594748109735124560</v>
      </c>
      <c r="W27" s="421">
        <v>0</v>
      </c>
      <c r="X27" s="91"/>
      <c r="Y27" s="422">
        <v>-9.374481002145937938988790790</v>
      </c>
      <c r="Z27" s="421">
        <v>-2.5686079697419326664931111300</v>
      </c>
      <c r="AA27" s="91"/>
      <c r="AB27" s="422">
        <v>-1.8672748326236480785697805600</v>
      </c>
    </row>
    <row r="28" ht="18" customHeight="1">
      <c r="A28" s="58"/>
      <c r="B28" s="1056" t="s">
        <v>48</v>
      </c>
      <c r="C28" s="1056"/>
      <c r="D28" s="440">
        <v>195.37006443808647749634311251</v>
      </c>
      <c r="E28" s="95"/>
      <c r="F28" s="441">
        <v>178.07820431548972702898014013</v>
      </c>
      <c r="G28" s="440">
        <v>292.13172953393130183478641474</v>
      </c>
      <c r="H28" s="95"/>
      <c r="I28" s="441">
        <v>229.52206610299154836609289579</v>
      </c>
      <c r="J28" s="440">
        <v>0</v>
      </c>
      <c r="K28" s="95"/>
      <c r="L28" s="441">
        <v>107.32265510425533105679905857</v>
      </c>
      <c r="M28" s="440">
        <v>203.94021184793049324722075682</v>
      </c>
      <c r="N28" s="95"/>
      <c r="O28" s="441">
        <v>180.90810934320475611941998387</v>
      </c>
      <c r="P28" s="5"/>
      <c r="Q28" s="421">
        <v>17.131623265488077258138135600</v>
      </c>
      <c r="R28" s="91"/>
      <c r="S28" s="422">
        <v>-0.965836507479993052030308500</v>
      </c>
      <c r="T28" s="421">
        <v>47.504190808866841289653965710</v>
      </c>
      <c r="U28" s="91"/>
      <c r="V28" s="422">
        <v>18.862698164592820331306667800</v>
      </c>
      <c r="W28" s="421">
        <v>0</v>
      </c>
      <c r="X28" s="91"/>
      <c r="Y28" s="422">
        <v>-11.597175651101834227034397480</v>
      </c>
      <c r="Z28" s="421">
        <v>20.053054120307851937866955040</v>
      </c>
      <c r="AA28" s="91"/>
      <c r="AB28" s="422">
        <v>1.4980336592530630111867473900</v>
      </c>
    </row>
    <row r="29" ht="18" customHeight="1">
      <c r="A29" s="58"/>
      <c r="B29" s="1056" t="s">
        <v>49</v>
      </c>
      <c r="C29" s="1056"/>
      <c r="D29" s="440">
        <v>187.64950662864708799318765634</v>
      </c>
      <c r="E29" s="95"/>
      <c r="F29" s="441">
        <v>182.25114330439711924017241414</v>
      </c>
      <c r="G29" s="440">
        <v>473.88970095305530249400517066</v>
      </c>
      <c r="H29" s="95"/>
      <c r="I29" s="441">
        <v>266.14376789487401513308673484</v>
      </c>
      <c r="J29" s="440">
        <v>0</v>
      </c>
      <c r="K29" s="95"/>
      <c r="L29" s="441">
        <v>110.80669578294337829142147678</v>
      </c>
      <c r="M29" s="440">
        <v>215.35027997796295386448017629</v>
      </c>
      <c r="N29" s="95"/>
      <c r="O29" s="441">
        <v>191.57397412782934973253866267</v>
      </c>
      <c r="P29" s="93"/>
      <c r="Q29" s="421">
        <v>3.0972164188525943341460941800</v>
      </c>
      <c r="R29" s="91"/>
      <c r="S29" s="422">
        <v>-0.717203169337390583205017500</v>
      </c>
      <c r="T29" s="421">
        <v>129.45085213395983560504505864</v>
      </c>
      <c r="U29" s="91"/>
      <c r="V29" s="422">
        <v>36.844940770754996991546528320</v>
      </c>
      <c r="W29" s="421">
        <v>0</v>
      </c>
      <c r="X29" s="91"/>
      <c r="Y29" s="422">
        <v>-8.916688323133386526546664880</v>
      </c>
      <c r="Z29" s="421">
        <v>16.919310981717857227377099960</v>
      </c>
      <c r="AA29" s="91"/>
      <c r="AB29" s="422">
        <v>5.907521746057228404307173600</v>
      </c>
    </row>
    <row r="30" ht="18" customHeight="1">
      <c r="A30" s="58"/>
      <c r="B30" s="1057" t="s">
        <v>78</v>
      </c>
      <c r="C30" s="1057"/>
      <c r="D30" s="458">
        <v>180.15386519390115155986442532</v>
      </c>
      <c r="E30" s="459"/>
      <c r="F30" s="460">
        <v>174.23742113329884596622629767</v>
      </c>
      <c r="G30" s="458">
        <v>352.74874442836591786907622389</v>
      </c>
      <c r="H30" s="459"/>
      <c r="I30" s="460">
        <v>240.33358836560807834372685452</v>
      </c>
      <c r="J30" s="458">
        <v>0</v>
      </c>
      <c r="K30" s="459"/>
      <c r="L30" s="460">
        <v>109.83881272963381693663396516</v>
      </c>
      <c r="M30" s="458">
        <v>195.74432040068082358949405396</v>
      </c>
      <c r="N30" s="459"/>
      <c r="O30" s="460">
        <v>180.29556320341595105674557109</v>
      </c>
      <c r="P30" s="5"/>
      <c r="Q30" s="431">
        <v>2.6082030388172884773116814400</v>
      </c>
      <c r="R30" s="432"/>
      <c r="S30" s="433">
        <v>-2.2495232192082238921135902100</v>
      </c>
      <c r="T30" s="431">
        <v>78.547895872481553994727864050</v>
      </c>
      <c r="U30" s="432"/>
      <c r="V30" s="433">
        <v>24.363590116080025817497616740</v>
      </c>
      <c r="W30" s="431">
        <v>0</v>
      </c>
      <c r="X30" s="432"/>
      <c r="Y30" s="433">
        <v>-9.242526685641520063409064610</v>
      </c>
      <c r="Z30" s="431">
        <v>10.063734294749888654969314450</v>
      </c>
      <c r="AA30" s="432"/>
      <c r="AB30" s="433">
        <v>2.0575793308899373668158975500</v>
      </c>
    </row>
    <row r="31" ht="6" customHeight="1">
      <c r="A31" s="58"/>
      <c r="B31" s="632"/>
      <c r="C31" s="632"/>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58" t="s">
        <v>50</v>
      </c>
      <c r="C32" s="1058"/>
      <c r="D32" s="494">
        <v>191.24770678736140617201547084</v>
      </c>
      <c r="E32" s="495"/>
      <c r="F32" s="496">
        <v>183.94414556354047597822885821</v>
      </c>
      <c r="G32" s="494">
        <v>243.91851428926002510395792376</v>
      </c>
      <c r="H32" s="495"/>
      <c r="I32" s="496">
        <v>281.13790424063063964357425961</v>
      </c>
      <c r="J32" s="494">
        <v>0</v>
      </c>
      <c r="K32" s="495"/>
      <c r="L32" s="496">
        <v>112.78568180334904894878492786</v>
      </c>
      <c r="M32" s="494">
        <v>228.12048911362302945878163108</v>
      </c>
      <c r="N32" s="495"/>
      <c r="O32" s="496">
        <v>193.68197962734302300148904429</v>
      </c>
      <c r="P32" s="93"/>
      <c r="Q32" s="480">
        <v>-17.590127993434289465905109760</v>
      </c>
      <c r="R32" s="481"/>
      <c r="S32" s="482">
        <v>-6.9499567557164586981267557800</v>
      </c>
      <c r="T32" s="480">
        <v>-2.8653671911207384739264616500</v>
      </c>
      <c r="U32" s="481"/>
      <c r="V32" s="482">
        <v>43.018692186596114846481811120</v>
      </c>
      <c r="W32" s="480">
        <v>0</v>
      </c>
      <c r="X32" s="481"/>
      <c r="Y32" s="482">
        <v>-10.004924306615731441772110420</v>
      </c>
      <c r="Z32" s="480">
        <v>-2.268467553855963881040221700</v>
      </c>
      <c r="AA32" s="481"/>
      <c r="AB32" s="482">
        <v>1.026152469347339473981299400</v>
      </c>
    </row>
    <row r="33" ht="18" customHeight="1">
      <c r="A33" s="58"/>
      <c r="B33" s="1059" t="s">
        <v>51</v>
      </c>
      <c r="C33" s="1059"/>
      <c r="D33" s="277">
        <v>222.86733267861197936829664728</v>
      </c>
      <c r="E33" s="94"/>
      <c r="F33" s="278">
        <v>185.23212175393534856469442952</v>
      </c>
      <c r="G33" s="277">
        <v>210.86479825145327493022039062</v>
      </c>
      <c r="H33" s="94"/>
      <c r="I33" s="278">
        <v>272.33657741000035714323629186</v>
      </c>
      <c r="J33" s="277">
        <v>0</v>
      </c>
      <c r="K33" s="94"/>
      <c r="L33" s="278">
        <v>117.88633967903765902857702772</v>
      </c>
      <c r="M33" s="277">
        <v>219.41952413529581671679389451</v>
      </c>
      <c r="N33" s="94"/>
      <c r="O33" s="278">
        <v>192.20793647387698972539516132</v>
      </c>
      <c r="P33" s="5"/>
      <c r="Q33" s="272">
        <v>-4.6118702937578193772020532600</v>
      </c>
      <c r="R33" s="92"/>
      <c r="S33" s="273">
        <v>-5.1655671774618077057843517100</v>
      </c>
      <c r="T33" s="272">
        <v>-9.453775463810883337905779370</v>
      </c>
      <c r="U33" s="92"/>
      <c r="V33" s="273">
        <v>36.375659890669811982517610010</v>
      </c>
      <c r="W33" s="272">
        <v>0</v>
      </c>
      <c r="X33" s="92"/>
      <c r="Y33" s="273">
        <v>-5.7617780037013544788160415600</v>
      </c>
      <c r="Z33" s="272">
        <v>-6.0666392182477095645467311300</v>
      </c>
      <c r="AA33" s="92"/>
      <c r="AB33" s="273">
        <v>0.9697800244836039707847281800</v>
      </c>
    </row>
    <row r="34" ht="18" customHeight="1">
      <c r="A34" s="58"/>
      <c r="B34" s="1060" t="s">
        <v>79</v>
      </c>
      <c r="C34" s="1060"/>
      <c r="D34" s="444">
        <v>208.33573448211582762429883377</v>
      </c>
      <c r="E34" s="445"/>
      <c r="F34" s="446">
        <v>184.61522452749089622942192906</v>
      </c>
      <c r="G34" s="444">
        <v>229.36650143869045264688176401</v>
      </c>
      <c r="H34" s="445"/>
      <c r="I34" s="446">
        <v>276.88314152867196257040361017</v>
      </c>
      <c r="J34" s="444">
        <v>0</v>
      </c>
      <c r="K34" s="445"/>
      <c r="L34" s="446">
        <v>115.34988571269527709866106083</v>
      </c>
      <c r="M34" s="634">
        <v>223.54692183471915457142828247</v>
      </c>
      <c r="N34" s="635"/>
      <c r="O34" s="636">
        <v>192.92543108620621588980737088</v>
      </c>
      <c r="P34" s="93"/>
      <c r="Q34" s="274">
        <v>-10.532803974353539431436735480</v>
      </c>
      <c r="R34" s="275"/>
      <c r="S34" s="276">
        <v>-6.0430284208026895998895385700</v>
      </c>
      <c r="T34" s="274">
        <v>-5.2552941069352045296927742500</v>
      </c>
      <c r="U34" s="275"/>
      <c r="V34" s="276">
        <v>39.823207145422732743256074670</v>
      </c>
      <c r="W34" s="274">
        <v>0</v>
      </c>
      <c r="X34" s="275"/>
      <c r="Y34" s="276">
        <v>-7.8740113049284845256548766700</v>
      </c>
      <c r="Z34" s="274">
        <v>-4.2640732368454780100564198900</v>
      </c>
      <c r="AA34" s="275"/>
      <c r="AB34" s="276">
        <v>0.9864923987137542868963365700</v>
      </c>
    </row>
    <row r="35" ht="6" customHeight="1">
      <c r="A35" s="58"/>
      <c r="B35" s="632"/>
      <c r="C35" s="632"/>
      <c r="D35" s="95"/>
      <c r="E35" s="95"/>
      <c r="F35" s="95"/>
      <c r="G35" s="95"/>
      <c r="H35" s="95"/>
      <c r="I35" s="95"/>
      <c r="J35" s="95"/>
      <c r="K35" s="95"/>
      <c r="L35" s="95"/>
      <c r="M35" s="637"/>
      <c r="N35" s="637"/>
      <c r="O35" s="637"/>
      <c r="P35" s="93"/>
      <c r="Q35" s="91"/>
      <c r="R35" s="91"/>
      <c r="S35" s="91"/>
      <c r="T35" s="91"/>
      <c r="U35" s="91"/>
      <c r="V35" s="91"/>
      <c r="W35" s="91"/>
      <c r="X35" s="91"/>
      <c r="Y35" s="91"/>
      <c r="Z35" s="91"/>
      <c r="AA35" s="91"/>
      <c r="AB35" s="91"/>
    </row>
    <row r="36" ht="18" customHeight="1">
      <c r="A36" s="58"/>
      <c r="B36" s="997" t="s">
        <v>12</v>
      </c>
      <c r="C36" s="997"/>
      <c r="D36" s="483">
        <v>191.36636818106905455144756359</v>
      </c>
      <c r="E36" s="484"/>
      <c r="F36" s="485">
        <v>178.48533164111280773607847463</v>
      </c>
      <c r="G36" s="483">
        <v>362.10180722891566265060240964</v>
      </c>
      <c r="H36" s="484"/>
      <c r="I36" s="485">
        <v>249.65779728599754623846638273</v>
      </c>
      <c r="J36" s="483">
        <v>0</v>
      </c>
      <c r="K36" s="484"/>
      <c r="L36" s="485">
        <v>108.51605275344645694945881356</v>
      </c>
      <c r="M36" s="483">
        <v>205.63515078286260887076473846</v>
      </c>
      <c r="N36" s="484"/>
      <c r="O36" s="485">
        <v>184.41489775093437710379937967</v>
      </c>
      <c r="P36" s="93"/>
      <c r="Q36" s="469">
        <v>-0.9851504547039589682434917900</v>
      </c>
      <c r="R36" s="470"/>
      <c r="S36" s="471">
        <v>-3.2233709881365244364974021600</v>
      </c>
      <c r="T36" s="469">
        <v>73.9667344551305748664481700</v>
      </c>
      <c r="U36" s="470"/>
      <c r="V36" s="471">
        <v>28.936541608264807867376108920</v>
      </c>
      <c r="W36" s="469">
        <v>0</v>
      </c>
      <c r="X36" s="470"/>
      <c r="Y36" s="471">
        <v>-11.909396476633513708124759560</v>
      </c>
      <c r="Z36" s="469">
        <v>5.6208548544456858809412660900</v>
      </c>
      <c r="AA36" s="470"/>
      <c r="AB36" s="471">
        <v>1.8420923702806671567535338300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0" t="s">
        <v>10</v>
      </c>
      <c r="C38" s="1050"/>
      <c r="D38" s="1050"/>
      <c r="E38" s="1050"/>
      <c r="F38" s="1050"/>
      <c r="G38" s="1050"/>
      <c r="H38" s="1050"/>
      <c r="I38" s="1050"/>
      <c r="J38" s="1050"/>
      <c r="K38" s="1050"/>
      <c r="L38" s="1050"/>
      <c r="M38" s="1050"/>
      <c r="N38" s="1050"/>
      <c r="O38" s="1050"/>
      <c r="P38" s="412"/>
      <c r="Q38" s="1051"/>
      <c r="R38" s="1051"/>
      <c r="S38" s="1051"/>
      <c r="T38" s="1051"/>
      <c r="U38" s="1051"/>
      <c r="V38" s="1051"/>
      <c r="W38" s="1051"/>
      <c r="X38" s="1051"/>
      <c r="Y38" s="1051"/>
      <c r="Z38" s="1051"/>
      <c r="AA38" s="1051"/>
      <c r="AB38" s="1051"/>
      <c r="AC38" s="9"/>
    </row>
    <row r="39" ht="18" customHeight="1">
      <c r="A39" s="58"/>
      <c r="B39" s="1055" t="s">
        <v>43</v>
      </c>
      <c r="C39" s="1055"/>
      <c r="D39" s="455">
        <v>80.51718865024767188598431135</v>
      </c>
      <c r="E39" s="456"/>
      <c r="F39" s="457">
        <v>51.270194412111343931349550447</v>
      </c>
      <c r="G39" s="455">
        <v>18.228324757048881586033961916</v>
      </c>
      <c r="H39" s="456"/>
      <c r="I39" s="457">
        <v>20.302977878832226994342027122</v>
      </c>
      <c r="J39" s="455">
        <v>0</v>
      </c>
      <c r="K39" s="456"/>
      <c r="L39" s="457">
        <v>5.2300507385420707938871789103</v>
      </c>
      <c r="M39" s="455">
        <v>101.26756652451404074458013745</v>
      </c>
      <c r="N39" s="456"/>
      <c r="O39" s="457">
        <v>76.803223029485641719578756472</v>
      </c>
      <c r="P39" s="5"/>
      <c r="Q39" s="428">
        <v>-24.602416936018826862377338310</v>
      </c>
      <c r="R39" s="429"/>
      <c r="S39" s="430">
        <v>-44.362952847385945310071231430</v>
      </c>
      <c r="T39" s="428">
        <v>87.89464013201821878300169593</v>
      </c>
      <c r="U39" s="429"/>
      <c r="V39" s="430">
        <v>-13.753328822698429190573886910</v>
      </c>
      <c r="W39" s="428">
        <v>0</v>
      </c>
      <c r="X39" s="429"/>
      <c r="Y39" s="430">
        <v>-35.741316249791859023052892780</v>
      </c>
      <c r="Z39" s="428">
        <v>-13.068707413460240970962182890</v>
      </c>
      <c r="AA39" s="429"/>
      <c r="AB39" s="430">
        <v>-37.977299892732201364354149170</v>
      </c>
    </row>
    <row r="40" ht="18" customHeight="1">
      <c r="A40" s="58"/>
      <c r="B40" s="1056" t="s">
        <v>46</v>
      </c>
      <c r="C40" s="1056"/>
      <c r="D40" s="440">
        <v>65.490778305414175254987344101</v>
      </c>
      <c r="E40" s="95"/>
      <c r="F40" s="441">
        <v>43.924511132538462168515139666</v>
      </c>
      <c r="G40" s="440">
        <v>9.213335728949512465240921625</v>
      </c>
      <c r="H40" s="95"/>
      <c r="I40" s="441">
        <v>16.152320730140783116249624828</v>
      </c>
      <c r="J40" s="440">
        <v>0</v>
      </c>
      <c r="K40" s="95"/>
      <c r="L40" s="441">
        <v>4.8924474418830196218675812061</v>
      </c>
      <c r="M40" s="440">
        <v>75.01798548594981622407168113</v>
      </c>
      <c r="N40" s="95"/>
      <c r="O40" s="441">
        <v>64.969279304562264906632345706</v>
      </c>
      <c r="P40" s="5"/>
      <c r="Q40" s="421">
        <v>-34.034477107483965839113017850</v>
      </c>
      <c r="R40" s="91"/>
      <c r="S40" s="422">
        <v>-51.326745608144449792639944920</v>
      </c>
      <c r="T40" s="421">
        <v>-35.121399479723018969914425450</v>
      </c>
      <c r="U40" s="91"/>
      <c r="V40" s="422">
        <v>-46.755893591555640969419443380</v>
      </c>
      <c r="W40" s="421">
        <v>0</v>
      </c>
      <c r="X40" s="91"/>
      <c r="Y40" s="422">
        <v>-35.863738050903347964344726140</v>
      </c>
      <c r="Z40" s="421">
        <v>-33.893908580286825342466877410</v>
      </c>
      <c r="AA40" s="91"/>
      <c r="AB40" s="422">
        <v>-49.325172846977990714071710070</v>
      </c>
    </row>
    <row r="41" ht="18" customHeight="1">
      <c r="A41" s="58"/>
      <c r="B41" s="1056" t="s">
        <v>47</v>
      </c>
      <c r="C41" s="1056"/>
      <c r="D41" s="440">
        <v>56.790389253246838731288633462</v>
      </c>
      <c r="E41" s="95"/>
      <c r="F41" s="441">
        <v>44.366422680577828774140675873</v>
      </c>
      <c r="G41" s="440">
        <v>10.583261824098908053895355339</v>
      </c>
      <c r="H41" s="95"/>
      <c r="I41" s="441">
        <v>18.658841268642380389223687104</v>
      </c>
      <c r="J41" s="440">
        <v>0</v>
      </c>
      <c r="K41" s="95"/>
      <c r="L41" s="441">
        <v>4.8160635207922986241713004384</v>
      </c>
      <c r="M41" s="440">
        <v>68.010490682810825653173317224</v>
      </c>
      <c r="N41" s="95"/>
      <c r="O41" s="441">
        <v>67.841327470012507787535663416</v>
      </c>
      <c r="P41" s="93"/>
      <c r="Q41" s="421">
        <v>-42.600443645396989905124872790</v>
      </c>
      <c r="R41" s="91"/>
      <c r="S41" s="422">
        <v>-54.139753981175249537977833520</v>
      </c>
      <c r="T41" s="421">
        <v>-40.425555200762350376187515570</v>
      </c>
      <c r="U41" s="91"/>
      <c r="V41" s="422">
        <v>-46.244616259750675704661119140</v>
      </c>
      <c r="W41" s="421">
        <v>0</v>
      </c>
      <c r="X41" s="91"/>
      <c r="Y41" s="422">
        <v>-35.113224923284618619093583380</v>
      </c>
      <c r="Z41" s="421">
        <v>-41.723688834369095667532196150</v>
      </c>
      <c r="AA41" s="91"/>
      <c r="AB41" s="422">
        <v>-51.149558186290298490787624640</v>
      </c>
    </row>
    <row r="42" ht="18" customHeight="1">
      <c r="A42" s="58"/>
      <c r="B42" s="1056" t="s">
        <v>48</v>
      </c>
      <c r="C42" s="1056"/>
      <c r="D42" s="440">
        <v>71.616333024104155560246401462</v>
      </c>
      <c r="E42" s="95"/>
      <c r="F42" s="441">
        <v>50.231872575827105676739278874</v>
      </c>
      <c r="G42" s="440">
        <v>12.307886585211680786629356597</v>
      </c>
      <c r="H42" s="95"/>
      <c r="I42" s="441">
        <v>19.651268415161387399080602665</v>
      </c>
      <c r="J42" s="440">
        <v>0</v>
      </c>
      <c r="K42" s="95"/>
      <c r="L42" s="441">
        <v>4.9062961465333429249140309588</v>
      </c>
      <c r="M42" s="440">
        <v>84.76894172882733765280043153</v>
      </c>
      <c r="N42" s="95"/>
      <c r="O42" s="441">
        <v>74.789437137521836000733912504</v>
      </c>
      <c r="P42" s="5"/>
      <c r="Q42" s="421">
        <v>-26.423744717431296517939022640</v>
      </c>
      <c r="R42" s="91"/>
      <c r="S42" s="422">
        <v>-48.465964702667041961045652280</v>
      </c>
      <c r="T42" s="421">
        <v>-2.576851502368068174924549900</v>
      </c>
      <c r="U42" s="91"/>
      <c r="V42" s="422">
        <v>-45.260250165594326680642497220</v>
      </c>
      <c r="W42" s="421">
        <v>0</v>
      </c>
      <c r="X42" s="91"/>
      <c r="Y42" s="422">
        <v>-36.504730166829824450397811190</v>
      </c>
      <c r="Z42" s="421">
        <v>-22.916046402013764312685433230</v>
      </c>
      <c r="AA42" s="91"/>
      <c r="AB42" s="422">
        <v>-46.995315251480124107676455690</v>
      </c>
    </row>
    <row r="43" ht="18" customHeight="1">
      <c r="A43" s="58"/>
      <c r="B43" s="1056" t="s">
        <v>49</v>
      </c>
      <c r="C43" s="1056"/>
      <c r="D43" s="440">
        <v>82.51683145612104103837129265</v>
      </c>
      <c r="E43" s="95"/>
      <c r="F43" s="441">
        <v>55.281559856539843485443782902</v>
      </c>
      <c r="G43" s="440">
        <v>24.192069502611750445066457874</v>
      </c>
      <c r="H43" s="95"/>
      <c r="I43" s="441">
        <v>23.361137914685002658009439072</v>
      </c>
      <c r="J43" s="440">
        <v>0</v>
      </c>
      <c r="K43" s="95"/>
      <c r="L43" s="441">
        <v>5.1002807589413867996008868589</v>
      </c>
      <c r="M43" s="440">
        <v>107.40994490215498981437720011</v>
      </c>
      <c r="N43" s="95"/>
      <c r="O43" s="441">
        <v>83.74297853016623294305410883</v>
      </c>
      <c r="P43" s="93"/>
      <c r="Q43" s="421">
        <v>-29.201544525635286225302144400</v>
      </c>
      <c r="R43" s="91"/>
      <c r="S43" s="422">
        <v>-46.744335996819477192215190470</v>
      </c>
      <c r="T43" s="421">
        <v>87.93561729911044244843401217</v>
      </c>
      <c r="U43" s="91"/>
      <c r="V43" s="422">
        <v>-31.133672989311438903424131530</v>
      </c>
      <c r="W43" s="421">
        <v>0</v>
      </c>
      <c r="X43" s="91"/>
      <c r="Y43" s="422">
        <v>-36.112548609000984416506240920</v>
      </c>
      <c r="Z43" s="421">
        <v>-17.009425745117958932989399450</v>
      </c>
      <c r="AA43" s="91"/>
      <c r="AB43" s="422">
        <v>-42.527544064755561974500800010</v>
      </c>
    </row>
    <row r="44" ht="18" customHeight="1">
      <c r="A44" s="58"/>
      <c r="B44" s="1057" t="s">
        <v>78</v>
      </c>
      <c r="C44" s="1057"/>
      <c r="D44" s="458">
        <v>71.504718491673486452881912921</v>
      </c>
      <c r="E44" s="459"/>
      <c r="F44" s="460">
        <v>49.028234535033620595249859504</v>
      </c>
      <c r="G44" s="458">
        <v>14.951457555937689094791845948</v>
      </c>
      <c r="H44" s="459"/>
      <c r="I44" s="460">
        <v>19.633180020038360968045383164</v>
      </c>
      <c r="J44" s="458">
        <v>0</v>
      </c>
      <c r="K44" s="459"/>
      <c r="L44" s="460">
        <v>4.9885006335687887771172359196</v>
      </c>
      <c r="M44" s="458">
        <v>87.41980400793867157270743325</v>
      </c>
      <c r="N44" s="459"/>
      <c r="O44" s="460">
        <v>73.649915188640770340412478593</v>
      </c>
      <c r="P44" s="5"/>
      <c r="Q44" s="431">
        <v>-31.086970089581809554265508780</v>
      </c>
      <c r="R44" s="432"/>
      <c r="S44" s="433">
        <v>-48.973302092927063828496937120</v>
      </c>
      <c r="T44" s="431">
        <v>11.150966655269190854533197310</v>
      </c>
      <c r="U44" s="432"/>
      <c r="V44" s="433">
        <v>-38.050114660580695058675813860</v>
      </c>
      <c r="W44" s="431">
        <v>0</v>
      </c>
      <c r="X44" s="432"/>
      <c r="Y44" s="433">
        <v>-35.868778123113905512811648540</v>
      </c>
      <c r="Z44" s="431">
        <v>-25.417549241590202603377899710</v>
      </c>
      <c r="AA44" s="432"/>
      <c r="AB44" s="433">
        <v>-45.667517633767173149227826720</v>
      </c>
    </row>
    <row r="45" ht="6" customHeight="1">
      <c r="A45" s="58"/>
      <c r="B45" s="632"/>
      <c r="C45" s="632"/>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58" t="s">
        <v>50</v>
      </c>
      <c r="C46" s="1058"/>
      <c r="D46" s="494">
        <v>99.43444185745626777915645887</v>
      </c>
      <c r="E46" s="495"/>
      <c r="F46" s="496">
        <v>65.843253746552201534089042073</v>
      </c>
      <c r="G46" s="494">
        <v>8.34874852488704471554552231</v>
      </c>
      <c r="H46" s="495"/>
      <c r="I46" s="496">
        <v>23.473320891870177192467893354</v>
      </c>
      <c r="J46" s="494">
        <v>0</v>
      </c>
      <c r="K46" s="495"/>
      <c r="L46" s="496">
        <v>5.3207739770371960992111685371</v>
      </c>
      <c r="M46" s="494">
        <v>131.76288320550053323033880893</v>
      </c>
      <c r="N46" s="495"/>
      <c r="O46" s="496">
        <v>94.63734861545957482576810397</v>
      </c>
      <c r="P46" s="93"/>
      <c r="Q46" s="480">
        <v>-35.308385747791771033398259400</v>
      </c>
      <c r="R46" s="481"/>
      <c r="S46" s="482">
        <v>-47.199402217730990943947241290</v>
      </c>
      <c r="T46" s="480">
        <v>-34.021566182426256485119385670</v>
      </c>
      <c r="U46" s="481"/>
      <c r="V46" s="482">
        <v>-24.478812127194866404269604130</v>
      </c>
      <c r="W46" s="480">
        <v>0</v>
      </c>
      <c r="X46" s="481"/>
      <c r="Y46" s="482">
        <v>-37.822927671171764961122886350</v>
      </c>
      <c r="Z46" s="480">
        <v>-20.796086722636615559574747410</v>
      </c>
      <c r="AA46" s="481"/>
      <c r="AB46" s="482">
        <v>-42.414016071853266366578400930</v>
      </c>
    </row>
    <row r="47" ht="18" customHeight="1">
      <c r="A47" s="58"/>
      <c r="B47" s="1059" t="s">
        <v>51</v>
      </c>
      <c r="C47" s="1059"/>
      <c r="D47" s="277">
        <v>133.15154691791616668767251399</v>
      </c>
      <c r="E47" s="94"/>
      <c r="F47" s="278">
        <v>72.257310878338149088915092935</v>
      </c>
      <c r="G47" s="277">
        <v>5.5471856026545895069686552427</v>
      </c>
      <c r="H47" s="94"/>
      <c r="I47" s="278">
        <v>21.317315061940825714879390458</v>
      </c>
      <c r="J47" s="277">
        <v>0</v>
      </c>
      <c r="K47" s="94"/>
      <c r="L47" s="278">
        <v>5.6323452682233209246123680685</v>
      </c>
      <c r="M47" s="277">
        <v>140.43741228355335820164056803</v>
      </c>
      <c r="N47" s="94"/>
      <c r="O47" s="278">
        <v>99.20697120850229572840685145</v>
      </c>
      <c r="P47" s="5"/>
      <c r="Q47" s="272">
        <v>-15.457844228760569748955690410</v>
      </c>
      <c r="R47" s="92"/>
      <c r="S47" s="273">
        <v>-42.641922716426462398015284940</v>
      </c>
      <c r="T47" s="272">
        <v>-51.769389793720248596317978640</v>
      </c>
      <c r="U47" s="92"/>
      <c r="V47" s="273">
        <v>-22.104714584846997074850475370</v>
      </c>
      <c r="W47" s="272">
        <v>0</v>
      </c>
      <c r="X47" s="92"/>
      <c r="Y47" s="273">
        <v>-34.375435239322434864502941670</v>
      </c>
      <c r="Z47" s="272">
        <v>-16.900251996507423212776346420</v>
      </c>
      <c r="AA47" s="92"/>
      <c r="AB47" s="273">
        <v>-38.732814981705547662543645070</v>
      </c>
    </row>
    <row r="48" ht="18" customHeight="1">
      <c r="A48" s="58"/>
      <c r="B48" s="1060" t="s">
        <v>79</v>
      </c>
      <c r="C48" s="1060"/>
      <c r="D48" s="444">
        <v>116.48745280731129662985362534</v>
      </c>
      <c r="E48" s="445"/>
      <c r="F48" s="446">
        <v>69.047404695232841020999820854</v>
      </c>
      <c r="G48" s="444">
        <v>6.9318094637229881062055717343</v>
      </c>
      <c r="H48" s="445"/>
      <c r="I48" s="446">
        <v>22.39628525227561813296576052</v>
      </c>
      <c r="J48" s="444">
        <v>0</v>
      </c>
      <c r="K48" s="445"/>
      <c r="L48" s="446">
        <v>5.4764198385759595186275297702</v>
      </c>
      <c r="M48" s="444">
        <v>136.10014774452694571598968842</v>
      </c>
      <c r="N48" s="445"/>
      <c r="O48" s="446">
        <v>96.92010978608441867259311114</v>
      </c>
      <c r="P48" s="93"/>
      <c r="Q48" s="274">
        <v>-25.137205974276227194704494760</v>
      </c>
      <c r="R48" s="275"/>
      <c r="S48" s="276">
        <v>-44.911399342961314157711185480</v>
      </c>
      <c r="T48" s="274">
        <v>-42.605910322540926448235447760</v>
      </c>
      <c r="U48" s="275"/>
      <c r="V48" s="276">
        <v>-23.363504967621494000830056740</v>
      </c>
      <c r="W48" s="274">
        <v>0</v>
      </c>
      <c r="X48" s="275"/>
      <c r="Y48" s="276">
        <v>-36.098283447432113446063465010</v>
      </c>
      <c r="Z48" s="274">
        <v>-18.832837622779528185067818260</v>
      </c>
      <c r="AA48" s="275"/>
      <c r="AB48" s="276">
        <v>-40.588264638659634556169294400</v>
      </c>
    </row>
    <row r="49" ht="6" customHeight="1">
      <c r="A49" s="58"/>
      <c r="B49" s="632"/>
      <c r="C49" s="632"/>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7" t="s">
        <v>12</v>
      </c>
      <c r="C50" s="997"/>
      <c r="D50" s="483">
        <v>86.5236462990561351217088922</v>
      </c>
      <c r="E50" s="484"/>
      <c r="F50" s="485">
        <v>55.194448496649100485088913686</v>
      </c>
      <c r="G50" s="483">
        <v>14.930178837555886736214605067</v>
      </c>
      <c r="H50" s="484"/>
      <c r="I50" s="485">
        <v>20.128477652413399069733723754</v>
      </c>
      <c r="J50" s="483">
        <v>0</v>
      </c>
      <c r="K50" s="484"/>
      <c r="L50" s="485">
        <v>4.8990438076855091895348678665</v>
      </c>
      <c r="M50" s="483">
        <v>101.45382513661202185792349727</v>
      </c>
      <c r="N50" s="484"/>
      <c r="O50" s="485">
        <v>80.2219699567480087443575053</v>
      </c>
      <c r="P50" s="93"/>
      <c r="Q50" s="469">
        <v>-26.764519675286746121069652930</v>
      </c>
      <c r="R50" s="470"/>
      <c r="S50" s="471">
        <v>-48.123252558701890015579315600</v>
      </c>
      <c r="T50" s="469">
        <v>11.052345659702911323255242750</v>
      </c>
      <c r="U50" s="470"/>
      <c r="V50" s="471">
        <v>-30.392537059251971493902548550</v>
      </c>
      <c r="W50" s="469">
        <v>0</v>
      </c>
      <c r="X50" s="470"/>
      <c r="Y50" s="471">
        <v>-39.527723748426513121142580810</v>
      </c>
      <c r="Z50" s="469">
        <v>-22.900812766138514581284091810</v>
      </c>
      <c r="AA50" s="470"/>
      <c r="AB50" s="471">
        <v>-44.062580573007104585390316320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61" t="s">
        <v>129</v>
      </c>
      <c r="C52" s="1061"/>
      <c r="D52" s="1061"/>
      <c r="E52" s="1061"/>
      <c r="F52" s="1061"/>
      <c r="G52" s="1061"/>
      <c r="H52" s="1061"/>
      <c r="I52" s="1061"/>
      <c r="J52" s="1061"/>
      <c r="K52" s="1061"/>
      <c r="L52" s="1061"/>
      <c r="M52" s="1061"/>
      <c r="N52" s="1061"/>
      <c r="O52" s="1061"/>
      <c r="P52" s="1061"/>
      <c r="Q52" s="1061"/>
      <c r="R52" s="1061"/>
      <c r="S52" s="1061"/>
      <c r="T52" s="1061"/>
      <c r="U52" s="1061"/>
      <c r="V52" s="1061"/>
      <c r="W52" s="1061"/>
      <c r="X52" s="1061"/>
      <c r="Y52" s="1061"/>
      <c r="Z52" s="1061"/>
      <c r="AA52" s="1061"/>
      <c r="AB52" s="1061"/>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9"/>
      <c r="B1" s="657" t="s">
        <v>158</v>
      </c>
      <c r="Y1" s="5"/>
      <c r="AB1" s="686"/>
      <c r="AD1" s="236"/>
    </row>
    <row r="2" ht="15" customHeight="1">
      <c r="A2" s="11"/>
      <c r="B2" s="11" t="s">
        <v>211</v>
      </c>
    </row>
    <row r="3" ht="17.1" customHeight="1">
      <c r="A3" s="11"/>
      <c r="B3" s="11" t="s">
        <v>212</v>
      </c>
      <c r="R3" s="1053" t="s">
        <v>298</v>
      </c>
      <c r="S3" s="1053"/>
      <c r="T3" s="1053"/>
      <c r="U3" s="1053"/>
      <c r="V3" s="1053"/>
      <c r="W3" s="1053"/>
      <c r="X3" s="1053"/>
      <c r="Y3" s="1053"/>
      <c r="Z3" s="1053"/>
      <c r="AA3" s="1053"/>
      <c r="AB3" s="1053"/>
    </row>
    <row r="4" ht="19.5" customHeight="1">
      <c r="A4" s="4"/>
      <c r="B4" s="211" t="s">
        <v>213</v>
      </c>
      <c r="C4" s="5"/>
      <c r="D4" s="5"/>
      <c r="E4" s="5"/>
      <c r="F4" s="5"/>
      <c r="G4" s="5"/>
      <c r="H4" s="212"/>
      <c r="I4" s="212"/>
      <c r="J4" s="212"/>
      <c r="K4" s="212"/>
      <c r="L4" s="212"/>
      <c r="M4" s="212"/>
      <c r="N4" s="212"/>
      <c r="O4" s="212"/>
      <c r="P4" s="212"/>
      <c r="Q4" s="212"/>
      <c r="R4" s="212"/>
      <c r="S4" s="212"/>
      <c r="T4" s="212"/>
      <c r="U4" s="4"/>
      <c r="V4" s="4"/>
    </row>
    <row r="5" ht="12.75" customHeight="1"/>
    <row r="6" ht="15.75">
      <c r="D6" s="993" t="s">
        <v>44</v>
      </c>
      <c r="E6" s="993"/>
      <c r="F6" s="993"/>
      <c r="G6" s="993"/>
      <c r="H6" s="993"/>
      <c r="I6" s="993"/>
      <c r="J6" s="993"/>
      <c r="K6" s="993"/>
      <c r="L6" s="993"/>
      <c r="M6" s="993"/>
      <c r="N6" s="993"/>
      <c r="O6" s="993"/>
      <c r="Q6" s="975" t="s">
        <v>72</v>
      </c>
      <c r="R6" s="975"/>
      <c r="S6" s="975"/>
      <c r="T6" s="975"/>
      <c r="U6" s="975"/>
      <c r="V6" s="975"/>
      <c r="W6" s="975"/>
      <c r="X6" s="975"/>
      <c r="Y6" s="975"/>
      <c r="Z6" s="975"/>
      <c r="AA6" s="975"/>
      <c r="AB6" s="975"/>
    </row>
    <row r="7" ht="15.75">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1054"/>
      <c r="C8" s="1054"/>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88" t="s">
        <v>22</v>
      </c>
      <c r="C10" s="988"/>
      <c r="D10" s="988"/>
      <c r="E10" s="988"/>
      <c r="F10" s="988"/>
      <c r="G10" s="988"/>
      <c r="H10" s="988"/>
      <c r="I10" s="988"/>
      <c r="J10" s="988"/>
      <c r="K10" s="988"/>
      <c r="L10" s="988"/>
      <c r="M10" s="988"/>
      <c r="N10" s="988"/>
      <c r="O10" s="988"/>
      <c r="P10" s="412"/>
      <c r="Q10" s="986"/>
      <c r="R10" s="986"/>
      <c r="S10" s="986"/>
      <c r="T10" s="986"/>
      <c r="U10" s="986"/>
      <c r="V10" s="986"/>
      <c r="W10" s="986"/>
      <c r="X10" s="986"/>
      <c r="Y10" s="986"/>
      <c r="Z10" s="986"/>
      <c r="AA10" s="986"/>
      <c r="AB10" s="986"/>
      <c r="AC10" s="9"/>
    </row>
    <row r="11" ht="18" customHeight="1">
      <c r="A11" s="58"/>
      <c r="B11" s="1055" t="s">
        <v>43</v>
      </c>
      <c r="C11" s="1055"/>
      <c r="D11" s="428">
        <v>57.679725577452850180122907450</v>
      </c>
      <c r="E11" s="429"/>
      <c r="F11" s="430">
        <v>34.560947547279544325920389500</v>
      </c>
      <c r="G11" s="428">
        <v>1.7371265098537825810553083300</v>
      </c>
      <c r="H11" s="429"/>
      <c r="I11" s="430">
        <v>2.2385214785086289132760178500</v>
      </c>
      <c r="J11" s="428">
        <v>0</v>
      </c>
      <c r="K11" s="429"/>
      <c r="L11" s="430">
        <v>3.9438085033308599517208939300</v>
      </c>
      <c r="M11" s="428">
        <v>59.416852087306632761178215780</v>
      </c>
      <c r="N11" s="429"/>
      <c r="O11" s="430">
        <v>40.743277529119033190917301280</v>
      </c>
      <c r="P11" s="5"/>
      <c r="Q11" s="428">
        <v>-14.401373065464702718855071170</v>
      </c>
      <c r="R11" s="429"/>
      <c r="S11" s="430">
        <v>-39.202387818071420478437695950</v>
      </c>
      <c r="T11" s="428">
        <v>-51.120059507175122521959787910</v>
      </c>
      <c r="U11" s="429"/>
      <c r="V11" s="430">
        <v>-76.021284950373618916885688240</v>
      </c>
      <c r="W11" s="428">
        <v>0</v>
      </c>
      <c r="X11" s="429"/>
      <c r="Y11" s="430">
        <v>-38.411034953454947374047713420</v>
      </c>
      <c r="Z11" s="428">
        <v>-16.240917108701201769042505980</v>
      </c>
      <c r="AA11" s="429"/>
      <c r="AB11" s="430">
        <v>-43.868017010689519503948113040</v>
      </c>
    </row>
    <row r="12" ht="18" customHeight="1">
      <c r="A12" s="58"/>
      <c r="B12" s="1056" t="s">
        <v>46</v>
      </c>
      <c r="C12" s="1056"/>
      <c r="D12" s="421">
        <v>44.885304089849544394998940520</v>
      </c>
      <c r="E12" s="91"/>
      <c r="F12" s="422">
        <v>29.043172585502727644236191700</v>
      </c>
      <c r="G12" s="421">
        <v>1.1072261072261072261072261100</v>
      </c>
      <c r="H12" s="91"/>
      <c r="I12" s="422">
        <v>2.0157697434941676804214724400</v>
      </c>
      <c r="J12" s="421">
        <v>0</v>
      </c>
      <c r="K12" s="91"/>
      <c r="L12" s="422">
        <v>3.7113894272418762581277090800</v>
      </c>
      <c r="M12" s="421">
        <v>45.992530197075651621106166630</v>
      </c>
      <c r="N12" s="91"/>
      <c r="O12" s="422">
        <v>34.770331756238771582785373220</v>
      </c>
      <c r="P12" s="5"/>
      <c r="Q12" s="421">
        <v>-33.334862615747352244703012380</v>
      </c>
      <c r="R12" s="91"/>
      <c r="S12" s="422">
        <v>-48.212691543102451091735827270</v>
      </c>
      <c r="T12" s="421">
        <v>-85.79979617024250078649736893</v>
      </c>
      <c r="U12" s="91"/>
      <c r="V12" s="422">
        <v>-82.17587857479005273654124778</v>
      </c>
      <c r="W12" s="421">
        <v>0</v>
      </c>
      <c r="X12" s="91"/>
      <c r="Y12" s="422">
        <v>-39.614225671983523521532646670</v>
      </c>
      <c r="Z12" s="421">
        <v>-38.780092659992662545975191380</v>
      </c>
      <c r="AA12" s="91"/>
      <c r="AB12" s="422">
        <v>-52.717226440397904387960510220</v>
      </c>
    </row>
    <row r="13" ht="18" customHeight="1">
      <c r="A13" s="58"/>
      <c r="B13" s="1056" t="s">
        <v>47</v>
      </c>
      <c r="C13" s="1056"/>
      <c r="D13" s="421">
        <v>41.805997033269760542487815260</v>
      </c>
      <c r="E13" s="91"/>
      <c r="F13" s="422">
        <v>28.822151319881749913395804910</v>
      </c>
      <c r="G13" s="421">
        <v>2.0396270396270396270396270400</v>
      </c>
      <c r="H13" s="91"/>
      <c r="I13" s="422">
        <v>1.6062884794288384838102126200</v>
      </c>
      <c r="J13" s="421">
        <v>0</v>
      </c>
      <c r="K13" s="91"/>
      <c r="L13" s="422">
        <v>3.9466929283271447560377951400</v>
      </c>
      <c r="M13" s="421">
        <v>43.845624072896800169527442310</v>
      </c>
      <c r="N13" s="91"/>
      <c r="O13" s="422">
        <v>34.375132727637733153243812670</v>
      </c>
      <c r="P13" s="184"/>
      <c r="Q13" s="421">
        <v>-33.980344719476189044974484060</v>
      </c>
      <c r="R13" s="91"/>
      <c r="S13" s="422">
        <v>-48.407393631299990672298318900</v>
      </c>
      <c r="T13" s="421">
        <v>-72.851633862694614509027816740</v>
      </c>
      <c r="U13" s="91"/>
      <c r="V13" s="422">
        <v>-88.35448240977745958562549894</v>
      </c>
      <c r="W13" s="421">
        <v>0</v>
      </c>
      <c r="X13" s="91"/>
      <c r="Y13" s="422">
        <v>-35.440250221068218423373092010</v>
      </c>
      <c r="Z13" s="421">
        <v>-38.103020729009173899906340390</v>
      </c>
      <c r="AA13" s="91"/>
      <c r="AB13" s="422">
        <v>-54.633054759466054514576457620</v>
      </c>
    </row>
    <row r="14" ht="18" customHeight="1">
      <c r="A14" s="58"/>
      <c r="B14" s="1056" t="s">
        <v>48</v>
      </c>
      <c r="C14" s="1056"/>
      <c r="D14" s="421">
        <v>44.168388429752066115702479370</v>
      </c>
      <c r="E14" s="91"/>
      <c r="F14" s="422">
        <v>31.515003234901317225589995890</v>
      </c>
      <c r="G14" s="421">
        <v>1.3403263403263403263403263400</v>
      </c>
      <c r="H14" s="91"/>
      <c r="I14" s="422">
        <v>1.6024486145280846301314541300</v>
      </c>
      <c r="J14" s="421">
        <v>0</v>
      </c>
      <c r="K14" s="91"/>
      <c r="L14" s="422">
        <v>3.8151625583464076219667583900</v>
      </c>
      <c r="M14" s="421">
        <v>45.508714770078406442042805710</v>
      </c>
      <c r="N14" s="91"/>
      <c r="O14" s="422">
        <v>36.932614407775809477688208410</v>
      </c>
      <c r="P14" s="5"/>
      <c r="Q14" s="421">
        <v>-33.858363031727256231996253400</v>
      </c>
      <c r="R14" s="91"/>
      <c r="S14" s="422">
        <v>-42.955950637687477882659460470</v>
      </c>
      <c r="T14" s="421">
        <v>-69.290697610025878429785423990</v>
      </c>
      <c r="U14" s="91"/>
      <c r="V14" s="422">
        <v>-90.10544733840179431687139022</v>
      </c>
      <c r="W14" s="421">
        <v>0</v>
      </c>
      <c r="X14" s="91"/>
      <c r="Y14" s="422">
        <v>-39.284642186318569447784440470</v>
      </c>
      <c r="Z14" s="421">
        <v>-36.032104363363446568842104750</v>
      </c>
      <c r="AA14" s="91"/>
      <c r="AB14" s="422">
        <v>-52.483413806751594399805392280</v>
      </c>
    </row>
    <row r="15" ht="18" customHeight="1">
      <c r="A15" s="58"/>
      <c r="B15" s="1056" t="s">
        <v>49</v>
      </c>
      <c r="C15" s="1056"/>
      <c r="D15" s="421">
        <v>55.883018496654860291223927630</v>
      </c>
      <c r="E15" s="91"/>
      <c r="F15" s="422">
        <v>35.799105924074511035682817800</v>
      </c>
      <c r="G15" s="421">
        <v>2.2065623770169224714679260200</v>
      </c>
      <c r="H15" s="91"/>
      <c r="I15" s="422">
        <v>2.0093180548634994952018446200</v>
      </c>
      <c r="J15" s="421">
        <v>0</v>
      </c>
      <c r="K15" s="91"/>
      <c r="L15" s="422">
        <v>3.9261980163568481059638313500</v>
      </c>
      <c r="M15" s="421">
        <v>58.089580873671782762691853650</v>
      </c>
      <c r="N15" s="91"/>
      <c r="O15" s="422">
        <v>41.734621995294858636848493770</v>
      </c>
      <c r="P15" s="184"/>
      <c r="Q15" s="421">
        <v>-25.651374223330540212380948360</v>
      </c>
      <c r="R15" s="91"/>
      <c r="S15" s="422">
        <v>-37.984837070358759142027978980</v>
      </c>
      <c r="T15" s="421">
        <v>-33.424874177100953125203735630</v>
      </c>
      <c r="U15" s="91"/>
      <c r="V15" s="422">
        <v>-88.71660071320676169919733932</v>
      </c>
      <c r="W15" s="421">
        <v>0</v>
      </c>
      <c r="X15" s="91"/>
      <c r="Y15" s="422">
        <v>-38.323345292196311823161678550</v>
      </c>
      <c r="Z15" s="421">
        <v>-25.979676240191563555028606540</v>
      </c>
      <c r="AA15" s="91"/>
      <c r="AB15" s="422">
        <v>-49.041906570008725397895938250</v>
      </c>
    </row>
    <row r="16" ht="18" customHeight="1">
      <c r="A16" s="58"/>
      <c r="B16" s="1057" t="s">
        <v>78</v>
      </c>
      <c r="C16" s="1057"/>
      <c r="D16" s="431">
        <v>48.990525085566407880457467280</v>
      </c>
      <c r="E16" s="432"/>
      <c r="F16" s="433">
        <v>32.004424589832716946192413980</v>
      </c>
      <c r="G16" s="431">
        <v>1.6940583521162033558727773600</v>
      </c>
      <c r="H16" s="432"/>
      <c r="I16" s="433">
        <v>1.8961497474718704575256155900</v>
      </c>
      <c r="J16" s="431">
        <v>0</v>
      </c>
      <c r="K16" s="432"/>
      <c r="L16" s="433">
        <v>3.8694923280810727674815172800</v>
      </c>
      <c r="M16" s="431">
        <v>50.684583437682611236330244640</v>
      </c>
      <c r="N16" s="432"/>
      <c r="O16" s="433">
        <v>37.770066665385660171199546860</v>
      </c>
      <c r="P16" s="5"/>
      <c r="Q16" s="431">
        <v>-27.875565682309873880924920100</v>
      </c>
      <c r="R16" s="432"/>
      <c r="S16" s="433">
        <v>-43.199909130080453339781180050</v>
      </c>
      <c r="T16" s="431">
        <v>-68.287887630919035274463806080</v>
      </c>
      <c r="U16" s="432"/>
      <c r="V16" s="433">
        <v>-86.14806111743449738443505917</v>
      </c>
      <c r="W16" s="431">
        <v>0</v>
      </c>
      <c r="X16" s="432"/>
      <c r="Y16" s="433">
        <v>-38.188886387819420678102353430</v>
      </c>
      <c r="Z16" s="630">
        <v>-30.822080394312249984996321620</v>
      </c>
      <c r="AA16" s="214"/>
      <c r="AB16" s="631">
        <v>-50.494450855968053050986230430</v>
      </c>
    </row>
    <row r="17" ht="6" customHeight="1">
      <c r="A17" s="58"/>
      <c r="B17" s="632"/>
      <c r="C17" s="632"/>
      <c r="D17" s="91"/>
      <c r="E17" s="91"/>
      <c r="F17" s="91"/>
      <c r="G17" s="91"/>
      <c r="H17" s="91"/>
      <c r="I17" s="91"/>
      <c r="J17" s="91"/>
      <c r="K17" s="91"/>
      <c r="L17" s="91"/>
      <c r="M17" s="91"/>
      <c r="N17" s="91"/>
      <c r="O17" s="91"/>
      <c r="P17" s="5"/>
      <c r="Q17" s="91"/>
      <c r="R17" s="91"/>
      <c r="S17" s="91"/>
      <c r="T17" s="91"/>
      <c r="U17" s="91"/>
      <c r="V17" s="91"/>
      <c r="W17" s="91"/>
      <c r="X17" s="91"/>
      <c r="Y17" s="91"/>
      <c r="Z17" s="633"/>
      <c r="AA17" s="633"/>
      <c r="AB17" s="633"/>
      <c r="AC17" s="4"/>
    </row>
    <row r="18" ht="18" customHeight="1">
      <c r="A18" s="58"/>
      <c r="B18" s="1058" t="s">
        <v>50</v>
      </c>
      <c r="C18" s="1058"/>
      <c r="D18" s="480">
        <v>73.920454545454545454545454600</v>
      </c>
      <c r="E18" s="481"/>
      <c r="F18" s="482">
        <v>41.874065190583676100130355130</v>
      </c>
      <c r="G18" s="480">
        <v>1.6732888323797414706505615600</v>
      </c>
      <c r="H18" s="481"/>
      <c r="I18" s="482">
        <v>2.5340073067719654341384214800</v>
      </c>
      <c r="J18" s="480">
        <v>0</v>
      </c>
      <c r="K18" s="481"/>
      <c r="L18" s="482">
        <v>3.8351777451493883895589613200</v>
      </c>
      <c r="M18" s="480">
        <v>75.593743377834286925196016170</v>
      </c>
      <c r="N18" s="481"/>
      <c r="O18" s="482">
        <v>48.243250242505029923827737920</v>
      </c>
      <c r="P18" s="184"/>
      <c r="Q18" s="480">
        <v>-4.0019249449898838789735967900</v>
      </c>
      <c r="R18" s="481"/>
      <c r="S18" s="482">
        <v>-36.333861185560799565661892900</v>
      </c>
      <c r="T18" s="480">
        <v>-52.211844715263751896213420300</v>
      </c>
      <c r="U18" s="481"/>
      <c r="V18" s="482">
        <v>-84.67162875773770388290399101</v>
      </c>
      <c r="W18" s="480">
        <v>0</v>
      </c>
      <c r="X18" s="481"/>
      <c r="Y18" s="482">
        <v>-38.351414206641504747047596990</v>
      </c>
      <c r="Z18" s="480">
        <v>-6.0987990183472284437575818200</v>
      </c>
      <c r="AA18" s="481"/>
      <c r="AB18" s="482">
        <v>-45.502535709339124685477525320</v>
      </c>
    </row>
    <row r="19" ht="18" customHeight="1">
      <c r="A19" s="58"/>
      <c r="B19" s="1059" t="s">
        <v>51</v>
      </c>
      <c r="C19" s="1059"/>
      <c r="D19" s="272">
        <v>82.13617821572367026912481467</v>
      </c>
      <c r="E19" s="92"/>
      <c r="F19" s="273">
        <v>45.990323918252976615284539450</v>
      </c>
      <c r="G19" s="272">
        <v>1.6732888323797414706505615600</v>
      </c>
      <c r="H19" s="92"/>
      <c r="I19" s="273">
        <v>2.6124189629077114739706001200</v>
      </c>
      <c r="J19" s="272">
        <v>0</v>
      </c>
      <c r="K19" s="92"/>
      <c r="L19" s="273">
        <v>3.9616288809976841141751824400</v>
      </c>
      <c r="M19" s="272">
        <v>83.80946704810341173977537623</v>
      </c>
      <c r="N19" s="92"/>
      <c r="O19" s="273">
        <v>52.564371762158372203430322010</v>
      </c>
      <c r="P19" s="5"/>
      <c r="Q19" s="272">
        <v>4.7564369752500681442461809700</v>
      </c>
      <c r="R19" s="92"/>
      <c r="S19" s="273">
        <v>-32.003328679677946908706128820</v>
      </c>
      <c r="T19" s="272">
        <v>-60.163452926104674455239415840</v>
      </c>
      <c r="U19" s="92"/>
      <c r="V19" s="273">
        <v>-80.44744380987581300811330335</v>
      </c>
      <c r="W19" s="272">
        <v>0</v>
      </c>
      <c r="X19" s="92"/>
      <c r="Y19" s="273">
        <v>-39.383399038158876276956154850</v>
      </c>
      <c r="Z19" s="272">
        <v>1.4554095780549064692200104600</v>
      </c>
      <c r="AA19" s="92"/>
      <c r="AB19" s="273">
        <v>-39.948874955776746644467384520</v>
      </c>
    </row>
    <row r="20" ht="18" customHeight="1">
      <c r="A20" s="58"/>
      <c r="B20" s="1060" t="s">
        <v>79</v>
      </c>
      <c r="C20" s="1060"/>
      <c r="D20" s="274">
        <v>78.028316380589107861835134630</v>
      </c>
      <c r="E20" s="275"/>
      <c r="F20" s="276">
        <v>43.932194554418326357707447290</v>
      </c>
      <c r="G20" s="274">
        <v>1.6732888323797414706505615600</v>
      </c>
      <c r="H20" s="275"/>
      <c r="I20" s="276">
        <v>2.573213134839838454054510800</v>
      </c>
      <c r="J20" s="274">
        <v>0</v>
      </c>
      <c r="K20" s="275"/>
      <c r="L20" s="276">
        <v>3.8984033130735362518670718800</v>
      </c>
      <c r="M20" s="274">
        <v>79.70160521296884933248569620</v>
      </c>
      <c r="N20" s="275"/>
      <c r="O20" s="276">
        <v>50.403811002331701063629029970</v>
      </c>
      <c r="P20" s="184"/>
      <c r="Q20" s="274">
        <v>0.4168408394555427640273689200</v>
      </c>
      <c r="R20" s="275"/>
      <c r="S20" s="276">
        <v>-34.138328155330879162235944200</v>
      </c>
      <c r="T20" s="274">
        <v>-56.54843791004358160932750800</v>
      </c>
      <c r="U20" s="275"/>
      <c r="V20" s="276">
        <v>-82.78355022529928032574789863</v>
      </c>
      <c r="W20" s="274">
        <v>0</v>
      </c>
      <c r="X20" s="275"/>
      <c r="Y20" s="276">
        <v>-38.880128670320981341140845490</v>
      </c>
      <c r="Z20" s="274">
        <v>-2.2729798741807672922107622900</v>
      </c>
      <c r="AA20" s="275"/>
      <c r="AB20" s="276">
        <v>-42.741338012943411502104567090</v>
      </c>
    </row>
    <row r="21" ht="6" customHeight="1">
      <c r="A21" s="58"/>
      <c r="B21" s="632"/>
      <c r="C21" s="632"/>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7" t="s">
        <v>12</v>
      </c>
      <c r="C22" s="997"/>
      <c r="D22" s="469">
        <v>57.147562582345191040843214760</v>
      </c>
      <c r="E22" s="470"/>
      <c r="F22" s="471">
        <v>35.406332205813009846995427460</v>
      </c>
      <c r="G22" s="469">
        <v>1.7374835309617918313570487500</v>
      </c>
      <c r="H22" s="470"/>
      <c r="I22" s="471">
        <v>2.0578305465321752238174475600</v>
      </c>
      <c r="J22" s="469">
        <v>0</v>
      </c>
      <c r="K22" s="470"/>
      <c r="L22" s="471">
        <v>3.8677454263767927739359256800</v>
      </c>
      <c r="M22" s="469">
        <v>58.885046113306982872200263500</v>
      </c>
      <c r="N22" s="470"/>
      <c r="O22" s="471">
        <v>41.331908178721977844748800690</v>
      </c>
      <c r="P22" s="184"/>
      <c r="Q22" s="469">
        <v>-19.076492537313432835820895510</v>
      </c>
      <c r="R22" s="470"/>
      <c r="S22" s="471">
        <v>-40.667421453392799925969279100</v>
      </c>
      <c r="T22" s="469">
        <v>-65.181518151815181518151815140</v>
      </c>
      <c r="U22" s="470"/>
      <c r="V22" s="471">
        <v>-84.91132855635539961840810162</v>
      </c>
      <c r="W22" s="469">
        <v>0</v>
      </c>
      <c r="X22" s="470"/>
      <c r="Y22" s="471">
        <v>-38.598122642279879934188633600</v>
      </c>
      <c r="Z22" s="469">
        <v>-22.119363972990633848834676550</v>
      </c>
      <c r="AA22" s="470"/>
      <c r="AB22" s="471">
        <v>-48.083102724006520820136652180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0" t="s">
        <v>9</v>
      </c>
      <c r="C24" s="1050"/>
      <c r="D24" s="1050"/>
      <c r="E24" s="1050"/>
      <c r="F24" s="1050"/>
      <c r="G24" s="1050"/>
      <c r="H24" s="1050"/>
      <c r="I24" s="1050"/>
      <c r="J24" s="1050"/>
      <c r="K24" s="1050"/>
      <c r="L24" s="1050"/>
      <c r="M24" s="1050"/>
      <c r="N24" s="1050"/>
      <c r="O24" s="1050"/>
      <c r="P24" s="412"/>
      <c r="Q24" s="1051"/>
      <c r="R24" s="1051"/>
      <c r="S24" s="1051"/>
      <c r="T24" s="1051"/>
      <c r="U24" s="1051"/>
      <c r="V24" s="1051"/>
      <c r="W24" s="1051"/>
      <c r="X24" s="1051"/>
      <c r="Y24" s="1051"/>
      <c r="Z24" s="1051"/>
      <c r="AA24" s="1051"/>
      <c r="AB24" s="1051"/>
      <c r="AC24" s="9"/>
    </row>
    <row r="25" ht="18" customHeight="1">
      <c r="A25" s="58"/>
      <c r="B25" s="1055" t="s">
        <v>43</v>
      </c>
      <c r="C25" s="1055"/>
      <c r="D25" s="455">
        <v>124.00081070003831230234967963</v>
      </c>
      <c r="E25" s="456"/>
      <c r="F25" s="457">
        <v>123.55795529067908977624293094</v>
      </c>
      <c r="G25" s="455">
        <v>182.7737534979162577456334921</v>
      </c>
      <c r="H25" s="456"/>
      <c r="I25" s="457">
        <v>108.30258645961702108654260015</v>
      </c>
      <c r="J25" s="455">
        <v>0</v>
      </c>
      <c r="K25" s="456"/>
      <c r="L25" s="457">
        <v>94.05573529323433959894916374</v>
      </c>
      <c r="M25" s="455">
        <v>125.71911171077335843802792581</v>
      </c>
      <c r="N25" s="456"/>
      <c r="O25" s="457">
        <v>119.86408022683814589287412464</v>
      </c>
      <c r="P25" s="5"/>
      <c r="Q25" s="428">
        <v>-28.008068156552410641382362660</v>
      </c>
      <c r="R25" s="429"/>
      <c r="S25" s="430">
        <v>-27.596938558038696751830227940</v>
      </c>
      <c r="T25" s="428">
        <v>13.525315147229254370258983170</v>
      </c>
      <c r="U25" s="429"/>
      <c r="V25" s="430">
        <v>-43.170766969823348713891178890</v>
      </c>
      <c r="W25" s="428">
        <v>0</v>
      </c>
      <c r="X25" s="429"/>
      <c r="Y25" s="430">
        <v>-23.03636303525704698110925400</v>
      </c>
      <c r="Z25" s="428">
        <v>-26.770964970724067206522282200</v>
      </c>
      <c r="AA25" s="429"/>
      <c r="AB25" s="430">
        <v>-29.049930606350290587612056280</v>
      </c>
    </row>
    <row r="26" ht="18" customHeight="1">
      <c r="A26" s="58"/>
      <c r="B26" s="1056" t="s">
        <v>46</v>
      </c>
      <c r="C26" s="1056"/>
      <c r="D26" s="440">
        <v>134.36817479797423714920710811</v>
      </c>
      <c r="E26" s="95"/>
      <c r="F26" s="441">
        <v>127.01116206435556227812157387</v>
      </c>
      <c r="G26" s="440">
        <v>217.95683352867233237457627596</v>
      </c>
      <c r="H26" s="95"/>
      <c r="I26" s="441">
        <v>104.00231867945501938271431151</v>
      </c>
      <c r="J26" s="440">
        <v>0</v>
      </c>
      <c r="K26" s="95"/>
      <c r="L26" s="441">
        <v>92.525880682948719333902542</v>
      </c>
      <c r="M26" s="440">
        <v>136.38049168547887651684332009</v>
      </c>
      <c r="N26" s="95"/>
      <c r="O26" s="441">
        <v>121.99628788182187760121487333</v>
      </c>
      <c r="P26" s="5"/>
      <c r="Q26" s="421">
        <v>-21.569005535713264408124226160</v>
      </c>
      <c r="R26" s="91"/>
      <c r="S26" s="422">
        <v>-26.941816977061187386541996180</v>
      </c>
      <c r="T26" s="421">
        <v>49.446604307235418759890751540</v>
      </c>
      <c r="U26" s="91"/>
      <c r="V26" s="422">
        <v>-43.452800159686795932286467310</v>
      </c>
      <c r="W26" s="421">
        <v>0</v>
      </c>
      <c r="X26" s="91"/>
      <c r="Y26" s="422">
        <v>-22.952850358116337275939064090</v>
      </c>
      <c r="Z26" s="421">
        <v>-19.146463657273816990377443970</v>
      </c>
      <c r="AA26" s="91"/>
      <c r="AB26" s="422">
        <v>-28.617544712104838615439984760</v>
      </c>
    </row>
    <row r="27" ht="18" customHeight="1">
      <c r="A27" s="58"/>
      <c r="B27" s="1056" t="s">
        <v>47</v>
      </c>
      <c r="C27" s="1056"/>
      <c r="D27" s="440">
        <v>127.32323539417498819558940977</v>
      </c>
      <c r="E27" s="95"/>
      <c r="F27" s="441">
        <v>131.04834645657827546095960553</v>
      </c>
      <c r="G27" s="440">
        <v>189.53569893149081710408484644</v>
      </c>
      <c r="H27" s="95"/>
      <c r="I27" s="441">
        <v>107.99365235556905170443410545</v>
      </c>
      <c r="J27" s="440">
        <v>0</v>
      </c>
      <c r="K27" s="95"/>
      <c r="L27" s="441">
        <v>91.92262411754928472161732355</v>
      </c>
      <c r="M27" s="440">
        <v>130.21725789962628818831209298</v>
      </c>
      <c r="N27" s="95"/>
      <c r="O27" s="441">
        <v>125.47892210790025666985754009</v>
      </c>
      <c r="P27" s="93"/>
      <c r="Q27" s="421">
        <v>-33.311133987015969154458512720</v>
      </c>
      <c r="R27" s="91"/>
      <c r="S27" s="422">
        <v>-29.125456946149695574426158140</v>
      </c>
      <c r="T27" s="421">
        <v>16.437839257750982157087580860</v>
      </c>
      <c r="U27" s="91"/>
      <c r="V27" s="422">
        <v>-40.462466846276022814538260410</v>
      </c>
      <c r="W27" s="421">
        <v>0</v>
      </c>
      <c r="X27" s="91"/>
      <c r="Y27" s="422">
        <v>-24.764932193945742339286115450</v>
      </c>
      <c r="Z27" s="421">
        <v>-30.712082600435161452316928790</v>
      </c>
      <c r="AA27" s="91"/>
      <c r="AB27" s="422">
        <v>-29.978965157230637643623028890</v>
      </c>
    </row>
    <row r="28" ht="18" customHeight="1">
      <c r="A28" s="58"/>
      <c r="B28" s="1056" t="s">
        <v>48</v>
      </c>
      <c r="C28" s="1056"/>
      <c r="D28" s="440">
        <v>138.52367913010647127194180056</v>
      </c>
      <c r="E28" s="95"/>
      <c r="F28" s="441">
        <v>136.99254391615290126116204406</v>
      </c>
      <c r="G28" s="440">
        <v>231.97939103879036753286664917</v>
      </c>
      <c r="H28" s="95"/>
      <c r="I28" s="441">
        <v>110.37451084621866092022230858</v>
      </c>
      <c r="J28" s="440">
        <v>0</v>
      </c>
      <c r="K28" s="95"/>
      <c r="L28" s="441">
        <v>94.87851968600209771111543357</v>
      </c>
      <c r="M28" s="440">
        <v>141.27614429986593924327130434</v>
      </c>
      <c r="N28" s="95"/>
      <c r="O28" s="441">
        <v>131.48722343183497334222374347</v>
      </c>
      <c r="P28" s="5"/>
      <c r="Q28" s="421">
        <v>-17.315615938344247722265785300</v>
      </c>
      <c r="R28" s="91"/>
      <c r="S28" s="422">
        <v>-22.621363952697994512159384490</v>
      </c>
      <c r="T28" s="421">
        <v>39.314325729200763616134874950</v>
      </c>
      <c r="U28" s="91"/>
      <c r="V28" s="422">
        <v>-41.003666702634060797019039470</v>
      </c>
      <c r="W28" s="421">
        <v>0</v>
      </c>
      <c r="X28" s="91"/>
      <c r="Y28" s="422">
        <v>-23.488457809223853928907394340</v>
      </c>
      <c r="Z28" s="421">
        <v>-15.641231237464167520367898150</v>
      </c>
      <c r="AA28" s="91"/>
      <c r="AB28" s="422">
        <v>-24.798783236364662859390556080</v>
      </c>
    </row>
    <row r="29" ht="18" customHeight="1">
      <c r="A29" s="58"/>
      <c r="B29" s="1056" t="s">
        <v>49</v>
      </c>
      <c r="C29" s="1056"/>
      <c r="D29" s="440">
        <v>148.26705850323753362050236241</v>
      </c>
      <c r="E29" s="95"/>
      <c r="F29" s="441">
        <v>145.56019673011887360706588709</v>
      </c>
      <c r="G29" s="440">
        <v>198.64221518749176606980718637</v>
      </c>
      <c r="H29" s="95"/>
      <c r="I29" s="441">
        <v>122.54542980656429672866541587</v>
      </c>
      <c r="J29" s="440">
        <v>0</v>
      </c>
      <c r="K29" s="95"/>
      <c r="L29" s="441">
        <v>94.77346510669447415151456806</v>
      </c>
      <c r="M29" s="440">
        <v>150.18058454016212880150712416</v>
      </c>
      <c r="N29" s="95"/>
      <c r="O29" s="441">
        <v>139.6743700490289233823674323</v>
      </c>
      <c r="P29" s="93"/>
      <c r="Q29" s="421">
        <v>-18.806977375621068143051380120</v>
      </c>
      <c r="R29" s="91"/>
      <c r="S29" s="422">
        <v>-20.314176858118699694502190070</v>
      </c>
      <c r="T29" s="421">
        <v>13.671606031943464809113082960</v>
      </c>
      <c r="U29" s="91"/>
      <c r="V29" s="422">
        <v>-35.92145119194009522301943900</v>
      </c>
      <c r="W29" s="421">
        <v>0</v>
      </c>
      <c r="X29" s="91"/>
      <c r="Y29" s="422">
        <v>-22.566963547298246545958014780</v>
      </c>
      <c r="Z29" s="421">
        <v>-17.609339542408983159905940500</v>
      </c>
      <c r="AA29" s="91"/>
      <c r="AB29" s="422">
        <v>-22.337220831290148701176243340</v>
      </c>
    </row>
    <row r="30" ht="18" customHeight="1">
      <c r="A30" s="58"/>
      <c r="B30" s="1057" t="s">
        <v>78</v>
      </c>
      <c r="C30" s="1057"/>
      <c r="D30" s="458">
        <v>134.88076943881317697254016283</v>
      </c>
      <c r="E30" s="459"/>
      <c r="F30" s="460">
        <v>133.32230421228915607510796907</v>
      </c>
      <c r="G30" s="458">
        <v>200.95936901244055414246179756</v>
      </c>
      <c r="H30" s="459"/>
      <c r="I30" s="460">
        <v>110.89040607252939477323475165</v>
      </c>
      <c r="J30" s="458">
        <v>0</v>
      </c>
      <c r="K30" s="459"/>
      <c r="L30" s="460">
        <v>93.65183971228213659411917432</v>
      </c>
      <c r="M30" s="458">
        <v>137.08935035062985684226996171</v>
      </c>
      <c r="N30" s="459"/>
      <c r="O30" s="460">
        <v>128.13198252808441351791031015</v>
      </c>
      <c r="P30" s="5"/>
      <c r="Q30" s="431">
        <v>-23.840963501846128484329655520</v>
      </c>
      <c r="R30" s="432"/>
      <c r="S30" s="433">
        <v>-25.071742352043271923624006040</v>
      </c>
      <c r="T30" s="431">
        <v>25.803568848602428628757916520</v>
      </c>
      <c r="U30" s="432"/>
      <c r="V30" s="433">
        <v>-40.664380553231401459098412440</v>
      </c>
      <c r="W30" s="431">
        <v>0</v>
      </c>
      <c r="X30" s="432"/>
      <c r="Y30" s="433">
        <v>-23.352461109970640502674626230</v>
      </c>
      <c r="Z30" s="431">
        <v>-22.036604502567119465434555650</v>
      </c>
      <c r="AA30" s="432"/>
      <c r="AB30" s="433">
        <v>-26.767244619334736062514790320</v>
      </c>
    </row>
    <row r="31" ht="6" customHeight="1">
      <c r="A31" s="58"/>
      <c r="B31" s="632"/>
      <c r="C31" s="632"/>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58" t="s">
        <v>50</v>
      </c>
      <c r="C32" s="1058"/>
      <c r="D32" s="494">
        <v>144.20227619927511708983055782</v>
      </c>
      <c r="E32" s="495"/>
      <c r="F32" s="496">
        <v>130.64256370803502582748467314</v>
      </c>
      <c r="G32" s="494">
        <v>172.11326025777382111821327089</v>
      </c>
      <c r="H32" s="495"/>
      <c r="I32" s="496">
        <v>124.01578289213657930100266524</v>
      </c>
      <c r="J32" s="494">
        <v>0</v>
      </c>
      <c r="K32" s="495"/>
      <c r="L32" s="496">
        <v>92.45010948742717159019403965</v>
      </c>
      <c r="M32" s="494">
        <v>144.82009370425541999435412923</v>
      </c>
      <c r="N32" s="495"/>
      <c r="O32" s="496">
        <v>127.25831491371296694427771561</v>
      </c>
      <c r="P32" s="93"/>
      <c r="Q32" s="480">
        <v>-38.589439062117565912276676150</v>
      </c>
      <c r="R32" s="481"/>
      <c r="S32" s="482">
        <v>-33.480501349470875697907911280</v>
      </c>
      <c r="T32" s="480">
        <v>-0.9690595742015720586145903500</v>
      </c>
      <c r="U32" s="481"/>
      <c r="V32" s="482">
        <v>-36.604529015845960351864625080</v>
      </c>
      <c r="W32" s="480">
        <v>0</v>
      </c>
      <c r="X32" s="481"/>
      <c r="Y32" s="482">
        <v>-25.565264872028220945863523860</v>
      </c>
      <c r="Z32" s="480">
        <v>-37.621298462934052997515377240</v>
      </c>
      <c r="AA32" s="481"/>
      <c r="AB32" s="482">
        <v>-33.435062259952029697436945540</v>
      </c>
    </row>
    <row r="33" ht="18" customHeight="1">
      <c r="A33" s="58"/>
      <c r="B33" s="1059" t="s">
        <v>51</v>
      </c>
      <c r="C33" s="1059"/>
      <c r="D33" s="277">
        <v>144.67884455054099651339717079</v>
      </c>
      <c r="E33" s="94"/>
      <c r="F33" s="278">
        <v>133.52064858871444836378351707</v>
      </c>
      <c r="G33" s="277">
        <v>174.31065013753136438138384925</v>
      </c>
      <c r="H33" s="94"/>
      <c r="I33" s="278">
        <v>120.34424724024013705097401521</v>
      </c>
      <c r="J33" s="277">
        <v>0</v>
      </c>
      <c r="K33" s="94"/>
      <c r="L33" s="278">
        <v>96.03108305535948551746473663</v>
      </c>
      <c r="M33" s="277">
        <v>145.27045515395290132877046498</v>
      </c>
      <c r="N33" s="94"/>
      <c r="O33" s="278">
        <v>130.04030591237843569638182619</v>
      </c>
      <c r="P33" s="5"/>
      <c r="Q33" s="272">
        <v>-38.122144680288440028592918810</v>
      </c>
      <c r="R33" s="92"/>
      <c r="S33" s="273">
        <v>-30.664680993758535590914355270</v>
      </c>
      <c r="T33" s="272">
        <v>7.976763768491798743931315100</v>
      </c>
      <c r="U33" s="92"/>
      <c r="V33" s="273">
        <v>-39.837570316183439907489662190</v>
      </c>
      <c r="W33" s="272">
        <v>0</v>
      </c>
      <c r="X33" s="92"/>
      <c r="Y33" s="273">
        <v>-25.105649934082687568584846980</v>
      </c>
      <c r="Z33" s="272">
        <v>-36.875501499595008279968108900</v>
      </c>
      <c r="AA33" s="92"/>
      <c r="AB33" s="273">
        <v>-31.161501276125732333357170320</v>
      </c>
    </row>
    <row r="34" ht="18" customHeight="1">
      <c r="A34" s="58"/>
      <c r="B34" s="1060" t="s">
        <v>79</v>
      </c>
      <c r="C34" s="1060"/>
      <c r="D34" s="444">
        <v>144.45310503198132612936963076</v>
      </c>
      <c r="E34" s="445"/>
      <c r="F34" s="446">
        <v>132.14902220924551293172844839</v>
      </c>
      <c r="G34" s="444">
        <v>173.21195519765259274979856007</v>
      </c>
      <c r="H34" s="445"/>
      <c r="I34" s="446">
        <v>122.15204505593845374254664104</v>
      </c>
      <c r="J34" s="444">
        <v>0</v>
      </c>
      <c r="K34" s="445"/>
      <c r="L34" s="446">
        <v>94.26963496613209580460508796</v>
      </c>
      <c r="M34" s="634">
        <v>145.05688035978952612053332888</v>
      </c>
      <c r="N34" s="635"/>
      <c r="O34" s="636">
        <v>128.70893547379388134573290565</v>
      </c>
      <c r="P34" s="93"/>
      <c r="Q34" s="274">
        <v>-38.349745368664268959239424090</v>
      </c>
      <c r="R34" s="275"/>
      <c r="S34" s="276">
        <v>-32.042430926318920883209671700</v>
      </c>
      <c r="T34" s="274">
        <v>3.6859085182896983791807212400</v>
      </c>
      <c r="U34" s="275"/>
      <c r="V34" s="276">
        <v>-38.180126769461848539117964310</v>
      </c>
      <c r="W34" s="274">
        <v>0</v>
      </c>
      <c r="X34" s="275"/>
      <c r="Y34" s="276">
        <v>-25.338100528476928684010990990</v>
      </c>
      <c r="Z34" s="274">
        <v>-37.241462642108049676236260470</v>
      </c>
      <c r="AA34" s="275"/>
      <c r="AB34" s="276">
        <v>-32.275984822074672700905235390</v>
      </c>
    </row>
    <row r="35" ht="6" customHeight="1">
      <c r="A35" s="58"/>
      <c r="B35" s="632"/>
      <c r="C35" s="632"/>
      <c r="D35" s="95"/>
      <c r="E35" s="95"/>
      <c r="F35" s="95"/>
      <c r="G35" s="95"/>
      <c r="H35" s="95"/>
      <c r="I35" s="95"/>
      <c r="J35" s="95"/>
      <c r="K35" s="95"/>
      <c r="L35" s="95"/>
      <c r="M35" s="637"/>
      <c r="N35" s="637"/>
      <c r="O35" s="637"/>
      <c r="P35" s="93"/>
      <c r="Q35" s="91"/>
      <c r="R35" s="91"/>
      <c r="S35" s="91"/>
      <c r="T35" s="91"/>
      <c r="U35" s="91"/>
      <c r="V35" s="91"/>
      <c r="W35" s="91"/>
      <c r="X35" s="91"/>
      <c r="Y35" s="91"/>
      <c r="Z35" s="91"/>
      <c r="AA35" s="91"/>
      <c r="AB35" s="91"/>
    </row>
    <row r="36" ht="18" customHeight="1">
      <c r="A36" s="58"/>
      <c r="B36" s="997" t="s">
        <v>12</v>
      </c>
      <c r="C36" s="997"/>
      <c r="D36" s="483">
        <v>138.57017291066282420749279539</v>
      </c>
      <c r="E36" s="484"/>
      <c r="F36" s="485">
        <v>132.90130179144105170962185703</v>
      </c>
      <c r="G36" s="483">
        <v>191.67298578199052132701421801</v>
      </c>
      <c r="H36" s="484"/>
      <c r="I36" s="485">
        <v>113.91280139932097731294231952</v>
      </c>
      <c r="J36" s="483">
        <v>0</v>
      </c>
      <c r="K36" s="484"/>
      <c r="L36" s="485">
        <v>94.15748361873684813492025249</v>
      </c>
      <c r="M36" s="483">
        <v>140.13704377010208362466787862</v>
      </c>
      <c r="N36" s="484"/>
      <c r="O36" s="485">
        <v>128.33034559796788088844002724</v>
      </c>
      <c r="P36" s="93"/>
      <c r="Q36" s="469">
        <v>-28.967383628012359786356736160</v>
      </c>
      <c r="R36" s="470"/>
      <c r="S36" s="471">
        <v>-27.741104710387894576923399150</v>
      </c>
      <c r="T36" s="469">
        <v>20.595356358572480376434706350</v>
      </c>
      <c r="U36" s="470"/>
      <c r="V36" s="471">
        <v>-39.101935046566358480059796730</v>
      </c>
      <c r="W36" s="469">
        <v>0</v>
      </c>
      <c r="X36" s="470"/>
      <c r="Y36" s="471">
        <v>-23.767107087726828297004740220</v>
      </c>
      <c r="Z36" s="469">
        <v>-27.274979319903842615145905690</v>
      </c>
      <c r="AA36" s="470"/>
      <c r="AB36" s="471">
        <v>-28.578521554480756934906488100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0" t="s">
        <v>10</v>
      </c>
      <c r="C38" s="1050"/>
      <c r="D38" s="1050"/>
      <c r="E38" s="1050"/>
      <c r="F38" s="1050"/>
      <c r="G38" s="1050"/>
      <c r="H38" s="1050"/>
      <c r="I38" s="1050"/>
      <c r="J38" s="1050"/>
      <c r="K38" s="1050"/>
      <c r="L38" s="1050"/>
      <c r="M38" s="1050"/>
      <c r="N38" s="1050"/>
      <c r="O38" s="1050"/>
      <c r="P38" s="412"/>
      <c r="Q38" s="1051"/>
      <c r="R38" s="1051"/>
      <c r="S38" s="1051"/>
      <c r="T38" s="1051"/>
      <c r="U38" s="1051"/>
      <c r="V38" s="1051"/>
      <c r="W38" s="1051"/>
      <c r="X38" s="1051"/>
      <c r="Y38" s="1051"/>
      <c r="Z38" s="1051"/>
      <c r="AA38" s="1051"/>
      <c r="AB38" s="1051"/>
      <c r="AC38" s="9"/>
    </row>
    <row r="39" ht="18" customHeight="1">
      <c r="A39" s="58"/>
      <c r="B39" s="1055" t="s">
        <v>43</v>
      </c>
      <c r="C39" s="1055"/>
      <c r="D39" s="455">
        <v>71.523327325598889064466514725</v>
      </c>
      <c r="E39" s="456"/>
      <c r="F39" s="457">
        <v>42.70280011850271085090270413</v>
      </c>
      <c r="G39" s="455">
        <v>3.175011325067108546026341499</v>
      </c>
      <c r="H39" s="456"/>
      <c r="I39" s="457">
        <v>2.4243766596789050821254147822</v>
      </c>
      <c r="J39" s="455">
        <v>0</v>
      </c>
      <c r="K39" s="456"/>
      <c r="L39" s="457">
        <v>3.7093780863649406292011801423</v>
      </c>
      <c r="M39" s="455">
        <v>74.698338650665997610492856219</v>
      </c>
      <c r="N39" s="456"/>
      <c r="O39" s="457">
        <v>48.836554864546556562229299056</v>
      </c>
      <c r="P39" s="5"/>
      <c r="Q39" s="428">
        <v>-38.375894838362378207298920050</v>
      </c>
      <c r="R39" s="429"/>
      <c r="S39" s="430">
        <v>-55.980667496672900449550160690</v>
      </c>
      <c r="T39" s="428">
        <v>-44.508893511742433520478432080</v>
      </c>
      <c r="U39" s="429"/>
      <c r="V39" s="430">
        <v>-86.37308014680578504139359533</v>
      </c>
      <c r="W39" s="428">
        <v>0</v>
      </c>
      <c r="X39" s="429"/>
      <c r="Y39" s="430">
        <v>-52.598892531234634997142460540</v>
      </c>
      <c r="Z39" s="428">
        <v>-38.664031849330538273182826410</v>
      </c>
      <c r="AA39" s="429"/>
      <c r="AB39" s="430">
        <v>-60.174319117052563538987905930</v>
      </c>
    </row>
    <row r="40" ht="18" customHeight="1">
      <c r="A40" s="58"/>
      <c r="B40" s="1056" t="s">
        <v>46</v>
      </c>
      <c r="C40" s="1056"/>
      <c r="D40" s="440">
        <v>60.311563858051315053958184225</v>
      </c>
      <c r="E40" s="95"/>
      <c r="F40" s="441">
        <v>36.888071001203354943445152697</v>
      </c>
      <c r="G40" s="440">
        <v>2.4132749633128055449399471141</v>
      </c>
      <c r="H40" s="95"/>
      <c r="I40" s="441">
        <v>2.096447272472837283814351082</v>
      </c>
      <c r="J40" s="440">
        <v>0</v>
      </c>
      <c r="K40" s="95"/>
      <c r="L40" s="441">
        <v>3.4339957531293922991859889297</v>
      </c>
      <c r="M40" s="440">
        <v>62.724838821364120598898131343</v>
      </c>
      <c r="N40" s="95"/>
      <c r="O40" s="441">
        <v>42.418514026805584526445492707</v>
      </c>
      <c r="P40" s="5"/>
      <c r="Q40" s="421">
        <v>-47.713869788547658755016064780</v>
      </c>
      <c r="R40" s="91"/>
      <c r="S40" s="422">
        <v>-62.165133404905918951604640100</v>
      </c>
      <c r="T40" s="421">
        <v>-78.778277571721420288980111740</v>
      </c>
      <c r="U40" s="91"/>
      <c r="V40" s="422">
        <v>-89.92095843790644910803541123</v>
      </c>
      <c r="W40" s="421">
        <v>0</v>
      </c>
      <c r="X40" s="91"/>
      <c r="Y40" s="422">
        <v>-53.474482091082976602127451360</v>
      </c>
      <c r="Z40" s="421">
        <v>-50.501539969863873340533668460</v>
      </c>
      <c r="AA40" s="91"/>
      <c r="AB40" s="422">
        <v>-66.248395304940318674166411290</v>
      </c>
    </row>
    <row r="41" ht="18" customHeight="1">
      <c r="A41" s="58"/>
      <c r="B41" s="1056" t="s">
        <v>47</v>
      </c>
      <c r="C41" s="1056"/>
      <c r="D41" s="440">
        <v>53.228748011551869270388573345</v>
      </c>
      <c r="E41" s="95"/>
      <c r="F41" s="441">
        <v>37.770952717917883864425935587</v>
      </c>
      <c r="G41" s="440">
        <v>3.8658213651527847311439216994</v>
      </c>
      <c r="H41" s="95"/>
      <c r="I41" s="441">
        <v>1.7346895963019361337907724552</v>
      </c>
      <c r="J41" s="440">
        <v>0</v>
      </c>
      <c r="K41" s="95"/>
      <c r="L41" s="441">
        <v>3.6279037055800600714355514431</v>
      </c>
      <c r="M41" s="440">
        <v>57.094569376704654001532495044</v>
      </c>
      <c r="N41" s="95"/>
      <c r="O41" s="441">
        <v>43.133546019799880069652259483</v>
      </c>
      <c r="P41" s="93"/>
      <c r="Q41" s="421">
        <v>-55.972240547737539208366342480</v>
      </c>
      <c r="R41" s="91"/>
      <c r="S41" s="422">
        <v>-63.433975986612197757401108220</v>
      </c>
      <c r="T41" s="421">
        <v>-68.389029075938655945185638610</v>
      </c>
      <c r="U41" s="91"/>
      <c r="V41" s="422">
        <v>-93.06654610379849742383081291</v>
      </c>
      <c r="W41" s="421">
        <v>0</v>
      </c>
      <c r="X41" s="91"/>
      <c r="Y41" s="422">
        <v>-51.428428478401710418348144260</v>
      </c>
      <c r="Z41" s="421">
        <v>-57.112872129890106044125415850</v>
      </c>
      <c r="AA41" s="91"/>
      <c r="AB41" s="422">
        <v>-68.233595466025629125895473260</v>
      </c>
    </row>
    <row r="42" ht="18" customHeight="1">
      <c r="A42" s="58"/>
      <c r="B42" s="1056" t="s">
        <v>48</v>
      </c>
      <c r="C42" s="1056"/>
      <c r="D42" s="440">
        <v>61.183676665368824165618509162</v>
      </c>
      <c r="E42" s="95"/>
      <c r="F42" s="441">
        <v>43.173204646749194476930271005</v>
      </c>
      <c r="G42" s="440">
        <v>3.1092808822215492151841100999</v>
      </c>
      <c r="H42" s="95"/>
      <c r="I42" s="441">
        <v>1.7686948198473814306871175656</v>
      </c>
      <c r="J42" s="440">
        <v>0</v>
      </c>
      <c r="K42" s="95"/>
      <c r="L42" s="441">
        <v>3.6197697589736776227705936159</v>
      </c>
      <c r="M42" s="440">
        <v>64.292957547590373380802619258</v>
      </c>
      <c r="N42" s="95"/>
      <c r="O42" s="441">
        <v>48.561669225570253530387982187</v>
      </c>
      <c r="P42" s="5"/>
      <c r="Q42" s="421">
        <v>-45.311194864487282533931195430</v>
      </c>
      <c r="R42" s="91"/>
      <c r="S42" s="422">
        <v>-55.860092657292892968555992190</v>
      </c>
      <c r="T42" s="421">
        <v>-57.217542439266217330896910460</v>
      </c>
      <c r="U42" s="91"/>
      <c r="V42" s="422">
        <v>-94.16257673348013000106146579</v>
      </c>
      <c r="W42" s="421">
        <v>0</v>
      </c>
      <c r="X42" s="91"/>
      <c r="Y42" s="422">
        <v>-53.545743390104430806625336340</v>
      </c>
      <c r="Z42" s="421">
        <v>-46.037470837629521375284669560</v>
      </c>
      <c r="AA42" s="91"/>
      <c r="AB42" s="422">
        <v>-64.266949018135645913520815660</v>
      </c>
    </row>
    <row r="43" ht="18" customHeight="1">
      <c r="A43" s="58"/>
      <c r="B43" s="1056" t="s">
        <v>49</v>
      </c>
      <c r="C43" s="1056"/>
      <c r="D43" s="440">
        <v>82.85610772781031376306300611</v>
      </c>
      <c r="E43" s="95"/>
      <c r="F43" s="441">
        <v>52.109249010706498383834755132</v>
      </c>
      <c r="G43" s="440">
        <v>4.3831643852001884922575764232</v>
      </c>
      <c r="H43" s="95"/>
      <c r="I43" s="441">
        <v>2.4623274465133728590598191293</v>
      </c>
      <c r="J43" s="440">
        <v>0</v>
      </c>
      <c r="K43" s="95"/>
      <c r="L43" s="441">
        <v>3.7209939070516880425079296307</v>
      </c>
      <c r="M43" s="440">
        <v>87.23927211301050225532058253</v>
      </c>
      <c r="N43" s="95"/>
      <c r="O43" s="441">
        <v>58.292570364271559285402503891</v>
      </c>
      <c r="P43" s="93"/>
      <c r="Q43" s="421">
        <v>-39.634103452233939172668567200</v>
      </c>
      <c r="R43" s="91"/>
      <c r="S43" s="422">
        <v>-50.582706946736546723764691500</v>
      </c>
      <c r="T43" s="421">
        <v>-24.322985259323535769865763350</v>
      </c>
      <c r="U43" s="91"/>
      <c r="V43" s="422">
        <v>-92.76976148080391160219783752</v>
      </c>
      <c r="W43" s="421">
        <v>0</v>
      </c>
      <c r="X43" s="91"/>
      <c r="Y43" s="422">
        <v>-52.241893477299377990678807320</v>
      </c>
      <c r="Z43" s="421">
        <v>-39.014166381446662316470365410</v>
      </c>
      <c r="AA43" s="91"/>
      <c r="AB43" s="422">
        <v>-60.424528430881033036030835370</v>
      </c>
    </row>
    <row r="44" ht="18" customHeight="1">
      <c r="A44" s="58"/>
      <c r="B44" s="1057" t="s">
        <v>78</v>
      </c>
      <c r="C44" s="1057"/>
      <c r="D44" s="458">
        <v>66.078797187526758498340837027</v>
      </c>
      <c r="E44" s="459"/>
      <c r="F44" s="460">
        <v>42.669036313049450846912376527</v>
      </c>
      <c r="G44" s="458">
        <v>3.404368975115270657218670231</v>
      </c>
      <c r="H44" s="459"/>
      <c r="I44" s="460">
        <v>2.1026481547147978219797794393</v>
      </c>
      <c r="J44" s="458">
        <v>0</v>
      </c>
      <c r="K44" s="459"/>
      <c r="L44" s="460">
        <v>3.6238507527735406874760237117</v>
      </c>
      <c r="M44" s="458">
        <v>69.483166162642029155559507256</v>
      </c>
      <c r="N44" s="459"/>
      <c r="O44" s="460">
        <v>48.395535220537789356368179675</v>
      </c>
      <c r="P44" s="5"/>
      <c r="Q44" s="431">
        <v>-45.070725743903360618178087080</v>
      </c>
      <c r="R44" s="432"/>
      <c r="S44" s="433">
        <v>-57.440681568713136040057261090</v>
      </c>
      <c r="T44" s="431">
        <v>-60.105030882417061832952255940</v>
      </c>
      <c r="U44" s="432"/>
      <c r="V44" s="433">
        <v>-91.78086625864196272621323221</v>
      </c>
      <c r="W44" s="431">
        <v>0</v>
      </c>
      <c r="X44" s="432"/>
      <c r="Y44" s="433">
        <v>-52.623302655743659254973451080</v>
      </c>
      <c r="Z44" s="431">
        <v>-46.066544940921498800731650930</v>
      </c>
      <c r="AA44" s="432"/>
      <c r="AB44" s="433">
        <v>-63.745722295496057856268110360</v>
      </c>
    </row>
    <row r="45" ht="6" customHeight="1">
      <c r="A45" s="58"/>
      <c r="B45" s="632"/>
      <c r="C45" s="632"/>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58" t="s">
        <v>50</v>
      </c>
      <c r="C46" s="1058"/>
      <c r="D46" s="494">
        <v>106.59497803139598143969861129</v>
      </c>
      <c r="E46" s="495"/>
      <c r="F46" s="496">
        <v>54.705352293752397403995642476</v>
      </c>
      <c r="G46" s="494">
        <v>2.8799519629380091862782189884</v>
      </c>
      <c r="H46" s="495"/>
      <c r="I46" s="496">
        <v>3.1425690000371979957893356408</v>
      </c>
      <c r="J46" s="494">
        <v>0</v>
      </c>
      <c r="K46" s="495"/>
      <c r="L46" s="496">
        <v>3.5456260244280501876188483683</v>
      </c>
      <c r="M46" s="494">
        <v>109.47492999433399062597683027</v>
      </c>
      <c r="N46" s="495"/>
      <c r="O46" s="496">
        <v>61.393547318217645587403826484</v>
      </c>
      <c r="P46" s="93"/>
      <c r="Q46" s="480">
        <v>-41.047043619148896630138989740</v>
      </c>
      <c r="R46" s="481"/>
      <c r="S46" s="482">
        <v>-57.649603650485117049338786880</v>
      </c>
      <c r="T46" s="480">
        <v>-52.674940409384803037492937610</v>
      </c>
      <c r="U46" s="481"/>
      <c r="V46" s="482">
        <v>-90.28250685676819395078777614</v>
      </c>
      <c r="W46" s="480">
        <v>0</v>
      </c>
      <c r="X46" s="481"/>
      <c r="Y46" s="482">
        <v>-54.112038454573164457000797040</v>
      </c>
      <c r="Z46" s="480">
        <v>-41.425650099934378473898650710</v>
      </c>
      <c r="AA46" s="481"/>
      <c r="AB46" s="482">
        <v>-63.723796825016713113839662970</v>
      </c>
    </row>
    <row r="47" ht="18" customHeight="1">
      <c r="A47" s="58"/>
      <c r="B47" s="1059" t="s">
        <v>51</v>
      </c>
      <c r="C47" s="1059"/>
      <c r="D47" s="277">
        <v>118.83367360048216642660640884</v>
      </c>
      <c r="E47" s="94"/>
      <c r="F47" s="278">
        <v>61.406578783702046412076584498</v>
      </c>
      <c r="G47" s="277">
        <v>2.9167206423998347870237385476</v>
      </c>
      <c r="H47" s="94"/>
      <c r="I47" s="278">
        <v>3.1438959356725735751176397883</v>
      </c>
      <c r="J47" s="277">
        <v>0</v>
      </c>
      <c r="K47" s="94"/>
      <c r="L47" s="278">
        <v>3.8043951210559946263929974591</v>
      </c>
      <c r="M47" s="277">
        <v>121.75039424288200121363014738</v>
      </c>
      <c r="N47" s="94"/>
      <c r="O47" s="278">
        <v>68.354869840430614613587221743</v>
      </c>
      <c r="P47" s="5"/>
      <c r="Q47" s="272">
        <v>-35.178963490369938122266273510</v>
      </c>
      <c r="R47" s="92"/>
      <c r="S47" s="273">
        <v>-52.854291026429204621981186300</v>
      </c>
      <c r="T47" s="272">
        <v>-56.985785672496012302804280680</v>
      </c>
      <c r="U47" s="92"/>
      <c r="V47" s="273">
        <v>-88.23670713072781383971651936</v>
      </c>
      <c r="W47" s="272">
        <v>0</v>
      </c>
      <c r="X47" s="92"/>
      <c r="Y47" s="273">
        <v>-54.601590677578508113609495710</v>
      </c>
      <c r="Z47" s="272">
        <v>-35.956781502320988228345246990</v>
      </c>
      <c r="AA47" s="92"/>
      <c r="AB47" s="273">
        <v>-58.661707052760234983865727280</v>
      </c>
    </row>
    <row r="48" ht="18" customHeight="1">
      <c r="A48" s="58"/>
      <c r="B48" s="1060" t="s">
        <v>79</v>
      </c>
      <c r="C48" s="1060"/>
      <c r="D48" s="444">
        <v>112.71432581593907393315251005</v>
      </c>
      <c r="E48" s="445"/>
      <c r="F48" s="446">
        <v>58.055965538727221908036113497</v>
      </c>
      <c r="G48" s="444">
        <v>2.8983363026689219866509787677</v>
      </c>
      <c r="H48" s="445"/>
      <c r="I48" s="446">
        <v>3.1432324678548857854534877151</v>
      </c>
      <c r="J48" s="444">
        <v>0</v>
      </c>
      <c r="K48" s="445"/>
      <c r="L48" s="446">
        <v>3.6750105727420224070059229143</v>
      </c>
      <c r="M48" s="444">
        <v>115.61266211860799591980348882</v>
      </c>
      <c r="N48" s="445"/>
      <c r="O48" s="446">
        <v>64.874208579324130100495524131</v>
      </c>
      <c r="P48" s="93"/>
      <c r="Q48" s="274">
        <v>-38.092761929732529467084836470</v>
      </c>
      <c r="R48" s="275"/>
      <c r="S48" s="276">
        <v>-55.242008863077818845471638740</v>
      </c>
      <c r="T48" s="274">
        <v>-54.946853081639940690274683580</v>
      </c>
      <c r="U48" s="275"/>
      <c r="V48" s="276">
        <v>-89.35681257448074390950510813</v>
      </c>
      <c r="W48" s="274">
        <v>0</v>
      </c>
      <c r="X48" s="275"/>
      <c r="Y48" s="276">
        <v>-54.366743110710799586648304580</v>
      </c>
      <c r="Z48" s="274">
        <v>-38.667951565583151966374429070</v>
      </c>
      <c r="AA48" s="275"/>
      <c r="AB48" s="276">
        <v>-61.222135065208836199644229280</v>
      </c>
    </row>
    <row r="49" ht="6" customHeight="1">
      <c r="A49" s="58"/>
      <c r="B49" s="632"/>
      <c r="C49" s="632"/>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7" t="s">
        <v>12</v>
      </c>
      <c r="C50" s="997"/>
      <c r="D50" s="483">
        <v>79.189476284584980237154150198</v>
      </c>
      <c r="E50" s="484"/>
      <c r="F50" s="485">
        <v>47.055476418127735695404072833</v>
      </c>
      <c r="G50" s="483">
        <v>3.3302865612648221343873517787</v>
      </c>
      <c r="H50" s="484"/>
      <c r="I50" s="485">
        <v>2.3441324236057582135350180055</v>
      </c>
      <c r="J50" s="483">
        <v>0</v>
      </c>
      <c r="K50" s="484"/>
      <c r="L50" s="485">
        <v>3.6417717662551723171102477585</v>
      </c>
      <c r="M50" s="483">
        <v>82.51976284584980237154150198</v>
      </c>
      <c r="N50" s="484"/>
      <c r="O50" s="485">
        <v>53.0413806079886662260493386</v>
      </c>
      <c r="P50" s="93"/>
      <c r="Q50" s="469">
        <v>-42.517915389273061674127302820</v>
      </c>
      <c r="R50" s="470"/>
      <c r="S50" s="471">
        <v>-57.126934195380247305436444390</v>
      </c>
      <c r="T50" s="469">
        <v>-58.010527736536644621406397620</v>
      </c>
      <c r="U50" s="470"/>
      <c r="V50" s="471">
        <v>-90.81129106363911772495387603</v>
      </c>
      <c r="W50" s="469">
        <v>0</v>
      </c>
      <c r="X50" s="470"/>
      <c r="Y50" s="471">
        <v>-53.191572587763913151503052300</v>
      </c>
      <c r="Z50" s="469">
        <v>-43.361291343567020098116790630</v>
      </c>
      <c r="AA50" s="470"/>
      <c r="AB50" s="471">
        <v>-62.920184402443950219231017730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61" t="s">
        <v>129</v>
      </c>
      <c r="C52" s="1061"/>
      <c r="D52" s="1061"/>
      <c r="E52" s="1061"/>
      <c r="F52" s="1061"/>
      <c r="G52" s="1061"/>
      <c r="H52" s="1061"/>
      <c r="I52" s="1061"/>
      <c r="J52" s="1061"/>
      <c r="K52" s="1061"/>
      <c r="L52" s="1061"/>
      <c r="M52" s="1061"/>
      <c r="N52" s="1061"/>
      <c r="O52" s="1061"/>
      <c r="P52" s="1061"/>
      <c r="Q52" s="1061"/>
      <c r="R52" s="1061"/>
      <c r="S52" s="1061"/>
      <c r="T52" s="1061"/>
      <c r="U52" s="1061"/>
      <c r="V52" s="1061"/>
      <c r="W52" s="1061"/>
      <c r="X52" s="1061"/>
      <c r="Y52" s="1061"/>
      <c r="Z52" s="1061"/>
      <c r="AA52" s="1061"/>
      <c r="AB52" s="1061"/>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9"/>
      <c r="B1" s="657" t="s">
        <v>160</v>
      </c>
      <c r="Y1" s="5"/>
      <c r="AB1" s="686"/>
      <c r="AD1" s="236"/>
    </row>
    <row r="2" ht="15" customHeight="1">
      <c r="A2" s="11"/>
      <c r="B2" s="11" t="s">
        <v>211</v>
      </c>
    </row>
    <row r="3" ht="17.1" customHeight="1">
      <c r="A3" s="11"/>
      <c r="B3" s="11" t="s">
        <v>212</v>
      </c>
      <c r="R3" s="1053" t="s">
        <v>298</v>
      </c>
      <c r="S3" s="1053"/>
      <c r="T3" s="1053"/>
      <c r="U3" s="1053"/>
      <c r="V3" s="1053"/>
      <c r="W3" s="1053"/>
      <c r="X3" s="1053"/>
      <c r="Y3" s="1053"/>
      <c r="Z3" s="1053"/>
      <c r="AA3" s="1053"/>
      <c r="AB3" s="1053"/>
    </row>
    <row r="4" ht="19.5" customHeight="1">
      <c r="A4" s="4"/>
      <c r="B4" s="211" t="s">
        <v>213</v>
      </c>
      <c r="C4" s="5"/>
      <c r="D4" s="5"/>
      <c r="E4" s="5"/>
      <c r="F4" s="5"/>
      <c r="G4" s="5"/>
      <c r="H4" s="212"/>
      <c r="I4" s="212"/>
      <c r="J4" s="212"/>
      <c r="K4" s="212"/>
      <c r="L4" s="212"/>
      <c r="M4" s="212"/>
      <c r="N4" s="212"/>
      <c r="O4" s="212"/>
      <c r="P4" s="212"/>
      <c r="Q4" s="212"/>
      <c r="R4" s="212"/>
      <c r="S4" s="212"/>
      <c r="T4" s="212"/>
      <c r="U4" s="4"/>
      <c r="V4" s="4"/>
    </row>
    <row r="5" ht="12.75" customHeight="1"/>
    <row r="6" ht="15.75">
      <c r="D6" s="993" t="s">
        <v>45</v>
      </c>
      <c r="E6" s="993"/>
      <c r="F6" s="993"/>
      <c r="G6" s="993"/>
      <c r="H6" s="993"/>
      <c r="I6" s="993"/>
      <c r="J6" s="993"/>
      <c r="K6" s="993"/>
      <c r="L6" s="993"/>
      <c r="M6" s="993"/>
      <c r="N6" s="993"/>
      <c r="O6" s="993"/>
      <c r="Q6" s="975" t="s">
        <v>72</v>
      </c>
      <c r="R6" s="975"/>
      <c r="S6" s="975"/>
      <c r="T6" s="975"/>
      <c r="U6" s="975"/>
      <c r="V6" s="975"/>
      <c r="W6" s="975"/>
      <c r="X6" s="975"/>
      <c r="Y6" s="975"/>
      <c r="Z6" s="975"/>
      <c r="AA6" s="975"/>
      <c r="AB6" s="975"/>
    </row>
    <row r="7" ht="15.75">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1054"/>
      <c r="C8" s="1054"/>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88" t="s">
        <v>22</v>
      </c>
      <c r="C10" s="988"/>
      <c r="D10" s="988"/>
      <c r="E10" s="988"/>
      <c r="F10" s="988"/>
      <c r="G10" s="988"/>
      <c r="H10" s="988"/>
      <c r="I10" s="988"/>
      <c r="J10" s="988"/>
      <c r="K10" s="988"/>
      <c r="L10" s="988"/>
      <c r="M10" s="988"/>
      <c r="N10" s="988"/>
      <c r="O10" s="988"/>
      <c r="P10" s="412"/>
      <c r="Q10" s="986"/>
      <c r="R10" s="986"/>
      <c r="S10" s="986"/>
      <c r="T10" s="986"/>
      <c r="U10" s="986"/>
      <c r="V10" s="986"/>
      <c r="W10" s="986"/>
      <c r="X10" s="986"/>
      <c r="Y10" s="986"/>
      <c r="Z10" s="986"/>
      <c r="AA10" s="986"/>
      <c r="AB10" s="986"/>
      <c r="AC10" s="9"/>
    </row>
    <row r="11" ht="18" customHeight="1">
      <c r="A11" s="58"/>
      <c r="B11" s="1055" t="s">
        <v>43</v>
      </c>
      <c r="C11" s="1055"/>
      <c r="D11" s="428">
        <v>45.345187905564496691932316360</v>
      </c>
      <c r="E11" s="429"/>
      <c r="F11" s="430">
        <v>30.175907856102688221537470980</v>
      </c>
      <c r="G11" s="428">
        <v>3.7187713358245619815498950800</v>
      </c>
      <c r="H11" s="429"/>
      <c r="I11" s="430">
        <v>7.4862670973684567766306429500</v>
      </c>
      <c r="J11" s="428">
        <v>0</v>
      </c>
      <c r="K11" s="429"/>
      <c r="L11" s="430">
        <v>4.6769312491268364248892507600</v>
      </c>
      <c r="M11" s="428">
        <v>50.317098822904803950362969820</v>
      </c>
      <c r="N11" s="429"/>
      <c r="O11" s="430">
        <v>42.339106202597981423057364690</v>
      </c>
      <c r="P11" s="5"/>
      <c r="Q11" s="428">
        <v>-24.685114251246927682546147360</v>
      </c>
      <c r="R11" s="429"/>
      <c r="S11" s="430">
        <v>-43.588100415423150095702760360</v>
      </c>
      <c r="T11" s="428">
        <v>-21.673390576028035043406449030</v>
      </c>
      <c r="U11" s="429"/>
      <c r="V11" s="430">
        <v>-37.289069139802290794737510200</v>
      </c>
      <c r="W11" s="428">
        <v>0</v>
      </c>
      <c r="X11" s="429"/>
      <c r="Y11" s="430">
        <v>-30.064782259922224283022105840</v>
      </c>
      <c r="Z11" s="428">
        <v>-22.535742898665066865214441050</v>
      </c>
      <c r="AA11" s="429"/>
      <c r="AB11" s="430">
        <v>-41.291376656801285353959080650</v>
      </c>
    </row>
    <row r="12" ht="18" customHeight="1">
      <c r="A12" s="58"/>
      <c r="B12" s="1056" t="s">
        <v>46</v>
      </c>
      <c r="C12" s="1056"/>
      <c r="D12" s="421">
        <v>38.588748820623190176615657660</v>
      </c>
      <c r="E12" s="91"/>
      <c r="F12" s="422">
        <v>26.164078125885545280723203530</v>
      </c>
      <c r="G12" s="421">
        <v>3.9047322090795292386668965200</v>
      </c>
      <c r="H12" s="91"/>
      <c r="I12" s="422">
        <v>7.4955664368855213220267501500</v>
      </c>
      <c r="J12" s="421">
        <v>0</v>
      </c>
      <c r="K12" s="91"/>
      <c r="L12" s="422">
        <v>4.4462238587969655330083441100</v>
      </c>
      <c r="M12" s="421">
        <v>42.922064678779111637021941900</v>
      </c>
      <c r="N12" s="91"/>
      <c r="O12" s="422">
        <v>38.105868421568032135758297800</v>
      </c>
      <c r="P12" s="5"/>
      <c r="Q12" s="421">
        <v>-33.043998500880132472310859850</v>
      </c>
      <c r="R12" s="91"/>
      <c r="S12" s="422">
        <v>-49.656486866385570384793981170</v>
      </c>
      <c r="T12" s="421">
        <v>-49.617582141340714489495306860</v>
      </c>
      <c r="U12" s="91"/>
      <c r="V12" s="422">
        <v>-52.200813888145867027209429320</v>
      </c>
      <c r="W12" s="421">
        <v>0</v>
      </c>
      <c r="X12" s="91"/>
      <c r="Y12" s="422">
        <v>-30.154373815796084631080460560</v>
      </c>
      <c r="Z12" s="421">
        <v>-34.353051131387267767691811530</v>
      </c>
      <c r="AA12" s="91"/>
      <c r="AB12" s="422">
        <v>-48.518284288990325014277755460</v>
      </c>
    </row>
    <row r="13" ht="18" customHeight="1">
      <c r="A13" s="58"/>
      <c r="B13" s="1056" t="s">
        <v>47</v>
      </c>
      <c r="C13" s="1056"/>
      <c r="D13" s="421">
        <v>33.579187159192584069913984480</v>
      </c>
      <c r="E13" s="91"/>
      <c r="F13" s="422">
        <v>25.810135395152739548040965400</v>
      </c>
      <c r="G13" s="421">
        <v>4.2744317277357031322761274100</v>
      </c>
      <c r="H13" s="91"/>
      <c r="I13" s="422">
        <v>8.503149710010737010829869980</v>
      </c>
      <c r="J13" s="421">
        <v>0</v>
      </c>
      <c r="K13" s="91"/>
      <c r="L13" s="422">
        <v>4.4112673434584361164400471200</v>
      </c>
      <c r="M13" s="421">
        <v>38.413070008479988698744432120</v>
      </c>
      <c r="N13" s="91"/>
      <c r="O13" s="422">
        <v>38.724552448621912675310882500</v>
      </c>
      <c r="P13" s="184"/>
      <c r="Q13" s="421">
        <v>-39.310671869912429982997746950</v>
      </c>
      <c r="R13" s="91"/>
      <c r="S13" s="422">
        <v>-51.592567218804372304896537750</v>
      </c>
      <c r="T13" s="421">
        <v>-51.933045434799030001380987190</v>
      </c>
      <c r="U13" s="91"/>
      <c r="V13" s="422">
        <v>-53.564650302117327433942368540</v>
      </c>
      <c r="W13" s="421">
        <v>0</v>
      </c>
      <c r="X13" s="91"/>
      <c r="Y13" s="422">
        <v>-28.401209952516964917583218970</v>
      </c>
      <c r="Z13" s="421">
        <v>-40.187335979421552163437295040</v>
      </c>
      <c r="AA13" s="91"/>
      <c r="AB13" s="422">
        <v>-50.220029322135095503518891940</v>
      </c>
    </row>
    <row r="14" ht="18" customHeight="1">
      <c r="A14" s="58"/>
      <c r="B14" s="1056" t="s">
        <v>48</v>
      </c>
      <c r="C14" s="1056"/>
      <c r="D14" s="421">
        <v>36.656758664682554826722612370</v>
      </c>
      <c r="E14" s="91"/>
      <c r="F14" s="422">
        <v>28.207760050654217341466774050</v>
      </c>
      <c r="G14" s="421">
        <v>4.2131289897361564322759037400</v>
      </c>
      <c r="H14" s="91"/>
      <c r="I14" s="422">
        <v>8.561820982538313070444114060</v>
      </c>
      <c r="J14" s="421">
        <v>0</v>
      </c>
      <c r="K14" s="91"/>
      <c r="L14" s="422">
        <v>4.5715381731539074094882212900</v>
      </c>
      <c r="M14" s="421">
        <v>41.565584815630140396655707910</v>
      </c>
      <c r="N14" s="91"/>
      <c r="O14" s="422">
        <v>41.341119206346437821399109410</v>
      </c>
      <c r="P14" s="5"/>
      <c r="Q14" s="421">
        <v>-37.184977693169752688915796320</v>
      </c>
      <c r="R14" s="91"/>
      <c r="S14" s="422">
        <v>-47.963375990725368322660467040</v>
      </c>
      <c r="T14" s="421">
        <v>-33.952284363316146740877054730</v>
      </c>
      <c r="U14" s="91"/>
      <c r="V14" s="422">
        <v>-53.947074498842467472909983570</v>
      </c>
      <c r="W14" s="421">
        <v>0</v>
      </c>
      <c r="X14" s="91"/>
      <c r="Y14" s="422">
        <v>-28.175066463290471498545100580</v>
      </c>
      <c r="Z14" s="421">
        <v>-35.791759599269602175972826380</v>
      </c>
      <c r="AA14" s="91"/>
      <c r="AB14" s="422">
        <v>-47.777624021302695909837627780</v>
      </c>
    </row>
    <row r="15" ht="18" customHeight="1">
      <c r="A15" s="58"/>
      <c r="B15" s="1056" t="s">
        <v>49</v>
      </c>
      <c r="C15" s="1056"/>
      <c r="D15" s="421">
        <v>43.973913355082488335992626500</v>
      </c>
      <c r="E15" s="91"/>
      <c r="F15" s="422">
        <v>30.332627194666318287517343780</v>
      </c>
      <c r="G15" s="421">
        <v>5.1050000567554594902224247100</v>
      </c>
      <c r="H15" s="91"/>
      <c r="I15" s="422">
        <v>8.777638529530618808341266690</v>
      </c>
      <c r="J15" s="421">
        <v>0</v>
      </c>
      <c r="K15" s="91"/>
      <c r="L15" s="422">
        <v>4.6028633223864074324859035200</v>
      </c>
      <c r="M15" s="421">
        <v>49.876854078455981184975680320</v>
      </c>
      <c r="N15" s="91"/>
      <c r="O15" s="422">
        <v>43.713129046583344528344513990</v>
      </c>
      <c r="P15" s="184"/>
      <c r="Q15" s="421">
        <v>-31.328451015852698403463256140</v>
      </c>
      <c r="R15" s="91"/>
      <c r="S15" s="422">
        <v>-46.359625531083966910695579460</v>
      </c>
      <c r="T15" s="421">
        <v>-18.093301658610374651915303240</v>
      </c>
      <c r="U15" s="91"/>
      <c r="V15" s="422">
        <v>-49.675649956212397454691866220</v>
      </c>
      <c r="W15" s="421">
        <v>0</v>
      </c>
      <c r="X15" s="91"/>
      <c r="Y15" s="422">
        <v>-29.858225162419974379070369650</v>
      </c>
      <c r="Z15" s="421">
        <v>-29.018933178746750359482547080</v>
      </c>
      <c r="AA15" s="91"/>
      <c r="AB15" s="422">
        <v>-45.733357756165182118591719890</v>
      </c>
    </row>
    <row r="16" ht="18" customHeight="1">
      <c r="A16" s="58"/>
      <c r="B16" s="1057" t="s">
        <v>78</v>
      </c>
      <c r="C16" s="1057"/>
      <c r="D16" s="431">
        <v>39.690915548613039270330363990</v>
      </c>
      <c r="E16" s="432"/>
      <c r="F16" s="433">
        <v>28.138751260284660604557185620</v>
      </c>
      <c r="G16" s="431">
        <v>4.2385572711723544324591329400</v>
      </c>
      <c r="H16" s="432"/>
      <c r="I16" s="433">
        <v>8.169136970639050365454956410</v>
      </c>
      <c r="J16" s="431">
        <v>0</v>
      </c>
      <c r="K16" s="432"/>
      <c r="L16" s="433">
        <v>4.5416556402952841266280550900</v>
      </c>
      <c r="M16" s="431">
        <v>44.660199503614621555768888870</v>
      </c>
      <c r="N16" s="432"/>
      <c r="O16" s="433">
        <v>40.849543871218995096640197110</v>
      </c>
      <c r="P16" s="5"/>
      <c r="Q16" s="431">
        <v>-32.838673839412249793721709990</v>
      </c>
      <c r="R16" s="432"/>
      <c r="S16" s="433">
        <v>-47.799029132613074344034572350</v>
      </c>
      <c r="T16" s="431">
        <v>-37.747254812426955670567981390</v>
      </c>
      <c r="U16" s="432"/>
      <c r="V16" s="433">
        <v>-50.186477182271953717402011490</v>
      </c>
      <c r="W16" s="431">
        <v>0</v>
      </c>
      <c r="X16" s="432"/>
      <c r="Y16" s="433">
        <v>-29.337805984578817558675754430</v>
      </c>
      <c r="Z16" s="630">
        <v>-32.237034081836137956641274830</v>
      </c>
      <c r="AA16" s="214"/>
      <c r="AB16" s="631">
        <v>-46.762912933613031521267924300</v>
      </c>
    </row>
    <row r="17" ht="6" customHeight="1">
      <c r="A17" s="58"/>
      <c r="B17" s="632"/>
      <c r="C17" s="632"/>
      <c r="D17" s="91"/>
      <c r="E17" s="91"/>
      <c r="F17" s="91"/>
      <c r="G17" s="91"/>
      <c r="H17" s="91"/>
      <c r="I17" s="91"/>
      <c r="J17" s="91"/>
      <c r="K17" s="91"/>
      <c r="L17" s="91"/>
      <c r="M17" s="91"/>
      <c r="N17" s="91"/>
      <c r="O17" s="91"/>
      <c r="P17" s="5"/>
      <c r="Q17" s="91"/>
      <c r="R17" s="91"/>
      <c r="S17" s="91"/>
      <c r="T17" s="91"/>
      <c r="U17" s="91"/>
      <c r="V17" s="91"/>
      <c r="W17" s="91"/>
      <c r="X17" s="91"/>
      <c r="Y17" s="91"/>
      <c r="Z17" s="633"/>
      <c r="AA17" s="633"/>
      <c r="AB17" s="633"/>
      <c r="AC17" s="4"/>
    </row>
    <row r="18" ht="18" customHeight="1">
      <c r="A18" s="58"/>
      <c r="B18" s="1058" t="s">
        <v>50</v>
      </c>
      <c r="C18" s="1058"/>
      <c r="D18" s="480">
        <v>51.992488447462726499522687280</v>
      </c>
      <c r="E18" s="481"/>
      <c r="F18" s="482">
        <v>35.795242922698909057392574800</v>
      </c>
      <c r="G18" s="480">
        <v>3.4227613058459205368097046200</v>
      </c>
      <c r="H18" s="481"/>
      <c r="I18" s="482">
        <v>8.349397408817193430184734500</v>
      </c>
      <c r="J18" s="480">
        <v>0</v>
      </c>
      <c r="K18" s="481"/>
      <c r="L18" s="482">
        <v>4.7175970317884813863049657400</v>
      </c>
      <c r="M18" s="480">
        <v>57.760214226031940517556561380</v>
      </c>
      <c r="N18" s="481"/>
      <c r="O18" s="482">
        <v>48.862237363304583873882275050</v>
      </c>
      <c r="P18" s="184"/>
      <c r="Q18" s="480">
        <v>-21.500164146530700867095984160</v>
      </c>
      <c r="R18" s="481"/>
      <c r="S18" s="482">
        <v>-43.255697750024663575088870030</v>
      </c>
      <c r="T18" s="480">
        <v>-32.075273350348703439184147290</v>
      </c>
      <c r="U18" s="481"/>
      <c r="V18" s="482">
        <v>-47.194882907841978682319358780</v>
      </c>
      <c r="W18" s="480">
        <v>0</v>
      </c>
      <c r="X18" s="481"/>
      <c r="Y18" s="482">
        <v>-30.910583884981380971564461190</v>
      </c>
      <c r="Z18" s="480">
        <v>-18.957667709744023867610888240</v>
      </c>
      <c r="AA18" s="481"/>
      <c r="AB18" s="482">
        <v>-42.998933918997779396337199440</v>
      </c>
    </row>
    <row r="19" ht="18" customHeight="1">
      <c r="A19" s="58"/>
      <c r="B19" s="1059" t="s">
        <v>51</v>
      </c>
      <c r="C19" s="1059"/>
      <c r="D19" s="272">
        <v>59.744757258762844114451860860</v>
      </c>
      <c r="E19" s="92"/>
      <c r="F19" s="273">
        <v>39.009060736412477322996439870</v>
      </c>
      <c r="G19" s="272">
        <v>2.6306835700663747189255918700</v>
      </c>
      <c r="H19" s="92"/>
      <c r="I19" s="273">
        <v>7.8275622263724760817358663100</v>
      </c>
      <c r="J19" s="272">
        <v>0</v>
      </c>
      <c r="K19" s="92"/>
      <c r="L19" s="273">
        <v>4.7777760201548225903633721300</v>
      </c>
      <c r="M19" s="272">
        <v>64.004063830235333711956095940</v>
      </c>
      <c r="N19" s="92"/>
      <c r="O19" s="273">
        <v>51.614398982939775995095678320</v>
      </c>
      <c r="P19" s="5"/>
      <c r="Q19" s="272">
        <v>-11.370360199328860465799447400</v>
      </c>
      <c r="R19" s="92"/>
      <c r="S19" s="273">
        <v>-39.517667184337382225622189210</v>
      </c>
      <c r="T19" s="272">
        <v>-46.733714792268170929322278930</v>
      </c>
      <c r="U19" s="92"/>
      <c r="V19" s="273">
        <v>-42.881826949471475398584089470</v>
      </c>
      <c r="W19" s="272">
        <v>0</v>
      </c>
      <c r="X19" s="92"/>
      <c r="Y19" s="273">
        <v>-30.363112365113304880816797130</v>
      </c>
      <c r="Z19" s="272">
        <v>-11.533296251829920740451451380</v>
      </c>
      <c r="AA19" s="92"/>
      <c r="AB19" s="273">
        <v>-39.321265230608493727493827720</v>
      </c>
    </row>
    <row r="20" ht="18" customHeight="1">
      <c r="A20" s="58"/>
      <c r="B20" s="1060" t="s">
        <v>79</v>
      </c>
      <c r="C20" s="1060"/>
      <c r="D20" s="274">
        <v>55.913332917599372982188400960</v>
      </c>
      <c r="E20" s="275"/>
      <c r="F20" s="276">
        <v>37.400709975005907843046763690</v>
      </c>
      <c r="G20" s="274">
        <v>3.0221542466940653908725827900</v>
      </c>
      <c r="H20" s="275"/>
      <c r="I20" s="276">
        <v>8.088713934920600827233211960</v>
      </c>
      <c r="J20" s="274">
        <v>0</v>
      </c>
      <c r="K20" s="275"/>
      <c r="L20" s="276">
        <v>4.7476595271331343728908410600</v>
      </c>
      <c r="M20" s="274">
        <v>60.882139028133637114756328640</v>
      </c>
      <c r="N20" s="275"/>
      <c r="O20" s="276">
        <v>50.237083437059643043170816730</v>
      </c>
      <c r="P20" s="184"/>
      <c r="Q20" s="274">
        <v>-16.323750657991140671778150900</v>
      </c>
      <c r="R20" s="275"/>
      <c r="S20" s="276">
        <v>-41.368267057645711461688960360</v>
      </c>
      <c r="T20" s="274">
        <v>-39.422378130301151182683583040</v>
      </c>
      <c r="U20" s="275"/>
      <c r="V20" s="276">
        <v>-45.190432549102571215294250710</v>
      </c>
      <c r="W20" s="274">
        <v>0</v>
      </c>
      <c r="X20" s="275"/>
      <c r="Y20" s="276">
        <v>-30.636601617295369216812022480</v>
      </c>
      <c r="Z20" s="274">
        <v>-15.217656399750932810134524950</v>
      </c>
      <c r="AA20" s="275"/>
      <c r="AB20" s="276">
        <v>-41.168631615828770583547535880</v>
      </c>
    </row>
    <row r="21" ht="6" customHeight="1">
      <c r="A21" s="58"/>
      <c r="B21" s="632"/>
      <c r="C21" s="632"/>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7" t="s">
        <v>12</v>
      </c>
      <c r="C22" s="997"/>
      <c r="D22" s="469">
        <v>45.213611525086934923000496770</v>
      </c>
      <c r="E22" s="470"/>
      <c r="F22" s="471">
        <v>30.923800846352271168058437990</v>
      </c>
      <c r="G22" s="469">
        <v>4.1231992051664182811723795300</v>
      </c>
      <c r="H22" s="470"/>
      <c r="I22" s="471">
        <v>8.062426998566784472012739490</v>
      </c>
      <c r="J22" s="469">
        <v>0</v>
      </c>
      <c r="K22" s="470"/>
      <c r="L22" s="471">
        <v>4.5145798095111012411489580700</v>
      </c>
      <c r="M22" s="469">
        <v>49.336810730253353204172876300</v>
      </c>
      <c r="N22" s="470"/>
      <c r="O22" s="471">
        <v>43.500807654430156881220135560</v>
      </c>
      <c r="P22" s="184"/>
      <c r="Q22" s="469">
        <v>-26.035861629815003239502786420</v>
      </c>
      <c r="R22" s="470"/>
      <c r="S22" s="471">
        <v>-46.395376682381922399645219910</v>
      </c>
      <c r="T22" s="469">
        <v>-36.164608706645876353828648540</v>
      </c>
      <c r="U22" s="470"/>
      <c r="V22" s="471">
        <v>-46.014169394872149005292921860</v>
      </c>
      <c r="W22" s="469">
        <v>0</v>
      </c>
      <c r="X22" s="470"/>
      <c r="Y22" s="471">
        <v>-31.352183056013568867229725470</v>
      </c>
      <c r="Z22" s="469">
        <v>-27.003821981832497316759329930</v>
      </c>
      <c r="AA22" s="470"/>
      <c r="AB22" s="471">
        <v>-45.074361567892895416860372960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0" t="s">
        <v>9</v>
      </c>
      <c r="C24" s="1050"/>
      <c r="D24" s="1050"/>
      <c r="E24" s="1050"/>
      <c r="F24" s="1050"/>
      <c r="G24" s="1050"/>
      <c r="H24" s="1050"/>
      <c r="I24" s="1050"/>
      <c r="J24" s="1050"/>
      <c r="K24" s="1050"/>
      <c r="L24" s="1050"/>
      <c r="M24" s="1050"/>
      <c r="N24" s="1050"/>
      <c r="O24" s="1050"/>
      <c r="P24" s="412"/>
      <c r="Q24" s="1051"/>
      <c r="R24" s="1051"/>
      <c r="S24" s="1051"/>
      <c r="T24" s="1051"/>
      <c r="U24" s="1051"/>
      <c r="V24" s="1051"/>
      <c r="W24" s="1051"/>
      <c r="X24" s="1051"/>
      <c r="Y24" s="1051"/>
      <c r="Z24" s="1051"/>
      <c r="AA24" s="1051"/>
      <c r="AB24" s="1051"/>
      <c r="AC24" s="9"/>
    </row>
    <row r="25" ht="18" customHeight="1">
      <c r="A25" s="58"/>
      <c r="B25" s="1055" t="s">
        <v>43</v>
      </c>
      <c r="C25" s="1055"/>
      <c r="D25" s="455">
        <v>177.56501267109552021477454888</v>
      </c>
      <c r="E25" s="456"/>
      <c r="F25" s="457">
        <v>169.90439743055686817217246696</v>
      </c>
      <c r="G25" s="455">
        <v>490.17062655741700651558313682</v>
      </c>
      <c r="H25" s="456"/>
      <c r="I25" s="457">
        <v>271.20295889481488151438934201</v>
      </c>
      <c r="J25" s="455">
        <v>0</v>
      </c>
      <c r="K25" s="456"/>
      <c r="L25" s="457">
        <v>111.82654736518736453061960792</v>
      </c>
      <c r="M25" s="455">
        <v>201.2587547643269876538852591</v>
      </c>
      <c r="N25" s="456"/>
      <c r="O25" s="457">
        <v>181.40019929086953243385409168</v>
      </c>
      <c r="P25" s="5"/>
      <c r="Q25" s="428">
        <v>0.1098020854787925808792149700</v>
      </c>
      <c r="R25" s="429"/>
      <c r="S25" s="430">
        <v>-1.3735620279921255259471449200</v>
      </c>
      <c r="T25" s="428">
        <v>139.88608917688298345999457011</v>
      </c>
      <c r="U25" s="429"/>
      <c r="V25" s="430">
        <v>37.530522979434625961235694760</v>
      </c>
      <c r="W25" s="428">
        <v>0</v>
      </c>
      <c r="X25" s="429"/>
      <c r="Y25" s="430">
        <v>-8.116846094577301025480066200</v>
      </c>
      <c r="Z25" s="428">
        <v>12.221166044128604312493979770</v>
      </c>
      <c r="AA25" s="429"/>
      <c r="AB25" s="430">
        <v>5.6449573765265501646137040600</v>
      </c>
    </row>
    <row r="26" ht="18" customHeight="1">
      <c r="A26" s="58"/>
      <c r="B26" s="1056" t="s">
        <v>46</v>
      </c>
      <c r="C26" s="1056"/>
      <c r="D26" s="440">
        <v>169.71469743640299227584724596</v>
      </c>
      <c r="E26" s="95"/>
      <c r="F26" s="441">
        <v>167.88098140206038717627241033</v>
      </c>
      <c r="G26" s="440">
        <v>235.95307528455047455614105203</v>
      </c>
      <c r="H26" s="95"/>
      <c r="I26" s="441">
        <v>215.49166252006732927107767609</v>
      </c>
      <c r="J26" s="440">
        <v>0</v>
      </c>
      <c r="K26" s="95"/>
      <c r="L26" s="441">
        <v>110.03601251887462946080488964</v>
      </c>
      <c r="M26" s="440">
        <v>174.77720619306342929545428943</v>
      </c>
      <c r="N26" s="95"/>
      <c r="O26" s="441">
        <v>170.49678171824438525381491686</v>
      </c>
      <c r="P26" s="5"/>
      <c r="Q26" s="421">
        <v>-1.4792977245166785331973339800</v>
      </c>
      <c r="R26" s="91"/>
      <c r="S26" s="422">
        <v>-3.3177238491996408961969056100</v>
      </c>
      <c r="T26" s="421">
        <v>28.772304462014261048933333750</v>
      </c>
      <c r="U26" s="91"/>
      <c r="V26" s="422">
        <v>11.391240603655159829974996100</v>
      </c>
      <c r="W26" s="421">
        <v>0</v>
      </c>
      <c r="X26" s="91"/>
      <c r="Y26" s="422">
        <v>-8.174261649612752160282084580</v>
      </c>
      <c r="Z26" s="421">
        <v>0.699411867593999788931054100</v>
      </c>
      <c r="AA26" s="91"/>
      <c r="AB26" s="422">
        <v>-1.5673303557268735736323984400</v>
      </c>
    </row>
    <row r="27" ht="18" customHeight="1">
      <c r="A27" s="58"/>
      <c r="B27" s="1056" t="s">
        <v>47</v>
      </c>
      <c r="C27" s="1056"/>
      <c r="D27" s="440">
        <v>169.12377593898961740020575117</v>
      </c>
      <c r="E27" s="95"/>
      <c r="F27" s="441">
        <v>171.89535041691429527973790488</v>
      </c>
      <c r="G27" s="440">
        <v>247.5945926431999572436501134</v>
      </c>
      <c r="H27" s="95"/>
      <c r="I27" s="441">
        <v>219.43446728540334834004452497</v>
      </c>
      <c r="J27" s="440">
        <v>0</v>
      </c>
      <c r="K27" s="95"/>
      <c r="L27" s="441">
        <v>109.17641452708921680389809917</v>
      </c>
      <c r="M27" s="440">
        <v>177.05039109812616512288499814</v>
      </c>
      <c r="N27" s="95"/>
      <c r="O27" s="441">
        <v>175.18944230542494309999515314</v>
      </c>
      <c r="P27" s="93"/>
      <c r="Q27" s="421">
        <v>-5.4206758862660901158535952900</v>
      </c>
      <c r="R27" s="91"/>
      <c r="S27" s="422">
        <v>-5.2619744861998930586853809200</v>
      </c>
      <c r="T27" s="421">
        <v>23.940543639866372122781163840</v>
      </c>
      <c r="U27" s="91"/>
      <c r="V27" s="422">
        <v>15.763925737594748109735124560</v>
      </c>
      <c r="W27" s="421">
        <v>0</v>
      </c>
      <c r="X27" s="91"/>
      <c r="Y27" s="422">
        <v>-9.374481002145937938988790790</v>
      </c>
      <c r="Z27" s="421">
        <v>-2.5686079697419326664931111300</v>
      </c>
      <c r="AA27" s="91"/>
      <c r="AB27" s="422">
        <v>-1.8672748326236480785697805600</v>
      </c>
    </row>
    <row r="28" ht="18" customHeight="1">
      <c r="A28" s="58"/>
      <c r="B28" s="1056" t="s">
        <v>48</v>
      </c>
      <c r="C28" s="1056"/>
      <c r="D28" s="440">
        <v>195.37006443808647749634311251</v>
      </c>
      <c r="E28" s="95"/>
      <c r="F28" s="441">
        <v>178.07820431548972702898014013</v>
      </c>
      <c r="G28" s="440">
        <v>292.13172953393130183478641474</v>
      </c>
      <c r="H28" s="95"/>
      <c r="I28" s="441">
        <v>229.52206610299154836609289579</v>
      </c>
      <c r="J28" s="440">
        <v>0</v>
      </c>
      <c r="K28" s="95"/>
      <c r="L28" s="441">
        <v>107.32265510425533105679905857</v>
      </c>
      <c r="M28" s="440">
        <v>203.94021184793049324722075682</v>
      </c>
      <c r="N28" s="95"/>
      <c r="O28" s="441">
        <v>180.90810934320475611941998387</v>
      </c>
      <c r="P28" s="5"/>
      <c r="Q28" s="421">
        <v>17.131623265488077258138135600</v>
      </c>
      <c r="R28" s="91"/>
      <c r="S28" s="422">
        <v>-0.965836507479993052030308500</v>
      </c>
      <c r="T28" s="421">
        <v>47.504190808866841289653965710</v>
      </c>
      <c r="U28" s="91"/>
      <c r="V28" s="422">
        <v>18.862698164592820331306667800</v>
      </c>
      <c r="W28" s="421">
        <v>0</v>
      </c>
      <c r="X28" s="91"/>
      <c r="Y28" s="422">
        <v>-11.597175651101834227034397480</v>
      </c>
      <c r="Z28" s="421">
        <v>20.053054120307851937866955040</v>
      </c>
      <c r="AA28" s="91"/>
      <c r="AB28" s="422">
        <v>1.4980336592530630111867473900</v>
      </c>
    </row>
    <row r="29" ht="18" customHeight="1">
      <c r="A29" s="58"/>
      <c r="B29" s="1056" t="s">
        <v>49</v>
      </c>
      <c r="C29" s="1056"/>
      <c r="D29" s="440">
        <v>187.64950662864708799318765634</v>
      </c>
      <c r="E29" s="95"/>
      <c r="F29" s="441">
        <v>182.25114330439711924017241414</v>
      </c>
      <c r="G29" s="440">
        <v>473.88970095305530249400517066</v>
      </c>
      <c r="H29" s="95"/>
      <c r="I29" s="441">
        <v>266.14376789487401513308673484</v>
      </c>
      <c r="J29" s="440">
        <v>0</v>
      </c>
      <c r="K29" s="95"/>
      <c r="L29" s="441">
        <v>110.80669578294337829142147678</v>
      </c>
      <c r="M29" s="440">
        <v>215.35027997796295386448017629</v>
      </c>
      <c r="N29" s="95"/>
      <c r="O29" s="441">
        <v>191.57397412782934973253866267</v>
      </c>
      <c r="P29" s="93"/>
      <c r="Q29" s="421">
        <v>3.0972164188525943341460941800</v>
      </c>
      <c r="R29" s="91"/>
      <c r="S29" s="422">
        <v>-0.717203169337390583205017500</v>
      </c>
      <c r="T29" s="421">
        <v>129.45085213395983560504505864</v>
      </c>
      <c r="U29" s="91"/>
      <c r="V29" s="422">
        <v>36.844940770754996991546528320</v>
      </c>
      <c r="W29" s="421">
        <v>0</v>
      </c>
      <c r="X29" s="91"/>
      <c r="Y29" s="422">
        <v>-8.916688323133386526546664880</v>
      </c>
      <c r="Z29" s="421">
        <v>16.919310981717857227377099960</v>
      </c>
      <c r="AA29" s="91"/>
      <c r="AB29" s="422">
        <v>5.907521746057228404307173600</v>
      </c>
    </row>
    <row r="30" ht="18" customHeight="1">
      <c r="A30" s="58"/>
      <c r="B30" s="1057" t="s">
        <v>78</v>
      </c>
      <c r="C30" s="1057"/>
      <c r="D30" s="458">
        <v>180.15386519390115155986442532</v>
      </c>
      <c r="E30" s="459"/>
      <c r="F30" s="460">
        <v>174.23742113329884596622629767</v>
      </c>
      <c r="G30" s="458">
        <v>352.74874442836591786907622389</v>
      </c>
      <c r="H30" s="459"/>
      <c r="I30" s="460">
        <v>240.33358836560807834372685452</v>
      </c>
      <c r="J30" s="458">
        <v>0</v>
      </c>
      <c r="K30" s="459"/>
      <c r="L30" s="460">
        <v>109.83881272963381693663396516</v>
      </c>
      <c r="M30" s="458">
        <v>195.74432040068082358949405396</v>
      </c>
      <c r="N30" s="459"/>
      <c r="O30" s="460">
        <v>180.29556320341595105674557109</v>
      </c>
      <c r="P30" s="5"/>
      <c r="Q30" s="431">
        <v>2.6082030388172884773116814400</v>
      </c>
      <c r="R30" s="432"/>
      <c r="S30" s="433">
        <v>-2.2495232192082238921135902100</v>
      </c>
      <c r="T30" s="431">
        <v>78.547895872481553994727864050</v>
      </c>
      <c r="U30" s="432"/>
      <c r="V30" s="433">
        <v>24.363590116080025817497616740</v>
      </c>
      <c r="W30" s="431">
        <v>0</v>
      </c>
      <c r="X30" s="432"/>
      <c r="Y30" s="433">
        <v>-9.242526685641520063409064610</v>
      </c>
      <c r="Z30" s="431">
        <v>10.063734294749888654969314450</v>
      </c>
      <c r="AA30" s="432"/>
      <c r="AB30" s="433">
        <v>2.0575793308899373668158975500</v>
      </c>
    </row>
    <row r="31" ht="6" customHeight="1">
      <c r="A31" s="58"/>
      <c r="B31" s="632"/>
      <c r="C31" s="632"/>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58" t="s">
        <v>50</v>
      </c>
      <c r="C32" s="1058"/>
      <c r="D32" s="494">
        <v>191.24770678736140617201547084</v>
      </c>
      <c r="E32" s="495"/>
      <c r="F32" s="496">
        <v>183.94414556354047597822885821</v>
      </c>
      <c r="G32" s="494">
        <v>243.91851428926002510395792376</v>
      </c>
      <c r="H32" s="495"/>
      <c r="I32" s="496">
        <v>281.13790424063063964357425961</v>
      </c>
      <c r="J32" s="494">
        <v>0</v>
      </c>
      <c r="K32" s="495"/>
      <c r="L32" s="496">
        <v>112.78568180334904894878492786</v>
      </c>
      <c r="M32" s="494">
        <v>228.12048911362302945878163108</v>
      </c>
      <c r="N32" s="495"/>
      <c r="O32" s="496">
        <v>193.68197962734302300148904429</v>
      </c>
      <c r="P32" s="93"/>
      <c r="Q32" s="480">
        <v>-17.590127993434289465905109760</v>
      </c>
      <c r="R32" s="481"/>
      <c r="S32" s="482">
        <v>-6.9499567557164586981267557800</v>
      </c>
      <c r="T32" s="480">
        <v>-2.8653671911207384739264616500</v>
      </c>
      <c r="U32" s="481"/>
      <c r="V32" s="482">
        <v>43.018692186596114846481811120</v>
      </c>
      <c r="W32" s="480">
        <v>0</v>
      </c>
      <c r="X32" s="481"/>
      <c r="Y32" s="482">
        <v>-10.004924306615731441772110420</v>
      </c>
      <c r="Z32" s="480">
        <v>-2.268467553855963881040221700</v>
      </c>
      <c r="AA32" s="481"/>
      <c r="AB32" s="482">
        <v>1.026152469347339473981299400</v>
      </c>
    </row>
    <row r="33" ht="18" customHeight="1">
      <c r="A33" s="58"/>
      <c r="B33" s="1059" t="s">
        <v>51</v>
      </c>
      <c r="C33" s="1059"/>
      <c r="D33" s="277">
        <v>222.86733267861197936829664728</v>
      </c>
      <c r="E33" s="94"/>
      <c r="F33" s="278">
        <v>185.23212175393534856469442952</v>
      </c>
      <c r="G33" s="277">
        <v>210.86479825145327493022039062</v>
      </c>
      <c r="H33" s="94"/>
      <c r="I33" s="278">
        <v>272.33657741000035714323629186</v>
      </c>
      <c r="J33" s="277">
        <v>0</v>
      </c>
      <c r="K33" s="94"/>
      <c r="L33" s="278">
        <v>117.88633967903765902857702772</v>
      </c>
      <c r="M33" s="277">
        <v>219.41952413529581671679389451</v>
      </c>
      <c r="N33" s="94"/>
      <c r="O33" s="278">
        <v>192.20793647387698972539516132</v>
      </c>
      <c r="P33" s="5"/>
      <c r="Q33" s="272">
        <v>-4.6118702937578193772020532600</v>
      </c>
      <c r="R33" s="92"/>
      <c r="S33" s="273">
        <v>-5.1655671774618077057843517100</v>
      </c>
      <c r="T33" s="272">
        <v>-9.453775463810883337905779370</v>
      </c>
      <c r="U33" s="92"/>
      <c r="V33" s="273">
        <v>36.375659890669811982517610010</v>
      </c>
      <c r="W33" s="272">
        <v>0</v>
      </c>
      <c r="X33" s="92"/>
      <c r="Y33" s="273">
        <v>-5.7617780037013544788160415600</v>
      </c>
      <c r="Z33" s="272">
        <v>-6.0666392182477095645467311300</v>
      </c>
      <c r="AA33" s="92"/>
      <c r="AB33" s="273">
        <v>0.9697800244836039707847281800</v>
      </c>
    </row>
    <row r="34" ht="18" customHeight="1">
      <c r="A34" s="58"/>
      <c r="B34" s="1060" t="s">
        <v>79</v>
      </c>
      <c r="C34" s="1060"/>
      <c r="D34" s="444">
        <v>208.33573448211582762429883377</v>
      </c>
      <c r="E34" s="445"/>
      <c r="F34" s="446">
        <v>184.61522452749089622942192906</v>
      </c>
      <c r="G34" s="444">
        <v>229.36650143869045264688176401</v>
      </c>
      <c r="H34" s="445"/>
      <c r="I34" s="446">
        <v>276.88314152867196257040361017</v>
      </c>
      <c r="J34" s="444">
        <v>0</v>
      </c>
      <c r="K34" s="445"/>
      <c r="L34" s="446">
        <v>115.34988571269527709866106083</v>
      </c>
      <c r="M34" s="634">
        <v>223.54692183471915457142828247</v>
      </c>
      <c r="N34" s="635"/>
      <c r="O34" s="636">
        <v>192.92543108620621588980737088</v>
      </c>
      <c r="P34" s="93"/>
      <c r="Q34" s="274">
        <v>-10.532803974353539431436735480</v>
      </c>
      <c r="R34" s="275"/>
      <c r="S34" s="276">
        <v>-6.0430284208026895998895385700</v>
      </c>
      <c r="T34" s="274">
        <v>-5.2552941069352045296927742500</v>
      </c>
      <c r="U34" s="275"/>
      <c r="V34" s="276">
        <v>39.823207145422732743256074670</v>
      </c>
      <c r="W34" s="274">
        <v>0</v>
      </c>
      <c r="X34" s="275"/>
      <c r="Y34" s="276">
        <v>-7.8740113049284845256548766700</v>
      </c>
      <c r="Z34" s="274">
        <v>-4.2640732368454780100564198900</v>
      </c>
      <c r="AA34" s="275"/>
      <c r="AB34" s="276">
        <v>0.9864923987137542868963365700</v>
      </c>
    </row>
    <row r="35" ht="6" customHeight="1">
      <c r="A35" s="58"/>
      <c r="B35" s="632"/>
      <c r="C35" s="632"/>
      <c r="D35" s="95"/>
      <c r="E35" s="95"/>
      <c r="F35" s="95"/>
      <c r="G35" s="95"/>
      <c r="H35" s="95"/>
      <c r="I35" s="95"/>
      <c r="J35" s="95"/>
      <c r="K35" s="95"/>
      <c r="L35" s="95"/>
      <c r="M35" s="637"/>
      <c r="N35" s="637"/>
      <c r="O35" s="637"/>
      <c r="P35" s="93"/>
      <c r="Q35" s="91"/>
      <c r="R35" s="91"/>
      <c r="S35" s="91"/>
      <c r="T35" s="91"/>
      <c r="U35" s="91"/>
      <c r="V35" s="91"/>
      <c r="W35" s="91"/>
      <c r="X35" s="91"/>
      <c r="Y35" s="91"/>
      <c r="Z35" s="91"/>
      <c r="AA35" s="91"/>
      <c r="AB35" s="91"/>
    </row>
    <row r="36" ht="18" customHeight="1">
      <c r="A36" s="58"/>
      <c r="B36" s="997" t="s">
        <v>12</v>
      </c>
      <c r="C36" s="997"/>
      <c r="D36" s="483">
        <v>191.36636818106905455144756359</v>
      </c>
      <c r="E36" s="484"/>
      <c r="F36" s="485">
        <v>178.48533164111280773607847463</v>
      </c>
      <c r="G36" s="483">
        <v>362.10180722891566265060240964</v>
      </c>
      <c r="H36" s="484"/>
      <c r="I36" s="485">
        <v>249.65779728599754623846638273</v>
      </c>
      <c r="J36" s="483">
        <v>0</v>
      </c>
      <c r="K36" s="484"/>
      <c r="L36" s="485">
        <v>108.51605275344645694945881356</v>
      </c>
      <c r="M36" s="483">
        <v>205.63515078286260887076473846</v>
      </c>
      <c r="N36" s="484"/>
      <c r="O36" s="485">
        <v>184.41489775093437710379937967</v>
      </c>
      <c r="P36" s="93"/>
      <c r="Q36" s="469">
        <v>-0.9851504547039589682434917900</v>
      </c>
      <c r="R36" s="470"/>
      <c r="S36" s="471">
        <v>-3.2233709881365244364974021600</v>
      </c>
      <c r="T36" s="469">
        <v>73.9667344551305748664481700</v>
      </c>
      <c r="U36" s="470"/>
      <c r="V36" s="471">
        <v>28.936541608264807867376108920</v>
      </c>
      <c r="W36" s="469">
        <v>0</v>
      </c>
      <c r="X36" s="470"/>
      <c r="Y36" s="471">
        <v>-11.909396476633513708124759560</v>
      </c>
      <c r="Z36" s="469">
        <v>5.6208548544456858809412660900</v>
      </c>
      <c r="AA36" s="470"/>
      <c r="AB36" s="471">
        <v>1.8420923702806671567535338300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0" t="s">
        <v>10</v>
      </c>
      <c r="C38" s="1050"/>
      <c r="D38" s="1050"/>
      <c r="E38" s="1050"/>
      <c r="F38" s="1050"/>
      <c r="G38" s="1050"/>
      <c r="H38" s="1050"/>
      <c r="I38" s="1050"/>
      <c r="J38" s="1050"/>
      <c r="K38" s="1050"/>
      <c r="L38" s="1050"/>
      <c r="M38" s="1050"/>
      <c r="N38" s="1050"/>
      <c r="O38" s="1050"/>
      <c r="P38" s="412"/>
      <c r="Q38" s="1051"/>
      <c r="R38" s="1051"/>
      <c r="S38" s="1051"/>
      <c r="T38" s="1051"/>
      <c r="U38" s="1051"/>
      <c r="V38" s="1051"/>
      <c r="W38" s="1051"/>
      <c r="X38" s="1051"/>
      <c r="Y38" s="1051"/>
      <c r="Z38" s="1051"/>
      <c r="AA38" s="1051"/>
      <c r="AB38" s="1051"/>
      <c r="AC38" s="9"/>
    </row>
    <row r="39" ht="18" customHeight="1">
      <c r="A39" s="58"/>
      <c r="B39" s="1055" t="s">
        <v>43</v>
      </c>
      <c r="C39" s="1055"/>
      <c r="D39" s="455">
        <v>80.51718865024767188598431135</v>
      </c>
      <c r="E39" s="456"/>
      <c r="F39" s="457">
        <v>51.270194412111343931349550447</v>
      </c>
      <c r="G39" s="455">
        <v>18.228324757048881586033961916</v>
      </c>
      <c r="H39" s="456"/>
      <c r="I39" s="457">
        <v>20.302977878832226994342027122</v>
      </c>
      <c r="J39" s="455">
        <v>0</v>
      </c>
      <c r="K39" s="456"/>
      <c r="L39" s="457">
        <v>5.2300507385420707938871789103</v>
      </c>
      <c r="M39" s="455">
        <v>101.26756652451404074458013745</v>
      </c>
      <c r="N39" s="456"/>
      <c r="O39" s="457">
        <v>76.803223029485641719578756472</v>
      </c>
      <c r="P39" s="5"/>
      <c r="Q39" s="428">
        <v>-24.602416936018826862377338310</v>
      </c>
      <c r="R39" s="429"/>
      <c r="S39" s="430">
        <v>-44.362952847385945310071231430</v>
      </c>
      <c r="T39" s="428">
        <v>87.89464013201821878300169593</v>
      </c>
      <c r="U39" s="429"/>
      <c r="V39" s="430">
        <v>-13.753328822698429190573886910</v>
      </c>
      <c r="W39" s="428">
        <v>0</v>
      </c>
      <c r="X39" s="429"/>
      <c r="Y39" s="430">
        <v>-35.741316249791859023052892780</v>
      </c>
      <c r="Z39" s="428">
        <v>-13.068707413460240970962182890</v>
      </c>
      <c r="AA39" s="429"/>
      <c r="AB39" s="430">
        <v>-37.977299892732201364354149170</v>
      </c>
    </row>
    <row r="40" ht="18" customHeight="1">
      <c r="A40" s="58"/>
      <c r="B40" s="1056" t="s">
        <v>46</v>
      </c>
      <c r="C40" s="1056"/>
      <c r="D40" s="440">
        <v>65.490778305414175254987344101</v>
      </c>
      <c r="E40" s="95"/>
      <c r="F40" s="441">
        <v>43.924511132538462168515139666</v>
      </c>
      <c r="G40" s="440">
        <v>9.213335728949512465240921625</v>
      </c>
      <c r="H40" s="95"/>
      <c r="I40" s="441">
        <v>16.152320730140783116249624828</v>
      </c>
      <c r="J40" s="440">
        <v>0</v>
      </c>
      <c r="K40" s="95"/>
      <c r="L40" s="441">
        <v>4.8924474418830196218675812061</v>
      </c>
      <c r="M40" s="440">
        <v>75.01798548594981622407168113</v>
      </c>
      <c r="N40" s="95"/>
      <c r="O40" s="441">
        <v>64.969279304562264906632345706</v>
      </c>
      <c r="P40" s="5"/>
      <c r="Q40" s="421">
        <v>-34.034477107483965839113017850</v>
      </c>
      <c r="R40" s="91"/>
      <c r="S40" s="422">
        <v>-51.326745608144449792639944920</v>
      </c>
      <c r="T40" s="421">
        <v>-35.121399479723018969914425450</v>
      </c>
      <c r="U40" s="91"/>
      <c r="V40" s="422">
        <v>-46.755893591555640969419443380</v>
      </c>
      <c r="W40" s="421">
        <v>0</v>
      </c>
      <c r="X40" s="91"/>
      <c r="Y40" s="422">
        <v>-35.863738050903347964344726140</v>
      </c>
      <c r="Z40" s="421">
        <v>-33.893908580286825342466877410</v>
      </c>
      <c r="AA40" s="91"/>
      <c r="AB40" s="422">
        <v>-49.325172846977990714071710070</v>
      </c>
    </row>
    <row r="41" ht="18" customHeight="1">
      <c r="A41" s="58"/>
      <c r="B41" s="1056" t="s">
        <v>47</v>
      </c>
      <c r="C41" s="1056"/>
      <c r="D41" s="440">
        <v>56.790389253246838731288633462</v>
      </c>
      <c r="E41" s="95"/>
      <c r="F41" s="441">
        <v>44.366422680577828774140675873</v>
      </c>
      <c r="G41" s="440">
        <v>10.583261824098908053895355339</v>
      </c>
      <c r="H41" s="95"/>
      <c r="I41" s="441">
        <v>18.658841268642380389223687104</v>
      </c>
      <c r="J41" s="440">
        <v>0</v>
      </c>
      <c r="K41" s="95"/>
      <c r="L41" s="441">
        <v>4.8160635207922986241713004384</v>
      </c>
      <c r="M41" s="440">
        <v>68.010490682810825653173317224</v>
      </c>
      <c r="N41" s="95"/>
      <c r="O41" s="441">
        <v>67.841327470012507787535663416</v>
      </c>
      <c r="P41" s="93"/>
      <c r="Q41" s="421">
        <v>-42.600443645396989905124872790</v>
      </c>
      <c r="R41" s="91"/>
      <c r="S41" s="422">
        <v>-54.139753981175249537977833520</v>
      </c>
      <c r="T41" s="421">
        <v>-40.425555200762350376187515570</v>
      </c>
      <c r="U41" s="91"/>
      <c r="V41" s="422">
        <v>-46.244616259750675704661119140</v>
      </c>
      <c r="W41" s="421">
        <v>0</v>
      </c>
      <c r="X41" s="91"/>
      <c r="Y41" s="422">
        <v>-35.113224923284618619093583380</v>
      </c>
      <c r="Z41" s="421">
        <v>-41.723688834369095667532196150</v>
      </c>
      <c r="AA41" s="91"/>
      <c r="AB41" s="422">
        <v>-51.149558186290298490787624640</v>
      </c>
    </row>
    <row r="42" ht="18" customHeight="1">
      <c r="A42" s="58"/>
      <c r="B42" s="1056" t="s">
        <v>48</v>
      </c>
      <c r="C42" s="1056"/>
      <c r="D42" s="440">
        <v>71.616333024104155560246401462</v>
      </c>
      <c r="E42" s="95"/>
      <c r="F42" s="441">
        <v>50.231872575827105676739278874</v>
      </c>
      <c r="G42" s="440">
        <v>12.307886585211680786629356597</v>
      </c>
      <c r="H42" s="95"/>
      <c r="I42" s="441">
        <v>19.651268415161387399080602665</v>
      </c>
      <c r="J42" s="440">
        <v>0</v>
      </c>
      <c r="K42" s="95"/>
      <c r="L42" s="441">
        <v>4.9062961465333429249140309588</v>
      </c>
      <c r="M42" s="440">
        <v>84.76894172882733765280043153</v>
      </c>
      <c r="N42" s="95"/>
      <c r="O42" s="441">
        <v>74.789437137521836000733912504</v>
      </c>
      <c r="P42" s="5"/>
      <c r="Q42" s="421">
        <v>-26.423744717431296517939022640</v>
      </c>
      <c r="R42" s="91"/>
      <c r="S42" s="422">
        <v>-48.465964702667041961045652280</v>
      </c>
      <c r="T42" s="421">
        <v>-2.576851502368068174924549900</v>
      </c>
      <c r="U42" s="91"/>
      <c r="V42" s="422">
        <v>-45.260250165594326680642497220</v>
      </c>
      <c r="W42" s="421">
        <v>0</v>
      </c>
      <c r="X42" s="91"/>
      <c r="Y42" s="422">
        <v>-36.504730166829824450397811190</v>
      </c>
      <c r="Z42" s="421">
        <v>-22.916046402013764312685433230</v>
      </c>
      <c r="AA42" s="91"/>
      <c r="AB42" s="422">
        <v>-46.995315251480124107676455690</v>
      </c>
    </row>
    <row r="43" ht="18" customHeight="1">
      <c r="A43" s="58"/>
      <c r="B43" s="1056" t="s">
        <v>49</v>
      </c>
      <c r="C43" s="1056"/>
      <c r="D43" s="440">
        <v>82.51683145612104103837129265</v>
      </c>
      <c r="E43" s="95"/>
      <c r="F43" s="441">
        <v>55.281559856539843485443782902</v>
      </c>
      <c r="G43" s="440">
        <v>24.192069502611750445066457874</v>
      </c>
      <c r="H43" s="95"/>
      <c r="I43" s="441">
        <v>23.361137914685002658009439072</v>
      </c>
      <c r="J43" s="440">
        <v>0</v>
      </c>
      <c r="K43" s="95"/>
      <c r="L43" s="441">
        <v>5.1002807589413867996008868589</v>
      </c>
      <c r="M43" s="440">
        <v>107.40994490215498981437720011</v>
      </c>
      <c r="N43" s="95"/>
      <c r="O43" s="441">
        <v>83.74297853016623294305410883</v>
      </c>
      <c r="P43" s="93"/>
      <c r="Q43" s="421">
        <v>-29.201544525635286225302144400</v>
      </c>
      <c r="R43" s="91"/>
      <c r="S43" s="422">
        <v>-46.744335996819477192215190470</v>
      </c>
      <c r="T43" s="421">
        <v>87.93561729911044244843401217</v>
      </c>
      <c r="U43" s="91"/>
      <c r="V43" s="422">
        <v>-31.133672989311438903424131530</v>
      </c>
      <c r="W43" s="421">
        <v>0</v>
      </c>
      <c r="X43" s="91"/>
      <c r="Y43" s="422">
        <v>-36.112548609000984416506240920</v>
      </c>
      <c r="Z43" s="421">
        <v>-17.009425745117958932989399450</v>
      </c>
      <c r="AA43" s="91"/>
      <c r="AB43" s="422">
        <v>-42.527544064755561974500800010</v>
      </c>
    </row>
    <row r="44" ht="18" customHeight="1">
      <c r="A44" s="58"/>
      <c r="B44" s="1057" t="s">
        <v>78</v>
      </c>
      <c r="C44" s="1057"/>
      <c r="D44" s="458">
        <v>71.504718491673486452881912921</v>
      </c>
      <c r="E44" s="459"/>
      <c r="F44" s="460">
        <v>49.028234535033620595249859504</v>
      </c>
      <c r="G44" s="458">
        <v>14.951457555937689094791845948</v>
      </c>
      <c r="H44" s="459"/>
      <c r="I44" s="460">
        <v>19.633180020038360968045383164</v>
      </c>
      <c r="J44" s="458">
        <v>0</v>
      </c>
      <c r="K44" s="459"/>
      <c r="L44" s="460">
        <v>4.9885006335687887771172359196</v>
      </c>
      <c r="M44" s="458">
        <v>87.41980400793867157270743325</v>
      </c>
      <c r="N44" s="459"/>
      <c r="O44" s="460">
        <v>73.649915188640770340412478593</v>
      </c>
      <c r="P44" s="5"/>
      <c r="Q44" s="431">
        <v>-31.086970089581809554265508780</v>
      </c>
      <c r="R44" s="432"/>
      <c r="S44" s="433">
        <v>-48.973302092927063828496937120</v>
      </c>
      <c r="T44" s="431">
        <v>11.150966655269190854533197310</v>
      </c>
      <c r="U44" s="432"/>
      <c r="V44" s="433">
        <v>-38.050114660580695058675813860</v>
      </c>
      <c r="W44" s="431">
        <v>0</v>
      </c>
      <c r="X44" s="432"/>
      <c r="Y44" s="433">
        <v>-35.868778123113905512811648540</v>
      </c>
      <c r="Z44" s="431">
        <v>-25.417549241590202603377899710</v>
      </c>
      <c r="AA44" s="432"/>
      <c r="AB44" s="433">
        <v>-45.667517633767173149227826720</v>
      </c>
    </row>
    <row r="45" ht="6" customHeight="1">
      <c r="A45" s="58"/>
      <c r="B45" s="632"/>
      <c r="C45" s="632"/>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58" t="s">
        <v>50</v>
      </c>
      <c r="C46" s="1058"/>
      <c r="D46" s="494">
        <v>99.43444185745626777915645887</v>
      </c>
      <c r="E46" s="495"/>
      <c r="F46" s="496">
        <v>65.843253746552201534089042073</v>
      </c>
      <c r="G46" s="494">
        <v>8.34874852488704471554552231</v>
      </c>
      <c r="H46" s="495"/>
      <c r="I46" s="496">
        <v>23.473320891870177192467893354</v>
      </c>
      <c r="J46" s="494">
        <v>0</v>
      </c>
      <c r="K46" s="495"/>
      <c r="L46" s="496">
        <v>5.3207739770371960992111685371</v>
      </c>
      <c r="M46" s="494">
        <v>131.76288320550053323033880893</v>
      </c>
      <c r="N46" s="495"/>
      <c r="O46" s="496">
        <v>94.63734861545957482576810397</v>
      </c>
      <c r="P46" s="93"/>
      <c r="Q46" s="480">
        <v>-35.308385747791771033398259400</v>
      </c>
      <c r="R46" s="481"/>
      <c r="S46" s="482">
        <v>-47.199402217730990943947241290</v>
      </c>
      <c r="T46" s="480">
        <v>-34.021566182426256485119385670</v>
      </c>
      <c r="U46" s="481"/>
      <c r="V46" s="482">
        <v>-24.478812127194866404269604130</v>
      </c>
      <c r="W46" s="480">
        <v>0</v>
      </c>
      <c r="X46" s="481"/>
      <c r="Y46" s="482">
        <v>-37.822927671171764961122886350</v>
      </c>
      <c r="Z46" s="480">
        <v>-20.796086722636615559574747410</v>
      </c>
      <c r="AA46" s="481"/>
      <c r="AB46" s="482">
        <v>-42.414016071853266366578400930</v>
      </c>
    </row>
    <row r="47" ht="18" customHeight="1">
      <c r="A47" s="58"/>
      <c r="B47" s="1059" t="s">
        <v>51</v>
      </c>
      <c r="C47" s="1059"/>
      <c r="D47" s="277">
        <v>133.15154691791616668767251399</v>
      </c>
      <c r="E47" s="94"/>
      <c r="F47" s="278">
        <v>72.257310878338149088915092935</v>
      </c>
      <c r="G47" s="277">
        <v>5.5471856026545895069686552427</v>
      </c>
      <c r="H47" s="94"/>
      <c r="I47" s="278">
        <v>21.317315061940825714879390458</v>
      </c>
      <c r="J47" s="277">
        <v>0</v>
      </c>
      <c r="K47" s="94"/>
      <c r="L47" s="278">
        <v>5.6323452682233209246123680685</v>
      </c>
      <c r="M47" s="277">
        <v>140.43741228355335820164056803</v>
      </c>
      <c r="N47" s="94"/>
      <c r="O47" s="278">
        <v>99.20697120850229572840685145</v>
      </c>
      <c r="P47" s="5"/>
      <c r="Q47" s="272">
        <v>-15.457844228760569748955690410</v>
      </c>
      <c r="R47" s="92"/>
      <c r="S47" s="273">
        <v>-42.641922716426462398015284940</v>
      </c>
      <c r="T47" s="272">
        <v>-51.769389793720248596317978640</v>
      </c>
      <c r="U47" s="92"/>
      <c r="V47" s="273">
        <v>-22.104714584846997074850475370</v>
      </c>
      <c r="W47" s="272">
        <v>0</v>
      </c>
      <c r="X47" s="92"/>
      <c r="Y47" s="273">
        <v>-34.375435239322434864502941670</v>
      </c>
      <c r="Z47" s="272">
        <v>-16.900251996507423212776346420</v>
      </c>
      <c r="AA47" s="92"/>
      <c r="AB47" s="273">
        <v>-38.732814981705547662543645070</v>
      </c>
    </row>
    <row r="48" ht="18" customHeight="1">
      <c r="A48" s="58"/>
      <c r="B48" s="1060" t="s">
        <v>79</v>
      </c>
      <c r="C48" s="1060"/>
      <c r="D48" s="444">
        <v>116.48745280731129662985362534</v>
      </c>
      <c r="E48" s="445"/>
      <c r="F48" s="446">
        <v>69.047404695232841020999820854</v>
      </c>
      <c r="G48" s="444">
        <v>6.9318094637229881062055717343</v>
      </c>
      <c r="H48" s="445"/>
      <c r="I48" s="446">
        <v>22.39628525227561813296576052</v>
      </c>
      <c r="J48" s="444">
        <v>0</v>
      </c>
      <c r="K48" s="445"/>
      <c r="L48" s="446">
        <v>5.4764198385759595186275297702</v>
      </c>
      <c r="M48" s="444">
        <v>136.10014774452694571598968842</v>
      </c>
      <c r="N48" s="445"/>
      <c r="O48" s="446">
        <v>96.92010978608441867259311114</v>
      </c>
      <c r="P48" s="93"/>
      <c r="Q48" s="274">
        <v>-25.137205974276227194704494760</v>
      </c>
      <c r="R48" s="275"/>
      <c r="S48" s="276">
        <v>-44.911399342961314157711185480</v>
      </c>
      <c r="T48" s="274">
        <v>-42.605910322540926448235447760</v>
      </c>
      <c r="U48" s="275"/>
      <c r="V48" s="276">
        <v>-23.363504967621494000830056740</v>
      </c>
      <c r="W48" s="274">
        <v>0</v>
      </c>
      <c r="X48" s="275"/>
      <c r="Y48" s="276">
        <v>-36.098283447432113446063465010</v>
      </c>
      <c r="Z48" s="274">
        <v>-18.832837622779528185067818260</v>
      </c>
      <c r="AA48" s="275"/>
      <c r="AB48" s="276">
        <v>-40.588264638659634556169294400</v>
      </c>
    </row>
    <row r="49" ht="6" customHeight="1">
      <c r="A49" s="58"/>
      <c r="B49" s="632"/>
      <c r="C49" s="632"/>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7" t="s">
        <v>12</v>
      </c>
      <c r="C50" s="997"/>
      <c r="D50" s="483">
        <v>86.5236462990561351217088922</v>
      </c>
      <c r="E50" s="484"/>
      <c r="F50" s="485">
        <v>55.194448496649100485088913686</v>
      </c>
      <c r="G50" s="483">
        <v>14.930178837555886736214605067</v>
      </c>
      <c r="H50" s="484"/>
      <c r="I50" s="485">
        <v>20.128477652413399069733723754</v>
      </c>
      <c r="J50" s="483">
        <v>0</v>
      </c>
      <c r="K50" s="484"/>
      <c r="L50" s="485">
        <v>4.8990438076855091895348678665</v>
      </c>
      <c r="M50" s="483">
        <v>101.45382513661202185792349727</v>
      </c>
      <c r="N50" s="484"/>
      <c r="O50" s="485">
        <v>80.2219699567480087443575053</v>
      </c>
      <c r="P50" s="93"/>
      <c r="Q50" s="469">
        <v>-26.764519675286746121069652930</v>
      </c>
      <c r="R50" s="470"/>
      <c r="S50" s="471">
        <v>-48.123252558701890015579315600</v>
      </c>
      <c r="T50" s="469">
        <v>11.052345659702911323255242750</v>
      </c>
      <c r="U50" s="470"/>
      <c r="V50" s="471">
        <v>-30.392537059251971493902548550</v>
      </c>
      <c r="W50" s="469">
        <v>0</v>
      </c>
      <c r="X50" s="470"/>
      <c r="Y50" s="471">
        <v>-39.527723748426513121142580810</v>
      </c>
      <c r="Z50" s="469">
        <v>-22.900812766138514581284091810</v>
      </c>
      <c r="AA50" s="470"/>
      <c r="AB50" s="471">
        <v>-44.062580573007104585390316320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61" t="s">
        <v>129</v>
      </c>
      <c r="C52" s="1061"/>
      <c r="D52" s="1061"/>
      <c r="E52" s="1061"/>
      <c r="F52" s="1061"/>
      <c r="G52" s="1061"/>
      <c r="H52" s="1061"/>
      <c r="I52" s="1061"/>
      <c r="J52" s="1061"/>
      <c r="K52" s="1061"/>
      <c r="L52" s="1061"/>
      <c r="M52" s="1061"/>
      <c r="N52" s="1061"/>
      <c r="O52" s="1061"/>
      <c r="P52" s="1061"/>
      <c r="Q52" s="1061"/>
      <c r="R52" s="1061"/>
      <c r="S52" s="1061"/>
      <c r="T52" s="1061"/>
      <c r="U52" s="1061"/>
      <c r="V52" s="1061"/>
      <c r="W52" s="1061"/>
      <c r="X52" s="1061"/>
      <c r="Y52" s="1061"/>
      <c r="Z52" s="1061"/>
      <c r="AA52" s="1061"/>
      <c r="AB52" s="1061"/>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166</v>
      </c>
      <c r="D1" s="6"/>
      <c r="E1" s="6"/>
      <c r="AS1" s="236"/>
    </row>
    <row r="2" ht="15" customHeight="1">
      <c r="B2" s="0"/>
      <c r="C2" s="1062" t="s">
        <v>211</v>
      </c>
      <c r="D2" s="1062"/>
      <c r="E2" s="1062"/>
      <c r="F2" s="1062"/>
      <c r="G2" s="1062"/>
      <c r="H2" s="1062"/>
      <c r="I2" s="1062"/>
      <c r="J2" s="1062"/>
      <c r="K2" s="1062"/>
      <c r="L2" s="1062"/>
      <c r="M2" s="1062"/>
      <c r="N2" s="1062"/>
      <c r="O2" s="1062"/>
      <c r="P2" s="1062"/>
      <c r="Q2" s="1062"/>
      <c r="R2" s="1062"/>
      <c r="S2" s="1062"/>
      <c r="T2" s="1062"/>
      <c r="U2" s="1062"/>
      <c r="V2" s="1062"/>
      <c r="W2" s="1062"/>
      <c r="X2" s="1062"/>
      <c r="Y2" s="1062"/>
      <c r="Z2" s="1062"/>
      <c r="AA2" s="1062"/>
      <c r="AB2" s="1062"/>
      <c r="AC2" s="1062"/>
      <c r="AD2" s="1062"/>
      <c r="AE2" s="1062"/>
      <c r="AF2" s="1062"/>
      <c r="AG2" s="1062"/>
      <c r="AH2" s="1062"/>
      <c r="AI2" s="1062"/>
      <c r="AJ2" s="1062"/>
      <c r="AK2" s="1062"/>
      <c r="AL2" s="1062"/>
      <c r="AM2" s="1062"/>
      <c r="AN2" s="1062"/>
      <c r="AO2" s="1062"/>
      <c r="AP2" s="1062"/>
      <c r="AQ2" s="0"/>
    </row>
    <row r="3" ht="15" customHeight="1">
      <c r="B3" s="0"/>
      <c r="C3" s="1062" t="s">
        <v>212</v>
      </c>
      <c r="D3" s="1062"/>
      <c r="E3" s="1062"/>
      <c r="F3" s="1062"/>
      <c r="G3" s="1062"/>
      <c r="H3" s="1062"/>
      <c r="I3" s="1062"/>
      <c r="J3" s="1062"/>
      <c r="K3" s="1062"/>
      <c r="L3" s="1062"/>
      <c r="M3" s="1062"/>
      <c r="N3" s="1062"/>
      <c r="O3" s="1062"/>
      <c r="P3" s="1062"/>
      <c r="Q3" s="1062"/>
      <c r="R3" s="1062"/>
      <c r="S3" s="1062"/>
      <c r="T3" s="1062"/>
      <c r="U3" s="1062"/>
      <c r="V3" s="1062"/>
      <c r="W3" s="1062"/>
      <c r="X3" s="1062"/>
      <c r="Y3" s="1062"/>
      <c r="Z3" s="1062"/>
      <c r="AA3" s="1062"/>
      <c r="AB3" s="1062"/>
      <c r="AC3" s="1062"/>
      <c r="AD3" s="1062"/>
      <c r="AE3" s="1062"/>
      <c r="AF3" s="1062"/>
      <c r="AG3" s="1062"/>
      <c r="AH3" s="1062"/>
      <c r="AI3" s="1062"/>
      <c r="AJ3" s="1062"/>
      <c r="AK3" s="1062"/>
      <c r="AL3" s="1062"/>
      <c r="AM3" s="1062"/>
      <c r="AN3" s="1062"/>
      <c r="AO3" s="1062"/>
      <c r="AP3" s="1062"/>
      <c r="AQ3" s="0"/>
    </row>
    <row r="4" ht="15" customHeight="1">
      <c r="B4" s="0"/>
      <c r="C4" s="1062" t="s">
        <v>242</v>
      </c>
      <c r="D4" s="1062"/>
      <c r="E4" s="1062"/>
      <c r="F4" s="1062"/>
      <c r="G4" s="1062"/>
      <c r="H4" s="1062"/>
      <c r="I4" s="1062"/>
      <c r="J4" s="1062"/>
      <c r="K4" s="1062"/>
      <c r="L4" s="1062"/>
      <c r="M4" s="1062"/>
      <c r="N4" s="1062"/>
      <c r="O4" s="1062"/>
      <c r="P4" s="1062"/>
      <c r="Q4" s="1062"/>
      <c r="R4" s="1062"/>
      <c r="S4" s="1062"/>
      <c r="T4" s="1062"/>
      <c r="U4" s="1062"/>
      <c r="V4" s="1062"/>
      <c r="W4" s="1062"/>
      <c r="X4" s="1062"/>
      <c r="Y4" s="1062"/>
      <c r="Z4" s="1062"/>
      <c r="AA4" s="1062"/>
      <c r="AB4" s="1062"/>
      <c r="AC4" s="1062"/>
      <c r="AD4" s="1062"/>
      <c r="AE4" s="1062"/>
      <c r="AF4" s="1062"/>
      <c r="AG4" s="1062"/>
      <c r="AH4" s="1062"/>
      <c r="AI4" s="1062"/>
      <c r="AJ4" s="1062"/>
      <c r="AK4" s="1062"/>
      <c r="AL4" s="1062"/>
      <c r="AM4" s="1062"/>
      <c r="AN4" s="1062"/>
      <c r="AO4" s="1062"/>
      <c r="AP4" s="1062"/>
      <c r="AQ4" s="0"/>
    </row>
    <row r="5" ht="12.75" customHeight="1">
      <c r="C5" s="67"/>
      <c r="D5" s="67"/>
      <c r="E5" s="67"/>
    </row>
    <row r="6" ht="18" customHeight="1">
      <c r="B6" s="68"/>
      <c r="C6" s="68" t="s">
        <v>7</v>
      </c>
      <c r="D6" s="69"/>
      <c r="E6" s="69"/>
      <c r="F6" s="69"/>
      <c r="H6" s="1063" t="s">
        <v>244</v>
      </c>
      <c r="I6" s="1063"/>
      <c r="J6" s="1063"/>
      <c r="K6" s="1063"/>
      <c r="L6" s="1063"/>
      <c r="M6" s="1063"/>
      <c r="N6" s="1063"/>
      <c r="O6" s="1063"/>
      <c r="P6" s="1063"/>
      <c r="Q6" s="1063"/>
      <c r="R6" s="1063"/>
      <c r="S6" s="1063"/>
      <c r="T6" s="1063"/>
      <c r="U6" s="1063"/>
      <c r="Z6" s="1063" t="s">
        <v>245</v>
      </c>
      <c r="AA6" s="1063"/>
      <c r="AB6" s="1063"/>
      <c r="AC6" s="1063"/>
      <c r="AD6" s="1063"/>
      <c r="AE6" s="1063"/>
      <c r="AF6" s="1063"/>
      <c r="AG6" s="1063"/>
      <c r="AH6" s="1063"/>
      <c r="AI6" s="1063"/>
      <c r="AJ6" s="1063"/>
      <c r="AK6" s="1063"/>
      <c r="AL6" s="1063"/>
      <c r="AM6" s="1063"/>
    </row>
    <row r="7" ht="15" customHeight="1">
      <c r="D7" s="93" t="s">
        <v>247</v>
      </c>
      <c r="E7" s="71"/>
      <c r="F7" s="71"/>
      <c r="H7" s="1064" t="s">
        <v>0</v>
      </c>
      <c r="I7" s="1064"/>
      <c r="J7" s="1064" t="s">
        <v>1</v>
      </c>
      <c r="K7" s="1064"/>
      <c r="L7" s="1064" t="s">
        <v>2</v>
      </c>
      <c r="M7" s="1064"/>
      <c r="N7" s="1064" t="s">
        <v>3</v>
      </c>
      <c r="O7" s="1064"/>
      <c r="P7" s="1064" t="s">
        <v>4</v>
      </c>
      <c r="Q7" s="1064"/>
      <c r="R7" s="1064" t="s">
        <v>5</v>
      </c>
      <c r="S7" s="1064"/>
      <c r="T7" s="1064" t="s">
        <v>6</v>
      </c>
      <c r="U7" s="1064"/>
      <c r="Z7" s="1064" t="s">
        <v>0</v>
      </c>
      <c r="AA7" s="1064"/>
      <c r="AB7" s="1064" t="s">
        <v>1</v>
      </c>
      <c r="AC7" s="1064"/>
      <c r="AD7" s="1064" t="s">
        <v>2</v>
      </c>
      <c r="AE7" s="1064"/>
      <c r="AF7" s="1064" t="s">
        <v>3</v>
      </c>
      <c r="AG7" s="1064"/>
      <c r="AH7" s="1064" t="s">
        <v>4</v>
      </c>
      <c r="AI7" s="1064"/>
      <c r="AJ7" s="1064" t="s">
        <v>5</v>
      </c>
      <c r="AK7" s="1064"/>
      <c r="AL7" s="1064" t="s">
        <v>6</v>
      </c>
      <c r="AM7" s="1064"/>
    </row>
    <row r="8" ht="15" customHeight="1">
      <c r="D8" s="175" t="s">
        <v>249</v>
      </c>
      <c r="E8" s="71"/>
      <c r="F8" s="71"/>
      <c r="G8" s="71"/>
      <c r="H8" s="1065"/>
      <c r="I8" s="1065"/>
      <c r="J8" s="1066"/>
      <c r="K8" s="1066"/>
      <c r="L8" s="1066">
        <v>1</v>
      </c>
      <c r="M8" s="1066"/>
      <c r="N8" s="1066">
        <v>2</v>
      </c>
      <c r="O8" s="1066"/>
      <c r="P8" s="1066">
        <v>3</v>
      </c>
      <c r="Q8" s="1066"/>
      <c r="R8" s="1066">
        <v>4</v>
      </c>
      <c r="S8" s="1066"/>
      <c r="T8" s="1067">
        <v>5</v>
      </c>
      <c r="U8" s="1067"/>
      <c r="Z8" s="1065">
        <v>1</v>
      </c>
      <c r="AA8" s="1065"/>
      <c r="AB8" s="1066">
        <v>2</v>
      </c>
      <c r="AC8" s="1066"/>
      <c r="AD8" s="1066">
        <v>3</v>
      </c>
      <c r="AE8" s="1066"/>
      <c r="AF8" s="1066">
        <v>4</v>
      </c>
      <c r="AG8" s="1066"/>
      <c r="AH8" s="1066">
        <v>5</v>
      </c>
      <c r="AI8" s="1066"/>
      <c r="AJ8" s="1066">
        <v>6</v>
      </c>
      <c r="AK8" s="1066"/>
      <c r="AL8" s="1067">
        <v>7</v>
      </c>
      <c r="AM8" s="1067"/>
    </row>
    <row r="9" ht="15" customHeight="1">
      <c r="D9" s="175" t="s">
        <v>251</v>
      </c>
      <c r="H9" s="1068">
        <v>6</v>
      </c>
      <c r="I9" s="1068"/>
      <c r="J9" s="1069">
        <v>7</v>
      </c>
      <c r="K9" s="1069"/>
      <c r="L9" s="1069">
        <v>8</v>
      </c>
      <c r="M9" s="1069"/>
      <c r="N9" s="1069">
        <v>9</v>
      </c>
      <c r="O9" s="1069"/>
      <c r="P9" s="1069">
        <v>10</v>
      </c>
      <c r="Q9" s="1069"/>
      <c r="R9" s="1069">
        <v>11</v>
      </c>
      <c r="S9" s="1069"/>
      <c r="T9" s="1070">
        <v>12</v>
      </c>
      <c r="U9" s="1070"/>
      <c r="Z9" s="1068">
        <v>8</v>
      </c>
      <c r="AA9" s="1068"/>
      <c r="AB9" s="1069">
        <v>9</v>
      </c>
      <c r="AC9" s="1069"/>
      <c r="AD9" s="1069">
        <v>10</v>
      </c>
      <c r="AE9" s="1069"/>
      <c r="AF9" s="1069">
        <v>11</v>
      </c>
      <c r="AG9" s="1069"/>
      <c r="AH9" s="1069">
        <v>12</v>
      </c>
      <c r="AI9" s="1069"/>
      <c r="AJ9" s="1069">
        <v>13</v>
      </c>
      <c r="AK9" s="1069"/>
      <c r="AL9" s="1070">
        <v>14</v>
      </c>
      <c r="AM9" s="1070"/>
    </row>
    <row r="10" ht="15" customHeight="1">
      <c r="D10" t="s">
        <v>253</v>
      </c>
      <c r="H10" s="1071">
        <v>13</v>
      </c>
      <c r="I10" s="1071"/>
      <c r="J10" s="1072">
        <v>14</v>
      </c>
      <c r="K10" s="1072"/>
      <c r="L10" s="1072">
        <v>15</v>
      </c>
      <c r="M10" s="1072"/>
      <c r="N10" s="1072">
        <v>16</v>
      </c>
      <c r="O10" s="1072"/>
      <c r="P10" s="1072">
        <v>17</v>
      </c>
      <c r="Q10" s="1072"/>
      <c r="R10" s="1072">
        <v>18</v>
      </c>
      <c r="S10" s="1072"/>
      <c r="T10" s="1073">
        <v>19</v>
      </c>
      <c r="U10" s="1073"/>
      <c r="Z10" s="1071">
        <v>15</v>
      </c>
      <c r="AA10" s="1071"/>
      <c r="AB10" s="1072">
        <v>16</v>
      </c>
      <c r="AC10" s="1072"/>
      <c r="AD10" s="1072">
        <v>17</v>
      </c>
      <c r="AE10" s="1072"/>
      <c r="AF10" s="1072">
        <v>18</v>
      </c>
      <c r="AG10" s="1072"/>
      <c r="AH10" s="1072">
        <v>19</v>
      </c>
      <c r="AI10" s="1072"/>
      <c r="AJ10" s="1072">
        <v>20</v>
      </c>
      <c r="AK10" s="1072"/>
      <c r="AL10" s="1073">
        <v>21</v>
      </c>
      <c r="AM10" s="1073"/>
    </row>
    <row r="11" ht="15" customHeight="1">
      <c r="D11" t="s">
        <v>255</v>
      </c>
      <c r="H11" s="1068">
        <v>20</v>
      </c>
      <c r="I11" s="1068"/>
      <c r="J11" s="1069">
        <v>21</v>
      </c>
      <c r="K11" s="1069"/>
      <c r="L11" s="1069">
        <v>22</v>
      </c>
      <c r="M11" s="1069"/>
      <c r="N11" s="1069">
        <v>23</v>
      </c>
      <c r="O11" s="1069"/>
      <c r="P11" s="1069">
        <v>24</v>
      </c>
      <c r="Q11" s="1069"/>
      <c r="R11" s="1069">
        <v>25</v>
      </c>
      <c r="S11" s="1069"/>
      <c r="T11" s="1070">
        <v>26</v>
      </c>
      <c r="U11" s="1070"/>
      <c r="Z11" s="1068">
        <v>22</v>
      </c>
      <c r="AA11" s="1068"/>
      <c r="AB11" s="1069">
        <v>23</v>
      </c>
      <c r="AC11" s="1069"/>
      <c r="AD11" s="1069">
        <v>24</v>
      </c>
      <c r="AE11" s="1069"/>
      <c r="AF11" s="1069">
        <v>25</v>
      </c>
      <c r="AG11" s="1069"/>
      <c r="AH11" s="1069">
        <v>26</v>
      </c>
      <c r="AI11" s="1069"/>
      <c r="AJ11" s="1069">
        <v>27</v>
      </c>
      <c r="AK11" s="1069"/>
      <c r="AL11" s="1070">
        <v>28</v>
      </c>
      <c r="AM11" s="1070"/>
      <c r="AN11" t="s">
        <v>27</v>
      </c>
    </row>
    <row r="12" ht="15" customHeight="1">
      <c r="A12" s="68"/>
      <c r="H12" s="1071">
        <v>27</v>
      </c>
      <c r="I12" s="1071"/>
      <c r="J12" s="1072">
        <v>28</v>
      </c>
      <c r="K12" s="1072"/>
      <c r="L12" s="1072">
        <v>29</v>
      </c>
      <c r="M12" s="1072"/>
      <c r="N12" s="1072">
        <v>30</v>
      </c>
      <c r="O12" s="1072"/>
      <c r="P12" s="1072">
        <v>31</v>
      </c>
      <c r="Q12" s="1072"/>
      <c r="R12" s="1072"/>
      <c r="S12" s="1072"/>
      <c r="T12" s="1073"/>
      <c r="U12" s="1073"/>
      <c r="Z12" s="1071">
        <v>29</v>
      </c>
      <c r="AA12" s="1071"/>
      <c r="AB12" s="1072">
        <v>30</v>
      </c>
      <c r="AC12" s="1072"/>
      <c r="AD12" s="1072">
        <v>31</v>
      </c>
      <c r="AE12" s="1072"/>
      <c r="AF12" s="1072"/>
      <c r="AG12" s="1072"/>
      <c r="AH12" s="1072"/>
      <c r="AI12" s="1072"/>
      <c r="AJ12" s="1072"/>
      <c r="AK12" s="1072"/>
      <c r="AL12" s="1073"/>
      <c r="AM12" s="1073"/>
    </row>
    <row r="13" ht="15" customHeight="1">
      <c r="C13" s="72"/>
      <c r="D13" s="73"/>
      <c r="E13" s="73"/>
      <c r="F13" s="73"/>
      <c r="G13" s="73"/>
      <c r="H13" s="1074" t="s">
        <v>27</v>
      </c>
      <c r="I13" s="1074"/>
      <c r="J13" s="1075" t="s">
        <v>27</v>
      </c>
      <c r="K13" s="1075"/>
      <c r="L13" s="1075" t="s">
        <v>27</v>
      </c>
      <c r="M13" s="1075"/>
      <c r="N13" s="1075" t="s">
        <v>27</v>
      </c>
      <c r="O13" s="1075"/>
      <c r="P13" s="1075" t="s">
        <v>27</v>
      </c>
      <c r="Q13" s="1075"/>
      <c r="R13" s="1075" t="s">
        <v>27</v>
      </c>
      <c r="S13" s="1075"/>
      <c r="T13" s="1076" t="s">
        <v>27</v>
      </c>
      <c r="U13" s="1076"/>
      <c r="Z13" s="1074" t="s">
        <v>27</v>
      </c>
      <c r="AA13" s="1074"/>
      <c r="AB13" s="1075" t="s">
        <v>27</v>
      </c>
      <c r="AC13" s="1075"/>
      <c r="AD13" s="1075" t="s">
        <v>27</v>
      </c>
      <c r="AE13" s="1075"/>
      <c r="AF13" s="1075" t="s">
        <v>27</v>
      </c>
      <c r="AG13" s="1075"/>
      <c r="AH13" s="1075" t="s">
        <v>27</v>
      </c>
      <c r="AI13" s="1075"/>
      <c r="AJ13" s="1075" t="s">
        <v>27</v>
      </c>
      <c r="AK13" s="1075"/>
      <c r="AL13" s="1076" t="s">
        <v>27</v>
      </c>
      <c r="AM13" s="1076"/>
    </row>
    <row r="14" ht="15" customHeight="1">
      <c r="A14" s="68"/>
      <c r="C14" s="68" t="s">
        <v>8</v>
      </c>
      <c r="F14" s="64"/>
    </row>
    <row r="15" ht="15" customHeight="1">
      <c r="D15" s="70" t="s">
        <v>257</v>
      </c>
      <c r="F15" s="64"/>
      <c r="P15" s="1077"/>
      <c r="Q15" s="1077"/>
      <c r="R15" s="1077"/>
      <c r="S15" s="1077"/>
      <c r="T15" s="1077"/>
      <c r="U15" s="1077"/>
      <c r="V15" s="1077"/>
      <c r="W15" s="0"/>
      <c r="X15" s="1077"/>
      <c r="Y15" s="1077"/>
      <c r="Z15" s="1077"/>
      <c r="AA15" s="1077"/>
      <c r="AB15" s="1077"/>
      <c r="AC15" s="1077"/>
      <c r="AD15" s="1077"/>
      <c r="AE15" s="0"/>
      <c r="AF15" s="1077"/>
      <c r="AG15" s="1077"/>
      <c r="AH15" s="1077"/>
      <c r="AI15" s="1077"/>
      <c r="AJ15" s="1077"/>
      <c r="AK15" s="1077"/>
      <c r="AL15" s="1077"/>
      <c r="AM15" s="0"/>
      <c r="AN15" s="0"/>
    </row>
    <row r="16" ht="15" customHeight="1">
      <c r="C16" s="70"/>
      <c r="D16" s="73" t="s">
        <v>249</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251</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253</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255</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1008">
        <v>2019</v>
      </c>
      <c r="S21" s="1008"/>
      <c r="T21" s="1008"/>
      <c r="U21" s="1008"/>
      <c r="V21" s="1008"/>
      <c r="W21" s="1008"/>
      <c r="X21" s="1008"/>
      <c r="Y21" s="1008"/>
      <c r="Z21" s="1008"/>
      <c r="AA21" s="1008"/>
      <c r="AB21" s="1008"/>
      <c r="AC21" s="1008"/>
      <c r="AD21" s="1010">
        <v>2020</v>
      </c>
      <c r="AE21" s="1010"/>
      <c r="AF21" s="1010"/>
      <c r="AG21" s="1010"/>
      <c r="AH21" s="1010"/>
      <c r="AI21" s="1010"/>
      <c r="AJ21" s="1010"/>
      <c r="AK21" s="1010"/>
      <c r="AL21" s="1010"/>
      <c r="AM21" s="1010"/>
      <c r="AN21" s="1010"/>
      <c r="AO21" s="1010"/>
    </row>
    <row r="22" s="5" customFormat="1" ht="30" customHeight="1">
      <c r="B22" s="76"/>
      <c r="C22" s="77" t="s">
        <v>73</v>
      </c>
      <c r="D22" s="77" t="s">
        <v>21</v>
      </c>
      <c r="E22" s="177" t="s">
        <v>98</v>
      </c>
      <c r="F22" s="10" t="s">
        <v>62</v>
      </c>
      <c r="G22" s="10" t="s">
        <v>63</v>
      </c>
      <c r="H22" s="1078" t="s">
        <v>34</v>
      </c>
      <c r="I22" s="1078"/>
      <c r="J22" s="1078"/>
      <c r="K22" s="1078"/>
      <c r="L22" s="1078" t="s">
        <v>64</v>
      </c>
      <c r="M22" s="1078"/>
      <c r="N22" s="1078"/>
      <c r="O22" s="1078"/>
      <c r="R22" s="618" t="s">
        <v>232</v>
      </c>
      <c r="S22" s="619" t="s">
        <v>233</v>
      </c>
      <c r="T22" s="619" t="s">
        <v>234</v>
      </c>
      <c r="U22" s="619" t="s">
        <v>235</v>
      </c>
      <c r="V22" s="619" t="s">
        <v>236</v>
      </c>
      <c r="W22" s="619" t="s">
        <v>237</v>
      </c>
      <c r="X22" s="619" t="s">
        <v>221</v>
      </c>
      <c r="Y22" s="619" t="s">
        <v>224</v>
      </c>
      <c r="Z22" s="619" t="s">
        <v>226</v>
      </c>
      <c r="AA22" s="619" t="s">
        <v>228</v>
      </c>
      <c r="AB22" s="619" t="s">
        <v>229</v>
      </c>
      <c r="AC22" s="1030" t="s">
        <v>230</v>
      </c>
      <c r="AD22" s="619" t="s">
        <v>232</v>
      </c>
      <c r="AE22" s="619" t="s">
        <v>233</v>
      </c>
      <c r="AF22" s="619" t="s">
        <v>234</v>
      </c>
      <c r="AG22" s="619" t="s">
        <v>235</v>
      </c>
      <c r="AH22" s="619" t="s">
        <v>236</v>
      </c>
      <c r="AI22" s="619" t="s">
        <v>237</v>
      </c>
      <c r="AJ22" s="619" t="s">
        <v>221</v>
      </c>
      <c r="AK22" s="619" t="s">
        <v>224</v>
      </c>
      <c r="AL22" s="619" t="s">
        <v>226</v>
      </c>
      <c r="AM22" s="619" t="s">
        <v>228</v>
      </c>
      <c r="AN22" s="619" t="s">
        <v>229</v>
      </c>
      <c r="AO22" s="1030" t="s">
        <v>230</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31">
        <v>56387</v>
      </c>
      <c r="D23" s="1031" t="s">
        <v>217</v>
      </c>
      <c r="E23" s="1031" t="s">
        <v>262</v>
      </c>
      <c r="F23" s="1031" t="s">
        <v>263</v>
      </c>
      <c r="G23" s="1031" t="s">
        <v>264</v>
      </c>
      <c r="H23" s="1032" t="s">
        <v>265</v>
      </c>
      <c r="I23" s="1032"/>
      <c r="J23" s="1032"/>
      <c r="K23" s="1032"/>
      <c r="L23" s="1032" t="s">
        <v>266</v>
      </c>
      <c r="M23" s="1032"/>
      <c r="N23" s="1032"/>
      <c r="O23" s="1032"/>
      <c r="P23" s="80"/>
      <c r="Q23" s="4"/>
      <c r="R23" s="1079" t="s">
        <v>311</v>
      </c>
      <c r="S23" s="1080" t="s">
        <v>311</v>
      </c>
      <c r="T23" s="1080" t="s">
        <v>311</v>
      </c>
      <c r="U23" s="1080" t="s">
        <v>311</v>
      </c>
      <c r="V23" s="1080" t="s">
        <v>311</v>
      </c>
      <c r="W23" s="1080" t="s">
        <v>311</v>
      </c>
      <c r="X23" s="1080" t="s">
        <v>311</v>
      </c>
      <c r="Y23" s="1080" t="s">
        <v>311</v>
      </c>
      <c r="Z23" s="1080" t="s">
        <v>311</v>
      </c>
      <c r="AA23" s="1080" t="s">
        <v>311</v>
      </c>
      <c r="AB23" s="1080" t="s">
        <v>311</v>
      </c>
      <c r="AC23" s="1080" t="s">
        <v>311</v>
      </c>
      <c r="AD23" s="1080" t="s">
        <v>311</v>
      </c>
      <c r="AE23" s="1080" t="s">
        <v>311</v>
      </c>
      <c r="AF23" s="1080" t="s">
        <v>311</v>
      </c>
      <c r="AG23" s="1080" t="s">
        <v>268</v>
      </c>
      <c r="AH23" s="1080" t="s">
        <v>268</v>
      </c>
      <c r="AI23" s="1080" t="s">
        <v>311</v>
      </c>
      <c r="AJ23" s="1080" t="s">
        <v>311</v>
      </c>
      <c r="AK23" s="1080" t="s">
        <v>311</v>
      </c>
      <c r="AL23" s="1080" t="s">
        <v>311</v>
      </c>
      <c r="AM23" s="1080" t="s">
        <v>311</v>
      </c>
      <c r="AN23" s="1080" t="s">
        <v>311</v>
      </c>
      <c r="AO23" s="1081" t="s">
        <v>311</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36">
        <v>33931</v>
      </c>
      <c r="D24" s="1036" t="s">
        <v>269</v>
      </c>
      <c r="E24" s="1036" t="s">
        <v>262</v>
      </c>
      <c r="F24" s="1036" t="s">
        <v>270</v>
      </c>
      <c r="G24" s="1036" t="s">
        <v>271</v>
      </c>
      <c r="H24" s="1037" t="s">
        <v>272</v>
      </c>
      <c r="I24" s="1037"/>
      <c r="J24" s="1037"/>
      <c r="K24" s="1037"/>
      <c r="L24" s="1037" t="s">
        <v>273</v>
      </c>
      <c r="M24" s="1037"/>
      <c r="N24" s="1037"/>
      <c r="O24" s="1037"/>
      <c r="P24" s="80"/>
      <c r="Q24" s="4"/>
      <c r="R24" s="1082" t="s">
        <v>312</v>
      </c>
      <c r="S24" s="1083" t="s">
        <v>312</v>
      </c>
      <c r="T24" s="1083" t="s">
        <v>312</v>
      </c>
      <c r="U24" s="1083" t="s">
        <v>312</v>
      </c>
      <c r="V24" s="1083" t="s">
        <v>312</v>
      </c>
      <c r="W24" s="1083" t="s">
        <v>312</v>
      </c>
      <c r="X24" s="1083" t="s">
        <v>312</v>
      </c>
      <c r="Y24" s="1083" t="s">
        <v>312</v>
      </c>
      <c r="Z24" s="1083" t="s">
        <v>312</v>
      </c>
      <c r="AA24" s="1083" t="s">
        <v>312</v>
      </c>
      <c r="AB24" s="1083" t="s">
        <v>312</v>
      </c>
      <c r="AC24" s="1083" t="s">
        <v>312</v>
      </c>
      <c r="AD24" s="1083" t="s">
        <v>312</v>
      </c>
      <c r="AE24" s="1083" t="s">
        <v>312</v>
      </c>
      <c r="AF24" s="1083" t="s">
        <v>312</v>
      </c>
      <c r="AG24" s="1083" t="s">
        <v>268</v>
      </c>
      <c r="AH24" s="1083" t="s">
        <v>268</v>
      </c>
      <c r="AI24" s="1083" t="s">
        <v>312</v>
      </c>
      <c r="AJ24" s="1083" t="s">
        <v>312</v>
      </c>
      <c r="AK24" s="1083" t="s">
        <v>312</v>
      </c>
      <c r="AL24" s="1083" t="s">
        <v>312</v>
      </c>
      <c r="AM24" s="1083" t="s">
        <v>312</v>
      </c>
      <c r="AN24" s="1083" t="s">
        <v>312</v>
      </c>
      <c r="AO24" s="1084" t="s">
        <v>312</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31">
        <v>34401</v>
      </c>
      <c r="D25" s="1031" t="s">
        <v>275</v>
      </c>
      <c r="E25" s="1031" t="s">
        <v>262</v>
      </c>
      <c r="F25" s="1031" t="s">
        <v>276</v>
      </c>
      <c r="G25" s="1031" t="s">
        <v>277</v>
      </c>
      <c r="H25" s="1032" t="s">
        <v>278</v>
      </c>
      <c r="I25" s="1032"/>
      <c r="J25" s="1032"/>
      <c r="K25" s="1032"/>
      <c r="L25" s="1032" t="s">
        <v>279</v>
      </c>
      <c r="M25" s="1032"/>
      <c r="N25" s="1032"/>
      <c r="O25" s="1032"/>
      <c r="P25" s="80"/>
      <c r="Q25" s="4"/>
      <c r="R25" s="1079" t="s">
        <v>311</v>
      </c>
      <c r="S25" s="1080" t="s">
        <v>311</v>
      </c>
      <c r="T25" s="1080" t="s">
        <v>311</v>
      </c>
      <c r="U25" s="1080" t="s">
        <v>311</v>
      </c>
      <c r="V25" s="1080" t="s">
        <v>311</v>
      </c>
      <c r="W25" s="1080" t="s">
        <v>311</v>
      </c>
      <c r="X25" s="1080" t="s">
        <v>311</v>
      </c>
      <c r="Y25" s="1080" t="s">
        <v>311</v>
      </c>
      <c r="Z25" s="1080" t="s">
        <v>311</v>
      </c>
      <c r="AA25" s="1080" t="s">
        <v>311</v>
      </c>
      <c r="AB25" s="1080" t="s">
        <v>311</v>
      </c>
      <c r="AC25" s="1080" t="s">
        <v>311</v>
      </c>
      <c r="AD25" s="1080" t="s">
        <v>311</v>
      </c>
      <c r="AE25" s="1080" t="s">
        <v>311</v>
      </c>
      <c r="AF25" s="1080" t="s">
        <v>311</v>
      </c>
      <c r="AG25" s="1080" t="s">
        <v>268</v>
      </c>
      <c r="AH25" s="1080" t="s">
        <v>268</v>
      </c>
      <c r="AI25" s="1080" t="s">
        <v>268</v>
      </c>
      <c r="AJ25" s="1080" t="s">
        <v>268</v>
      </c>
      <c r="AK25" s="1080" t="s">
        <v>268</v>
      </c>
      <c r="AL25" s="1080" t="s">
        <v>268</v>
      </c>
      <c r="AM25" s="1080" t="s">
        <v>268</v>
      </c>
      <c r="AN25" s="1080" t="s">
        <v>268</v>
      </c>
      <c r="AO25" s="1081" t="s">
        <v>268</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36">
        <v>39070</v>
      </c>
      <c r="D26" s="1036" t="s">
        <v>280</v>
      </c>
      <c r="E26" s="1036" t="s">
        <v>262</v>
      </c>
      <c r="F26" s="1036" t="s">
        <v>281</v>
      </c>
      <c r="G26" s="1036" t="s">
        <v>282</v>
      </c>
      <c r="H26" s="1037" t="s">
        <v>283</v>
      </c>
      <c r="I26" s="1037"/>
      <c r="J26" s="1037"/>
      <c r="K26" s="1037"/>
      <c r="L26" s="1037" t="s">
        <v>284</v>
      </c>
      <c r="M26" s="1037"/>
      <c r="N26" s="1037"/>
      <c r="O26" s="1037"/>
      <c r="P26" s="80"/>
      <c r="Q26" s="4"/>
      <c r="R26" s="1082" t="s">
        <v>311</v>
      </c>
      <c r="S26" s="1083" t="s">
        <v>311</v>
      </c>
      <c r="T26" s="1083" t="s">
        <v>311</v>
      </c>
      <c r="U26" s="1083" t="s">
        <v>311</v>
      </c>
      <c r="V26" s="1083" t="s">
        <v>311</v>
      </c>
      <c r="W26" s="1083" t="s">
        <v>311</v>
      </c>
      <c r="X26" s="1083" t="s">
        <v>311</v>
      </c>
      <c r="Y26" s="1083" t="s">
        <v>311</v>
      </c>
      <c r="Z26" s="1083" t="s">
        <v>311</v>
      </c>
      <c r="AA26" s="1083" t="s">
        <v>311</v>
      </c>
      <c r="AB26" s="1083" t="s">
        <v>311</v>
      </c>
      <c r="AC26" s="1083" t="s">
        <v>311</v>
      </c>
      <c r="AD26" s="1083" t="s">
        <v>311</v>
      </c>
      <c r="AE26" s="1083" t="s">
        <v>311</v>
      </c>
      <c r="AF26" s="1083" t="s">
        <v>311</v>
      </c>
      <c r="AG26" s="1083" t="s">
        <v>268</v>
      </c>
      <c r="AH26" s="1083" t="s">
        <v>268</v>
      </c>
      <c r="AI26" s="1083" t="s">
        <v>268</v>
      </c>
      <c r="AJ26" s="1083" t="s">
        <v>268</v>
      </c>
      <c r="AK26" s="1083" t="s">
        <v>268</v>
      </c>
      <c r="AL26" s="1083" t="s">
        <v>268</v>
      </c>
      <c r="AM26" s="1083" t="s">
        <v>268</v>
      </c>
      <c r="AN26" s="1083" t="s">
        <v>268</v>
      </c>
      <c r="AO26" s="1084" t="s">
        <v>268</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31">
        <v>44117</v>
      </c>
      <c r="D27" s="1031" t="s">
        <v>285</v>
      </c>
      <c r="E27" s="1031" t="s">
        <v>262</v>
      </c>
      <c r="F27" s="1031" t="s">
        <v>286</v>
      </c>
      <c r="G27" s="1031" t="s">
        <v>287</v>
      </c>
      <c r="H27" s="1032" t="s">
        <v>288</v>
      </c>
      <c r="I27" s="1032"/>
      <c r="J27" s="1032"/>
      <c r="K27" s="1032"/>
      <c r="L27" s="1032" t="s">
        <v>289</v>
      </c>
      <c r="M27" s="1032"/>
      <c r="N27" s="1032"/>
      <c r="O27" s="1032"/>
      <c r="P27" s="80"/>
      <c r="Q27" s="4"/>
      <c r="R27" s="1079" t="s">
        <v>312</v>
      </c>
      <c r="S27" s="1080" t="s">
        <v>312</v>
      </c>
      <c r="T27" s="1080" t="s">
        <v>312</v>
      </c>
      <c r="U27" s="1080" t="s">
        <v>312</v>
      </c>
      <c r="V27" s="1080" t="s">
        <v>312</v>
      </c>
      <c r="W27" s="1080" t="s">
        <v>312</v>
      </c>
      <c r="X27" s="1080" t="s">
        <v>312</v>
      </c>
      <c r="Y27" s="1080" t="s">
        <v>312</v>
      </c>
      <c r="Z27" s="1080" t="s">
        <v>311</v>
      </c>
      <c r="AA27" s="1080" t="s">
        <v>311</v>
      </c>
      <c r="AB27" s="1080" t="s">
        <v>311</v>
      </c>
      <c r="AC27" s="1080" t="s">
        <v>311</v>
      </c>
      <c r="AD27" s="1080" t="s">
        <v>311</v>
      </c>
      <c r="AE27" s="1080" t="s">
        <v>311</v>
      </c>
      <c r="AF27" s="1080" t="s">
        <v>311</v>
      </c>
      <c r="AG27" s="1080" t="s">
        <v>268</v>
      </c>
      <c r="AH27" s="1080" t="s">
        <v>268</v>
      </c>
      <c r="AI27" s="1080" t="s">
        <v>268</v>
      </c>
      <c r="AJ27" s="1080" t="s">
        <v>268</v>
      </c>
      <c r="AK27" s="1080" t="s">
        <v>268</v>
      </c>
      <c r="AL27" s="1080" t="s">
        <v>268</v>
      </c>
      <c r="AM27" s="1080" t="s">
        <v>268</v>
      </c>
      <c r="AN27" s="1080" t="s">
        <v>268</v>
      </c>
      <c r="AO27" s="1081" t="s">
        <v>311</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36">
        <v>53909</v>
      </c>
      <c r="D28" s="1036" t="s">
        <v>290</v>
      </c>
      <c r="E28" s="1036" t="s">
        <v>262</v>
      </c>
      <c r="F28" s="1036" t="s">
        <v>291</v>
      </c>
      <c r="G28" s="1036" t="s">
        <v>292</v>
      </c>
      <c r="H28" s="1037" t="s">
        <v>293</v>
      </c>
      <c r="I28" s="1037"/>
      <c r="J28" s="1037"/>
      <c r="K28" s="1037"/>
      <c r="L28" s="1037" t="s">
        <v>294</v>
      </c>
      <c r="M28" s="1037"/>
      <c r="N28" s="1037"/>
      <c r="O28" s="1037"/>
      <c r="P28" s="80"/>
      <c r="Q28" s="4"/>
      <c r="R28" s="1082" t="s">
        <v>312</v>
      </c>
      <c r="S28" s="1083" t="s">
        <v>312</v>
      </c>
      <c r="T28" s="1083" t="s">
        <v>312</v>
      </c>
      <c r="U28" s="1083" t="s">
        <v>312</v>
      </c>
      <c r="V28" s="1083" t="s">
        <v>312</v>
      </c>
      <c r="W28" s="1083" t="s">
        <v>312</v>
      </c>
      <c r="X28" s="1083" t="s">
        <v>311</v>
      </c>
      <c r="Y28" s="1083" t="s">
        <v>312</v>
      </c>
      <c r="Z28" s="1083" t="s">
        <v>311</v>
      </c>
      <c r="AA28" s="1083" t="s">
        <v>312</v>
      </c>
      <c r="AB28" s="1083" t="s">
        <v>311</v>
      </c>
      <c r="AC28" s="1083" t="s">
        <v>312</v>
      </c>
      <c r="AD28" s="1083" t="s">
        <v>311</v>
      </c>
      <c r="AE28" s="1083" t="s">
        <v>311</v>
      </c>
      <c r="AF28" s="1083" t="s">
        <v>311</v>
      </c>
      <c r="AG28" s="1083" t="s">
        <v>268</v>
      </c>
      <c r="AH28" s="1083" t="s">
        <v>268</v>
      </c>
      <c r="AI28" s="1083" t="s">
        <v>312</v>
      </c>
      <c r="AJ28" s="1083" t="s">
        <v>312</v>
      </c>
      <c r="AK28" s="1083" t="s">
        <v>312</v>
      </c>
      <c r="AL28" s="1083" t="s">
        <v>312</v>
      </c>
      <c r="AM28" s="1083" t="s">
        <v>312</v>
      </c>
      <c r="AN28" s="1083" t="s">
        <v>312</v>
      </c>
      <c r="AO28" s="1084" t="s">
        <v>312</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81"/>
      <c r="D29" s="181"/>
      <c r="E29" s="181"/>
      <c r="F29" s="201"/>
      <c r="G29" s="181"/>
      <c r="H29" s="1012">
        <v>488</v>
      </c>
      <c r="I29" s="1012"/>
      <c r="J29" s="1012"/>
      <c r="K29" s="1012"/>
      <c r="L29" s="1085"/>
      <c r="M29" s="1085"/>
      <c r="N29" s="1085"/>
      <c r="O29" s="1085"/>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1011"/>
      <c r="I30" s="1011"/>
      <c r="J30" s="1011"/>
      <c r="K30" s="1011"/>
      <c r="L30" s="1085"/>
      <c r="M30" s="1085"/>
      <c r="N30" s="1085"/>
      <c r="O30" s="1085"/>
      <c r="P30" s="80"/>
      <c r="Q30" s="4"/>
      <c r="R30" s="182"/>
      <c r="S30" s="182"/>
      <c r="T30" s="182"/>
      <c r="U30" s="182"/>
      <c r="V30" s="182"/>
      <c r="W30" s="182"/>
      <c r="X30" s="1041" t="s">
        <v>295</v>
      </c>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1011"/>
      <c r="I31" s="1011"/>
      <c r="J31" s="1011"/>
      <c r="K31" s="1011"/>
      <c r="L31" s="1085"/>
      <c r="M31" s="1085"/>
      <c r="N31" s="1085"/>
      <c r="O31" s="1085"/>
      <c r="P31" s="80"/>
      <c r="Q31" s="4"/>
      <c r="R31" s="182"/>
      <c r="S31" s="182"/>
      <c r="T31" s="182"/>
      <c r="U31" s="182"/>
      <c r="V31" s="182"/>
      <c r="W31" s="182"/>
      <c r="X31" s="182"/>
      <c r="Y31" s="182"/>
      <c r="Z31" s="182"/>
      <c r="AA31" s="1086" t="s">
        <v>312</v>
      </c>
      <c r="AB31" s="1041" t="s">
        <v>313</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1011"/>
      <c r="I32" s="1011"/>
      <c r="J32" s="1011"/>
      <c r="K32" s="1011"/>
      <c r="L32" s="1085"/>
      <c r="M32" s="1085"/>
      <c r="N32" s="1085"/>
      <c r="O32" s="1085"/>
      <c r="P32" s="80"/>
      <c r="Q32" s="4"/>
      <c r="R32" s="182"/>
      <c r="S32" s="182"/>
      <c r="T32" s="182"/>
      <c r="U32" s="182"/>
      <c r="V32" s="182"/>
      <c r="W32" s="182"/>
      <c r="X32" s="182"/>
      <c r="Y32" s="182"/>
      <c r="Z32" s="182"/>
      <c r="AA32" s="1086" t="s">
        <v>314</v>
      </c>
      <c r="AB32" s="1041" t="s">
        <v>315</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1011"/>
      <c r="I33" s="1011"/>
      <c r="J33" s="1011"/>
      <c r="K33" s="1011"/>
      <c r="L33" s="1085"/>
      <c r="M33" s="1085"/>
      <c r="N33" s="1085"/>
      <c r="O33" s="1085"/>
      <c r="P33" s="80"/>
      <c r="Q33" s="4"/>
      <c r="R33" s="182"/>
      <c r="S33" s="182"/>
      <c r="T33" s="182"/>
      <c r="U33" s="182"/>
      <c r="V33" s="182"/>
      <c r="W33" s="182"/>
      <c r="X33" s="182"/>
      <c r="Y33" s="182"/>
      <c r="Z33" s="182"/>
      <c r="AA33" s="1087" t="s">
        <v>311</v>
      </c>
      <c r="AB33" s="1041" t="s">
        <v>316</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1011"/>
      <c r="I34" s="1011"/>
      <c r="J34" s="1011"/>
      <c r="K34" s="1011"/>
      <c r="L34" s="1085"/>
      <c r="M34" s="1085"/>
      <c r="N34" s="1085"/>
      <c r="O34" s="1085"/>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1011"/>
      <c r="I35" s="1011"/>
      <c r="J35" s="1011"/>
      <c r="K35" s="1011"/>
      <c r="L35" s="1085"/>
      <c r="M35" s="1085"/>
      <c r="N35" s="1085"/>
      <c r="O35" s="1085"/>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1011"/>
      <c r="I36" s="1011"/>
      <c r="J36" s="1011"/>
      <c r="K36" s="1011"/>
      <c r="L36" s="1085"/>
      <c r="M36" s="1085"/>
      <c r="N36" s="1085"/>
      <c r="O36" s="1085"/>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1011"/>
      <c r="I37" s="1011"/>
      <c r="J37" s="1011"/>
      <c r="K37" s="1011"/>
      <c r="L37" s="1085"/>
      <c r="M37" s="1085"/>
      <c r="N37" s="1085"/>
      <c r="O37" s="1085"/>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1011"/>
      <c r="I38" s="1011"/>
      <c r="J38" s="1011"/>
      <c r="K38" s="1011"/>
      <c r="L38" s="1085"/>
      <c r="M38" s="1085"/>
      <c r="N38" s="1085"/>
      <c r="O38" s="1085"/>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1011"/>
      <c r="I39" s="1011"/>
      <c r="J39" s="1011"/>
      <c r="K39" s="1011"/>
      <c r="L39" s="1085"/>
      <c r="M39" s="1085"/>
      <c r="N39" s="1085"/>
      <c r="O39" s="1085"/>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011"/>
      <c r="I40" s="1011"/>
      <c r="J40" s="1011"/>
      <c r="K40" s="1011"/>
      <c r="L40" s="1085"/>
      <c r="M40" s="1085"/>
      <c r="N40" s="1085"/>
      <c r="O40" s="1085"/>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011"/>
      <c r="I41" s="1011"/>
      <c r="J41" s="1011"/>
      <c r="K41" s="1011"/>
      <c r="L41" s="1085"/>
      <c r="M41" s="1085"/>
      <c r="N41" s="1085"/>
      <c r="O41" s="1085"/>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011"/>
      <c r="I42" s="1011"/>
      <c r="J42" s="1011"/>
      <c r="K42" s="1011"/>
      <c r="L42" s="1085"/>
      <c r="M42" s="1085"/>
      <c r="N42" s="1085"/>
      <c r="O42" s="1085"/>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011"/>
      <c r="I43" s="1011"/>
      <c r="J43" s="1011"/>
      <c r="K43" s="1011"/>
      <c r="L43" s="1085"/>
      <c r="M43" s="1085"/>
      <c r="N43" s="1085"/>
      <c r="O43" s="1085"/>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011"/>
      <c r="I44" s="1011"/>
      <c r="J44" s="1011"/>
      <c r="K44" s="1011"/>
      <c r="L44" s="1085"/>
      <c r="M44" s="1085"/>
      <c r="N44" s="1085"/>
      <c r="O44" s="1085"/>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011"/>
      <c r="I45" s="1011"/>
      <c r="J45" s="1011"/>
      <c r="K45" s="1011"/>
      <c r="L45" s="1085"/>
      <c r="M45" s="1085"/>
      <c r="N45" s="1085"/>
      <c r="O45" s="1085"/>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011"/>
      <c r="I46" s="1011"/>
      <c r="J46" s="1011"/>
      <c r="K46" s="1011"/>
      <c r="L46" s="1085"/>
      <c r="M46" s="1085"/>
      <c r="N46" s="1085"/>
      <c r="O46" s="1085"/>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011"/>
      <c r="I47" s="1011"/>
      <c r="J47" s="1011"/>
      <c r="K47" s="1011"/>
      <c r="L47" s="1085"/>
      <c r="M47" s="1085"/>
      <c r="N47" s="1085"/>
      <c r="O47" s="1085"/>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011"/>
      <c r="I48" s="1011"/>
      <c r="J48" s="1011"/>
      <c r="K48" s="1011"/>
      <c r="L48" s="1085"/>
      <c r="M48" s="1085"/>
      <c r="N48" s="1085"/>
      <c r="O48" s="1085"/>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011"/>
      <c r="I49" s="1011"/>
      <c r="J49" s="1011"/>
      <c r="K49" s="1011"/>
      <c r="L49" s="1085"/>
      <c r="M49" s="1085"/>
      <c r="N49" s="1085"/>
      <c r="O49" s="1085"/>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011"/>
      <c r="I50" s="1011"/>
      <c r="J50" s="1011"/>
      <c r="K50" s="1011"/>
      <c r="L50" s="1085"/>
      <c r="M50" s="1085"/>
      <c r="N50" s="1085"/>
      <c r="O50" s="1085"/>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011"/>
      <c r="I51" s="1011"/>
      <c r="J51" s="1011"/>
      <c r="K51" s="1011"/>
      <c r="L51" s="1085"/>
      <c r="M51" s="1085"/>
      <c r="N51" s="1085"/>
      <c r="O51" s="1085"/>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011"/>
      <c r="I52" s="1011"/>
      <c r="J52" s="1011"/>
      <c r="K52" s="1011"/>
      <c r="L52" s="1085"/>
      <c r="M52" s="1085"/>
      <c r="N52" s="1085"/>
      <c r="O52" s="1085"/>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1011"/>
      <c r="I53" s="1011"/>
      <c r="J53" s="1011"/>
      <c r="K53" s="1011"/>
      <c r="L53" s="1085"/>
      <c r="M53" s="1085"/>
      <c r="N53" s="1085"/>
      <c r="O53" s="1085"/>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1011"/>
      <c r="I54" s="1011"/>
      <c r="J54" s="1011"/>
      <c r="K54" s="1011"/>
      <c r="L54" s="1085"/>
      <c r="M54" s="1085"/>
      <c r="N54" s="1085"/>
      <c r="O54" s="1085"/>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1011"/>
      <c r="I55" s="1011"/>
      <c r="J55" s="1011"/>
      <c r="K55" s="1011"/>
      <c r="L55" s="1085"/>
      <c r="M55" s="1085"/>
      <c r="N55" s="1085"/>
      <c r="O55" s="1085"/>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1011"/>
      <c r="I56" s="1011"/>
      <c r="J56" s="1011"/>
      <c r="K56" s="1011"/>
      <c r="L56" s="1085"/>
      <c r="M56" s="1085"/>
      <c r="N56" s="1085"/>
      <c r="O56" s="1085"/>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1011"/>
      <c r="I57" s="1011"/>
      <c r="J57" s="1011"/>
      <c r="K57" s="1011"/>
      <c r="L57" s="1085"/>
      <c r="M57" s="1085"/>
      <c r="N57" s="1085"/>
      <c r="O57" s="1085"/>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1011"/>
      <c r="I58" s="1011"/>
      <c r="J58" s="1011"/>
      <c r="K58" s="1011"/>
      <c r="L58" s="1085"/>
      <c r="M58" s="1085"/>
      <c r="N58" s="1085"/>
      <c r="O58" s="1085"/>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1011"/>
      <c r="I59" s="1011"/>
      <c r="J59" s="1011"/>
      <c r="K59" s="1011"/>
      <c r="L59" s="1085"/>
      <c r="M59" s="1085"/>
      <c r="N59" s="1085"/>
      <c r="O59" s="1085"/>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011"/>
      <c r="I60" s="1011"/>
      <c r="J60" s="1011"/>
      <c r="K60" s="1011"/>
      <c r="L60" s="1085"/>
      <c r="M60" s="1085"/>
      <c r="N60" s="1085"/>
      <c r="O60" s="1085"/>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011"/>
      <c r="I61" s="1011"/>
      <c r="J61" s="1011"/>
      <c r="K61" s="1011"/>
      <c r="L61" s="1085"/>
      <c r="M61" s="1085"/>
      <c r="N61" s="1085"/>
      <c r="O61" s="1085"/>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011"/>
      <c r="I62" s="1011"/>
      <c r="J62" s="1011"/>
      <c r="K62" s="1011"/>
      <c r="L62" s="1085"/>
      <c r="M62" s="1085"/>
      <c r="N62" s="1085"/>
      <c r="O62" s="1085"/>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011"/>
      <c r="I63" s="1011"/>
      <c r="J63" s="1011"/>
      <c r="K63" s="1011"/>
      <c r="L63" s="1085"/>
      <c r="M63" s="1085"/>
      <c r="N63" s="1085"/>
      <c r="O63" s="1085"/>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011"/>
      <c r="I64" s="1011"/>
      <c r="J64" s="1011"/>
      <c r="K64" s="1011"/>
      <c r="L64" s="1085"/>
      <c r="M64" s="1085"/>
      <c r="N64" s="1085"/>
      <c r="O64" s="1085"/>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011"/>
      <c r="I65" s="1011"/>
      <c r="J65" s="1011"/>
      <c r="K65" s="1011"/>
      <c r="L65" s="1085"/>
      <c r="M65" s="1085"/>
      <c r="N65" s="1085"/>
      <c r="O65" s="1085"/>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011"/>
      <c r="I66" s="1011"/>
      <c r="J66" s="1011"/>
      <c r="K66" s="1011"/>
      <c r="L66" s="1085"/>
      <c r="M66" s="1085"/>
      <c r="N66" s="1085"/>
      <c r="O66" s="1085"/>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011"/>
      <c r="I67" s="1011"/>
      <c r="J67" s="1011"/>
      <c r="K67" s="1011"/>
      <c r="L67" s="1085"/>
      <c r="M67" s="1085"/>
      <c r="N67" s="1085"/>
      <c r="O67" s="1085"/>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011"/>
      <c r="I68" s="1011"/>
      <c r="J68" s="1011"/>
      <c r="K68" s="1011"/>
      <c r="L68" s="1085"/>
      <c r="M68" s="1085"/>
      <c r="N68" s="1085"/>
      <c r="O68" s="1085"/>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011"/>
      <c r="I69" s="1011"/>
      <c r="J69" s="1011"/>
      <c r="K69" s="1011"/>
      <c r="L69" s="1085"/>
      <c r="M69" s="1085"/>
      <c r="N69" s="1085"/>
      <c r="O69" s="1085"/>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011"/>
      <c r="I70" s="1011"/>
      <c r="J70" s="1011"/>
      <c r="K70" s="1011"/>
      <c r="L70" s="1085"/>
      <c r="M70" s="1085"/>
      <c r="N70" s="1085"/>
      <c r="O70" s="1085"/>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011"/>
      <c r="I71" s="1011"/>
      <c r="J71" s="1011"/>
      <c r="K71" s="1011"/>
      <c r="L71" s="1085"/>
      <c r="M71" s="1085"/>
      <c r="N71" s="1085"/>
      <c r="O71" s="1085"/>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011"/>
      <c r="I72" s="1011"/>
      <c r="J72" s="1011"/>
      <c r="K72" s="1011"/>
      <c r="L72" s="1085"/>
      <c r="M72" s="1085"/>
      <c r="N72" s="1085"/>
      <c r="O72" s="1085"/>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011"/>
      <c r="I73" s="1011"/>
      <c r="J73" s="1011"/>
      <c r="K73" s="1011"/>
      <c r="L73" s="1085"/>
      <c r="M73" s="1085"/>
      <c r="N73" s="1085"/>
      <c r="O73" s="1085"/>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011"/>
      <c r="I74" s="1011"/>
      <c r="J74" s="1011"/>
      <c r="K74" s="1011"/>
      <c r="L74" s="1085"/>
      <c r="M74" s="1085"/>
      <c r="N74" s="1085"/>
      <c r="O74" s="1085"/>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011"/>
      <c r="I75" s="1011"/>
      <c r="J75" s="1011"/>
      <c r="K75" s="1011"/>
      <c r="L75" s="1085"/>
      <c r="M75" s="1085"/>
      <c r="N75" s="1085"/>
      <c r="O75" s="1085"/>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011"/>
      <c r="I76" s="1011"/>
      <c r="J76" s="1011"/>
      <c r="K76" s="1011"/>
      <c r="L76" s="1085"/>
      <c r="M76" s="1085"/>
      <c r="N76" s="1085"/>
      <c r="O76" s="1085"/>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011"/>
      <c r="I77" s="1011"/>
      <c r="J77" s="1011"/>
      <c r="K77" s="1011"/>
      <c r="L77" s="1085"/>
      <c r="M77" s="1085"/>
      <c r="N77" s="1085"/>
      <c r="O77" s="1085"/>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011"/>
      <c r="I78" s="1011"/>
      <c r="J78" s="1011"/>
      <c r="K78" s="1011"/>
      <c r="L78" s="1085"/>
      <c r="M78" s="1085"/>
      <c r="N78" s="1085"/>
      <c r="O78" s="1085"/>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011"/>
      <c r="I79" s="1011"/>
      <c r="J79" s="1011"/>
      <c r="K79" s="1011"/>
      <c r="L79" s="1085"/>
      <c r="M79" s="1085"/>
      <c r="N79" s="1085"/>
      <c r="O79" s="1085"/>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011"/>
      <c r="I80" s="1011"/>
      <c r="J80" s="1011"/>
      <c r="K80" s="1011"/>
      <c r="L80" s="1085"/>
      <c r="M80" s="1085"/>
      <c r="N80" s="1085"/>
      <c r="O80" s="1085"/>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011"/>
      <c r="I81" s="1011"/>
      <c r="J81" s="1011"/>
      <c r="K81" s="1011"/>
      <c r="L81" s="1085"/>
      <c r="M81" s="1085"/>
      <c r="N81" s="1085"/>
      <c r="O81" s="1085"/>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011"/>
      <c r="I82" s="1011"/>
      <c r="J82" s="1011"/>
      <c r="K82" s="1011"/>
      <c r="L82" s="1085"/>
      <c r="M82" s="1085"/>
      <c r="N82" s="1085"/>
      <c r="O82" s="1085"/>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011"/>
      <c r="I83" s="1011"/>
      <c r="J83" s="1011"/>
      <c r="K83" s="1011"/>
      <c r="L83" s="1085"/>
      <c r="M83" s="1085"/>
      <c r="N83" s="1085"/>
      <c r="O83" s="1085"/>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011"/>
      <c r="I84" s="1011"/>
      <c r="J84" s="1011"/>
      <c r="K84" s="1011"/>
      <c r="L84" s="1085"/>
      <c r="M84" s="1085"/>
      <c r="N84" s="1085"/>
      <c r="O84" s="1085"/>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011"/>
      <c r="I85" s="1011"/>
      <c r="J85" s="1011"/>
      <c r="K85" s="1011"/>
      <c r="L85" s="1085"/>
      <c r="M85" s="1085"/>
      <c r="N85" s="1085"/>
      <c r="O85" s="1085"/>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011"/>
      <c r="I86" s="1011"/>
      <c r="J86" s="1011"/>
      <c r="K86" s="1011"/>
      <c r="L86" s="1085"/>
      <c r="M86" s="1085"/>
      <c r="N86" s="1085"/>
      <c r="O86" s="1085"/>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011"/>
      <c r="I87" s="1011"/>
      <c r="J87" s="1011"/>
      <c r="K87" s="1011"/>
      <c r="L87" s="1085"/>
      <c r="M87" s="1085"/>
      <c r="N87" s="1085"/>
      <c r="O87" s="1085"/>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011"/>
      <c r="I88" s="1011"/>
      <c r="J88" s="1011"/>
      <c r="K88" s="1011"/>
      <c r="L88" s="1085"/>
      <c r="M88" s="1085"/>
      <c r="N88" s="1085"/>
      <c r="O88" s="1085"/>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011"/>
      <c r="I89" s="1011"/>
      <c r="J89" s="1011"/>
      <c r="K89" s="1011"/>
      <c r="L89" s="1085"/>
      <c r="M89" s="1085"/>
      <c r="N89" s="1085"/>
      <c r="O89" s="1085"/>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011"/>
      <c r="I90" s="1011"/>
      <c r="J90" s="1011"/>
      <c r="K90" s="1011"/>
      <c r="L90" s="1085"/>
      <c r="M90" s="1085"/>
      <c r="N90" s="1085"/>
      <c r="O90" s="1085"/>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011"/>
      <c r="I91" s="1011"/>
      <c r="J91" s="1011"/>
      <c r="K91" s="1011"/>
      <c r="L91" s="1085"/>
      <c r="M91" s="1085"/>
      <c r="N91" s="1085"/>
      <c r="O91" s="1085"/>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011"/>
      <c r="I92" s="1011"/>
      <c r="J92" s="1011"/>
      <c r="K92" s="1011"/>
      <c r="L92" s="1085"/>
      <c r="M92" s="1085"/>
      <c r="N92" s="1085"/>
      <c r="O92" s="1085"/>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011"/>
      <c r="I93" s="1011"/>
      <c r="J93" s="1011"/>
      <c r="K93" s="1011"/>
      <c r="L93" s="1085"/>
      <c r="M93" s="1085"/>
      <c r="N93" s="1085"/>
      <c r="O93" s="1085"/>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011"/>
      <c r="I94" s="1011"/>
      <c r="J94" s="1011"/>
      <c r="K94" s="1011"/>
      <c r="L94" s="1085"/>
      <c r="M94" s="1085"/>
      <c r="N94" s="1085"/>
      <c r="O94" s="1085"/>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011"/>
      <c r="I95" s="1011"/>
      <c r="J95" s="1011"/>
      <c r="K95" s="1011"/>
      <c r="L95" s="1085"/>
      <c r="M95" s="1085"/>
      <c r="N95" s="1085"/>
      <c r="O95" s="1085"/>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011"/>
      <c r="I96" s="1011"/>
      <c r="J96" s="1011"/>
      <c r="K96" s="1011"/>
      <c r="L96" s="1085"/>
      <c r="M96" s="1085"/>
      <c r="N96" s="1085"/>
      <c r="O96" s="1085"/>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011"/>
      <c r="I97" s="1011"/>
      <c r="J97" s="1011"/>
      <c r="K97" s="1011"/>
      <c r="L97" s="1085"/>
      <c r="M97" s="1085"/>
      <c r="N97" s="1085"/>
      <c r="O97" s="1085"/>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011"/>
      <c r="I98" s="1011"/>
      <c r="J98" s="1011"/>
      <c r="K98" s="1011"/>
      <c r="L98" s="1085"/>
      <c r="M98" s="1085"/>
      <c r="N98" s="1085"/>
      <c r="O98" s="1085"/>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011"/>
      <c r="I99" s="1011"/>
      <c r="J99" s="1011"/>
      <c r="K99" s="1011"/>
      <c r="L99" s="1085"/>
      <c r="M99" s="1085"/>
      <c r="N99" s="1085"/>
      <c r="O99" s="1085"/>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011"/>
      <c r="I100" s="1011"/>
      <c r="J100" s="1011"/>
      <c r="K100" s="1011"/>
      <c r="L100" s="1085"/>
      <c r="M100" s="1085"/>
      <c r="N100" s="1085"/>
      <c r="O100" s="1085"/>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011"/>
      <c r="I101" s="1011"/>
      <c r="J101" s="1011"/>
      <c r="K101" s="1011"/>
      <c r="L101" s="1085"/>
      <c r="M101" s="1085"/>
      <c r="N101" s="1085"/>
      <c r="O101" s="1085"/>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011"/>
      <c r="I102" s="1011"/>
      <c r="J102" s="1011"/>
      <c r="K102" s="1011"/>
      <c r="L102" s="1085"/>
      <c r="M102" s="1085"/>
      <c r="N102" s="1085"/>
      <c r="O102" s="1085"/>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011"/>
      <c r="I103" s="1011"/>
      <c r="J103" s="1011"/>
      <c r="K103" s="1011"/>
      <c r="L103" s="1085"/>
      <c r="M103" s="1085"/>
      <c r="N103" s="1085"/>
      <c r="O103" s="1085"/>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88" t="s">
        <v>129</v>
      </c>
      <c r="D105" s="1088"/>
      <c r="E105" s="1088"/>
      <c r="F105" s="1088"/>
      <c r="G105" s="1088"/>
      <c r="H105" s="1088"/>
      <c r="I105" s="1088"/>
      <c r="J105" s="1088"/>
      <c r="K105" s="1088"/>
      <c r="L105" s="1088"/>
      <c r="M105" s="1088"/>
      <c r="N105" s="1088"/>
      <c r="O105" s="1088"/>
      <c r="P105" s="1088"/>
      <c r="Q105" s="1088"/>
      <c r="R105" s="1088"/>
      <c r="S105" s="1088"/>
      <c r="T105" s="1088"/>
      <c r="U105" s="1088"/>
      <c r="V105" s="1088"/>
      <c r="W105" s="1088"/>
      <c r="X105" s="1088"/>
      <c r="Y105" s="1088"/>
      <c r="Z105" s="1088"/>
      <c r="AA105" s="1088"/>
      <c r="AB105" s="1088"/>
      <c r="AC105" s="1088"/>
      <c r="AD105" s="1088"/>
      <c r="AE105" s="1088"/>
      <c r="AF105" s="1088"/>
      <c r="AG105" s="1088"/>
      <c r="AH105" s="1088"/>
      <c r="AI105" s="1088"/>
      <c r="AJ105" s="1088"/>
      <c r="AK105" s="1088"/>
      <c r="AL105" s="1088"/>
      <c r="AM105" s="1088"/>
      <c r="AN105" s="1088"/>
      <c r="AO105" s="1088"/>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3">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H30:K30"/>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AC21"/>
    <mergeCell ref="AD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xl/worksheets/sheet7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0" t="s">
        <v>168</v>
      </c>
      <c r="C1" s="12"/>
      <c r="D1" s="12"/>
      <c r="E1" s="12"/>
      <c r="F1" s="12"/>
      <c r="G1" s="12"/>
      <c r="H1" s="12"/>
      <c r="I1" s="104"/>
      <c r="J1" s="12"/>
      <c r="K1" s="12"/>
      <c r="L1" s="12"/>
      <c r="M1" s="13"/>
      <c r="N1" s="51"/>
      <c r="O1" s="2"/>
      <c r="P1" s="2"/>
      <c r="Q1" s="2"/>
      <c r="R1" s="22"/>
      <c r="S1" s="51"/>
      <c r="T1" s="2"/>
      <c r="U1" s="2"/>
      <c r="V1" s="236"/>
    </row>
    <row r="2" ht="21.75" customHeight="1">
      <c r="B2" s="1014" t="s">
        <v>211</v>
      </c>
      <c r="C2" s="1014"/>
      <c r="D2" s="1014"/>
      <c r="E2" s="1014"/>
      <c r="F2" s="1014"/>
      <c r="G2" s="1014"/>
      <c r="H2" s="1014"/>
      <c r="I2" s="1014"/>
      <c r="J2" s="1014"/>
      <c r="K2" s="1014"/>
      <c r="L2" s="1014"/>
      <c r="M2" s="1014"/>
      <c r="N2" s="1014"/>
      <c r="O2" s="1014"/>
      <c r="P2" s="1014"/>
      <c r="Q2" s="1014"/>
      <c r="R2" s="1014"/>
      <c r="S2" s="1014"/>
      <c r="T2" s="2"/>
      <c r="U2" s="2"/>
    </row>
    <row r="3" ht="19.5" customHeight="1">
      <c r="A3"/>
      <c r="B3" s="1043" t="s">
        <v>212</v>
      </c>
      <c r="C3" s="1043"/>
      <c r="D3" s="1043"/>
      <c r="E3" s="1043"/>
      <c r="F3" s="1043"/>
      <c r="G3" s="1043"/>
      <c r="H3" s="1043"/>
      <c r="I3" s="1043"/>
      <c r="J3" s="1043"/>
      <c r="K3" s="1043"/>
      <c r="L3" s="1043"/>
      <c r="M3" s="1043"/>
      <c r="N3" s="1043"/>
      <c r="O3" s="1043"/>
      <c r="P3" s="1043"/>
      <c r="Q3" s="1043"/>
      <c r="R3" s="1043"/>
      <c r="S3" s="1043"/>
      <c r="T3" s="2"/>
      <c r="U3" s="2"/>
    </row>
    <row r="4" ht="18.75" customHeight="1">
      <c r="A4"/>
      <c r="B4" s="1089" t="s">
        <v>213</v>
      </c>
      <c r="C4" s="1089"/>
      <c r="D4" s="1089"/>
      <c r="E4" s="1089"/>
      <c r="F4" s="1089"/>
      <c r="G4" s="1089"/>
      <c r="H4" s="1089"/>
      <c r="I4" s="1089"/>
      <c r="J4" s="1089"/>
      <c r="K4" s="1089"/>
      <c r="L4" s="1089"/>
      <c r="M4" s="1089"/>
      <c r="N4" s="1089"/>
      <c r="O4" s="1089"/>
      <c r="P4" s="1089"/>
      <c r="Q4" s="131"/>
      <c r="R4" s="203"/>
      <c r="S4" s="131"/>
      <c r="T4" s="222"/>
      <c r="U4" s="2"/>
    </row>
    <row r="5" ht="12" customHeight="1">
      <c r="A5"/>
      <c r="B5" s="129"/>
      <c r="D5" s="13"/>
      <c r="E5" s="13"/>
      <c r="F5" s="2"/>
      <c r="G5" s="2"/>
      <c r="H5" s="2"/>
      <c r="I5" s="2"/>
      <c r="J5" s="2"/>
      <c r="K5" s="2"/>
      <c r="L5" s="2"/>
      <c r="M5" s="2"/>
      <c r="N5" s="9"/>
      <c r="O5" s="2"/>
      <c r="P5" s="2"/>
      <c r="Q5" s="2"/>
      <c r="R5" s="2"/>
      <c r="S5" s="2"/>
      <c r="T5" s="2"/>
      <c r="U5" s="2"/>
    </row>
    <row r="6" ht="17.1" customHeight="1">
      <c r="B6" s="1090" t="s">
        <v>214</v>
      </c>
      <c r="C6" s="1090"/>
      <c r="D6" s="1090"/>
      <c r="E6" s="1090"/>
      <c r="F6" s="1090"/>
      <c r="G6" s="1090"/>
      <c r="H6" s="1090"/>
      <c r="I6" s="1090"/>
      <c r="J6" s="1090"/>
      <c r="K6" s="1090"/>
      <c r="L6" s="1090"/>
      <c r="M6" s="1090"/>
      <c r="N6" s="1090"/>
      <c r="O6" s="1090"/>
      <c r="P6" s="1090"/>
      <c r="Q6" s="1090"/>
      <c r="R6" s="1090"/>
      <c r="S6" s="1090"/>
      <c r="T6" s="1090"/>
      <c r="U6" s="2"/>
    </row>
    <row r="7">
      <c r="B7" s="2"/>
      <c r="C7" s="2"/>
      <c r="D7" s="2"/>
      <c r="E7" s="2"/>
      <c r="F7" s="1045" t="s">
        <v>22</v>
      </c>
      <c r="G7" s="1045"/>
      <c r="H7" s="1045"/>
      <c r="I7" s="1045"/>
      <c r="J7" s="1045"/>
      <c r="K7" s="1045" t="s">
        <v>9</v>
      </c>
      <c r="L7" s="1045"/>
      <c r="M7" s="1045"/>
      <c r="N7" s="1045"/>
      <c r="O7" s="1045"/>
      <c r="P7" s="1045" t="s">
        <v>10</v>
      </c>
      <c r="Q7" s="1045"/>
      <c r="R7" s="1045"/>
      <c r="S7" s="1045"/>
      <c r="T7" s="1045"/>
      <c r="U7" s="2"/>
    </row>
    <row r="8" ht="20.1" customHeight="1">
      <c r="B8" s="2"/>
      <c r="C8" s="2"/>
      <c r="D8" s="2"/>
      <c r="E8" s="2"/>
      <c r="F8" s="1045"/>
      <c r="G8" s="1045"/>
      <c r="H8" s="1045"/>
      <c r="I8" s="1045"/>
      <c r="J8" s="1045"/>
      <c r="K8" s="1045"/>
      <c r="L8" s="1045"/>
      <c r="M8" s="1045"/>
      <c r="N8" s="1045"/>
      <c r="O8" s="1045"/>
      <c r="P8" s="1045"/>
      <c r="Q8" s="1045"/>
      <c r="R8" s="1045"/>
      <c r="S8" s="1045"/>
      <c r="T8" s="1045"/>
      <c r="U8" s="2"/>
    </row>
    <row r="9" ht="20.1" customHeight="1">
      <c r="B9" s="2"/>
      <c r="C9" s="2"/>
      <c r="D9" s="2"/>
      <c r="E9" s="2"/>
      <c r="F9" s="2"/>
      <c r="G9" s="22" t="s">
        <v>25</v>
      </c>
      <c r="H9" s="22" t="s">
        <v>15</v>
      </c>
      <c r="I9" s="594" t="s">
        <v>100</v>
      </c>
      <c r="J9" s="3"/>
      <c r="K9" s="3"/>
      <c r="L9" s="22" t="s">
        <v>25</v>
      </c>
      <c r="M9" s="22" t="s">
        <v>15</v>
      </c>
      <c r="N9" s="594" t="s">
        <v>101</v>
      </c>
      <c r="O9" s="2"/>
      <c r="P9" s="2"/>
      <c r="Q9" s="22" t="s">
        <v>25</v>
      </c>
      <c r="R9" s="22" t="s">
        <v>15</v>
      </c>
      <c r="S9" s="594" t="s">
        <v>102</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71.676441837732160312805474100</v>
      </c>
      <c r="H11" s="193">
        <v>66.606558471916115674881453280</v>
      </c>
      <c r="I11" s="193">
        <v>107.61168792102312607677091785</v>
      </c>
      <c r="J11" s="194"/>
      <c r="K11" s="194"/>
      <c r="L11" s="195">
        <v>165.20900102284350494374360723</v>
      </c>
      <c r="M11" s="195">
        <v>177.88107891306527624586383236</v>
      </c>
      <c r="N11" s="193">
        <v>92.87609566590558074168521195</v>
      </c>
      <c r="O11" s="194"/>
      <c r="P11" s="193"/>
      <c r="Q11" s="195">
        <v>118.41593352883675464320625611</v>
      </c>
      <c r="R11" s="195">
        <v>118.48046483670607092766980565</v>
      </c>
      <c r="S11" s="193">
        <v>99.94553422122519894345049587</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60</v>
      </c>
      <c r="E13" s="188"/>
      <c r="F13" s="169"/>
      <c r="G13" s="196">
        <v>49.336810730253353204172876300</v>
      </c>
      <c r="H13" s="196">
        <v>54.684750901975581766615490290</v>
      </c>
      <c r="I13" s="196">
        <v>90.22041778829969047291190865</v>
      </c>
      <c r="J13" s="197"/>
      <c r="K13" s="197"/>
      <c r="L13" s="198">
        <v>205.63515078286260887076473846</v>
      </c>
      <c r="M13" s="198">
        <v>218.77122114399527526419462987</v>
      </c>
      <c r="N13" s="196">
        <v>93.99552176358402212842975133</v>
      </c>
      <c r="O13" s="197"/>
      <c r="P13" s="196"/>
      <c r="Q13" s="198">
        <v>101.45382513661202185792349727</v>
      </c>
      <c r="R13" s="198">
        <v>119.63449732780395094151697313</v>
      </c>
      <c r="S13" s="196">
        <v>84.80315243739766603037299256</v>
      </c>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58.885046113306982872200263500</v>
      </c>
      <c r="H15" s="193">
        <v>57.511927266180574309118732560</v>
      </c>
      <c r="I15" s="193">
        <v>102.38753752899159066008338194</v>
      </c>
      <c r="J15" s="194"/>
      <c r="K15" s="194"/>
      <c r="L15" s="195">
        <v>140.13704377010208362466787862</v>
      </c>
      <c r="M15" s="195">
        <v>147.01651275629989043668805761</v>
      </c>
      <c r="N15" s="193">
        <v>95.32061476821894575287604143</v>
      </c>
      <c r="O15" s="194"/>
      <c r="P15" s="193"/>
      <c r="Q15" s="195">
        <v>82.51976284584980237154150198</v>
      </c>
      <c r="R15" s="195">
        <v>84.55202988567827887298586732</v>
      </c>
      <c r="S15" s="193">
        <v>97.59643021867567361310763897</v>
      </c>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49.336810730253353204172876300</v>
      </c>
      <c r="H17" s="196">
        <v>54.684750901975581766615490290</v>
      </c>
      <c r="I17" s="196">
        <v>90.22041778829969047291190865</v>
      </c>
      <c r="J17" s="197"/>
      <c r="K17" s="197"/>
      <c r="L17" s="198">
        <v>205.63515078286260887076473846</v>
      </c>
      <c r="M17" s="198">
        <v>218.77122114399527526419462987</v>
      </c>
      <c r="N17" s="196">
        <v>93.99552176358402212842975133</v>
      </c>
      <c r="O17" s="197"/>
      <c r="P17" s="196"/>
      <c r="Q17" s="198">
        <v>101.45382513661202185792349727</v>
      </c>
      <c r="R17" s="198">
        <v>119.63449732780395094151697313</v>
      </c>
      <c r="S17" s="196">
        <v>84.80315243739766603037299256</v>
      </c>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1090" t="s">
        <v>215</v>
      </c>
      <c r="C20" s="1090"/>
      <c r="D20" s="1090"/>
      <c r="E20" s="1090"/>
      <c r="F20" s="1090"/>
      <c r="G20" s="1090"/>
      <c r="H20" s="1090"/>
      <c r="I20" s="1090"/>
      <c r="J20" s="1090"/>
      <c r="K20" s="1090"/>
      <c r="L20" s="1090"/>
      <c r="M20" s="1090"/>
      <c r="N20" s="1090"/>
      <c r="O20" s="1090"/>
      <c r="P20" s="1090"/>
      <c r="Q20" s="1090"/>
      <c r="R20" s="1090"/>
      <c r="S20" s="1090"/>
      <c r="T20" s="1090"/>
      <c r="U20" s="2"/>
    </row>
    <row r="21">
      <c r="B21" s="2"/>
      <c r="C21" s="2"/>
      <c r="D21" s="2"/>
      <c r="E21" s="2"/>
      <c r="F21" s="1045" t="s">
        <v>75</v>
      </c>
      <c r="G21" s="1045"/>
      <c r="H21" s="1045"/>
      <c r="I21" s="1045"/>
      <c r="J21" s="1045"/>
      <c r="K21" s="1045" t="s">
        <v>9</v>
      </c>
      <c r="L21" s="1045"/>
      <c r="M21" s="1045"/>
      <c r="N21" s="1045"/>
      <c r="O21" s="1045"/>
      <c r="P21" s="1045" t="s">
        <v>10</v>
      </c>
      <c r="Q21" s="1045"/>
      <c r="R21" s="1045"/>
      <c r="S21" s="1045"/>
      <c r="T21" s="1045"/>
      <c r="U21" s="2"/>
    </row>
    <row r="22" ht="20.1" customHeight="1">
      <c r="B22" s="2"/>
      <c r="C22" s="2"/>
      <c r="D22" s="2"/>
      <c r="E22" s="2"/>
      <c r="F22" s="1045"/>
      <c r="G22" s="1045"/>
      <c r="H22" s="1045"/>
      <c r="I22" s="1045"/>
      <c r="J22" s="1045"/>
      <c r="K22" s="1045"/>
      <c r="L22" s="1045"/>
      <c r="M22" s="1045"/>
      <c r="N22" s="1045"/>
      <c r="O22" s="1045"/>
      <c r="P22" s="1045"/>
      <c r="Q22" s="1045"/>
      <c r="R22" s="1045"/>
      <c r="S22" s="1045"/>
      <c r="T22" s="1045"/>
      <c r="U22" s="2"/>
    </row>
    <row r="23" ht="20.1" customHeight="1">
      <c r="B23" s="2"/>
      <c r="C23" s="2"/>
      <c r="D23" s="2"/>
      <c r="E23" s="2"/>
      <c r="F23" s="2"/>
      <c r="G23" s="22" t="s">
        <v>25</v>
      </c>
      <c r="H23" s="22" t="s">
        <v>15</v>
      </c>
      <c r="I23" s="594" t="s">
        <v>100</v>
      </c>
      <c r="J23" s="3"/>
      <c r="K23" s="3"/>
      <c r="L23" s="22" t="s">
        <v>25</v>
      </c>
      <c r="M23" s="22" t="s">
        <v>15</v>
      </c>
      <c r="N23" s="594" t="s">
        <v>101</v>
      </c>
      <c r="O23" s="2"/>
      <c r="P23" s="2"/>
      <c r="Q23" s="22" t="s">
        <v>25</v>
      </c>
      <c r="R23" s="22" t="s">
        <v>15</v>
      </c>
      <c r="S23" s="594" t="s">
        <v>102</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-15.839311334289813486370157820</v>
      </c>
      <c r="H25" s="193">
        <v>-23.115136889581544983101846590</v>
      </c>
      <c r="I25" s="193">
        <v>9.463274383206652951680494640</v>
      </c>
      <c r="J25" s="193"/>
      <c r="K25" s="193"/>
      <c r="L25" s="193">
        <v>-34.081338107849556950305522910</v>
      </c>
      <c r="M25" s="193">
        <v>-38.411044588650983527390009660</v>
      </c>
      <c r="N25" s="193">
        <v>7.0300047336142840017081042800</v>
      </c>
      <c r="O25" s="193"/>
      <c r="P25" s="193"/>
      <c r="Q25" s="193">
        <v>-44.522400192345122104805193320</v>
      </c>
      <c r="R25" s="193">
        <v>-52.647415940847649206928501590</v>
      </c>
      <c r="S25" s="193">
        <v>17.158547753915272593636401660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60</v>
      </c>
      <c r="E27" s="188"/>
      <c r="F27" s="169"/>
      <c r="G27" s="196">
        <v>-27.003821981832497316759329930</v>
      </c>
      <c r="H27" s="196">
        <v>-35.215686415366976417992661670</v>
      </c>
      <c r="I27" s="196">
        <v>12.675698759710793231980584920</v>
      </c>
      <c r="J27" s="196"/>
      <c r="K27" s="196"/>
      <c r="L27" s="196">
        <v>5.6208548544456858809412660900</v>
      </c>
      <c r="M27" s="196">
        <v>4.2541545359683445195782308700</v>
      </c>
      <c r="N27" s="196">
        <v>1.3109312761304117463727023900</v>
      </c>
      <c r="O27" s="196"/>
      <c r="P27" s="196"/>
      <c r="Q27" s="196">
        <v>-22.900812766138514581284091810</v>
      </c>
      <c r="R27" s="196">
        <v>-32.459661600410354232027907820</v>
      </c>
      <c r="S27" s="196">
        <v>14.152799735350328454096493880</v>
      </c>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-22.119363972990633848834676550</v>
      </c>
      <c r="H29" s="193">
        <v>-32.398914682588590350025093900</v>
      </c>
      <c r="I29" s="193">
        <v>15.206191825666361232609750980</v>
      </c>
      <c r="J29" s="193"/>
      <c r="K29" s="193"/>
      <c r="L29" s="193">
        <v>-27.274979319903842615145905690</v>
      </c>
      <c r="M29" s="193">
        <v>-29.549216201605505100453356730</v>
      </c>
      <c r="N29" s="193">
        <v>3.2281214758514725570037967400</v>
      </c>
      <c r="O29" s="193"/>
      <c r="P29" s="193"/>
      <c r="Q29" s="193">
        <v>-43.361291343567020098116790630</v>
      </c>
      <c r="R29" s="193">
        <v>-52.374505537662282903696707580</v>
      </c>
      <c r="S29" s="193">
        <v>18.925187645501340708775401510</v>
      </c>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-27.003821981832497316759329930</v>
      </c>
      <c r="H31" s="196">
        <v>-35.215686415366976417992661670</v>
      </c>
      <c r="I31" s="196">
        <v>12.675698759710793231980584920</v>
      </c>
      <c r="J31" s="196"/>
      <c r="K31" s="196"/>
      <c r="L31" s="196">
        <v>5.6208548544456858809412660900</v>
      </c>
      <c r="M31" s="196">
        <v>4.2541545359683445195782308700</v>
      </c>
      <c r="N31" s="196">
        <v>1.3109312761304117463727023900</v>
      </c>
      <c r="O31" s="196"/>
      <c r="P31" s="196"/>
      <c r="Q31" s="196">
        <v>-22.900812766138514581284091810</v>
      </c>
      <c r="R31" s="196">
        <v>-32.459661600410354232027907820</v>
      </c>
      <c r="S31" s="196">
        <v>14.152799735350328454096493880</v>
      </c>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39.95" customHeight="1">
      <c r="B34" s="1047" t="s">
        <v>129</v>
      </c>
      <c r="C34" s="1047"/>
      <c r="D34" s="1047"/>
      <c r="E34" s="1047"/>
      <c r="F34" s="1047"/>
      <c r="G34" s="1047"/>
      <c r="H34" s="1047"/>
      <c r="I34" s="1047"/>
      <c r="J34" s="1047"/>
      <c r="K34" s="1047"/>
      <c r="L34" s="1047"/>
      <c r="M34" s="1047"/>
      <c r="N34" s="1047"/>
      <c r="O34" s="1047"/>
      <c r="P34" s="1047"/>
      <c r="Q34" s="1047"/>
      <c r="R34" s="1047"/>
      <c r="S34" s="1047"/>
      <c r="T34" s="1047"/>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7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170</v>
      </c>
      <c r="E1" s="12"/>
      <c r="F1" s="12"/>
      <c r="G1" s="12"/>
      <c r="H1" s="12"/>
      <c r="I1" s="12"/>
      <c r="J1" s="12"/>
      <c r="K1" s="12"/>
      <c r="L1" s="12"/>
      <c r="M1" s="12"/>
      <c r="N1" s="12"/>
      <c r="O1" s="12"/>
      <c r="Q1" s="231"/>
      <c r="R1" s="2"/>
      <c r="S1" s="2"/>
      <c r="T1" s="2"/>
      <c r="U1" s="2"/>
      <c r="V1" s="236"/>
    </row>
    <row r="2" ht="18" customHeight="1">
      <c r="B2" s="1091" t="s">
        <v>211</v>
      </c>
      <c r="C2" s="1091"/>
      <c r="D2" s="1091"/>
      <c r="E2" s="1091"/>
      <c r="F2" s="1091"/>
      <c r="G2" s="1091"/>
      <c r="H2" s="1091"/>
      <c r="I2" s="1091"/>
      <c r="J2" s="1091"/>
      <c r="K2" s="1091"/>
      <c r="L2" s="1091"/>
      <c r="M2" s="1091"/>
      <c r="N2" s="1091"/>
      <c r="O2" s="1091"/>
      <c r="P2" s="1091"/>
      <c r="Q2" s="1091"/>
      <c r="R2" s="1091"/>
      <c r="S2" s="1091"/>
      <c r="T2" s="1091"/>
      <c r="U2" s="2"/>
    </row>
    <row r="3" ht="18" customHeight="1">
      <c r="B3" s="1092" t="s">
        <v>212</v>
      </c>
      <c r="C3" s="1092"/>
      <c r="D3" s="1092"/>
      <c r="E3" s="1092"/>
      <c r="F3" s="1092"/>
      <c r="G3" s="1092"/>
      <c r="H3" s="1092"/>
      <c r="I3" s="1092"/>
      <c r="J3" s="1092"/>
      <c r="K3" s="1092"/>
      <c r="L3" s="1092"/>
      <c r="M3" s="1092"/>
      <c r="N3" s="1092"/>
      <c r="O3" s="1092"/>
      <c r="P3" s="1092"/>
      <c r="Q3" s="1092"/>
      <c r="R3" s="1092"/>
      <c r="S3" s="1092"/>
      <c r="T3" s="1092"/>
      <c r="U3" s="2"/>
    </row>
    <row r="4" ht="18" customHeight="1">
      <c r="B4" s="1092" t="s">
        <v>213</v>
      </c>
      <c r="C4" s="1092"/>
      <c r="D4" s="1092"/>
      <c r="E4" s="1092"/>
      <c r="F4" s="1092"/>
      <c r="G4" s="1092"/>
      <c r="H4" s="1092"/>
      <c r="I4" s="1092"/>
      <c r="J4" s="1092"/>
      <c r="K4" s="1092"/>
      <c r="L4" s="1092"/>
      <c r="M4" s="1092"/>
      <c r="N4" s="1092"/>
      <c r="O4" s="1092"/>
      <c r="P4" s="1092"/>
      <c r="Q4" s="1092"/>
      <c r="R4" s="1092"/>
      <c r="S4" s="1092"/>
      <c r="T4" s="1092"/>
      <c r="U4" s="2"/>
    </row>
    <row r="5" s="122" customFormat="1" ht="21" customHeight="1">
      <c r="B5" s="1093"/>
      <c r="C5" s="1093"/>
      <c r="D5" s="163"/>
      <c r="E5" s="952" t="s">
        <v>22</v>
      </c>
      <c r="F5" s="952"/>
      <c r="G5" s="952"/>
      <c r="H5" s="952"/>
      <c r="I5" s="952"/>
      <c r="J5" s="952"/>
      <c r="K5" s="952"/>
      <c r="L5" s="952"/>
      <c r="M5" s="538"/>
      <c r="N5" s="1094" t="s">
        <v>28</v>
      </c>
      <c r="O5" s="1094"/>
      <c r="P5" s="1094"/>
      <c r="Q5" s="1094"/>
      <c r="R5" s="1094"/>
      <c r="S5" s="1094"/>
      <c r="T5" s="1094"/>
      <c r="V5" s="236"/>
      <c r="W5" s="236"/>
      <c r="X5" s="236"/>
      <c r="Y5" s="236"/>
      <c r="Z5" s="236"/>
      <c r="AA5" s="236"/>
      <c r="AB5" s="236"/>
      <c r="AC5" s="236"/>
      <c r="AD5" s="236"/>
      <c r="AE5" s="236"/>
      <c r="AF5" s="236"/>
      <c r="AG5" s="236"/>
      <c r="AH5" s="236"/>
      <c r="AI5" s="236"/>
    </row>
    <row r="6" s="122" customFormat="1" ht="15.75" customHeight="1">
      <c r="B6" s="1095"/>
      <c r="C6" s="1095"/>
      <c r="D6" s="163"/>
      <c r="E6" s="950" t="s">
        <v>42</v>
      </c>
      <c r="F6" s="1096" t="s">
        <v>24</v>
      </c>
      <c r="G6" s="953" t="s">
        <v>37</v>
      </c>
      <c r="H6" s="1097" t="s">
        <v>24</v>
      </c>
      <c r="I6" s="953" t="s">
        <v>44</v>
      </c>
      <c r="J6" s="1096" t="s">
        <v>24</v>
      </c>
      <c r="K6" s="953" t="s">
        <v>45</v>
      </c>
      <c r="L6" s="1096" t="s">
        <v>24</v>
      </c>
      <c r="M6" s="539"/>
      <c r="N6" s="1096" t="s">
        <v>65</v>
      </c>
      <c r="O6" s="958" t="s">
        <v>66</v>
      </c>
      <c r="P6" s="958"/>
      <c r="Q6" s="958" t="s">
        <v>67</v>
      </c>
      <c r="R6" s="958"/>
      <c r="S6" s="958" t="s">
        <v>68</v>
      </c>
      <c r="T6" s="958"/>
      <c r="V6" s="236"/>
      <c r="W6" s="236"/>
      <c r="X6" s="236"/>
      <c r="Y6" s="236"/>
      <c r="Z6" s="236"/>
      <c r="AA6" s="236"/>
      <c r="AB6" s="236"/>
      <c r="AC6" s="236"/>
      <c r="AD6" s="236"/>
      <c r="AE6" s="236"/>
      <c r="AF6" s="236"/>
      <c r="AG6" s="236"/>
      <c r="AH6" s="236"/>
      <c r="AI6" s="236"/>
    </row>
    <row r="7" s="122" customFormat="1" ht="24" customHeight="1">
      <c r="B7" s="1098"/>
      <c r="C7" s="1098"/>
      <c r="D7" s="163"/>
      <c r="E7" s="950"/>
      <c r="F7" s="1096"/>
      <c r="G7" s="953"/>
      <c r="H7" s="1097"/>
      <c r="I7" s="953"/>
      <c r="J7" s="1096"/>
      <c r="K7" s="953"/>
      <c r="L7" s="1096"/>
      <c r="M7" s="540"/>
      <c r="N7" s="1096"/>
      <c r="O7" s="958"/>
      <c r="P7" s="958"/>
      <c r="Q7" s="958"/>
      <c r="R7" s="958"/>
      <c r="S7" s="958"/>
      <c r="T7" s="958"/>
      <c r="V7" s="236"/>
      <c r="W7" s="236"/>
      <c r="X7" s="236"/>
      <c r="Y7" s="236"/>
      <c r="Z7" s="236"/>
      <c r="AA7" s="236"/>
      <c r="AB7" s="236"/>
      <c r="AC7" s="236"/>
      <c r="AD7" s="236"/>
      <c r="AE7" s="236"/>
      <c r="AF7" s="236"/>
      <c r="AG7" s="236"/>
      <c r="AH7" s="236"/>
      <c r="AI7" s="236"/>
    </row>
    <row r="8" ht="20.1" customHeight="1">
      <c r="B8" s="1099" t="s">
        <v>217</v>
      </c>
      <c r="C8" s="1099"/>
      <c r="D8" s="346"/>
      <c r="E8" s="238">
        <v>71.676441837732160312805474100</v>
      </c>
      <c r="F8" s="239">
        <v>-15.839311334289813486370157820</v>
      </c>
      <c r="G8" s="238">
        <v>49.336810730253353204172876300</v>
      </c>
      <c r="H8" s="239">
        <v>-27.003821981832497316759329930</v>
      </c>
      <c r="I8" s="238">
        <v>58.885046113306982872200263500</v>
      </c>
      <c r="J8" s="239">
        <v>-22.119363972990633848834676550</v>
      </c>
      <c r="K8" s="238">
        <v>49.336810730253353204172876300</v>
      </c>
      <c r="L8" s="239">
        <v>-27.003821981832497316759329930</v>
      </c>
      <c r="M8" s="541"/>
      <c r="N8" s="156">
        <v>0</v>
      </c>
      <c r="O8" s="156"/>
      <c r="P8" s="156">
        <v>-16.438356164383561643835616440</v>
      </c>
      <c r="Q8" s="156"/>
      <c r="R8" s="156">
        <v>0</v>
      </c>
      <c r="S8" s="156"/>
      <c r="T8" s="243">
        <v>-16.438356164383561643835616440</v>
      </c>
    </row>
    <row r="9" ht="20.1" customHeight="1">
      <c r="B9" s="1100" t="s">
        <v>216</v>
      </c>
      <c r="C9" s="1100"/>
      <c r="D9" s="346"/>
      <c r="E9" s="240">
        <v>48.762582713706585843505554720</v>
      </c>
      <c r="F9" s="241">
        <v>-37.591464375907412886700543990</v>
      </c>
      <c r="G9" s="240">
        <v>46.393439564424639850360991380</v>
      </c>
      <c r="H9" s="241">
        <v>-38.864238798582683717559930750</v>
      </c>
      <c r="I9" s="240">
        <v>44.499190786072824422317878560</v>
      </c>
      <c r="J9" s="241">
        <v>-40.699745386671180627390540640</v>
      </c>
      <c r="K9" s="240">
        <v>46.393439564424639850360991380</v>
      </c>
      <c r="L9" s="241">
        <v>-38.864238798582683717559930750</v>
      </c>
      <c r="M9" s="541"/>
      <c r="N9" s="121">
        <v>-2.4594204130194612050650123200</v>
      </c>
      <c r="O9" s="121"/>
      <c r="P9" s="121">
        <v>-13.632884473898937968628054880</v>
      </c>
      <c r="Q9" s="121"/>
      <c r="R9" s="121">
        <v>-4.1939687157027266008356500600</v>
      </c>
      <c r="S9" s="121"/>
      <c r="T9" s="241">
        <v>-13.632884473898937968628054880</v>
      </c>
    </row>
    <row r="10" ht="20.1" customHeight="1">
      <c r="B10" s="1101" t="s">
        <v>218</v>
      </c>
      <c r="C10" s="1101"/>
      <c r="D10" s="346"/>
      <c r="E10" s="242">
        <v>45.070591255240865919397621290</v>
      </c>
      <c r="F10" s="243">
        <v>-42.200603572168725469384643480</v>
      </c>
      <c r="G10" s="242">
        <v>42.839170007497095703112067230</v>
      </c>
      <c r="H10" s="243">
        <v>-43.177507979780407416139504420</v>
      </c>
      <c r="I10" s="242">
        <v>38.934836114099150277236851720</v>
      </c>
      <c r="J10" s="243">
        <v>-47.928653557245825692229851440</v>
      </c>
      <c r="K10" s="242">
        <v>42.839170007497095703112067230</v>
      </c>
      <c r="L10" s="243">
        <v>-43.177507979780407416139504420</v>
      </c>
      <c r="M10" s="541"/>
      <c r="N10" s="156">
        <v>-8.291631915485126494300806230</v>
      </c>
      <c r="O10" s="156"/>
      <c r="P10" s="156">
        <v>-20.991023669099960355797993610</v>
      </c>
      <c r="Q10" s="156"/>
      <c r="R10" s="156">
        <v>-9.832591313828820643285480650</v>
      </c>
      <c r="S10" s="156"/>
      <c r="T10" s="243">
        <v>-20.991023669099960355797993610</v>
      </c>
    </row>
    <row r="11" ht="20.1" customHeight="1">
      <c r="B11" s="1100" t="s">
        <v>219</v>
      </c>
      <c r="C11" s="1100"/>
      <c r="D11" s="346"/>
      <c r="E11" s="240">
        <v>48.945132160080976186763100520</v>
      </c>
      <c r="F11" s="241">
        <v>-35.479353806986686069989518630</v>
      </c>
      <c r="G11" s="240">
        <v>45.545036369574113868344364810</v>
      </c>
      <c r="H11" s="241">
        <v>-39.220621572357199179327485470</v>
      </c>
      <c r="I11" s="240">
        <v>42.056453617745812603942905090</v>
      </c>
      <c r="J11" s="241">
        <v>-42.333469032515766131248679470</v>
      </c>
      <c r="K11" s="240">
        <v>45.545036369574113868344364810</v>
      </c>
      <c r="L11" s="241">
        <v>-39.220621572357199179327485470</v>
      </c>
      <c r="M11" s="541"/>
      <c r="N11" s="121">
        <v>-8.584531999166145507608922240</v>
      </c>
      <c r="O11" s="121"/>
      <c r="P11" s="121">
        <v>-26.225855430219684140668257610</v>
      </c>
      <c r="Q11" s="121"/>
      <c r="R11" s="121">
        <v>-10.336425937846155245865470570</v>
      </c>
      <c r="S11" s="121"/>
      <c r="T11" s="241">
        <v>-26.225855430219684140668257610</v>
      </c>
    </row>
    <row r="12" ht="20.1" customHeight="1">
      <c r="B12" s="1101" t="s">
        <v>220</v>
      </c>
      <c r="C12" s="1101"/>
      <c r="D12" s="346"/>
      <c r="E12" s="242">
        <v>53.574898208556957871511781040</v>
      </c>
      <c r="F12" s="243">
        <v>-35.137657708917945627357954830</v>
      </c>
      <c r="G12" s="242">
        <v>45.201731894266165663479537980</v>
      </c>
      <c r="H12" s="243">
        <v>-42.283340310899790892469959150</v>
      </c>
      <c r="I12" s="242">
        <v>45.822004793099828648898784580</v>
      </c>
      <c r="J12" s="243">
        <v>-41.493361020983428475925922810</v>
      </c>
      <c r="K12" s="242">
        <v>45.201731894266165663479537980</v>
      </c>
      <c r="L12" s="243">
        <v>-42.283340310899790892469959150</v>
      </c>
      <c r="M12" s="541"/>
      <c r="N12" s="156">
        <v>9.449164957515382361558745970</v>
      </c>
      <c r="O12" s="156"/>
      <c r="P12" s="156">
        <v>-15.451888774937001159186350240</v>
      </c>
      <c r="Q12" s="156"/>
      <c r="R12" s="156">
        <v>5.47318685773986807840446600</v>
      </c>
      <c r="S12" s="156"/>
      <c r="T12" s="243">
        <v>-15.451888774937001159186350240</v>
      </c>
    </row>
    <row r="13" ht="20.1" customHeight="1">
      <c r="B13" s="1102" t="s">
        <v>77</v>
      </c>
      <c r="C13" s="1102"/>
      <c r="D13" s="346"/>
      <c r="E13" s="244">
        <v>66.606558471916115674881453280</v>
      </c>
      <c r="F13" s="245">
        <v>-23.115136889581544983101846590</v>
      </c>
      <c r="G13" s="244">
        <v>54.684750901975581766615490290</v>
      </c>
      <c r="H13" s="245">
        <v>-35.215686415366976417992661670</v>
      </c>
      <c r="I13" s="244">
        <v>57.511927266180574309118732560</v>
      </c>
      <c r="J13" s="245">
        <v>-32.398914682588590350025093900</v>
      </c>
      <c r="K13" s="244">
        <v>54.684750901975581766615490290</v>
      </c>
      <c r="L13" s="245">
        <v>-35.215686415366976417992661670</v>
      </c>
      <c r="M13" s="541"/>
      <c r="N13" s="250">
        <v>-11.885895404120443740095087160</v>
      </c>
      <c r="O13" s="250"/>
      <c r="P13" s="250">
        <v>-30.591581095456222998936239500</v>
      </c>
      <c r="Q13" s="250"/>
      <c r="R13" s="250">
        <v>-11.885895404120443740095087160</v>
      </c>
      <c r="S13" s="250"/>
      <c r="T13" s="245">
        <v>-30.591581095456222998936239500</v>
      </c>
    </row>
    <row r="14" ht="9.95" customHeight="1">
      <c r="B14" s="4"/>
      <c r="C14" s="4"/>
      <c r="D14" s="4"/>
      <c r="E14" s="536"/>
      <c r="F14" s="536"/>
      <c r="G14" s="536"/>
      <c r="H14" s="536"/>
      <c r="I14" s="536"/>
      <c r="J14" s="536"/>
      <c r="K14" s="536"/>
      <c r="L14" s="536"/>
      <c r="M14" s="156"/>
      <c r="N14" s="156"/>
      <c r="O14" s="156"/>
      <c r="P14" s="156"/>
      <c r="Q14" s="156"/>
      <c r="R14" s="156"/>
      <c r="S14" s="156"/>
      <c r="T14" s="156"/>
    </row>
    <row r="15" ht="21" customHeight="1">
      <c r="B15" s="4"/>
      <c r="C15" s="4"/>
      <c r="D15" s="4"/>
      <c r="E15" s="1103" t="s">
        <v>93</v>
      </c>
      <c r="F15" s="1103"/>
      <c r="G15" s="1103"/>
      <c r="H15" s="1103"/>
      <c r="I15" s="1103"/>
      <c r="J15" s="1103"/>
      <c r="K15" s="1103"/>
      <c r="L15" s="1103"/>
      <c r="M15" s="538"/>
      <c r="N15" s="1103" t="s">
        <v>29</v>
      </c>
      <c r="O15" s="1103"/>
      <c r="P15" s="1103"/>
      <c r="Q15" s="1103"/>
      <c r="R15" s="1103"/>
      <c r="S15" s="1103"/>
      <c r="T15" s="1103"/>
    </row>
    <row r="16" ht="22.5" customHeight="1">
      <c r="B16" s="4"/>
      <c r="C16" s="4"/>
      <c r="D16" s="4"/>
      <c r="E16" s="950" t="s">
        <v>42</v>
      </c>
      <c r="F16" s="1096" t="s">
        <v>24</v>
      </c>
      <c r="G16" s="950" t="s">
        <v>37</v>
      </c>
      <c r="H16" s="1096" t="s">
        <v>24</v>
      </c>
      <c r="I16" s="950" t="s">
        <v>44</v>
      </c>
      <c r="J16" s="1096" t="s">
        <v>24</v>
      </c>
      <c r="K16" s="950" t="s">
        <v>45</v>
      </c>
      <c r="L16" s="1096" t="s">
        <v>24</v>
      </c>
      <c r="M16" s="539"/>
      <c r="N16" s="958" t="s">
        <v>65</v>
      </c>
      <c r="O16" s="958" t="s">
        <v>66</v>
      </c>
      <c r="P16" s="958"/>
      <c r="Q16" s="958" t="s">
        <v>67</v>
      </c>
      <c r="R16" s="958"/>
      <c r="S16" s="958" t="s">
        <v>68</v>
      </c>
      <c r="T16" s="958"/>
    </row>
    <row r="17" ht="18.75" customHeight="1">
      <c r="B17" s="4"/>
      <c r="C17" s="4"/>
      <c r="D17" s="4"/>
      <c r="E17" s="950"/>
      <c r="F17" s="1096"/>
      <c r="G17" s="950"/>
      <c r="H17" s="1096"/>
      <c r="I17" s="950"/>
      <c r="J17" s="1096"/>
      <c r="K17" s="950"/>
      <c r="L17" s="1096"/>
      <c r="M17" s="540"/>
      <c r="N17" s="958"/>
      <c r="O17" s="958"/>
      <c r="P17" s="958"/>
      <c r="Q17" s="958"/>
      <c r="R17" s="958"/>
      <c r="S17" s="958"/>
      <c r="T17" s="958"/>
    </row>
    <row r="18" ht="20.1" customHeight="1">
      <c r="B18" s="1104" t="s">
        <v>217</v>
      </c>
      <c r="C18" s="1104"/>
      <c r="D18" s="346"/>
      <c r="E18" s="253">
        <v>165.20900102284350494374360723</v>
      </c>
      <c r="F18" s="239">
        <v>-34.081338107849556950305522910</v>
      </c>
      <c r="G18" s="253">
        <v>205.63515078286260887076473846</v>
      </c>
      <c r="H18" s="239">
        <v>5.6208548544456858809412660900</v>
      </c>
      <c r="I18" s="253">
        <v>140.13704377010208362466787862</v>
      </c>
      <c r="J18" s="239">
        <v>-27.274979319903842615145905690</v>
      </c>
      <c r="K18" s="253">
        <v>205.63515078286260887076473846</v>
      </c>
      <c r="L18" s="239">
        <v>5.6208548544456858809412660900</v>
      </c>
      <c r="M18" s="541"/>
      <c r="N18" s="238">
        <v>-15.839311334289813486370157820</v>
      </c>
      <c r="O18" s="246"/>
      <c r="P18" s="246">
        <v>-39.003193710846333374278344180</v>
      </c>
      <c r="Q18" s="246"/>
      <c r="R18" s="246">
        <v>-22.119363972990633848834676540</v>
      </c>
      <c r="S18" s="246"/>
      <c r="T18" s="239">
        <v>-39.003193710846333374278344180</v>
      </c>
    </row>
    <row r="19" ht="20.1" customHeight="1">
      <c r="B19" s="1105" t="s">
        <v>216</v>
      </c>
      <c r="C19" s="1105"/>
      <c r="D19" s="346"/>
      <c r="E19" s="254">
        <v>187.01192276657060518731988473</v>
      </c>
      <c r="F19" s="241">
        <v>-26.068887415179134321932079910</v>
      </c>
      <c r="G19" s="254">
        <v>188.02745952818356970349060587</v>
      </c>
      <c r="H19" s="241">
        <v>-4.119720087362142597531704900</v>
      </c>
      <c r="I19" s="254">
        <v>151.92610954027236331784883441</v>
      </c>
      <c r="J19" s="241">
        <v>-23.054799996735604176568724710</v>
      </c>
      <c r="K19" s="254">
        <v>188.02745952818356970349060587</v>
      </c>
      <c r="L19" s="241">
        <v>-4.119720087362142597531704900</v>
      </c>
      <c r="M19" s="541"/>
      <c r="N19" s="240">
        <v>-39.126352640512868373280714180</v>
      </c>
      <c r="O19" s="121"/>
      <c r="P19" s="121">
        <v>-47.198806495410635854811323110</v>
      </c>
      <c r="Q19" s="121"/>
      <c r="R19" s="121">
        <v>-43.186779513486254195487772020</v>
      </c>
      <c r="S19" s="121"/>
      <c r="T19" s="241">
        <v>-47.198806495410635854811323110</v>
      </c>
    </row>
    <row r="20" ht="20.1" customHeight="1">
      <c r="B20" s="1106" t="s">
        <v>218</v>
      </c>
      <c r="C20" s="1106"/>
      <c r="D20" s="346"/>
      <c r="E20" s="255">
        <v>195.66180658389338193416106618</v>
      </c>
      <c r="F20" s="243">
        <v>-23.203731053167573347560850230</v>
      </c>
      <c r="G20" s="255">
        <v>216.00796999772727402835239962</v>
      </c>
      <c r="H20" s="243">
        <v>6.2734923755262731087948793800</v>
      </c>
      <c r="I20" s="255">
        <v>161.9588210301104906838862181</v>
      </c>
      <c r="J20" s="243">
        <v>-20.54742724161815826952808200</v>
      </c>
      <c r="K20" s="255">
        <v>216.00796999772727402835239962</v>
      </c>
      <c r="L20" s="243">
        <v>6.2734923755262731087948793800</v>
      </c>
      <c r="M20" s="541"/>
      <c r="N20" s="242">
        <v>-46.993116773336553556333776110</v>
      </c>
      <c r="O20" s="156"/>
      <c r="P20" s="156">
        <v>-55.105130729117138326389727750</v>
      </c>
      <c r="Q20" s="156"/>
      <c r="R20" s="156">
        <v>-53.048616244569785221714783350</v>
      </c>
      <c r="S20" s="156"/>
      <c r="T20" s="243">
        <v>-55.105130729117138326389727750</v>
      </c>
    </row>
    <row r="21" ht="20.1" customHeight="1">
      <c r="B21" s="1105" t="s">
        <v>219</v>
      </c>
      <c r="C21" s="1105"/>
      <c r="D21" s="346"/>
      <c r="E21" s="254">
        <v>319.74479008545672607256757935</v>
      </c>
      <c r="F21" s="241">
        <v>-19.370944352377683763780771800</v>
      </c>
      <c r="G21" s="254">
        <v>298.63045235067876491699897669</v>
      </c>
      <c r="H21" s="241">
        <v>9.195642846989115222552084720</v>
      </c>
      <c r="I21" s="254">
        <v>250.20423139235680930143905461</v>
      </c>
      <c r="J21" s="241">
        <v>-11.829264458770989896738802460</v>
      </c>
      <c r="K21" s="254">
        <v>298.63045235067876491699897669</v>
      </c>
      <c r="L21" s="241">
        <v>9.195642846989115222552084720</v>
      </c>
      <c r="M21" s="541"/>
      <c r="N21" s="240">
        <v>-41.018149325494687461771531600</v>
      </c>
      <c r="O21" s="121"/>
      <c r="P21" s="121">
        <v>-55.160533490176929934562188120</v>
      </c>
      <c r="Q21" s="121"/>
      <c r="R21" s="121">
        <v>-48.294127296894891894134033430</v>
      </c>
      <c r="S21" s="121"/>
      <c r="T21" s="241">
        <v>-55.160533490176929934562188120</v>
      </c>
    </row>
    <row r="22" ht="20.1" customHeight="1">
      <c r="B22" s="1106" t="s">
        <v>220</v>
      </c>
      <c r="C22" s="1106"/>
      <c r="D22" s="346"/>
      <c r="E22" s="255">
        <v>347.4512653127014829142488717</v>
      </c>
      <c r="F22" s="243">
        <v>-25.310818021346244611988276940</v>
      </c>
      <c r="G22" s="255">
        <v>316.66312815597578300349430442</v>
      </c>
      <c r="H22" s="243">
        <v>3.3588069493338685877182667500</v>
      </c>
      <c r="I22" s="255">
        <v>264.43390710955522932227725168</v>
      </c>
      <c r="J22" s="243">
        <v>-18.149955004809636030121002560</v>
      </c>
      <c r="K22" s="255">
        <v>316.66312815597578300349430442</v>
      </c>
      <c r="L22" s="243">
        <v>3.3588069493338685877182667500</v>
      </c>
      <c r="M22" s="541"/>
      <c r="N22" s="242">
        <v>-29.008707990525340138000480600</v>
      </c>
      <c r="O22" s="156"/>
      <c r="P22" s="156">
        <v>-51.201654370668455175497429020</v>
      </c>
      <c r="Q22" s="156"/>
      <c r="R22" s="156">
        <v>-38.291183345478582549865207640</v>
      </c>
      <c r="S22" s="156"/>
      <c r="T22" s="243">
        <v>-51.201654370668455175497429020</v>
      </c>
    </row>
    <row r="23" ht="20.1" customHeight="1">
      <c r="B23" s="1107" t="s">
        <v>77</v>
      </c>
      <c r="C23" s="1107"/>
      <c r="D23" s="346"/>
      <c r="E23" s="256">
        <v>177.88107891306527624586383236</v>
      </c>
      <c r="F23" s="245">
        <v>-38.411044588650983527390009660</v>
      </c>
      <c r="G23" s="256">
        <v>218.77122114399527526419462987</v>
      </c>
      <c r="H23" s="245">
        <v>4.2541545359683445195782308700</v>
      </c>
      <c r="I23" s="256">
        <v>147.01651275629989043668805761</v>
      </c>
      <c r="J23" s="245">
        <v>-29.549216201605505100453356730</v>
      </c>
      <c r="K23" s="256">
        <v>218.77122114399527526419462987</v>
      </c>
      <c r="L23" s="245">
        <v>4.2541545359683445195782308700</v>
      </c>
      <c r="M23" s="541"/>
      <c r="N23" s="244">
        <v>-32.253591300487066577820327590</v>
      </c>
      <c r="O23" s="250"/>
      <c r="P23" s="250">
        <v>-55.034232242744650223508980780</v>
      </c>
      <c r="Q23" s="250"/>
      <c r="R23" s="250">
        <v>-40.433908975466333176884234880</v>
      </c>
      <c r="S23" s="250"/>
      <c r="T23" s="245">
        <v>-55.034232242744650223508980780</v>
      </c>
    </row>
    <row r="24" ht="9.95" customHeight="1">
      <c r="B24" s="4"/>
      <c r="C24" s="4"/>
      <c r="D24" s="4"/>
      <c r="E24" s="536"/>
      <c r="F24" s="536"/>
      <c r="G24" s="536"/>
      <c r="H24" s="536"/>
      <c r="I24" s="536"/>
      <c r="J24" s="536"/>
      <c r="K24" s="536"/>
      <c r="L24" s="536"/>
      <c r="M24" s="156"/>
      <c r="N24" s="156"/>
      <c r="O24" s="156"/>
      <c r="P24" s="156"/>
      <c r="Q24" s="156"/>
      <c r="R24" s="156"/>
      <c r="S24" s="156"/>
      <c r="T24" s="156"/>
    </row>
    <row r="25" s="122" customFormat="1" ht="21" customHeight="1">
      <c r="B25" s="1093"/>
      <c r="C25" s="1093"/>
      <c r="D25" s="163"/>
      <c r="E25" s="1103" t="s">
        <v>10</v>
      </c>
      <c r="F25" s="1103"/>
      <c r="G25" s="1103"/>
      <c r="H25" s="1103"/>
      <c r="I25" s="1103"/>
      <c r="J25" s="1103"/>
      <c r="K25" s="1103"/>
      <c r="L25" s="1103"/>
      <c r="M25" s="538"/>
      <c r="N25" s="1103" t="s">
        <v>38</v>
      </c>
      <c r="O25" s="1103"/>
      <c r="P25" s="1103"/>
      <c r="Q25" s="1103"/>
      <c r="R25" s="1103"/>
      <c r="S25" s="1103"/>
      <c r="T25" s="1103"/>
      <c r="V25" s="236"/>
      <c r="W25" s="236"/>
      <c r="X25" s="236"/>
      <c r="Y25" s="236"/>
      <c r="Z25" s="236"/>
      <c r="AA25" s="236"/>
      <c r="AB25" s="236"/>
      <c r="AC25" s="236"/>
      <c r="AD25" s="236"/>
      <c r="AE25" s="236"/>
      <c r="AF25" s="236"/>
      <c r="AG25" s="236"/>
      <c r="AH25" s="236"/>
      <c r="AI25" s="236"/>
    </row>
    <row r="26" s="122" customFormat="1" ht="19.5" customHeight="1">
      <c r="B26" s="163"/>
      <c r="C26" s="163"/>
      <c r="D26" s="163"/>
      <c r="E26" s="950" t="s">
        <v>42</v>
      </c>
      <c r="F26" s="1096" t="s">
        <v>24</v>
      </c>
      <c r="G26" s="950" t="s">
        <v>37</v>
      </c>
      <c r="H26" s="1096" t="s">
        <v>24</v>
      </c>
      <c r="I26" s="950" t="s">
        <v>44</v>
      </c>
      <c r="J26" s="1096" t="s">
        <v>24</v>
      </c>
      <c r="K26" s="950" t="s">
        <v>45</v>
      </c>
      <c r="L26" s="1096" t="s">
        <v>24</v>
      </c>
      <c r="M26" s="539"/>
      <c r="N26" s="958" t="s">
        <v>65</v>
      </c>
      <c r="O26" s="958" t="s">
        <v>66</v>
      </c>
      <c r="P26" s="958"/>
      <c r="Q26" s="958" t="s">
        <v>67</v>
      </c>
      <c r="R26" s="958"/>
      <c r="S26" s="958" t="s">
        <v>68</v>
      </c>
      <c r="T26" s="958"/>
      <c r="V26" s="236"/>
      <c r="W26" s="236"/>
      <c r="X26" s="236"/>
      <c r="Y26" s="236"/>
      <c r="Z26" s="236"/>
      <c r="AA26" s="236"/>
      <c r="AB26" s="236"/>
      <c r="AC26" s="236"/>
      <c r="AD26" s="236"/>
      <c r="AE26" s="236"/>
      <c r="AF26" s="236"/>
      <c r="AG26" s="236"/>
      <c r="AH26" s="236"/>
      <c r="AI26" s="236"/>
    </row>
    <row r="27" s="122" customFormat="1" ht="25.5" customHeight="1">
      <c r="B27" s="163"/>
      <c r="C27" s="163"/>
      <c r="D27" s="163"/>
      <c r="E27" s="950"/>
      <c r="F27" s="1096"/>
      <c r="G27" s="950"/>
      <c r="H27" s="1096"/>
      <c r="I27" s="950"/>
      <c r="J27" s="1096"/>
      <c r="K27" s="950"/>
      <c r="L27" s="1096"/>
      <c r="M27" s="540"/>
      <c r="N27" s="958"/>
      <c r="O27" s="958"/>
      <c r="P27" s="958"/>
      <c r="Q27" s="958"/>
      <c r="R27" s="958"/>
      <c r="S27" s="958"/>
      <c r="T27" s="958"/>
      <c r="V27" s="236"/>
      <c r="W27" s="236"/>
      <c r="X27" s="236"/>
      <c r="Y27" s="236"/>
      <c r="Z27" s="236"/>
      <c r="AA27" s="236"/>
      <c r="AB27" s="236"/>
      <c r="AC27" s="236"/>
      <c r="AD27" s="236"/>
      <c r="AE27" s="236"/>
      <c r="AF27" s="236"/>
      <c r="AG27" s="236"/>
      <c r="AH27" s="236"/>
      <c r="AI27" s="236"/>
    </row>
    <row r="28" ht="20.1" customHeight="1">
      <c r="B28" s="1104" t="s">
        <v>217</v>
      </c>
      <c r="C28" s="1104"/>
      <c r="D28" s="346"/>
      <c r="E28" s="253">
        <v>118.41593352883675464320625611</v>
      </c>
      <c r="F28" s="239">
        <v>-44.522400192345122104805193320</v>
      </c>
      <c r="G28" s="253">
        <v>101.45382513661202185792349727</v>
      </c>
      <c r="H28" s="239">
        <v>-22.900812766138514581284091810</v>
      </c>
      <c r="I28" s="253">
        <v>82.51976284584980237154150198</v>
      </c>
      <c r="J28" s="239">
        <v>-43.361291343567020098116790630</v>
      </c>
      <c r="K28" s="253">
        <v>101.45382513661202185792349727</v>
      </c>
      <c r="L28" s="239">
        <v>-22.900812766138514581284091810</v>
      </c>
      <c r="M28" s="541"/>
      <c r="N28" s="238">
        <v>-44.522400192345122104805193320</v>
      </c>
      <c r="O28" s="246"/>
      <c r="P28" s="246">
        <v>-35.574651763485608074771638360</v>
      </c>
      <c r="Q28" s="246"/>
      <c r="R28" s="246">
        <v>-43.361291343567020098116790630</v>
      </c>
      <c r="S28" s="246"/>
      <c r="T28" s="239">
        <v>-35.574651763485608074771638360</v>
      </c>
    </row>
    <row r="29" ht="20.1" customHeight="1">
      <c r="B29" s="1105" t="s">
        <v>216</v>
      </c>
      <c r="C29" s="1105"/>
      <c r="D29" s="346"/>
      <c r="E29" s="254">
        <v>91.19184352354206903994765681</v>
      </c>
      <c r="F29" s="241">
        <v>-53.860675265214072143745336460</v>
      </c>
      <c r="G29" s="254">
        <v>87.23240580073084348014478057</v>
      </c>
      <c r="H29" s="241">
        <v>-41.382861033359224058779528840</v>
      </c>
      <c r="I29" s="254">
        <v>67.605889338183785768463363141</v>
      </c>
      <c r="J29" s="241">
        <v>-54.371300485329118241225288160</v>
      </c>
      <c r="K29" s="254">
        <v>87.23240580073084348014478057</v>
      </c>
      <c r="L29" s="241">
        <v>-41.382861033359224058779528840</v>
      </c>
      <c r="M29" s="541"/>
      <c r="N29" s="240">
        <v>-54.995435236170734633895765600</v>
      </c>
      <c r="O29" s="121"/>
      <c r="P29" s="121">
        <v>-49.374067870586158770051498650</v>
      </c>
      <c r="Q29" s="121"/>
      <c r="R29" s="121">
        <v>-56.284953868356416866507900780</v>
      </c>
      <c r="S29" s="121"/>
      <c r="T29" s="241">
        <v>-49.374067870586158770051498650</v>
      </c>
    </row>
    <row r="30" ht="20.1" customHeight="1">
      <c r="B30" s="1106" t="s">
        <v>218</v>
      </c>
      <c r="C30" s="1106"/>
      <c r="D30" s="346"/>
      <c r="E30" s="255">
        <v>88.18593308804654744588003765</v>
      </c>
      <c r="F30" s="243">
        <v>-55.612220069636840035554802310</v>
      </c>
      <c r="G30" s="255">
        <v>92.53602149706970729445094749</v>
      </c>
      <c r="H30" s="243">
        <v>-39.612753275307906321885418830</v>
      </c>
      <c r="I30" s="255">
        <v>63.05840154040066876095322788</v>
      </c>
      <c r="J30" s="243">
        <v>-58.627975581301664708699739820</v>
      </c>
      <c r="K30" s="255">
        <v>92.53602149706970729445094749</v>
      </c>
      <c r="L30" s="243">
        <v>-39.612753275307906321885418830</v>
      </c>
      <c r="M30" s="541"/>
      <c r="N30" s="242">
        <v>-59.292691396918133463243370620</v>
      </c>
      <c r="O30" s="156"/>
      <c r="P30" s="156">
        <v>-52.288654528405814279912717700</v>
      </c>
      <c r="Q30" s="156"/>
      <c r="R30" s="156">
        <v>-62.695917660649735851155024120</v>
      </c>
      <c r="S30" s="156"/>
      <c r="T30" s="243">
        <v>-52.288654528405814279912717700</v>
      </c>
    </row>
    <row r="31" ht="20.1" customHeight="1">
      <c r="B31" s="1105" t="s">
        <v>219</v>
      </c>
      <c r="C31" s="1105"/>
      <c r="D31" s="346"/>
      <c r="E31" s="254">
        <v>156.49951008230028865421226236</v>
      </c>
      <c r="F31" s="241">
        <v>-47.977612276829785628280361150</v>
      </c>
      <c r="G31" s="254">
        <v>136.01134813374033774185195356</v>
      </c>
      <c r="H31" s="241">
        <v>-33.631567007531218595026931230</v>
      </c>
      <c r="I31" s="254">
        <v>105.22702652516394948032352562</v>
      </c>
      <c r="J31" s="241">
        <v>-49.154995484858545272597534030</v>
      </c>
      <c r="K31" s="254">
        <v>136.01134813374033774185195356</v>
      </c>
      <c r="L31" s="241">
        <v>-33.631567007531218595026931230</v>
      </c>
      <c r="M31" s="541"/>
      <c r="N31" s="240">
        <v>-52.443490797655613078410473150</v>
      </c>
      <c r="O31" s="121"/>
      <c r="P31" s="121">
        <v>-51.037256295438304915872384490</v>
      </c>
      <c r="Q31" s="121"/>
      <c r="R31" s="121">
        <v>-54.410551719660675364245279950</v>
      </c>
      <c r="S31" s="121"/>
      <c r="T31" s="241">
        <v>-51.037256295438304915872384490</v>
      </c>
    </row>
    <row r="32" ht="20.1" customHeight="1">
      <c r="B32" s="1106" t="s">
        <v>220</v>
      </c>
      <c r="C32" s="1106"/>
      <c r="D32" s="346"/>
      <c r="E32" s="255">
        <v>186.1466617156229895380417183</v>
      </c>
      <c r="F32" s="243">
        <v>-51.554847130596428886797921220</v>
      </c>
      <c r="G32" s="255">
        <v>143.13721819706064808885812872</v>
      </c>
      <c r="H32" s="243">
        <v>-40.344749134338913476810552220</v>
      </c>
      <c r="I32" s="255">
        <v>121.16891759032154573773375972</v>
      </c>
      <c r="J32" s="243">
        <v>-52.112289670501352038435781680</v>
      </c>
      <c r="K32" s="255">
        <v>143.13721819706064808885812872</v>
      </c>
      <c r="L32" s="243">
        <v>-40.344749134338913476810552220</v>
      </c>
      <c r="M32" s="541"/>
      <c r="N32" s="242">
        <v>-46.977184722045988897343578880</v>
      </c>
      <c r="O32" s="156"/>
      <c r="P32" s="156">
        <v>-49.562612146510507118300459030</v>
      </c>
      <c r="Q32" s="156"/>
      <c r="R32" s="156">
        <v>-49.491305802274694762003991860</v>
      </c>
      <c r="S32" s="156"/>
      <c r="T32" s="243">
        <v>-49.562612146510507118300459030</v>
      </c>
    </row>
    <row r="33" ht="20.1" customHeight="1">
      <c r="B33" s="1107" t="s">
        <v>77</v>
      </c>
      <c r="C33" s="1107"/>
      <c r="D33" s="346"/>
      <c r="E33" s="256">
        <v>118.48046483670607092766980565</v>
      </c>
      <c r="F33" s="245">
        <v>-52.647415940847649206928501590</v>
      </c>
      <c r="G33" s="256">
        <v>119.63449732780395094151697313</v>
      </c>
      <c r="H33" s="245">
        <v>-32.459661600410354232027907820</v>
      </c>
      <c r="I33" s="256">
        <v>84.55202988567827887298586732</v>
      </c>
      <c r="J33" s="245">
        <v>-52.374505537662282903696707580</v>
      </c>
      <c r="K33" s="256">
        <v>119.63449732780395094151697313</v>
      </c>
      <c r="L33" s="245">
        <v>-32.459661600410354232027907820</v>
      </c>
      <c r="M33" s="541"/>
      <c r="N33" s="244">
        <v>-58.275694553266708334472657500</v>
      </c>
      <c r="O33" s="250"/>
      <c r="P33" s="250">
        <v>-53.121318994066380421698618370</v>
      </c>
      <c r="Q33" s="250"/>
      <c r="R33" s="250">
        <v>-58.035221995150918057773961040</v>
      </c>
      <c r="S33" s="250"/>
      <c r="T33" s="245">
        <v>-53.121318994066380421698618370</v>
      </c>
    </row>
    <row r="34" ht="9.95" customHeight="1">
      <c r="B34" s="4"/>
      <c r="C34" s="4"/>
      <c r="D34" s="4"/>
      <c r="E34" s="536"/>
      <c r="F34" s="536"/>
      <c r="G34" s="536"/>
      <c r="H34" s="536"/>
      <c r="I34" s="536"/>
      <c r="J34" s="536"/>
      <c r="K34" s="536"/>
      <c r="L34" s="536"/>
      <c r="M34" s="156"/>
      <c r="N34" s="156"/>
      <c r="O34" s="156"/>
      <c r="P34" s="156"/>
      <c r="Q34" s="156"/>
      <c r="R34" s="156"/>
      <c r="S34" s="156"/>
      <c r="T34" s="156"/>
    </row>
    <row r="35" ht="21" customHeight="1">
      <c r="B35" s="9"/>
      <c r="C35" s="155"/>
      <c r="D35" s="252"/>
      <c r="E35" s="1103" t="s">
        <v>30</v>
      </c>
      <c r="F35" s="1103"/>
      <c r="G35" s="1103"/>
      <c r="H35" s="1103"/>
      <c r="I35" s="1103"/>
      <c r="J35" s="1103"/>
      <c r="K35" s="1103"/>
      <c r="L35" s="1103"/>
      <c r="M35" s="113"/>
      <c r="N35" s="1103" t="s">
        <v>56</v>
      </c>
      <c r="O35" s="1103"/>
      <c r="P35" s="1103"/>
      <c r="Q35" s="1103"/>
      <c r="R35" s="1103"/>
      <c r="S35" s="1103"/>
      <c r="T35" s="1103"/>
      <c r="U35" s="123"/>
    </row>
    <row r="36" ht="24.95" customHeight="1">
      <c r="B36" s="9"/>
      <c r="C36" s="155"/>
      <c r="D36" s="252"/>
      <c r="E36" s="257" t="s">
        <v>31</v>
      </c>
      <c r="F36" s="257"/>
      <c r="G36" s="257"/>
      <c r="H36" s="257" t="s">
        <v>32</v>
      </c>
      <c r="I36" s="257"/>
      <c r="J36" s="257"/>
      <c r="K36" s="257" t="s">
        <v>36</v>
      </c>
      <c r="L36" s="257"/>
      <c r="M36" s="113"/>
      <c r="N36" s="957" t="s">
        <v>216</v>
      </c>
      <c r="O36" s="957"/>
      <c r="P36" s="957"/>
      <c r="Q36" s="957"/>
      <c r="R36" s="957"/>
      <c r="S36" s="957"/>
      <c r="T36" s="957"/>
      <c r="U36" s="123"/>
    </row>
    <row r="37" ht="24.95" customHeight="1">
      <c r="B37" s="9"/>
      <c r="C37" s="155"/>
      <c r="D37" s="252"/>
      <c r="E37" s="257" t="s">
        <v>33</v>
      </c>
      <c r="F37" s="257"/>
      <c r="G37" s="257" t="s">
        <v>34</v>
      </c>
      <c r="H37" s="257" t="s">
        <v>33</v>
      </c>
      <c r="I37" s="257"/>
      <c r="J37" s="257" t="s">
        <v>34</v>
      </c>
      <c r="K37" s="257" t="s">
        <v>34</v>
      </c>
      <c r="L37" s="257"/>
      <c r="M37" s="113"/>
      <c r="N37" s="957" t="s">
        <v>57</v>
      </c>
      <c r="O37" s="957"/>
      <c r="P37" s="957"/>
      <c r="Q37" s="957" t="s">
        <v>58</v>
      </c>
      <c r="R37" s="957"/>
      <c r="S37" s="957"/>
      <c r="T37" s="957"/>
      <c r="U37" s="123"/>
    </row>
    <row r="38" ht="18.95" customHeight="1">
      <c r="B38" s="1108" t="s">
        <v>216</v>
      </c>
      <c r="C38" s="1108"/>
      <c r="D38" s="4"/>
      <c r="E38" s="1109">
        <v>448</v>
      </c>
      <c r="F38" s="1109"/>
      <c r="G38" s="258">
        <v>57388</v>
      </c>
      <c r="H38" s="1110">
        <v>280</v>
      </c>
      <c r="I38" s="1110"/>
      <c r="J38" s="258">
        <v>47247</v>
      </c>
      <c r="K38" s="1111">
        <v>82.32905833972259008852024814</v>
      </c>
      <c r="L38" s="1111"/>
      <c r="N38" s="261" t="s">
        <v>33</v>
      </c>
      <c r="O38" s="957" t="s">
        <v>34</v>
      </c>
      <c r="P38" s="957"/>
      <c r="Q38" s="261" t="s">
        <v>33</v>
      </c>
      <c r="R38" s="261"/>
      <c r="S38" s="957" t="s">
        <v>34</v>
      </c>
      <c r="T38" s="957"/>
      <c r="U38" s="123"/>
    </row>
    <row r="39" ht="18.95" customHeight="1">
      <c r="B39" s="1106" t="s">
        <v>218</v>
      </c>
      <c r="C39" s="1106"/>
      <c r="D39" s="4"/>
      <c r="E39" s="1112">
        <v>81</v>
      </c>
      <c r="F39" s="1112"/>
      <c r="G39" s="4">
        <v>13195</v>
      </c>
      <c r="H39" s="1113">
        <v>56</v>
      </c>
      <c r="I39" s="1113"/>
      <c r="J39" s="4">
        <v>11008</v>
      </c>
      <c r="K39" s="1114">
        <v>83.42553997726411519514967791</v>
      </c>
      <c r="L39" s="1114"/>
      <c r="N39" s="262">
        <v>26</v>
      </c>
      <c r="O39" s="959">
        <v>4244</v>
      </c>
      <c r="P39" s="959"/>
      <c r="Q39" s="959">
        <v>59</v>
      </c>
      <c r="R39" s="959"/>
      <c r="S39" s="959">
        <v>11632</v>
      </c>
      <c r="T39" s="959"/>
      <c r="U39" s="123"/>
    </row>
    <row r="40" ht="18.95" customHeight="1">
      <c r="B40" s="1105" t="s">
        <v>219</v>
      </c>
      <c r="C40" s="1105"/>
      <c r="D40" s="4"/>
      <c r="E40" s="1115">
        <v>186</v>
      </c>
      <c r="F40" s="1115"/>
      <c r="G40" s="120">
        <v>21926</v>
      </c>
      <c r="H40" s="1116">
        <v>100</v>
      </c>
      <c r="I40" s="1116"/>
      <c r="J40" s="120">
        <v>16927</v>
      </c>
      <c r="K40" s="1117">
        <v>77.200583781811547933959682570</v>
      </c>
      <c r="L40" s="1117"/>
      <c r="N40" s="956" t="s">
        <v>74</v>
      </c>
      <c r="O40" s="956"/>
      <c r="P40" s="956"/>
      <c r="Q40" s="956"/>
      <c r="R40" s="956"/>
      <c r="S40" s="956"/>
      <c r="T40" s="956"/>
      <c r="U40" s="123"/>
    </row>
    <row r="41" ht="18.95" customHeight="1">
      <c r="B41" s="1106" t="s">
        <v>220</v>
      </c>
      <c r="C41" s="1106"/>
      <c r="D41" s="4"/>
      <c r="E41" s="1112">
        <v>38</v>
      </c>
      <c r="F41" s="1112"/>
      <c r="G41" s="4">
        <v>7471</v>
      </c>
      <c r="H41" s="1113">
        <v>36</v>
      </c>
      <c r="I41" s="1113"/>
      <c r="J41" s="4">
        <v>7268</v>
      </c>
      <c r="K41" s="1114">
        <v>97.28282693079908981394726275</v>
      </c>
      <c r="L41" s="1114"/>
      <c r="N41" s="956"/>
      <c r="O41" s="956"/>
      <c r="P41" s="956"/>
      <c r="Q41" s="956"/>
      <c r="R41" s="956"/>
      <c r="S41" s="956"/>
      <c r="T41" s="956"/>
      <c r="U41" s="123"/>
    </row>
    <row r="42" ht="18.95" customHeight="1">
      <c r="B42" s="1107" t="s">
        <v>77</v>
      </c>
      <c r="C42" s="1107"/>
      <c r="D42" s="4"/>
      <c r="E42" s="1118">
        <v>5</v>
      </c>
      <c r="F42" s="1118"/>
      <c r="G42" s="260">
        <v>556</v>
      </c>
      <c r="H42" s="1119">
        <v>4</v>
      </c>
      <c r="I42" s="1119"/>
      <c r="J42" s="260">
        <v>483</v>
      </c>
      <c r="K42" s="1120">
        <v>86.87050359712230215827338129</v>
      </c>
      <c r="L42" s="1120"/>
      <c r="N42" s="956"/>
      <c r="O42" s="956"/>
      <c r="P42" s="956"/>
      <c r="Q42" s="956"/>
      <c r="R42" s="956"/>
      <c r="S42" s="956"/>
      <c r="T42" s="956"/>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39.95" customHeight="1">
      <c r="B44" s="1047" t="s">
        <v>129</v>
      </c>
      <c r="C44" s="1047"/>
      <c r="D44" s="1047"/>
      <c r="E44" s="1047"/>
      <c r="F44" s="1047"/>
      <c r="G44" s="1047"/>
      <c r="H44" s="1047"/>
      <c r="I44" s="1047"/>
      <c r="J44" s="1047"/>
      <c r="K44" s="1047"/>
      <c r="L44" s="1047"/>
      <c r="M44" s="1047"/>
      <c r="N44" s="1047"/>
      <c r="O44" s="1047"/>
      <c r="P44" s="1047"/>
      <c r="Q44" s="1047"/>
      <c r="R44" s="1047"/>
      <c r="S44" s="1047"/>
      <c r="T44" s="1047"/>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8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topLeftCell="A34"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7" t="s">
        <v>172</v>
      </c>
      <c r="AA1" s="1013"/>
      <c r="AB1" s="1013"/>
      <c r="AC1" s="1013"/>
      <c r="AD1" s="1013"/>
      <c r="AE1" s="1013"/>
      <c r="AF1" s="1013"/>
      <c r="AH1" s="236"/>
    </row>
    <row r="2" ht="20.1" customHeight="1">
      <c r="A2" s="6"/>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c r="AC2" s="1014"/>
      <c r="AD2" s="1014"/>
      <c r="AE2" s="1014"/>
      <c r="AF2" s="26"/>
    </row>
    <row r="3" ht="20.1" customHeight="1">
      <c r="A3" s="6"/>
      <c r="B3" s="1014" t="s">
        <v>212</v>
      </c>
      <c r="C3" s="1014"/>
      <c r="D3" s="1014"/>
      <c r="E3" s="1014"/>
      <c r="F3" s="1014"/>
      <c r="G3" s="1014"/>
      <c r="H3" s="1014"/>
      <c r="I3" s="1014"/>
      <c r="J3" s="1014"/>
      <c r="K3" s="1014"/>
      <c r="L3" s="1014"/>
      <c r="M3" s="1014"/>
      <c r="N3" s="1014"/>
      <c r="O3" s="1014"/>
      <c r="P3" s="1014"/>
      <c r="Q3" s="1014"/>
      <c r="R3" s="1014"/>
      <c r="S3" s="1014"/>
      <c r="T3" s="1014"/>
      <c r="U3" s="1015"/>
      <c r="V3" s="1015"/>
      <c r="W3" s="1015"/>
      <c r="X3" s="1015"/>
      <c r="Y3" s="1015"/>
      <c r="Z3" s="1015"/>
      <c r="AA3" s="1015"/>
      <c r="AB3" s="1015"/>
      <c r="AC3" s="1015"/>
      <c r="AD3" s="1015"/>
      <c r="AE3" s="1015"/>
      <c r="AF3" s="1015"/>
    </row>
    <row r="4" ht="20.1" customHeight="1">
      <c r="A4" s="6"/>
      <c r="B4" s="1014" t="s">
        <v>213</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c r="AC4" s="1014"/>
      <c r="AD4" s="1014"/>
      <c r="AE4" s="1014"/>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16"/>
      <c r="Y18" s="1016"/>
      <c r="Z18" s="1016"/>
      <c r="AA18" s="1016"/>
      <c r="AB18" s="1016"/>
      <c r="AC18" s="1016"/>
      <c r="AD18" s="1016"/>
      <c r="AE18" s="1016"/>
      <c r="AF18" s="1016"/>
      <c r="AG18" s="1016"/>
    </row>
    <row r="19" s="117" customFormat="1" ht="15.95" customHeight="1">
      <c r="B19" s="979" t="s">
        <v>22</v>
      </c>
      <c r="C19" s="1017">
        <v>2019</v>
      </c>
      <c r="D19" s="1017"/>
      <c r="E19" s="1017"/>
      <c r="F19" s="1017"/>
      <c r="G19" s="1017"/>
      <c r="H19" s="1017"/>
      <c r="I19" s="1017">
        <v>2020</v>
      </c>
      <c r="J19" s="1017"/>
      <c r="K19" s="1017"/>
      <c r="L19" s="1017"/>
      <c r="M19" s="1017"/>
      <c r="N19" s="1017"/>
      <c r="O19" s="1017"/>
      <c r="P19" s="1017"/>
      <c r="Q19" s="1017"/>
      <c r="R19" s="1017"/>
      <c r="S19" s="1017"/>
      <c r="T19" s="1017"/>
      <c r="U19" s="119"/>
      <c r="V19" s="1018" t="s">
        <v>60</v>
      </c>
      <c r="W19" s="1018"/>
      <c r="X19" s="1018"/>
      <c r="Y19" s="119"/>
      <c r="Z19" s="1018" t="s">
        <v>44</v>
      </c>
      <c r="AA19" s="1018"/>
      <c r="AB19" s="1018"/>
      <c r="AC19" s="119"/>
      <c r="AD19" s="1019" t="s">
        <v>45</v>
      </c>
      <c r="AE19" s="1019"/>
      <c r="AF19" s="1019"/>
      <c r="AG19" s="119"/>
      <c r="AH19" s="236"/>
      <c r="AI19" s="236"/>
      <c r="AJ19" s="236"/>
      <c r="AK19" s="236"/>
      <c r="AL19" s="236"/>
      <c r="AM19" s="236"/>
      <c r="AN19" s="236"/>
      <c r="AO19" s="236"/>
      <c r="AP19" s="236"/>
      <c r="AQ19" s="236"/>
      <c r="AR19" s="236"/>
      <c r="AS19" s="236"/>
      <c r="AT19" s="236"/>
      <c r="AU19" s="236"/>
      <c r="AV19" s="236"/>
    </row>
    <row r="20" s="118" customFormat="1" ht="15.95" customHeight="1">
      <c r="B20" s="979"/>
      <c r="C20" s="270" t="s">
        <v>221</v>
      </c>
      <c r="D20" s="270" t="s">
        <v>224</v>
      </c>
      <c r="E20" s="270" t="s">
        <v>226</v>
      </c>
      <c r="F20" s="270" t="s">
        <v>228</v>
      </c>
      <c r="G20" s="270" t="s">
        <v>229</v>
      </c>
      <c r="H20" s="1020" t="s">
        <v>230</v>
      </c>
      <c r="I20" s="270" t="s">
        <v>232</v>
      </c>
      <c r="J20" s="270" t="s">
        <v>233</v>
      </c>
      <c r="K20" s="270" t="s">
        <v>234</v>
      </c>
      <c r="L20" s="270" t="s">
        <v>235</v>
      </c>
      <c r="M20" s="270" t="s">
        <v>236</v>
      </c>
      <c r="N20" s="270" t="s">
        <v>237</v>
      </c>
      <c r="O20" s="270" t="s">
        <v>221</v>
      </c>
      <c r="P20" s="270" t="s">
        <v>224</v>
      </c>
      <c r="Q20" s="270" t="s">
        <v>226</v>
      </c>
      <c r="R20" s="270" t="s">
        <v>228</v>
      </c>
      <c r="S20" s="270" t="s">
        <v>229</v>
      </c>
      <c r="T20" s="1020" t="s">
        <v>230</v>
      </c>
      <c r="U20" s="144"/>
      <c r="V20" s="269">
        <v>2018</v>
      </c>
      <c r="W20" s="270">
        <v>2019</v>
      </c>
      <c r="X20" s="271">
        <v>2020</v>
      </c>
      <c r="Y20" s="144"/>
      <c r="Z20" s="269">
        <v>2018</v>
      </c>
      <c r="AA20" s="270">
        <v>2019</v>
      </c>
      <c r="AB20" s="271">
        <v>2020</v>
      </c>
      <c r="AC20" s="144"/>
      <c r="AD20" s="269">
        <v>2018</v>
      </c>
      <c r="AE20" s="270">
        <v>2019</v>
      </c>
      <c r="AF20" s="271">
        <v>2020</v>
      </c>
      <c r="AG20" s="144"/>
      <c r="AH20" s="236"/>
      <c r="AI20" s="236"/>
      <c r="AJ20" s="236"/>
      <c r="AK20" s="236"/>
      <c r="AL20" s="236"/>
      <c r="AM20" s="236"/>
      <c r="AN20" s="236"/>
      <c r="AO20" s="236"/>
      <c r="AP20" s="236"/>
      <c r="AQ20" s="236"/>
      <c r="AR20" s="236"/>
      <c r="AS20" s="236"/>
      <c r="AT20" s="236"/>
      <c r="AU20" s="236"/>
      <c r="AV20" s="236"/>
    </row>
    <row r="21" ht="21.95" customHeight="1">
      <c r="B21" s="264" t="s">
        <v>19</v>
      </c>
      <c r="C21" s="574">
        <v>61.094819159335288367546432060</v>
      </c>
      <c r="D21" s="575">
        <v>68.352883675464320625610948190</v>
      </c>
      <c r="E21" s="575">
        <v>53.383838383838383838383838380</v>
      </c>
      <c r="F21" s="575">
        <v>66.739980449657869012707722390</v>
      </c>
      <c r="G21" s="575">
        <v>74.898989898989898989898989900</v>
      </c>
      <c r="H21" s="1021">
        <v>85.16617790811339198435972630</v>
      </c>
      <c r="I21" s="575">
        <v>87.02346041055718475073313783</v>
      </c>
      <c r="J21" s="575">
        <v>87.51306165099268547544409613</v>
      </c>
      <c r="K21" s="575">
        <v>39.687194525904203323558162270</v>
      </c>
      <c r="L21" s="575"/>
      <c r="M21" s="575"/>
      <c r="N21" s="575">
        <v>18.131313131313131313131313130</v>
      </c>
      <c r="O21" s="575">
        <v>13.098729227761485826001955030</v>
      </c>
      <c r="P21" s="575">
        <v>25.537634408602150537634408600</v>
      </c>
      <c r="Q21" s="575">
        <v>47.424242424242424242424242420</v>
      </c>
      <c r="R21" s="575">
        <v>52.908113391984359726295210170</v>
      </c>
      <c r="S21" s="575">
        <v>51.843434343434343434343434340</v>
      </c>
      <c r="T21" s="1021">
        <v>71.676441837732160312805474100</v>
      </c>
      <c r="U21" s="113"/>
      <c r="V21" s="574">
        <v>39.542562615768704195860513810</v>
      </c>
      <c r="W21" s="575">
        <v>67.588210875882108758821087590</v>
      </c>
      <c r="X21" s="576">
        <v>49.336810730253353204172876300</v>
      </c>
      <c r="Y21" s="113"/>
      <c r="Z21" s="574">
        <v>47.167325428194993412384716730</v>
      </c>
      <c r="AA21" s="575">
        <v>75.609354413702239789196310940</v>
      </c>
      <c r="AB21" s="576">
        <v>58.885046113306982872200263500</v>
      </c>
      <c r="AC21" s="113"/>
      <c r="AD21" s="574">
        <v>39.542562615768704195860513810</v>
      </c>
      <c r="AE21" s="575">
        <v>67.588210875882108758821087590</v>
      </c>
      <c r="AF21" s="576">
        <v>49.336810730253353204172876300</v>
      </c>
      <c r="AG21" s="113"/>
    </row>
    <row r="22" ht="21.95" customHeight="1">
      <c r="B22" s="38" t="s">
        <v>35</v>
      </c>
      <c r="C22" s="272">
        <v>81.20750472879709626297224068</v>
      </c>
      <c r="D22" s="92">
        <v>78.825213434895966463882214610</v>
      </c>
      <c r="E22" s="92">
        <v>66.524035921817221341785525620</v>
      </c>
      <c r="F22" s="92">
        <v>79.116609580287306374929707070</v>
      </c>
      <c r="G22" s="92">
        <v>89.62493396724775488642366614</v>
      </c>
      <c r="H22" s="1022">
        <v>86.63156280353765144931240734</v>
      </c>
      <c r="I22" s="92">
        <v>90.90537293594397014467563008</v>
      </c>
      <c r="J22" s="92">
        <v>92.90671621400073188815938420</v>
      </c>
      <c r="K22" s="92">
        <v>43.724758447932109810336894840</v>
      </c>
      <c r="L22" s="92"/>
      <c r="M22" s="92"/>
      <c r="N22" s="92">
        <v>18.181026979982593559617058310</v>
      </c>
      <c r="O22" s="92">
        <v>18.975827507790785816558578290</v>
      </c>
      <c r="P22" s="92">
        <v>32.359134169965467868272551170</v>
      </c>
      <c r="Q22" s="92">
        <v>42.360248447204968944099378880</v>
      </c>
      <c r="R22" s="92">
        <v>46.490349295398383757430040740</v>
      </c>
      <c r="S22" s="92">
        <v>59.503105590062111801242236020</v>
      </c>
      <c r="T22" s="1022">
        <v>66.606558471916115674881453280</v>
      </c>
      <c r="U22" s="113"/>
      <c r="V22" s="272">
        <v>83.55686776805679178516379741</v>
      </c>
      <c r="W22" s="92">
        <v>84.41048129735362438399583180</v>
      </c>
      <c r="X22" s="273">
        <v>54.684750901975581766615490290</v>
      </c>
      <c r="Y22" s="113"/>
      <c r="Z22" s="272">
        <v>83.51477985254599324743333563</v>
      </c>
      <c r="AA22" s="92">
        <v>85.07544959691311238200234273</v>
      </c>
      <c r="AB22" s="273">
        <v>57.511927266180574309118732560</v>
      </c>
      <c r="AC22" s="113"/>
      <c r="AD22" s="272">
        <v>83.55686776805679178516379741</v>
      </c>
      <c r="AE22" s="92">
        <v>84.41048129735362438399583180</v>
      </c>
      <c r="AF22" s="273">
        <v>54.684750901975581766615490290</v>
      </c>
      <c r="AG22" s="113"/>
    </row>
    <row r="23" ht="21.95" customHeight="1">
      <c r="B23" s="40" t="s">
        <v>100</v>
      </c>
      <c r="C23" s="577">
        <v>75.232971833538405776366116310</v>
      </c>
      <c r="D23" s="113">
        <v>86.71449235201748334895750422</v>
      </c>
      <c r="E23" s="113">
        <v>80.24744386612090892246534269</v>
      </c>
      <c r="F23" s="113">
        <v>84.35647179993264252762831208</v>
      </c>
      <c r="G23" s="113">
        <v>83.56936689778844676876033707</v>
      </c>
      <c r="H23" s="1023">
        <v>98.30848613599705302762071322</v>
      </c>
      <c r="I23" s="113">
        <v>95.72972157748898273023793213</v>
      </c>
      <c r="J23" s="113">
        <v>94.19454827077911437234657192</v>
      </c>
      <c r="K23" s="113">
        <v>90.76595488380826858553971848</v>
      </c>
      <c r="L23" s="113"/>
      <c r="M23" s="113"/>
      <c r="N23" s="113">
        <v>99.72656193335944413014781612</v>
      </c>
      <c r="O23" s="113">
        <v>69.028500719579281496724905480</v>
      </c>
      <c r="P23" s="113">
        <v>78.919399618254381398577129950</v>
      </c>
      <c r="Q23" s="113">
        <v>111.95458988714120678930063094</v>
      </c>
      <c r="R23" s="113">
        <v>113.80450823418787791722714867</v>
      </c>
      <c r="S23" s="113">
        <v>87.12727483604310326648531242</v>
      </c>
      <c r="T23" s="1023">
        <v>107.61168792102312607677091785</v>
      </c>
      <c r="U23" s="113"/>
      <c r="V23" s="577">
        <v>47.324132261077347731649800660</v>
      </c>
      <c r="W23" s="113">
        <v>80.07087489264332019334334030</v>
      </c>
      <c r="X23" s="578">
        <v>90.22041778829969047291190865</v>
      </c>
      <c r="Y23" s="113"/>
      <c r="Z23" s="577">
        <v>56.477818071811718938487636150</v>
      </c>
      <c r="AA23" s="113">
        <v>88.87329396663647898765741157</v>
      </c>
      <c r="AB23" s="578">
        <v>102.38753752899159066008338194</v>
      </c>
      <c r="AC23" s="113"/>
      <c r="AD23" s="577">
        <v>47.324132261077347731649800660</v>
      </c>
      <c r="AE23" s="113">
        <v>80.07087489264332019334334030</v>
      </c>
      <c r="AF23" s="578">
        <v>90.22041778829969047291190865</v>
      </c>
      <c r="AG23" s="113"/>
    </row>
    <row r="24" ht="21.95" customHeight="1">
      <c r="A24" s="23"/>
      <c r="B24" s="39" t="s">
        <v>23</v>
      </c>
      <c r="C24" s="274" t="s">
        <v>317</v>
      </c>
      <c r="D24" s="275" t="s">
        <v>317</v>
      </c>
      <c r="E24" s="275" t="s">
        <v>319</v>
      </c>
      <c r="F24" s="275" t="s">
        <v>319</v>
      </c>
      <c r="G24" s="275" t="s">
        <v>319</v>
      </c>
      <c r="H24" s="1024" t="s">
        <v>322</v>
      </c>
      <c r="I24" s="275" t="s">
        <v>317</v>
      </c>
      <c r="J24" s="275" t="s">
        <v>317</v>
      </c>
      <c r="K24" s="275" t="s">
        <v>322</v>
      </c>
      <c r="L24" s="275"/>
      <c r="M24" s="275"/>
      <c r="N24" s="275" t="s">
        <v>240</v>
      </c>
      <c r="O24" s="275" t="s">
        <v>323</v>
      </c>
      <c r="P24" s="275" t="s">
        <v>239</v>
      </c>
      <c r="Q24" s="275" t="s">
        <v>309</v>
      </c>
      <c r="R24" s="275" t="s">
        <v>309</v>
      </c>
      <c r="S24" s="275" t="s">
        <v>310</v>
      </c>
      <c r="T24" s="1024" t="s">
        <v>308</v>
      </c>
      <c r="U24" s="113"/>
      <c r="V24" s="274" t="s">
        <v>319</v>
      </c>
      <c r="W24" s="275" t="s">
        <v>319</v>
      </c>
      <c r="X24" s="276" t="s">
        <v>222</v>
      </c>
      <c r="Y24" s="113"/>
      <c r="Z24" s="274" t="s">
        <v>319</v>
      </c>
      <c r="AA24" s="275" t="s">
        <v>319</v>
      </c>
      <c r="AB24" s="276" t="s">
        <v>309</v>
      </c>
      <c r="AC24" s="113"/>
      <c r="AD24" s="274" t="s">
        <v>319</v>
      </c>
      <c r="AE24" s="275" t="s">
        <v>319</v>
      </c>
      <c r="AF24" s="276" t="s">
        <v>222</v>
      </c>
      <c r="AG24" s="113"/>
    </row>
    <row r="25" ht="21.95" customHeight="1">
      <c r="B25" s="25" t="s">
        <v>70</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4">
        <v>37.489128766562643883971965010</v>
      </c>
      <c r="D26" s="575">
        <v>50.934943024948546759700818220</v>
      </c>
      <c r="E26" s="575">
        <v>44.103612815269256987048398060</v>
      </c>
      <c r="F26" s="575">
        <v>46.120920278223649010165864110</v>
      </c>
      <c r="G26" s="575">
        <v>65.790944661822247065399664610</v>
      </c>
      <c r="H26" s="1021">
        <v>68.357487922705314009661835750</v>
      </c>
      <c r="I26" s="575">
        <v>25.210970464135021097046413510</v>
      </c>
      <c r="J26" s="575">
        <v>22.750768828109664332918929530</v>
      </c>
      <c r="K26" s="575">
        <v>-46.278531260337413165729407870</v>
      </c>
      <c r="L26" s="575"/>
      <c r="M26" s="575"/>
      <c r="N26" s="575">
        <v>-67.003676470588235294117647060</v>
      </c>
      <c r="O26" s="575">
        <v>-78.560000000000000000000000010</v>
      </c>
      <c r="P26" s="575">
        <v>-62.638541294243832677869145520</v>
      </c>
      <c r="Q26" s="575">
        <v>-11.163670766319772942289498580</v>
      </c>
      <c r="R26" s="575">
        <v>-20.725009154155986818015378980</v>
      </c>
      <c r="S26" s="575">
        <v>-30.782198246797033041132838850</v>
      </c>
      <c r="T26" s="1021">
        <v>-15.839311334289813486370157820</v>
      </c>
      <c r="U26" s="113"/>
      <c r="V26" s="574">
        <v>-38.629104276918286794761217130</v>
      </c>
      <c r="W26" s="575">
        <v>70.925216791411027384578705630</v>
      </c>
      <c r="X26" s="576">
        <v>-27.003821981832497316759329930</v>
      </c>
      <c r="Y26" s="113"/>
      <c r="Z26" s="574">
        <v>-4.9305125254492343099938036600</v>
      </c>
      <c r="AA26" s="575">
        <v>60.300279329608938547486033540</v>
      </c>
      <c r="AB26" s="576">
        <v>-22.119363972990633848834676550</v>
      </c>
      <c r="AC26" s="113"/>
      <c r="AD26" s="574">
        <v>-38.629104276918286794761217130</v>
      </c>
      <c r="AE26" s="575">
        <v>70.925216791411027384578705630</v>
      </c>
      <c r="AF26" s="576">
        <v>-27.003821981832497316759329930</v>
      </c>
      <c r="AG26" s="113"/>
    </row>
    <row r="27" ht="21.95" customHeight="1">
      <c r="B27" s="38" t="s">
        <v>35</v>
      </c>
      <c r="C27" s="272">
        <v>-4.0876705711870547035382200300</v>
      </c>
      <c r="D27" s="92">
        <v>-1.1982570806100217864923747200</v>
      </c>
      <c r="E27" s="92">
        <v>-1.029550455831499528450172900</v>
      </c>
      <c r="F27" s="92">
        <v>3.3041853013817502169414591800</v>
      </c>
      <c r="G27" s="92">
        <v>3.7422037422037422037422037400</v>
      </c>
      <c r="H27" s="1022">
        <v>-1.1722167142940456056453023900</v>
      </c>
      <c r="I27" s="92">
        <v>1.49543378995433789954337900</v>
      </c>
      <c r="J27" s="92">
        <v>-0.6671187855391872314674735200</v>
      </c>
      <c r="K27" s="92">
        <v>-53.234184482475805128765924880</v>
      </c>
      <c r="L27" s="92"/>
      <c r="M27" s="92"/>
      <c r="N27" s="92">
        <v>-77.794255066064230203009812650</v>
      </c>
      <c r="O27" s="92">
        <v>-76.632913951533172089537151400</v>
      </c>
      <c r="P27" s="92">
        <v>-58.948244146916498023783684190</v>
      </c>
      <c r="Q27" s="92">
        <v>-36.323393702406887785928591900</v>
      </c>
      <c r="R27" s="92">
        <v>-41.238193165721905874961939330</v>
      </c>
      <c r="S27" s="92">
        <v>-33.608759352830615560679268660</v>
      </c>
      <c r="T27" s="1022">
        <v>-23.115136889581544983101846590</v>
      </c>
      <c r="U27" s="113"/>
      <c r="V27" s="272">
        <v>7.8280748348489687515758686300</v>
      </c>
      <c r="W27" s="92">
        <v>1.0215958928311612728897757300</v>
      </c>
      <c r="X27" s="273">
        <v>-35.215686415366976417992661670</v>
      </c>
      <c r="Y27" s="113"/>
      <c r="Z27" s="272">
        <v>6.3434963807852599254222417200</v>
      </c>
      <c r="AA27" s="92">
        <v>1.8687347881688049172888907300</v>
      </c>
      <c r="AB27" s="273">
        <v>-32.398914682588590350025093900</v>
      </c>
      <c r="AC27" s="113"/>
      <c r="AD27" s="272">
        <v>7.8280748348489687515758686300</v>
      </c>
      <c r="AE27" s="92">
        <v>1.0215958928311612728897757300</v>
      </c>
      <c r="AF27" s="273">
        <v>-35.215686415366976417992661670</v>
      </c>
      <c r="AG27" s="113"/>
    </row>
    <row r="28" ht="21.95" customHeight="1">
      <c r="B28" s="40" t="s">
        <v>100</v>
      </c>
      <c r="C28" s="577">
        <v>43.348753580850519861903914660</v>
      </c>
      <c r="D28" s="113">
        <v>52.765466038481550083137101580</v>
      </c>
      <c r="E28" s="113">
        <v>45.602665723932821877487796160</v>
      </c>
      <c r="F28" s="113">
        <v>41.447241321276071712412432830</v>
      </c>
      <c r="G28" s="113">
        <v>59.810509784241484646206891120</v>
      </c>
      <c r="H28" s="1023">
        <v>70.354410799635785396180307900</v>
      </c>
      <c r="I28" s="113">
        <v>23.366111940819118750436011950</v>
      </c>
      <c r="J28" s="113">
        <v>23.575161947723400512063065060</v>
      </c>
      <c r="K28" s="113">
        <v>14.873370955184034913126956560</v>
      </c>
      <c r="L28" s="113"/>
      <c r="M28" s="113"/>
      <c r="N28" s="113">
        <v>48.593634789461041096399019610</v>
      </c>
      <c r="O28" s="113">
        <v>-8.247010536400488730293048300</v>
      </c>
      <c r="P28" s="113">
        <v>-8.989377118324031523714721960</v>
      </c>
      <c r="Q28" s="113">
        <v>39.511720864178839925282282040</v>
      </c>
      <c r="R28" s="113">
        <v>34.909042312837400150879623310</v>
      </c>
      <c r="S28" s="113">
        <v>4.2574307671927712610499848800</v>
      </c>
      <c r="T28" s="1023">
        <v>9.463274383206652951680494640</v>
      </c>
      <c r="U28" s="113"/>
      <c r="V28" s="577">
        <v>-43.084492775116072203453569380</v>
      </c>
      <c r="W28" s="113">
        <v>69.196710149716083298173264880</v>
      </c>
      <c r="X28" s="578">
        <v>12.675698759710793231980584920</v>
      </c>
      <c r="Y28" s="113"/>
      <c r="Z28" s="577">
        <v>-10.601502950274959617850284820</v>
      </c>
      <c r="AA28" s="113">
        <v>57.359644902771939715299624950</v>
      </c>
      <c r="AB28" s="578">
        <v>15.206191825666361232609750980</v>
      </c>
      <c r="AC28" s="113"/>
      <c r="AD28" s="577">
        <v>-43.084492775116072203453569380</v>
      </c>
      <c r="AE28" s="113">
        <v>69.196710149716083298173264880</v>
      </c>
      <c r="AF28" s="578">
        <v>12.675698759710793231980584920</v>
      </c>
      <c r="AG28" s="113"/>
    </row>
    <row r="29" ht="21.95" customHeight="1">
      <c r="A29" s="23"/>
      <c r="B29" s="39" t="s">
        <v>23</v>
      </c>
      <c r="C29" s="274" t="s">
        <v>324</v>
      </c>
      <c r="D29" s="275" t="s">
        <v>324</v>
      </c>
      <c r="E29" s="275" t="s">
        <v>324</v>
      </c>
      <c r="F29" s="275" t="s">
        <v>324</v>
      </c>
      <c r="G29" s="275" t="s">
        <v>324</v>
      </c>
      <c r="H29" s="1024" t="s">
        <v>324</v>
      </c>
      <c r="I29" s="275" t="s">
        <v>324</v>
      </c>
      <c r="J29" s="275" t="s">
        <v>324</v>
      </c>
      <c r="K29" s="275" t="s">
        <v>324</v>
      </c>
      <c r="L29" s="275"/>
      <c r="M29" s="275"/>
      <c r="N29" s="275" t="s">
        <v>238</v>
      </c>
      <c r="O29" s="275" t="s">
        <v>240</v>
      </c>
      <c r="P29" s="275" t="s">
        <v>240</v>
      </c>
      <c r="Q29" s="275" t="s">
        <v>308</v>
      </c>
      <c r="R29" s="275" t="s">
        <v>308</v>
      </c>
      <c r="S29" s="275" t="s">
        <v>307</v>
      </c>
      <c r="T29" s="1024" t="s">
        <v>308</v>
      </c>
      <c r="U29" s="113"/>
      <c r="V29" s="274" t="s">
        <v>319</v>
      </c>
      <c r="W29" s="275" t="s">
        <v>324</v>
      </c>
      <c r="X29" s="276" t="s">
        <v>223</v>
      </c>
      <c r="Y29" s="113"/>
      <c r="Z29" s="274" t="s">
        <v>317</v>
      </c>
      <c r="AA29" s="275" t="s">
        <v>324</v>
      </c>
      <c r="AB29" s="276" t="s">
        <v>308</v>
      </c>
      <c r="AC29" s="113"/>
      <c r="AD29" s="274" t="s">
        <v>319</v>
      </c>
      <c r="AE29" s="275" t="s">
        <v>324</v>
      </c>
      <c r="AF29" s="276" t="s">
        <v>223</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79" t="s">
        <v>9</v>
      </c>
      <c r="C31" s="1017">
        <v>2019</v>
      </c>
      <c r="D31" s="1017"/>
      <c r="E31" s="1017"/>
      <c r="F31" s="1017"/>
      <c r="G31" s="1017"/>
      <c r="H31" s="1017"/>
      <c r="I31" s="1017">
        <v>2020</v>
      </c>
      <c r="J31" s="1017"/>
      <c r="K31" s="1017"/>
      <c r="L31" s="1017"/>
      <c r="M31" s="1017"/>
      <c r="N31" s="1017"/>
      <c r="O31" s="1017"/>
      <c r="P31" s="1017"/>
      <c r="Q31" s="1017"/>
      <c r="R31" s="1017"/>
      <c r="S31" s="1017"/>
      <c r="T31" s="1017"/>
      <c r="U31" s="119"/>
      <c r="V31" s="1018" t="s">
        <v>60</v>
      </c>
      <c r="W31" s="1018"/>
      <c r="X31" s="1018"/>
      <c r="Y31" s="119"/>
      <c r="Z31" s="1018" t="s">
        <v>44</v>
      </c>
      <c r="AA31" s="1018"/>
      <c r="AB31" s="1018"/>
      <c r="AC31" s="119"/>
      <c r="AD31" s="1019" t="s">
        <v>45</v>
      </c>
      <c r="AE31" s="1019"/>
      <c r="AF31" s="1019"/>
      <c r="AG31" s="119"/>
      <c r="AH31" s="236"/>
      <c r="AI31" s="236"/>
      <c r="AJ31" s="236"/>
      <c r="AK31" s="236"/>
      <c r="AL31" s="236"/>
      <c r="AM31" s="236"/>
      <c r="AN31" s="236"/>
      <c r="AO31" s="236"/>
      <c r="AP31" s="236"/>
      <c r="AQ31" s="236"/>
      <c r="AR31" s="236"/>
      <c r="AS31" s="236"/>
      <c r="AT31" s="236"/>
      <c r="AU31" s="236"/>
      <c r="AV31" s="236"/>
    </row>
    <row r="32" s="118" customFormat="1" ht="15.95" customHeight="1">
      <c r="B32" s="979"/>
      <c r="C32" s="270" t="s">
        <v>221</v>
      </c>
      <c r="D32" s="270" t="s">
        <v>224</v>
      </c>
      <c r="E32" s="270" t="s">
        <v>226</v>
      </c>
      <c r="F32" s="270" t="s">
        <v>228</v>
      </c>
      <c r="G32" s="270" t="s">
        <v>229</v>
      </c>
      <c r="H32" s="1020" t="s">
        <v>230</v>
      </c>
      <c r="I32" s="270" t="s">
        <v>232</v>
      </c>
      <c r="J32" s="270" t="s">
        <v>233</v>
      </c>
      <c r="K32" s="270" t="s">
        <v>234</v>
      </c>
      <c r="L32" s="270" t="s">
        <v>235</v>
      </c>
      <c r="M32" s="270" t="s">
        <v>236</v>
      </c>
      <c r="N32" s="270" t="s">
        <v>237</v>
      </c>
      <c r="O32" s="270" t="s">
        <v>221</v>
      </c>
      <c r="P32" s="270" t="s">
        <v>224</v>
      </c>
      <c r="Q32" s="270" t="s">
        <v>226</v>
      </c>
      <c r="R32" s="270" t="s">
        <v>228</v>
      </c>
      <c r="S32" s="270" t="s">
        <v>229</v>
      </c>
      <c r="T32" s="1020" t="s">
        <v>230</v>
      </c>
      <c r="U32" s="144"/>
      <c r="V32" s="269">
        <v>2018</v>
      </c>
      <c r="W32" s="270">
        <v>2019</v>
      </c>
      <c r="X32" s="271">
        <v>2020</v>
      </c>
      <c r="Y32" s="144"/>
      <c r="Z32" s="269">
        <v>2018</v>
      </c>
      <c r="AA32" s="270">
        <v>2019</v>
      </c>
      <c r="AB32" s="271">
        <v>2020</v>
      </c>
      <c r="AC32" s="144"/>
      <c r="AD32" s="269">
        <v>2018</v>
      </c>
      <c r="AE32" s="270">
        <v>2019</v>
      </c>
      <c r="AF32" s="271">
        <v>2020</v>
      </c>
      <c r="AG32" s="144"/>
      <c r="AH32" s="236"/>
      <c r="AI32" s="236"/>
      <c r="AJ32" s="236"/>
      <c r="AK32" s="236"/>
      <c r="AL32" s="236"/>
      <c r="AM32" s="236"/>
      <c r="AN32" s="236"/>
      <c r="AO32" s="236"/>
      <c r="AP32" s="236"/>
      <c r="AQ32" s="236"/>
      <c r="AR32" s="236"/>
      <c r="AS32" s="236"/>
      <c r="AT32" s="236"/>
      <c r="AU32" s="236"/>
      <c r="AV32" s="236"/>
    </row>
    <row r="33" ht="21.95" customHeight="1">
      <c r="B33" s="264" t="s">
        <v>19</v>
      </c>
      <c r="C33" s="579">
        <v>157.459600000</v>
      </c>
      <c r="D33" s="580">
        <v>135.79799785484447622452627816</v>
      </c>
      <c r="E33" s="580">
        <v>123.77199621570482497634815516</v>
      </c>
      <c r="F33" s="580">
        <v>143.73379714390333211277920176</v>
      </c>
      <c r="G33" s="580">
        <v>169.70768712070128118678354686</v>
      </c>
      <c r="H33" s="1025">
        <v>250.6255380200860832137733142</v>
      </c>
      <c r="I33" s="580">
        <v>311.19657399606852007862959843</v>
      </c>
      <c r="J33" s="580">
        <v>334.91791044776119402985074627</v>
      </c>
      <c r="K33" s="580">
        <v>223.30911330049261083743842365</v>
      </c>
      <c r="L33" s="580"/>
      <c r="M33" s="580"/>
      <c r="N33" s="580">
        <v>125.16016713091922005571030641</v>
      </c>
      <c r="O33" s="580">
        <v>137.33955223880597014925373134</v>
      </c>
      <c r="P33" s="580">
        <v>110.25358851674641148325358852</v>
      </c>
      <c r="Q33" s="580">
        <v>112.30937167199148029818956337</v>
      </c>
      <c r="R33" s="580">
        <v>119.25265588914549653579676674</v>
      </c>
      <c r="S33" s="580">
        <v>126.34193862640038967364831953</v>
      </c>
      <c r="T33" s="1025">
        <v>165.20900102284350494374360723</v>
      </c>
      <c r="U33" s="113"/>
      <c r="V33" s="579">
        <v>180.11384928716904276985743381</v>
      </c>
      <c r="W33" s="580">
        <v>194.69180690332882938213978627</v>
      </c>
      <c r="X33" s="581">
        <v>205.63515078286260887076473846</v>
      </c>
      <c r="Y33" s="113"/>
      <c r="Z33" s="579">
        <v>204.15642458100558659217877095</v>
      </c>
      <c r="AA33" s="580">
        <v>192.69440209104770202570246134</v>
      </c>
      <c r="AB33" s="581">
        <v>140.13704377010208362466787862</v>
      </c>
      <c r="AC33" s="113"/>
      <c r="AD33" s="579">
        <v>180.11384928716904276985743381</v>
      </c>
      <c r="AE33" s="580">
        <v>194.69180690332882938213978627</v>
      </c>
      <c r="AF33" s="581">
        <v>205.63515078286260887076473846</v>
      </c>
      <c r="AG33" s="113"/>
    </row>
    <row r="34" ht="21.95" customHeight="1">
      <c r="B34" s="38" t="s">
        <v>35</v>
      </c>
      <c r="C34" s="277">
        <v>165.32644633301857097891092226</v>
      </c>
      <c r="D34" s="94">
        <v>148.70800635579479862507296193</v>
      </c>
      <c r="E34" s="94">
        <v>134.72185658699277376320177876</v>
      </c>
      <c r="F34" s="94">
        <v>152.8289816490049108296717498</v>
      </c>
      <c r="G34" s="94">
        <v>179.5799770128492278674997053</v>
      </c>
      <c r="H34" s="1026">
        <v>288.819769267083677564026909</v>
      </c>
      <c r="I34" s="94">
        <v>299.17655381846811382296704533</v>
      </c>
      <c r="J34" s="94">
        <v>335.59768013646256102582201047</v>
      </c>
      <c r="K34" s="94">
        <v>253.97083245644802993101835612</v>
      </c>
      <c r="L34" s="94"/>
      <c r="M34" s="94"/>
      <c r="N34" s="94">
        <v>115.91574916227860220201053137</v>
      </c>
      <c r="O34" s="94">
        <v>124.91655570350643586329338657</v>
      </c>
      <c r="P34" s="94">
        <v>103.23243102550754815200416449</v>
      </c>
      <c r="Q34" s="94">
        <v>124.3186705767350928641251222</v>
      </c>
      <c r="R34" s="94">
        <v>128.85117080879184025283723603</v>
      </c>
      <c r="S34" s="94">
        <v>125.98155880306193458594293668</v>
      </c>
      <c r="T34" s="1026">
        <v>177.88107891306527624586383236</v>
      </c>
      <c r="U34" s="113"/>
      <c r="V34" s="277">
        <v>214.48230550186028143252062938</v>
      </c>
      <c r="W34" s="94">
        <v>209.84412766832981842497813898</v>
      </c>
      <c r="X34" s="278">
        <v>218.77122114399527526419462987</v>
      </c>
      <c r="Y34" s="113"/>
      <c r="Z34" s="277">
        <v>218.71700651788292562188028547</v>
      </c>
      <c r="AA34" s="94">
        <v>208.67974042277476310034826274</v>
      </c>
      <c r="AB34" s="278">
        <v>147.01651275629989043668805761</v>
      </c>
      <c r="AC34" s="113"/>
      <c r="AD34" s="277">
        <v>214.48230550186028143252062938</v>
      </c>
      <c r="AE34" s="94">
        <v>209.84412766832981842497813898</v>
      </c>
      <c r="AF34" s="278">
        <v>218.77122114399527526419462987</v>
      </c>
      <c r="AG34" s="113"/>
    </row>
    <row r="35" ht="21.95" customHeight="1">
      <c r="B35" s="40" t="s">
        <v>101</v>
      </c>
      <c r="C35" s="577">
        <v>95.24162860358571395607039283</v>
      </c>
      <c r="D35" s="113">
        <v>91.31855182695262462498979451</v>
      </c>
      <c r="E35" s="113">
        <v>91.87224653171448049325447383</v>
      </c>
      <c r="F35" s="113">
        <v>94.04878288989057159378254038</v>
      </c>
      <c r="G35" s="113">
        <v>94.50256645737204381201166386</v>
      </c>
      <c r="H35" s="1023">
        <v>86.77575591729048265940902421</v>
      </c>
      <c r="I35" s="113">
        <v>104.01770126174185933602972179</v>
      </c>
      <c r="J35" s="113">
        <v>99.79744505730046902181233853</v>
      </c>
      <c r="K35" s="113">
        <v>87.92707065634656386466064799</v>
      </c>
      <c r="L35" s="113"/>
      <c r="M35" s="113"/>
      <c r="N35" s="113">
        <v>107.97511816595233109353735321</v>
      </c>
      <c r="O35" s="113">
        <v>109.94503608055438721499612943</v>
      </c>
      <c r="P35" s="113">
        <v>106.80130984177251037359790810</v>
      </c>
      <c r="Q35" s="113">
        <v>90.33990723273465878143069031</v>
      </c>
      <c r="R35" s="113">
        <v>92.55069638917754184378111780</v>
      </c>
      <c r="S35" s="113">
        <v>100.28605759982840932360373250</v>
      </c>
      <c r="T35" s="1023">
        <v>92.87609566590558074168521195</v>
      </c>
      <c r="U35" s="113"/>
      <c r="V35" s="577">
        <v>83.97608784823830197025714280</v>
      </c>
      <c r="W35" s="113">
        <v>92.77924956329963870739255331</v>
      </c>
      <c r="X35" s="578">
        <v>93.99552176358402212842975133</v>
      </c>
      <c r="Y35" s="113"/>
      <c r="Z35" s="577">
        <v>93.34272987332293962952524208</v>
      </c>
      <c r="AA35" s="113">
        <v>92.33977467130179403698265720</v>
      </c>
      <c r="AB35" s="578">
        <v>95.32061476821894575287604143</v>
      </c>
      <c r="AC35" s="113"/>
      <c r="AD35" s="577">
        <v>83.97608784823830197025714280</v>
      </c>
      <c r="AE35" s="113">
        <v>92.77924956329963870739255331</v>
      </c>
      <c r="AF35" s="578">
        <v>93.99552176358402212842975133</v>
      </c>
      <c r="AG35" s="113"/>
    </row>
    <row r="36" ht="21.95" customHeight="1">
      <c r="A36" s="23"/>
      <c r="B36" s="39" t="s">
        <v>23</v>
      </c>
      <c r="C36" s="274" t="s">
        <v>318</v>
      </c>
      <c r="D36" s="275" t="s">
        <v>317</v>
      </c>
      <c r="E36" s="275" t="s">
        <v>318</v>
      </c>
      <c r="F36" s="275" t="s">
        <v>320</v>
      </c>
      <c r="G36" s="275" t="s">
        <v>321</v>
      </c>
      <c r="H36" s="1024" t="s">
        <v>320</v>
      </c>
      <c r="I36" s="275" t="s">
        <v>321</v>
      </c>
      <c r="J36" s="275" t="s">
        <v>318</v>
      </c>
      <c r="K36" s="275" t="s">
        <v>317</v>
      </c>
      <c r="L36" s="275"/>
      <c r="M36" s="275"/>
      <c r="N36" s="275" t="s">
        <v>240</v>
      </c>
      <c r="O36" s="275" t="s">
        <v>240</v>
      </c>
      <c r="P36" s="275" t="s">
        <v>238</v>
      </c>
      <c r="Q36" s="275" t="s">
        <v>307</v>
      </c>
      <c r="R36" s="275" t="s">
        <v>307</v>
      </c>
      <c r="S36" s="275" t="s">
        <v>307</v>
      </c>
      <c r="T36" s="1024" t="s">
        <v>307</v>
      </c>
      <c r="U36" s="113"/>
      <c r="V36" s="274" t="s">
        <v>319</v>
      </c>
      <c r="W36" s="275" t="s">
        <v>318</v>
      </c>
      <c r="X36" s="276" t="s">
        <v>225</v>
      </c>
      <c r="Y36" s="113"/>
      <c r="Z36" s="274" t="s">
        <v>318</v>
      </c>
      <c r="AA36" s="275" t="s">
        <v>318</v>
      </c>
      <c r="AB36" s="276" t="s">
        <v>307</v>
      </c>
      <c r="AC36" s="113"/>
      <c r="AD36" s="274" t="s">
        <v>319</v>
      </c>
      <c r="AE36" s="275" t="s">
        <v>318</v>
      </c>
      <c r="AF36" s="276" t="s">
        <v>225</v>
      </c>
      <c r="AG36" s="113"/>
    </row>
    <row r="37" ht="21.95" customHeight="1">
      <c r="B37" s="25" t="s">
        <v>70</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4">
        <v>9.931641515438440715523304010</v>
      </c>
      <c r="D38" s="575">
        <v>-6.2301543771215364156719831700</v>
      </c>
      <c r="E38" s="575">
        <v>-11.033059542831884678744901230</v>
      </c>
      <c r="F38" s="575">
        <v>-7.7556985622953634753938267300</v>
      </c>
      <c r="G38" s="575">
        <v>-2.4383257253700759834972395700</v>
      </c>
      <c r="H38" s="1021">
        <v>-8.499851195866898020326574740</v>
      </c>
      <c r="I38" s="575">
        <v>37.752036054229462108923497320</v>
      </c>
      <c r="J38" s="575">
        <v>28.027652834475403158901673760</v>
      </c>
      <c r="K38" s="575">
        <v>-15.013986815515959809601842740</v>
      </c>
      <c r="L38" s="575"/>
      <c r="M38" s="575"/>
      <c r="N38" s="575">
        <v>-18.340682159019836158400558070</v>
      </c>
      <c r="O38" s="575">
        <v>-12.777911134788879084378639770</v>
      </c>
      <c r="P38" s="575">
        <v>-18.810593485629059303667120270</v>
      </c>
      <c r="Q38" s="575">
        <v>-9.261080772856524513146087220</v>
      </c>
      <c r="R38" s="575">
        <v>-17.032278935933083750255142840</v>
      </c>
      <c r="S38" s="575">
        <v>-25.553202232647157010678208780</v>
      </c>
      <c r="T38" s="1021">
        <v>-34.081338107849556950305522910</v>
      </c>
      <c r="U38" s="113"/>
      <c r="V38" s="574">
        <v>-22.012809132085917965566863110</v>
      </c>
      <c r="W38" s="575">
        <v>8.093746079968039254002769300</v>
      </c>
      <c r="X38" s="576">
        <v>5.6208548544456858809412660900</v>
      </c>
      <c r="Y38" s="113"/>
      <c r="Z38" s="574">
        <v>-19.315697869764938667618091930</v>
      </c>
      <c r="AA38" s="575">
        <v>-5.6143334766376459539165373800</v>
      </c>
      <c r="AB38" s="576">
        <v>-27.274979319903842615145905690</v>
      </c>
      <c r="AC38" s="113"/>
      <c r="AD38" s="574">
        <v>-22.012809132085917965566863110</v>
      </c>
      <c r="AE38" s="575">
        <v>8.093746079968039254002769300</v>
      </c>
      <c r="AF38" s="576">
        <v>5.6208548544456858809412660900</v>
      </c>
      <c r="AG38" s="113"/>
    </row>
    <row r="39" ht="21.95" customHeight="1">
      <c r="B39" s="38" t="s">
        <v>35</v>
      </c>
      <c r="C39" s="272">
        <v>-5.3510425153294427378965579800</v>
      </c>
      <c r="D39" s="92">
        <v>-6.6948159192389746476866537100</v>
      </c>
      <c r="E39" s="92">
        <v>-12.045968234978648717853141170</v>
      </c>
      <c r="F39" s="92">
        <v>-11.169185486352370031905157090</v>
      </c>
      <c r="G39" s="92">
        <v>-3.1225677873249666300148728200</v>
      </c>
      <c r="H39" s="1022">
        <v>-0.851407210058990574273489300</v>
      </c>
      <c r="I39" s="92">
        <v>23.138719252708636432048626860</v>
      </c>
      <c r="J39" s="92">
        <v>18.535633447706186742822461380</v>
      </c>
      <c r="K39" s="92">
        <v>-10.832951017038796706698227730</v>
      </c>
      <c r="L39" s="92"/>
      <c r="M39" s="92"/>
      <c r="N39" s="92">
        <v>-29.868281764926274394237398690</v>
      </c>
      <c r="O39" s="92">
        <v>-24.442484264201822439966716850</v>
      </c>
      <c r="P39" s="92">
        <v>-30.580448521032287420367849970</v>
      </c>
      <c r="Q39" s="92">
        <v>-7.7219734598447446403022459100</v>
      </c>
      <c r="R39" s="92">
        <v>-15.689308782598430138417080650</v>
      </c>
      <c r="S39" s="92">
        <v>-29.846544754793148645652246510</v>
      </c>
      <c r="T39" s="1022">
        <v>-38.411044588650983527390009660</v>
      </c>
      <c r="U39" s="113"/>
      <c r="V39" s="272">
        <v>4.7984509636226924224414441300</v>
      </c>
      <c r="W39" s="92">
        <v>-2.1624990568232373085480349700</v>
      </c>
      <c r="X39" s="273">
        <v>4.2541545359683445195782308700</v>
      </c>
      <c r="Y39" s="113"/>
      <c r="Z39" s="272">
        <v>2.3105853362537710314706105900</v>
      </c>
      <c r="AA39" s="92">
        <v>-4.5891566709456985217997879200</v>
      </c>
      <c r="AB39" s="273">
        <v>-29.549216201605505100453356730</v>
      </c>
      <c r="AC39" s="113"/>
      <c r="AD39" s="272">
        <v>4.7984509636226924224414441300</v>
      </c>
      <c r="AE39" s="92">
        <v>-2.1624990568232373085480349700</v>
      </c>
      <c r="AF39" s="273">
        <v>4.2541545359683445195782308700</v>
      </c>
      <c r="AG39" s="113"/>
    </row>
    <row r="40" ht="21.95" customHeight="1">
      <c r="B40" s="40" t="s">
        <v>101</v>
      </c>
      <c r="C40" s="577">
        <v>16.146700858530938088343777130</v>
      </c>
      <c r="D40" s="113">
        <v>0.4980018491954818205287695200</v>
      </c>
      <c r="E40" s="113">
        <v>1.1516341796051583769546516700</v>
      </c>
      <c r="F40" s="113">
        <v>3.8426833557093764476048398200</v>
      </c>
      <c r="G40" s="113">
        <v>0.7062966537477727552361929300</v>
      </c>
      <c r="H40" s="1023">
        <v>-7.7141225816609575818712617300</v>
      </c>
      <c r="I40" s="113">
        <v>11.867361371146778435616320870</v>
      </c>
      <c r="J40" s="113">
        <v>8.007734982879022951487112430</v>
      </c>
      <c r="K40" s="113">
        <v>-4.6889920056411319817684438300</v>
      </c>
      <c r="L40" s="113"/>
      <c r="M40" s="113"/>
      <c r="N40" s="113">
        <v>16.437069982040373584785247560</v>
      </c>
      <c r="O40" s="113">
        <v>15.438005095615417222793475200</v>
      </c>
      <c r="P40" s="113">
        <v>16.954668799566045582701426500</v>
      </c>
      <c r="Q40" s="113">
        <v>-1.6679022847785214080632649700</v>
      </c>
      <c r="R40" s="113">
        <v>-1.5928823900538334928512513700</v>
      </c>
      <c r="S40" s="113">
        <v>6.1199302402704234420448190200</v>
      </c>
      <c r="T40" s="1023">
        <v>7.0300047336142840017081042800</v>
      </c>
      <c r="U40" s="113"/>
      <c r="V40" s="577">
        <v>-25.583641598877497132063711400</v>
      </c>
      <c r="W40" s="113">
        <v>10.482938584815265908631220910</v>
      </c>
      <c r="X40" s="578">
        <v>1.3109312761304117463727023900</v>
      </c>
      <c r="Y40" s="113"/>
      <c r="Z40" s="577">
        <v>-21.137874575677393812645093210</v>
      </c>
      <c r="AA40" s="113">
        <v>-1.0744866829824601622611505700</v>
      </c>
      <c r="AB40" s="578">
        <v>3.2281214758514725570037967400</v>
      </c>
      <c r="AC40" s="113"/>
      <c r="AD40" s="577">
        <v>-25.583641598877497132063711400</v>
      </c>
      <c r="AE40" s="113">
        <v>10.482938584815265908631220910</v>
      </c>
      <c r="AF40" s="578">
        <v>1.3109312761304117463727023900</v>
      </c>
      <c r="AG40" s="113"/>
    </row>
    <row r="41" ht="21.95" customHeight="1">
      <c r="A41" s="23"/>
      <c r="B41" s="39" t="s">
        <v>23</v>
      </c>
      <c r="C41" s="274" t="s">
        <v>324</v>
      </c>
      <c r="D41" s="275" t="s">
        <v>318</v>
      </c>
      <c r="E41" s="275" t="s">
        <v>318</v>
      </c>
      <c r="F41" s="275" t="s">
        <v>321</v>
      </c>
      <c r="G41" s="275" t="s">
        <v>320</v>
      </c>
      <c r="H41" s="1024" t="s">
        <v>322</v>
      </c>
      <c r="I41" s="275" t="s">
        <v>324</v>
      </c>
      <c r="J41" s="275" t="s">
        <v>324</v>
      </c>
      <c r="K41" s="275" t="s">
        <v>317</v>
      </c>
      <c r="L41" s="275"/>
      <c r="M41" s="275"/>
      <c r="N41" s="275" t="s">
        <v>240</v>
      </c>
      <c r="O41" s="275" t="s">
        <v>240</v>
      </c>
      <c r="P41" s="275" t="s">
        <v>238</v>
      </c>
      <c r="Q41" s="275" t="s">
        <v>307</v>
      </c>
      <c r="R41" s="275" t="s">
        <v>307</v>
      </c>
      <c r="S41" s="275" t="s">
        <v>307</v>
      </c>
      <c r="T41" s="1024" t="s">
        <v>307</v>
      </c>
      <c r="U41" s="113"/>
      <c r="V41" s="274" t="s">
        <v>319</v>
      </c>
      <c r="W41" s="275" t="s">
        <v>324</v>
      </c>
      <c r="X41" s="276" t="s">
        <v>231</v>
      </c>
      <c r="Y41" s="113"/>
      <c r="Z41" s="274" t="s">
        <v>319</v>
      </c>
      <c r="AA41" s="275" t="s">
        <v>320</v>
      </c>
      <c r="AB41" s="276" t="s">
        <v>307</v>
      </c>
      <c r="AC41" s="113"/>
      <c r="AD41" s="274" t="s">
        <v>319</v>
      </c>
      <c r="AE41" s="275" t="s">
        <v>324</v>
      </c>
      <c r="AF41" s="276" t="s">
        <v>231</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79" t="s">
        <v>10</v>
      </c>
      <c r="C43" s="1017">
        <v>2019</v>
      </c>
      <c r="D43" s="1017"/>
      <c r="E43" s="1017"/>
      <c r="F43" s="1017"/>
      <c r="G43" s="1017"/>
      <c r="H43" s="1017"/>
      <c r="I43" s="1017">
        <v>2020</v>
      </c>
      <c r="J43" s="1017"/>
      <c r="K43" s="1017"/>
      <c r="L43" s="1017"/>
      <c r="M43" s="1017"/>
      <c r="N43" s="1017"/>
      <c r="O43" s="1017"/>
      <c r="P43" s="1017"/>
      <c r="Q43" s="1017"/>
      <c r="R43" s="1017"/>
      <c r="S43" s="1017"/>
      <c r="T43" s="1017"/>
      <c r="U43" s="119"/>
      <c r="V43" s="1018" t="s">
        <v>60</v>
      </c>
      <c r="W43" s="1018"/>
      <c r="X43" s="1018"/>
      <c r="Y43" s="119"/>
      <c r="Z43" s="1018" t="s">
        <v>44</v>
      </c>
      <c r="AA43" s="1018"/>
      <c r="AB43" s="1018"/>
      <c r="AC43" s="119"/>
      <c r="AD43" s="1019" t="s">
        <v>45</v>
      </c>
      <c r="AE43" s="1019"/>
      <c r="AF43" s="1019"/>
      <c r="AG43" s="119"/>
      <c r="AH43" s="236"/>
      <c r="AI43" s="236"/>
      <c r="AJ43" s="236"/>
      <c r="AK43" s="236"/>
      <c r="AL43" s="236"/>
      <c r="AM43" s="236"/>
      <c r="AN43" s="236"/>
      <c r="AO43" s="236"/>
      <c r="AP43" s="236"/>
      <c r="AQ43" s="236"/>
      <c r="AR43" s="236"/>
      <c r="AS43" s="236"/>
      <c r="AT43" s="236"/>
      <c r="AU43" s="236"/>
      <c r="AV43" s="236"/>
    </row>
    <row r="44" s="118" customFormat="1" ht="15.95" customHeight="1">
      <c r="B44" s="979"/>
      <c r="C44" s="270" t="s">
        <v>221</v>
      </c>
      <c r="D44" s="270" t="s">
        <v>224</v>
      </c>
      <c r="E44" s="270" t="s">
        <v>226</v>
      </c>
      <c r="F44" s="270" t="s">
        <v>228</v>
      </c>
      <c r="G44" s="270" t="s">
        <v>229</v>
      </c>
      <c r="H44" s="1020" t="s">
        <v>230</v>
      </c>
      <c r="I44" s="270" t="s">
        <v>232</v>
      </c>
      <c r="J44" s="270" t="s">
        <v>233</v>
      </c>
      <c r="K44" s="270" t="s">
        <v>234</v>
      </c>
      <c r="L44" s="270" t="s">
        <v>235</v>
      </c>
      <c r="M44" s="270" t="s">
        <v>236</v>
      </c>
      <c r="N44" s="270" t="s">
        <v>237</v>
      </c>
      <c r="O44" s="270" t="s">
        <v>221</v>
      </c>
      <c r="P44" s="270" t="s">
        <v>224</v>
      </c>
      <c r="Q44" s="270" t="s">
        <v>226</v>
      </c>
      <c r="R44" s="270" t="s">
        <v>228</v>
      </c>
      <c r="S44" s="270" t="s">
        <v>229</v>
      </c>
      <c r="T44" s="1020" t="s">
        <v>230</v>
      </c>
      <c r="U44" s="144"/>
      <c r="V44" s="269">
        <v>2018</v>
      </c>
      <c r="W44" s="270">
        <v>2019</v>
      </c>
      <c r="X44" s="271">
        <v>2020</v>
      </c>
      <c r="Y44" s="144"/>
      <c r="Z44" s="269">
        <v>2018</v>
      </c>
      <c r="AA44" s="270">
        <v>2019</v>
      </c>
      <c r="AB44" s="271">
        <v>2020</v>
      </c>
      <c r="AC44" s="144"/>
      <c r="AD44" s="269">
        <v>2018</v>
      </c>
      <c r="AE44" s="270">
        <v>2019</v>
      </c>
      <c r="AF44" s="271">
        <v>2020</v>
      </c>
      <c r="AG44" s="144"/>
      <c r="AH44" s="236"/>
      <c r="AI44" s="236"/>
      <c r="AJ44" s="236"/>
      <c r="AK44" s="236"/>
      <c r="AL44" s="236"/>
      <c r="AM44" s="236"/>
      <c r="AN44" s="236"/>
      <c r="AO44" s="236"/>
      <c r="AP44" s="236"/>
      <c r="AQ44" s="236"/>
      <c r="AR44" s="236"/>
      <c r="AS44" s="236"/>
      <c r="AT44" s="236"/>
      <c r="AU44" s="236"/>
      <c r="AV44" s="236"/>
    </row>
    <row r="45" ht="21.95" customHeight="1">
      <c r="B45" s="264" t="s">
        <v>19</v>
      </c>
      <c r="C45" s="579">
        <v>96.19965786901270772238514174</v>
      </c>
      <c r="D45" s="580">
        <v>92.8218475073313782991202346</v>
      </c>
      <c r="E45" s="580">
        <v>66.074242424242424242424242424</v>
      </c>
      <c r="F45" s="580">
        <v>95.92790811339198435972629521</v>
      </c>
      <c r="G45" s="580">
        <v>127.10934343434343434343434343</v>
      </c>
      <c r="H45" s="1025">
        <v>213.44819159335288367546432063</v>
      </c>
      <c r="I45" s="580">
        <v>270.81402737047898338220918866</v>
      </c>
      <c r="J45" s="580">
        <v>293.09691745036572622779519331</v>
      </c>
      <c r="K45" s="580">
        <v>88.62512218963831867057673509</v>
      </c>
      <c r="L45" s="580"/>
      <c r="M45" s="580"/>
      <c r="N45" s="580">
        <v>22.693181818181818181818181818</v>
      </c>
      <c r="O45" s="580">
        <v>17.989736070381231671554252199</v>
      </c>
      <c r="P45" s="580">
        <v>28.15615835777126099706744868</v>
      </c>
      <c r="Q45" s="580">
        <v>53.261868686868686868686868687</v>
      </c>
      <c r="R45" s="580">
        <v>63.094330400782013685239491691</v>
      </c>
      <c r="S45" s="580">
        <v>65.500000000</v>
      </c>
      <c r="T45" s="1025">
        <v>118.41593352883675464320625611</v>
      </c>
      <c r="U45" s="113"/>
      <c r="V45" s="579">
        <v>71.221631634050092614963356688</v>
      </c>
      <c r="W45" s="580">
        <v>131.58870900788709007887090079</v>
      </c>
      <c r="X45" s="581">
        <v>101.45382513661202185792349727</v>
      </c>
      <c r="Y45" s="113"/>
      <c r="Z45" s="579">
        <v>96.29512516469038208168642951</v>
      </c>
      <c r="AA45" s="580">
        <v>145.6949934123847167325428195</v>
      </c>
      <c r="AB45" s="581">
        <v>82.51976284584980237154150198</v>
      </c>
      <c r="AC45" s="113"/>
      <c r="AD45" s="579">
        <v>71.221631634050092614963356688</v>
      </c>
      <c r="AE45" s="580">
        <v>131.58870900788709007887090079</v>
      </c>
      <c r="AF45" s="581">
        <v>101.45382513661202185792349727</v>
      </c>
      <c r="AG45" s="113"/>
    </row>
    <row r="46" ht="21.95" customHeight="1">
      <c r="B46" s="38" t="s">
        <v>35</v>
      </c>
      <c r="C46" s="277">
        <v>134.25748172383824957824242114</v>
      </c>
      <c r="D46" s="94">
        <v>117.21940340473390930934001329</v>
      </c>
      <c r="E46" s="94">
        <v>89.62241627047015319598520866</v>
      </c>
      <c r="F46" s="94">
        <v>120.91310873677214866315628035</v>
      </c>
      <c r="G46" s="94">
        <v>160.94843581616481774960380349</v>
      </c>
      <c r="H46" s="1026">
        <v>250.20907980164613261080721844</v>
      </c>
      <c r="I46" s="94">
        <v>271.96756198558355912274423598</v>
      </c>
      <c r="J46" s="94">
        <v>311.79278430515317571030110935</v>
      </c>
      <c r="K46" s="94">
        <v>111.04813301978426460814886764</v>
      </c>
      <c r="L46" s="94"/>
      <c r="M46" s="94"/>
      <c r="N46" s="94">
        <v>21.074673629242819843342036554</v>
      </c>
      <c r="O46" s="94">
        <v>23.703950138970774025098964036</v>
      </c>
      <c r="P46" s="94">
        <v>33.405120862461046070917207109</v>
      </c>
      <c r="Q46" s="94">
        <v>52.661697722567287784679089029</v>
      </c>
      <c r="R46" s="94">
        <v>59.903359380217725238763106927</v>
      </c>
      <c r="S46" s="94">
        <v>74.962939958592132505175983435</v>
      </c>
      <c r="T46" s="1026">
        <v>118.48046483670607092766980565</v>
      </c>
      <c r="U46" s="113"/>
      <c r="V46" s="277">
        <v>179.21469639406899246683889456</v>
      </c>
      <c r="W46" s="94">
        <v>177.13043813907040357770879014</v>
      </c>
      <c r="X46" s="278">
        <v>119.63449732780395094151697313</v>
      </c>
      <c r="Y46" s="113"/>
      <c r="Z46" s="277">
        <v>182.66102649348859643078619169</v>
      </c>
      <c r="AA46" s="94">
        <v>177.53522738234686143457589747</v>
      </c>
      <c r="AB46" s="278">
        <v>84.55202988567827887298586732</v>
      </c>
      <c r="AC46" s="113"/>
      <c r="AD46" s="277">
        <v>179.21469639406899246683889456</v>
      </c>
      <c r="AE46" s="94">
        <v>177.13043813907040357770879014</v>
      </c>
      <c r="AF46" s="278">
        <v>119.63449732780395094151697313</v>
      </c>
      <c r="AG46" s="113"/>
    </row>
    <row r="47" ht="21.95" customHeight="1">
      <c r="B47" s="40" t="s">
        <v>102</v>
      </c>
      <c r="C47" s="577">
        <v>71.653107621138897838489257400</v>
      </c>
      <c r="D47" s="113">
        <v>79.186418639955955496178889510</v>
      </c>
      <c r="E47" s="113">
        <v>73.725129464081791364544102960</v>
      </c>
      <c r="F47" s="113">
        <v>79.33623501669041619441701242</v>
      </c>
      <c r="G47" s="113">
        <v>78.975196490587600829196352350</v>
      </c>
      <c r="H47" s="1023">
        <v>85.30793197535615651451380479</v>
      </c>
      <c r="I47" s="113">
        <v>99.57585580916972655840463483</v>
      </c>
      <c r="J47" s="113">
        <v>94.00375255750315568936352156</v>
      </c>
      <c r="K47" s="113">
        <v>79.80784528259374102381922616</v>
      </c>
      <c r="L47" s="113"/>
      <c r="M47" s="113"/>
      <c r="N47" s="113">
        <v>107.67987309038649541152142866</v>
      </c>
      <c r="O47" s="113">
        <v>75.893410022007185848471820110</v>
      </c>
      <c r="P47" s="113">
        <v>84.28695251155849362188443271</v>
      </c>
      <c r="Q47" s="113">
        <v>101.13967264683190393612007413</v>
      </c>
      <c r="R47" s="113">
        <v>105.32686489301977861323988626</v>
      </c>
      <c r="S47" s="113">
        <v>87.37650902723498982243814059</v>
      </c>
      <c r="T47" s="1023">
        <v>99.94553422122519894345049587</v>
      </c>
      <c r="U47" s="113"/>
      <c r="V47" s="577">
        <v>39.740954880978796581943915360</v>
      </c>
      <c r="W47" s="113">
        <v>74.289156844162977704157416760</v>
      </c>
      <c r="X47" s="578">
        <v>84.80315243739766603037299256</v>
      </c>
      <c r="Y47" s="113"/>
      <c r="Z47" s="577">
        <v>52.717937161117979222355546230</v>
      </c>
      <c r="AA47" s="113">
        <v>82.06539939175577691655249229</v>
      </c>
      <c r="AB47" s="578">
        <v>97.59643021867567361310763897</v>
      </c>
      <c r="AC47" s="113"/>
      <c r="AD47" s="577">
        <v>39.740954880978796581943915360</v>
      </c>
      <c r="AE47" s="113">
        <v>74.289156844162977704157416760</v>
      </c>
      <c r="AF47" s="578">
        <v>84.80315243739766603037299256</v>
      </c>
      <c r="AG47" s="113"/>
    </row>
    <row r="48" ht="21.95" customHeight="1">
      <c r="A48" s="23"/>
      <c r="B48" s="39" t="s">
        <v>23</v>
      </c>
      <c r="C48" s="274" t="s">
        <v>317</v>
      </c>
      <c r="D48" s="275" t="s">
        <v>317</v>
      </c>
      <c r="E48" s="275" t="s">
        <v>319</v>
      </c>
      <c r="F48" s="275" t="s">
        <v>319</v>
      </c>
      <c r="G48" s="275" t="s">
        <v>317</v>
      </c>
      <c r="H48" s="1024" t="s">
        <v>320</v>
      </c>
      <c r="I48" s="275" t="s">
        <v>318</v>
      </c>
      <c r="J48" s="275" t="s">
        <v>320</v>
      </c>
      <c r="K48" s="275" t="s">
        <v>319</v>
      </c>
      <c r="L48" s="275"/>
      <c r="M48" s="275"/>
      <c r="N48" s="275" t="s">
        <v>240</v>
      </c>
      <c r="O48" s="275" t="s">
        <v>239</v>
      </c>
      <c r="P48" s="275" t="s">
        <v>239</v>
      </c>
      <c r="Q48" s="275" t="s">
        <v>309</v>
      </c>
      <c r="R48" s="275" t="s">
        <v>307</v>
      </c>
      <c r="S48" s="275" t="s">
        <v>309</v>
      </c>
      <c r="T48" s="1024" t="s">
        <v>307</v>
      </c>
      <c r="U48" s="113"/>
      <c r="V48" s="274" t="s">
        <v>319</v>
      </c>
      <c r="W48" s="275" t="s">
        <v>319</v>
      </c>
      <c r="X48" s="276" t="s">
        <v>225</v>
      </c>
      <c r="Y48" s="113"/>
      <c r="Z48" s="274" t="s">
        <v>319</v>
      </c>
      <c r="AA48" s="275" t="s">
        <v>320</v>
      </c>
      <c r="AB48" s="276" t="s">
        <v>307</v>
      </c>
      <c r="AC48" s="113"/>
      <c r="AD48" s="274" t="s">
        <v>319</v>
      </c>
      <c r="AE48" s="275" t="s">
        <v>319</v>
      </c>
      <c r="AF48" s="276" t="s">
        <v>225</v>
      </c>
      <c r="AG48" s="113"/>
    </row>
    <row r="49" ht="21.95" customHeight="1">
      <c r="B49" s="25" t="s">
        <v>70</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4">
        <v>51.144056158357195182365007180</v>
      </c>
      <c r="D50" s="575">
        <v>41.531463065473817752004353590</v>
      </c>
      <c r="E50" s="575">
        <v>28.204575409988681519518254110</v>
      </c>
      <c r="F50" s="575">
        <v>34.788222164992703236329298650</v>
      </c>
      <c r="G50" s="575">
        <v>61.748421407798968492424364140</v>
      </c>
      <c r="H50" s="1021">
        <v>54.047351972175777970609607260</v>
      </c>
      <c r="I50" s="575">
        <v>72.480661177605877134274463420</v>
      </c>
      <c r="J50" s="575">
        <v>57.154928166901692289537093480</v>
      </c>
      <c r="K50" s="575">
        <v>-54.344265494011881816339197030</v>
      </c>
      <c r="L50" s="575"/>
      <c r="M50" s="575"/>
      <c r="N50" s="575">
        <v>-73.055427293279523144178125320</v>
      </c>
      <c r="O50" s="575">
        <v>-81.29958414729873567569078037</v>
      </c>
      <c r="P50" s="575">
        <v>-69.666453411684793340125899420</v>
      </c>
      <c r="Q50" s="575">
        <v>-19.390874972291652334762701890</v>
      </c>
      <c r="R50" s="575">
        <v>-34.227346721455557055767991300</v>
      </c>
      <c r="S50" s="575">
        <v>-48.469563109785776582239501900</v>
      </c>
      <c r="T50" s="1021">
        <v>-44.522400192345122104805193320</v>
      </c>
      <c r="U50" s="113"/>
      <c r="V50" s="574">
        <v>-52.138562415091744216081502640</v>
      </c>
      <c r="W50" s="575">
        <v>84.75946982514273021582185234</v>
      </c>
      <c r="X50" s="576">
        <v>-22.900812766138514581284091810</v>
      </c>
      <c r="Y50" s="113"/>
      <c r="Z50" s="574">
        <v>-23.293847492367481746500691100</v>
      </c>
      <c r="AA50" s="575">
        <v>51.300487084063047285464098080</v>
      </c>
      <c r="AB50" s="576">
        <v>-43.361291343567020098116790630</v>
      </c>
      <c r="AC50" s="113"/>
      <c r="AD50" s="574">
        <v>-52.138562415091744216081502640</v>
      </c>
      <c r="AE50" s="575">
        <v>84.75946982514273021582185234</v>
      </c>
      <c r="AF50" s="576">
        <v>-22.900812766138514581284091810</v>
      </c>
      <c r="AG50" s="113"/>
    </row>
    <row r="51" ht="21.95" customHeight="1">
      <c r="B51" s="38" t="s">
        <v>35</v>
      </c>
      <c r="C51" s="272">
        <v>-9.219980096365668270226230150</v>
      </c>
      <c r="D51" s="92">
        <v>-7.8128518940629085026708005500</v>
      </c>
      <c r="E51" s="92">
        <v>-12.951499369937607930204700310</v>
      </c>
      <c r="F51" s="92">
        <v>-8.234050770094738576447781270</v>
      </c>
      <c r="G51" s="92">
        <v>0.5027831062886520823754229900</v>
      </c>
      <c r="H51" s="1022">
        <v>-2.0136435867300200776601475200</v>
      </c>
      <c r="I51" s="92">
        <v>24.980177268930649145815564090</v>
      </c>
      <c r="J51" s="92">
        <v>17.744859969418666619164793570</v>
      </c>
      <c r="K51" s="92">
        <v>-58.300302370207929806571706590</v>
      </c>
      <c r="L51" s="92"/>
      <c r="M51" s="92"/>
      <c r="N51" s="92">
        <v>-84.42672953093300771012996800</v>
      </c>
      <c r="O51" s="92">
        <v>-82.34441028193217593802413121</v>
      </c>
      <c r="P51" s="92">
        <v>-71.502055212548557289745200840</v>
      </c>
      <c r="Q51" s="92">
        <v>-41.240484340836855185736553500</v>
      </c>
      <c r="R51" s="92">
        <v>-50.457514486185823444798509800</v>
      </c>
      <c r="S51" s="92">
        <v>-53.424250705850446347572190470</v>
      </c>
      <c r="T51" s="1022">
        <v>-52.647415940847649206928501590</v>
      </c>
      <c r="U51" s="113"/>
      <c r="V51" s="272">
        <v>13.002152130817577003492524220</v>
      </c>
      <c r="W51" s="92">
        <v>-1.1629951655390948283907187400</v>
      </c>
      <c r="X51" s="273">
        <v>-32.459661600410354232027907820</v>
      </c>
      <c r="Y51" s="113"/>
      <c r="Z51" s="272">
        <v>8.800653614219243850575962770</v>
      </c>
      <c r="AA51" s="92">
        <v>-2.806181049970425283500019100</v>
      </c>
      <c r="AB51" s="273">
        <v>-52.374505537662282903696707580</v>
      </c>
      <c r="AC51" s="113"/>
      <c r="AD51" s="272">
        <v>13.002152130817577003492524220</v>
      </c>
      <c r="AE51" s="92">
        <v>-1.1629951655390948283907187400</v>
      </c>
      <c r="AF51" s="273">
        <v>-32.459661600410354232027907820</v>
      </c>
      <c r="AG51" s="113"/>
    </row>
    <row r="52" ht="21.95" customHeight="1">
      <c r="B52" s="40" t="s">
        <v>102</v>
      </c>
      <c r="C52" s="577">
        <v>66.494848005983109608070214010</v>
      </c>
      <c r="D52" s="113">
        <v>53.526240884285283968226268250</v>
      </c>
      <c r="E52" s="113">
        <v>47.279475788825876765925793920</v>
      </c>
      <c r="F52" s="113">
        <v>46.882610920638822809423082100</v>
      </c>
      <c r="G52" s="113">
        <v>60.939246067184839225871187520</v>
      </c>
      <c r="H52" s="1023">
        <v>57.213062727285608214944554200</v>
      </c>
      <c r="I52" s="113">
        <v>38.006414254369580079195286650</v>
      </c>
      <c r="J52" s="113">
        <v>33.470733421160653843325363540</v>
      </c>
      <c r="K52" s="113">
        <v>9.486967774484973463284837500</v>
      </c>
      <c r="L52" s="113"/>
      <c r="M52" s="113"/>
      <c r="N52" s="113">
        <v>73.018074528662243359167110750</v>
      </c>
      <c r="O52" s="113">
        <v>5.9178206523694806895062841400</v>
      </c>
      <c r="P52" s="113">
        <v>6.4411725636862002024258743400</v>
      </c>
      <c r="Q52" s="113">
        <v>37.184801684351367902638698040</v>
      </c>
      <c r="R52" s="113">
        <v>32.760099935245938244893255350</v>
      </c>
      <c r="S52" s="113">
        <v>10.637912800443202201417149110</v>
      </c>
      <c r="T52" s="1023">
        <v>17.158547753915272593636401660</v>
      </c>
      <c r="U52" s="113"/>
      <c r="V52" s="577">
        <v>-57.645552157713604106024977740</v>
      </c>
      <c r="W52" s="113">
        <v>86.93349736223871785706726584</v>
      </c>
      <c r="X52" s="578">
        <v>14.152799735350328454096493880</v>
      </c>
      <c r="Y52" s="113"/>
      <c r="Z52" s="577">
        <v>-29.498445129186493923809735940</v>
      </c>
      <c r="AA52" s="113">
        <v>55.668836473903167551580318220</v>
      </c>
      <c r="AB52" s="578">
        <v>18.925187645501340708775401510</v>
      </c>
      <c r="AC52" s="113"/>
      <c r="AD52" s="577">
        <v>-57.645552157713604106024977740</v>
      </c>
      <c r="AE52" s="113">
        <v>86.93349736223871785706726584</v>
      </c>
      <c r="AF52" s="578">
        <v>14.152799735350328454096493880</v>
      </c>
      <c r="AG52" s="113"/>
    </row>
    <row r="53" ht="21.95" customHeight="1">
      <c r="A53" s="23"/>
      <c r="B53" s="39" t="s">
        <v>23</v>
      </c>
      <c r="C53" s="274" t="s">
        <v>324</v>
      </c>
      <c r="D53" s="275" t="s">
        <v>324</v>
      </c>
      <c r="E53" s="275" t="s">
        <v>324</v>
      </c>
      <c r="F53" s="275" t="s">
        <v>324</v>
      </c>
      <c r="G53" s="275" t="s">
        <v>324</v>
      </c>
      <c r="H53" s="1024" t="s">
        <v>324</v>
      </c>
      <c r="I53" s="275" t="s">
        <v>324</v>
      </c>
      <c r="J53" s="275" t="s">
        <v>324</v>
      </c>
      <c r="K53" s="275" t="s">
        <v>321</v>
      </c>
      <c r="L53" s="275"/>
      <c r="M53" s="275"/>
      <c r="N53" s="275" t="s">
        <v>238</v>
      </c>
      <c r="O53" s="275" t="s">
        <v>240</v>
      </c>
      <c r="P53" s="275" t="s">
        <v>240</v>
      </c>
      <c r="Q53" s="275" t="s">
        <v>308</v>
      </c>
      <c r="R53" s="275" t="s">
        <v>307</v>
      </c>
      <c r="S53" s="275" t="s">
        <v>308</v>
      </c>
      <c r="T53" s="1024" t="s">
        <v>308</v>
      </c>
      <c r="U53" s="113"/>
      <c r="V53" s="274" t="s">
        <v>319</v>
      </c>
      <c r="W53" s="275" t="s">
        <v>324</v>
      </c>
      <c r="X53" s="276" t="s">
        <v>223</v>
      </c>
      <c r="Y53" s="113"/>
      <c r="Z53" s="274" t="s">
        <v>319</v>
      </c>
      <c r="AA53" s="275" t="s">
        <v>324</v>
      </c>
      <c r="AB53" s="276" t="s">
        <v>308</v>
      </c>
      <c r="AC53" s="113"/>
      <c r="AD53" s="274" t="s">
        <v>319</v>
      </c>
      <c r="AE53" s="275" t="s">
        <v>324</v>
      </c>
      <c r="AF53" s="276" t="s">
        <v>223</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27" t="s">
        <v>103</v>
      </c>
      <c r="C55" s="1027"/>
      <c r="D55" s="1027"/>
      <c r="E55" s="1027"/>
      <c r="F55" s="1027"/>
      <c r="G55" s="1027"/>
      <c r="H55" s="1027"/>
      <c r="I55" s="1027"/>
      <c r="J55" s="1027"/>
      <c r="K55" s="1027"/>
      <c r="L55" s="1027"/>
      <c r="M55" s="1027"/>
      <c r="N55" s="1027"/>
      <c r="O55" s="1027"/>
      <c r="P55" s="1027"/>
      <c r="Q55" s="1027"/>
      <c r="R55" s="1027"/>
      <c r="S55" s="1027"/>
      <c r="T55" s="1027"/>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28" t="s">
        <v>129</v>
      </c>
      <c r="C57" s="1028"/>
      <c r="D57" s="1028"/>
      <c r="E57" s="1028"/>
      <c r="F57" s="1028"/>
      <c r="G57" s="1028"/>
      <c r="H57" s="1028"/>
      <c r="I57" s="1028"/>
      <c r="J57" s="1028"/>
      <c r="K57" s="1028"/>
      <c r="L57" s="1028"/>
      <c r="M57" s="1028"/>
      <c r="N57" s="1028"/>
      <c r="O57" s="1028"/>
      <c r="P57" s="1028"/>
      <c r="Q57" s="1028"/>
      <c r="R57" s="1028"/>
      <c r="S57" s="1028"/>
      <c r="T57" s="1028"/>
      <c r="U57" s="1028"/>
      <c r="V57" s="1028"/>
      <c r="W57" s="1028"/>
      <c r="X57" s="1028"/>
      <c r="Y57" s="1028"/>
      <c r="Z57" s="1028"/>
      <c r="AA57" s="1028"/>
      <c r="AB57" s="1028"/>
      <c r="AC57" s="1028"/>
      <c r="AD57" s="1028"/>
      <c r="AE57" s="1028"/>
      <c r="AF57" s="1028"/>
    </row>
    <row r="58">
      <c r="A58"/>
    </row>
    <row r="59" s="282" customFormat="1">
      <c r="A59" s="1029"/>
      <c r="B59" s="1029" t="s">
        <v>112</v>
      </c>
      <c r="C59" s="1029"/>
      <c r="D59" s="1029"/>
      <c r="E59" s="1029"/>
      <c r="F59" s="1029"/>
      <c r="G59" s="1029"/>
      <c r="H59" s="1029"/>
      <c r="I59" s="1029"/>
      <c r="J59" s="1029"/>
      <c r="K59" s="1029"/>
      <c r="L59" s="1029"/>
      <c r="M59" s="1029"/>
      <c r="N59" s="1029"/>
      <c r="O59" s="1029"/>
      <c r="P59" s="1029"/>
      <c r="Q59" s="1029"/>
      <c r="R59" s="1029"/>
      <c r="S59" s="1029"/>
      <c r="T59" s="1029"/>
      <c r="U59" s="1029"/>
      <c r="V59" s="1029"/>
      <c r="W59" s="1029"/>
      <c r="X59" s="1029"/>
      <c r="Y59" s="1029"/>
      <c r="Z59" s="1029"/>
      <c r="AA59" s="1029"/>
      <c r="AB59" s="1029"/>
      <c r="AC59" s="1029"/>
      <c r="AD59" s="1029"/>
      <c r="AE59" s="1029"/>
      <c r="AF59" s="1029"/>
      <c r="AG59" s="1029"/>
    </row>
    <row r="60" s="282" customFormat="1">
      <c r="A60" s="1029"/>
      <c r="B60" s="1029" t="s">
        <v>113</v>
      </c>
      <c r="C60" s="1029">
        <v>100</v>
      </c>
      <c r="D60" s="1029">
        <v>100</v>
      </c>
      <c r="E60" s="1029">
        <v>100</v>
      </c>
      <c r="F60" s="1029">
        <v>100</v>
      </c>
      <c r="G60" s="1029">
        <v>100</v>
      </c>
      <c r="H60" s="1029">
        <v>100</v>
      </c>
      <c r="I60" s="1029">
        <v>100</v>
      </c>
      <c r="J60" s="1029">
        <v>100</v>
      </c>
      <c r="K60" s="1029">
        <v>100</v>
      </c>
      <c r="L60" s="1029">
        <v>100</v>
      </c>
      <c r="M60" s="1029">
        <v>100</v>
      </c>
      <c r="N60" s="1029">
        <v>100</v>
      </c>
      <c r="O60" s="1029">
        <v>100</v>
      </c>
      <c r="P60" s="1029">
        <v>100</v>
      </c>
      <c r="Q60" s="1029">
        <v>100</v>
      </c>
      <c r="R60" s="1029">
        <v>100</v>
      </c>
      <c r="S60" s="1029">
        <v>100</v>
      </c>
      <c r="T60" s="1029">
        <v>100</v>
      </c>
      <c r="U60" s="1029"/>
      <c r="V60" s="1029"/>
      <c r="W60" s="1029"/>
      <c r="X60" s="1029"/>
      <c r="Y60" s="1029"/>
      <c r="Z60" s="1029"/>
      <c r="AA60" s="1029"/>
      <c r="AB60" s="1029"/>
      <c r="AC60" s="1029"/>
      <c r="AD60" s="1029"/>
      <c r="AE60" s="1029"/>
      <c r="AF60" s="1029"/>
      <c r="AG60" s="1029"/>
    </row>
    <row r="61" s="282" customFormat="1">
      <c r="A61" s="1029"/>
      <c r="B61" s="1029" t="s">
        <v>114</v>
      </c>
      <c r="C61" s="1029"/>
      <c r="D61" s="1029"/>
      <c r="E61" s="1029"/>
      <c r="F61" s="1029"/>
      <c r="G61" s="1029"/>
      <c r="H61" s="1029"/>
      <c r="I61" s="1029"/>
      <c r="J61" s="1029"/>
      <c r="K61" s="1029"/>
      <c r="L61" s="1029"/>
      <c r="M61" s="1029"/>
      <c r="N61" s="1029"/>
      <c r="O61" s="1029"/>
      <c r="P61" s="1029"/>
      <c r="Q61" s="1029"/>
      <c r="R61" s="1029"/>
      <c r="S61" s="1029"/>
      <c r="T61" s="1029"/>
      <c r="U61" s="1029"/>
      <c r="V61" s="1029"/>
      <c r="W61" s="1029"/>
      <c r="X61" s="1029"/>
      <c r="Y61" s="1029"/>
      <c r="Z61" s="1029"/>
      <c r="AA61" s="1029"/>
      <c r="AB61" s="1029"/>
      <c r="AC61" s="1029"/>
      <c r="AD61" s="1029"/>
      <c r="AE61" s="1029"/>
      <c r="AF61" s="1029"/>
      <c r="AG61" s="1029"/>
    </row>
    <row r="62" s="282" customFormat="1">
      <c r="A62" s="1029"/>
      <c r="B62" s="1029"/>
      <c r="C62" s="1029"/>
      <c r="D62" s="1029"/>
      <c r="E62" s="1029"/>
      <c r="F62" s="1029"/>
      <c r="G62" s="1029"/>
      <c r="H62" s="1029"/>
      <c r="I62" s="1029"/>
      <c r="J62" s="1029"/>
      <c r="K62" s="1029"/>
      <c r="L62" s="1029"/>
      <c r="M62" s="1029"/>
      <c r="N62" s="1029"/>
      <c r="O62" s="1029"/>
      <c r="P62" s="1029"/>
      <c r="Q62" s="1029"/>
      <c r="R62" s="1029"/>
      <c r="S62" s="1029"/>
      <c r="T62" s="1029"/>
      <c r="U62" s="1029"/>
      <c r="V62" s="1029"/>
      <c r="W62" s="1029"/>
      <c r="X62" s="1029"/>
      <c r="Y62" s="1029"/>
      <c r="Z62" s="1029"/>
      <c r="AA62" s="1029"/>
      <c r="AB62" s="1029"/>
      <c r="AC62" s="1029"/>
      <c r="AD62" s="1029"/>
      <c r="AE62" s="1029"/>
      <c r="AF62" s="1029"/>
      <c r="AG62" s="1029"/>
    </row>
    <row r="63" s="282" customFormat="1">
      <c r="A63" s="1029"/>
      <c r="B63" s="1029"/>
      <c r="C63" s="1029"/>
      <c r="D63" s="1029"/>
      <c r="E63" s="1029"/>
      <c r="F63" s="1029"/>
      <c r="G63" s="1029"/>
      <c r="H63" s="1029"/>
      <c r="I63" s="1029"/>
      <c r="J63" s="1029"/>
      <c r="K63" s="1029"/>
      <c r="L63" s="1029"/>
      <c r="M63" s="1029"/>
      <c r="N63" s="1029"/>
      <c r="O63" s="1029"/>
      <c r="P63" s="1029"/>
      <c r="Q63" s="1029"/>
      <c r="R63" s="1029"/>
      <c r="S63" s="1029"/>
      <c r="T63" s="1029"/>
      <c r="U63" s="1029"/>
      <c r="V63" s="1029"/>
      <c r="W63" s="1029"/>
      <c r="X63" s="1029"/>
      <c r="Y63" s="1029"/>
      <c r="Z63" s="1029"/>
      <c r="AA63" s="1029"/>
      <c r="AB63" s="1029"/>
      <c r="AC63" s="1029"/>
      <c r="AD63" s="1029"/>
      <c r="AE63" s="1029"/>
      <c r="AF63" s="1029"/>
      <c r="AG63" s="1029"/>
    </row>
    <row r="64" s="282" customFormat="1">
      <c r="A64" s="1029"/>
      <c r="B64" s="1029"/>
      <c r="C64" s="1029"/>
      <c r="D64" s="1029"/>
      <c r="E64" s="1029"/>
      <c r="F64" s="1029"/>
      <c r="G64" s="1029"/>
      <c r="H64" s="1029"/>
      <c r="I64" s="1029"/>
      <c r="J64" s="1029"/>
      <c r="K64" s="1029"/>
      <c r="L64" s="1029"/>
      <c r="M64" s="1029"/>
      <c r="N64" s="1029"/>
      <c r="O64" s="1029"/>
      <c r="P64" s="1029"/>
      <c r="Q64" s="1029"/>
      <c r="R64" s="1029"/>
      <c r="S64" s="1029"/>
      <c r="T64" s="1029"/>
      <c r="U64" s="1029"/>
      <c r="V64" s="1029"/>
      <c r="W64" s="1029"/>
      <c r="X64" s="1029"/>
      <c r="Y64" s="1029"/>
      <c r="Z64" s="1029"/>
      <c r="AA64" s="1029"/>
      <c r="AB64" s="1029"/>
      <c r="AC64" s="1029"/>
      <c r="AD64" s="1029"/>
      <c r="AE64" s="1029"/>
      <c r="AF64" s="1029"/>
      <c r="AG64" s="1029"/>
    </row>
    <row r="65" s="282" customFormat="1">
      <c r="A65" s="1029"/>
      <c r="B65" s="1029"/>
      <c r="C65" s="1029"/>
      <c r="D65" s="1029"/>
      <c r="E65" s="1029"/>
      <c r="F65" s="1029"/>
      <c r="G65" s="1029"/>
      <c r="H65" s="1029"/>
      <c r="I65" s="1029"/>
      <c r="J65" s="1029"/>
      <c r="K65" s="1029"/>
      <c r="L65" s="1029"/>
      <c r="M65" s="1029"/>
      <c r="N65" s="1029"/>
      <c r="O65" s="1029"/>
      <c r="P65" s="1029"/>
      <c r="Q65" s="1029"/>
      <c r="R65" s="1029"/>
      <c r="S65" s="1029"/>
      <c r="T65" s="1029"/>
      <c r="U65" s="1029"/>
      <c r="V65" s="1029"/>
      <c r="W65" s="1029"/>
      <c r="X65" s="1029"/>
      <c r="Y65" s="1029"/>
      <c r="Z65" s="1029"/>
      <c r="AA65" s="1029"/>
      <c r="AB65" s="1029"/>
      <c r="AC65" s="1029"/>
      <c r="AD65" s="1029"/>
      <c r="AE65" s="1029"/>
      <c r="AF65" s="1029"/>
      <c r="AG65" s="1029"/>
    </row>
    <row r="66" s="282" customFormat="1" ht="10.5" customHeight="1">
      <c r="A66" s="1029"/>
      <c r="B66" s="1029"/>
      <c r="C66" s="1029"/>
      <c r="D66" s="1029"/>
      <c r="E66" s="1029"/>
      <c r="F66" s="1029"/>
      <c r="G66" s="1029"/>
      <c r="H66" s="1029"/>
      <c r="I66" s="1029"/>
      <c r="J66" s="1029"/>
      <c r="K66" s="1029"/>
      <c r="L66" s="1029"/>
      <c r="M66" s="1029"/>
      <c r="N66" s="1029"/>
      <c r="O66" s="1029"/>
      <c r="P66" s="1029"/>
      <c r="Q66" s="1029"/>
      <c r="R66" s="1029"/>
      <c r="S66" s="1029"/>
      <c r="T66" s="1029"/>
      <c r="U66" s="1029"/>
      <c r="V66" s="1029"/>
      <c r="W66" s="1029"/>
      <c r="X66" s="1029"/>
      <c r="Y66" s="1029"/>
      <c r="Z66" s="1029"/>
      <c r="AA66" s="1029"/>
      <c r="AB66" s="1029"/>
      <c r="AC66" s="1029"/>
      <c r="AD66" s="1029"/>
      <c r="AE66" s="1029"/>
      <c r="AF66" s="1029"/>
      <c r="AG66" s="1029"/>
    </row>
    <row r="67" s="282" customFormat="1">
      <c r="A67" s="1029"/>
      <c r="B67" s="1029" t="s">
        <v>37</v>
      </c>
      <c r="C67" s="1029"/>
      <c r="D67" s="1029"/>
      <c r="E67" s="1029"/>
      <c r="F67" s="1029"/>
      <c r="G67" s="1029"/>
      <c r="H67" s="1029"/>
      <c r="I67" s="1029"/>
      <c r="J67" s="1029"/>
      <c r="K67" s="1029"/>
      <c r="L67" s="1029"/>
      <c r="M67" s="1029"/>
      <c r="N67" s="1029"/>
      <c r="O67" s="1029"/>
      <c r="P67" s="1029"/>
      <c r="Q67" s="1029"/>
      <c r="R67" s="1029"/>
      <c r="S67" s="1029"/>
      <c r="T67" s="1029"/>
      <c r="U67" s="1029"/>
      <c r="V67" s="1029"/>
      <c r="W67" s="1029"/>
      <c r="X67" s="1029"/>
      <c r="Y67" s="1029"/>
      <c r="Z67" s="1029"/>
      <c r="AA67" s="1029"/>
      <c r="AB67" s="1029"/>
      <c r="AC67" s="1029"/>
      <c r="AD67" s="1029"/>
      <c r="AE67" s="1029"/>
      <c r="AF67" s="1029"/>
      <c r="AG67" s="1029"/>
    </row>
    <row r="68" s="282" customFormat="1">
      <c r="A68" s="1029"/>
      <c r="B68" s="1029" t="s">
        <v>44</v>
      </c>
      <c r="C68" s="1029"/>
      <c r="D68" s="1029"/>
      <c r="E68" s="1029"/>
      <c r="F68" s="1029"/>
      <c r="G68" s="1029"/>
      <c r="H68" s="1029"/>
      <c r="I68" s="1029"/>
      <c r="J68" s="1029"/>
      <c r="K68" s="1029"/>
      <c r="L68" s="1029"/>
      <c r="M68" s="1029"/>
      <c r="N68" s="1029"/>
      <c r="O68" s="1029"/>
      <c r="P68" s="1029"/>
      <c r="Q68" s="1029"/>
      <c r="R68" s="1029"/>
      <c r="S68" s="1029"/>
      <c r="T68" s="1029"/>
      <c r="U68" s="1029"/>
      <c r="V68" s="1029"/>
      <c r="W68" s="1029"/>
      <c r="X68" s="1029"/>
      <c r="Y68" s="1029"/>
      <c r="Z68" s="1029"/>
      <c r="AA68" s="1029"/>
      <c r="AB68" s="1029"/>
      <c r="AC68" s="1029"/>
      <c r="AD68" s="1029"/>
      <c r="AE68" s="1029"/>
      <c r="AF68" s="1029"/>
      <c r="AG68" s="1029"/>
    </row>
    <row r="69" s="282" customFormat="1">
      <c r="A69" s="1029"/>
      <c r="B69" s="1029" t="s">
        <v>45</v>
      </c>
      <c r="C69" s="1029"/>
      <c r="D69" s="1029"/>
      <c r="E69" s="1029"/>
      <c r="F69" s="1029"/>
      <c r="G69" s="1029"/>
      <c r="H69" s="1029"/>
      <c r="I69" s="1029"/>
      <c r="J69" s="1029"/>
      <c r="K69" s="1029"/>
      <c r="L69" s="1029"/>
      <c r="M69" s="1029"/>
      <c r="N69" s="1029"/>
      <c r="O69" s="1029"/>
      <c r="P69" s="1029"/>
      <c r="Q69" s="1029"/>
      <c r="R69" s="1029"/>
      <c r="S69" s="1029"/>
      <c r="T69" s="1029"/>
      <c r="U69" s="1029"/>
      <c r="V69" s="1029"/>
      <c r="W69" s="1029"/>
      <c r="X69" s="1029"/>
      <c r="Y69" s="1029"/>
      <c r="Z69" s="1029"/>
      <c r="AA69" s="1029"/>
      <c r="AB69" s="1029"/>
      <c r="AC69" s="1029"/>
      <c r="AD69" s="1029"/>
      <c r="AE69" s="1029"/>
      <c r="AF69" s="1029"/>
      <c r="AG69" s="1029"/>
    </row>
    <row r="70" s="282" customFormat="1">
      <c r="A70" s="1029"/>
      <c r="B70" s="1029"/>
      <c r="C70" s="1029"/>
      <c r="D70" s="1029"/>
      <c r="E70" s="1029"/>
      <c r="F70" s="1029"/>
      <c r="G70" s="1029"/>
      <c r="H70" s="1029"/>
      <c r="I70" s="1029"/>
      <c r="J70" s="1029"/>
      <c r="K70" s="1029"/>
      <c r="L70" s="1029"/>
      <c r="M70" s="1029"/>
      <c r="N70" s="1029"/>
      <c r="O70" s="1029"/>
      <c r="P70" s="1029"/>
      <c r="Q70" s="1029"/>
      <c r="R70" s="1029"/>
      <c r="S70" s="1029"/>
      <c r="T70" s="1029"/>
      <c r="U70" s="1029"/>
      <c r="V70" s="1029"/>
      <c r="W70" s="1029"/>
      <c r="X70" s="1029"/>
      <c r="Y70" s="1029"/>
      <c r="Z70" s="1029"/>
      <c r="AA70" s="1029"/>
      <c r="AB70" s="1029"/>
      <c r="AC70" s="1029"/>
      <c r="AD70" s="1029"/>
      <c r="AE70" s="1029"/>
      <c r="AF70" s="1029"/>
      <c r="AG70" s="1029"/>
    </row>
    <row r="71" s="282" customFormat="1">
      <c r="A71" s="1029"/>
      <c r="B71" s="1029"/>
      <c r="C71" s="1029"/>
      <c r="D71" s="1029"/>
      <c r="E71" s="1029"/>
      <c r="F71" s="1029"/>
      <c r="G71" s="1029"/>
      <c r="H71" s="1029"/>
      <c r="I71" s="1029"/>
      <c r="J71" s="1029"/>
      <c r="K71" s="1029"/>
      <c r="L71" s="1029"/>
      <c r="M71" s="1029"/>
      <c r="N71" s="1029"/>
      <c r="O71" s="1029"/>
      <c r="P71" s="1029"/>
      <c r="Q71" s="1029"/>
      <c r="R71" s="1029"/>
      <c r="S71" s="1029"/>
      <c r="T71" s="1029"/>
      <c r="U71" s="1029"/>
      <c r="V71" s="1029"/>
      <c r="W71" s="1029"/>
      <c r="X71" s="1029"/>
      <c r="Y71" s="1029"/>
      <c r="Z71" s="1029"/>
      <c r="AA71" s="1029"/>
      <c r="AB71" s="1029"/>
      <c r="AC71" s="1029"/>
      <c r="AD71" s="1029"/>
      <c r="AE71" s="1029"/>
      <c r="AF71" s="1029"/>
      <c r="AG71" s="1029"/>
    </row>
    <row r="72" s="282" customFormat="1">
      <c r="A72" s="1029"/>
      <c r="B72" s="1029"/>
      <c r="C72" s="1029"/>
      <c r="D72" s="1029"/>
      <c r="E72" s="1029"/>
      <c r="F72" s="1029"/>
      <c r="G72" s="1029"/>
      <c r="H72" s="1029"/>
      <c r="I72" s="1029"/>
      <c r="J72" s="1029"/>
      <c r="K72" s="1029"/>
      <c r="L72" s="1029"/>
      <c r="M72" s="1029"/>
      <c r="N72" s="1029"/>
      <c r="O72" s="1029"/>
      <c r="P72" s="1029"/>
      <c r="Q72" s="1029"/>
      <c r="R72" s="1029"/>
      <c r="S72" s="1029"/>
      <c r="T72" s="1029"/>
      <c r="U72" s="1029"/>
      <c r="V72" s="1029"/>
      <c r="W72" s="1029"/>
      <c r="X72" s="1029"/>
      <c r="Y72" s="1029"/>
      <c r="Z72" s="1029"/>
      <c r="AA72" s="1029"/>
      <c r="AB72" s="1029"/>
      <c r="AC72" s="1029"/>
      <c r="AD72" s="1029"/>
      <c r="AE72" s="1029"/>
      <c r="AF72" s="1029"/>
      <c r="AG72" s="1029"/>
    </row>
    <row r="73" s="282" customFormat="1">
      <c r="A73" s="1029"/>
      <c r="B73" s="1029"/>
      <c r="C73" s="1029"/>
      <c r="D73" s="1029"/>
      <c r="E73" s="1029"/>
      <c r="F73" s="1029"/>
      <c r="G73" s="1029"/>
      <c r="H73" s="1029"/>
      <c r="I73" s="1029"/>
      <c r="J73" s="1029"/>
      <c r="K73" s="1029"/>
      <c r="L73" s="1029"/>
      <c r="M73" s="1029"/>
      <c r="N73" s="1029"/>
      <c r="O73" s="1029"/>
      <c r="P73" s="1029"/>
      <c r="Q73" s="1029"/>
      <c r="R73" s="1029"/>
      <c r="S73" s="1029"/>
      <c r="T73" s="1029"/>
      <c r="U73" s="1029"/>
      <c r="V73" s="1029"/>
      <c r="W73" s="1029"/>
      <c r="X73" s="1029"/>
      <c r="Y73" s="1029"/>
      <c r="Z73" s="1029"/>
      <c r="AA73" s="1029"/>
      <c r="AB73" s="1029"/>
      <c r="AC73" s="1029"/>
      <c r="AD73" s="1029"/>
      <c r="AE73" s="1029"/>
      <c r="AF73" s="1029"/>
      <c r="AG73" s="1029"/>
    </row>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25">
    <mergeCell ref="AA1:AF1"/>
    <mergeCell ref="AD43:AF43"/>
    <mergeCell ref="AD31:AF31"/>
    <mergeCell ref="B43:B44"/>
    <mergeCell ref="Z31:AB31"/>
    <mergeCell ref="Z43:AB43"/>
    <mergeCell ref="V31:X31"/>
    <mergeCell ref="B31:B32"/>
    <mergeCell ref="V43:X43"/>
    <mergeCell ref="B3:T3"/>
    <mergeCell ref="U3:AF3"/>
    <mergeCell ref="B4:AE4"/>
    <mergeCell ref="B19:B20"/>
    <mergeCell ref="Z19:AB19"/>
    <mergeCell ref="X18:AG18"/>
    <mergeCell ref="V19:X19"/>
    <mergeCell ref="AD19:AF19"/>
    <mergeCell ref="B2:AE2"/>
    <mergeCell ref="B57:AF57"/>
    <mergeCell ref="C19:H19"/>
    <mergeCell ref="C31:H31"/>
    <mergeCell ref="C43:H43"/>
    <mergeCell ref="I19:T19"/>
    <mergeCell ref="I31:T31"/>
    <mergeCell ref="I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8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174</v>
      </c>
      <c r="D1" s="6"/>
      <c r="E1" s="6"/>
      <c r="AS1" s="236"/>
    </row>
    <row r="2" ht="15" customHeight="1">
      <c r="B2" s="0"/>
      <c r="C2" s="1062" t="s">
        <v>211</v>
      </c>
      <c r="D2" s="1062"/>
      <c r="E2" s="1062"/>
      <c r="F2" s="1062"/>
      <c r="G2" s="1062"/>
      <c r="H2" s="1062"/>
      <c r="I2" s="1062"/>
      <c r="J2" s="1062"/>
      <c r="K2" s="1062"/>
      <c r="L2" s="1062"/>
      <c r="M2" s="1062"/>
      <c r="N2" s="1062"/>
      <c r="O2" s="1062"/>
      <c r="P2" s="1062"/>
      <c r="Q2" s="1062"/>
      <c r="R2" s="1062"/>
      <c r="S2" s="1062"/>
      <c r="T2" s="1062"/>
      <c r="U2" s="1062"/>
      <c r="V2" s="1062"/>
      <c r="W2" s="1062"/>
      <c r="X2" s="1062"/>
      <c r="Y2" s="1062"/>
      <c r="Z2" s="1062"/>
      <c r="AA2" s="1062"/>
      <c r="AB2" s="1062"/>
      <c r="AC2" s="1062"/>
      <c r="AD2" s="1062"/>
      <c r="AE2" s="1062"/>
      <c r="AF2" s="1062"/>
      <c r="AG2" s="1062"/>
      <c r="AH2" s="1062"/>
      <c r="AI2" s="1062"/>
      <c r="AJ2" s="1062"/>
      <c r="AK2" s="1062"/>
      <c r="AL2" s="1062"/>
      <c r="AM2" s="1062"/>
      <c r="AN2" s="1062"/>
      <c r="AO2" s="1062"/>
      <c r="AP2" s="1062"/>
      <c r="AQ2" s="0"/>
    </row>
    <row r="3" ht="15" customHeight="1">
      <c r="B3" s="0"/>
      <c r="C3" s="1062" t="s">
        <v>212</v>
      </c>
      <c r="D3" s="1062"/>
      <c r="E3" s="1062"/>
      <c r="F3" s="1062"/>
      <c r="G3" s="1062"/>
      <c r="H3" s="1062"/>
      <c r="I3" s="1062"/>
      <c r="J3" s="1062"/>
      <c r="K3" s="1062"/>
      <c r="L3" s="1062"/>
      <c r="M3" s="1062"/>
      <c r="N3" s="1062"/>
      <c r="O3" s="1062"/>
      <c r="P3" s="1062"/>
      <c r="Q3" s="1062"/>
      <c r="R3" s="1062"/>
      <c r="S3" s="1062"/>
      <c r="T3" s="1062"/>
      <c r="U3" s="1062"/>
      <c r="V3" s="1062"/>
      <c r="W3" s="1062"/>
      <c r="X3" s="1062"/>
      <c r="Y3" s="1062"/>
      <c r="Z3" s="1062"/>
      <c r="AA3" s="1062"/>
      <c r="AB3" s="1062"/>
      <c r="AC3" s="1062"/>
      <c r="AD3" s="1062"/>
      <c r="AE3" s="1062"/>
      <c r="AF3" s="1062"/>
      <c r="AG3" s="1062"/>
      <c r="AH3" s="1062"/>
      <c r="AI3" s="1062"/>
      <c r="AJ3" s="1062"/>
      <c r="AK3" s="1062"/>
      <c r="AL3" s="1062"/>
      <c r="AM3" s="1062"/>
      <c r="AN3" s="1062"/>
      <c r="AO3" s="1062"/>
      <c r="AP3" s="1062"/>
      <c r="AQ3" s="0"/>
    </row>
    <row r="4" ht="15" customHeight="1">
      <c r="B4" s="0"/>
      <c r="C4" s="1062" t="s">
        <v>242</v>
      </c>
      <c r="D4" s="1062"/>
      <c r="E4" s="1062"/>
      <c r="F4" s="1062"/>
      <c r="G4" s="1062"/>
      <c r="H4" s="1062"/>
      <c r="I4" s="1062"/>
      <c r="J4" s="1062"/>
      <c r="K4" s="1062"/>
      <c r="L4" s="1062"/>
      <c r="M4" s="1062"/>
      <c r="N4" s="1062"/>
      <c r="O4" s="1062"/>
      <c r="P4" s="1062"/>
      <c r="Q4" s="1062"/>
      <c r="R4" s="1062"/>
      <c r="S4" s="1062"/>
      <c r="T4" s="1062"/>
      <c r="U4" s="1062"/>
      <c r="V4" s="1062"/>
      <c r="W4" s="1062"/>
      <c r="X4" s="1062"/>
      <c r="Y4" s="1062"/>
      <c r="Z4" s="1062"/>
      <c r="AA4" s="1062"/>
      <c r="AB4" s="1062"/>
      <c r="AC4" s="1062"/>
      <c r="AD4" s="1062"/>
      <c r="AE4" s="1062"/>
      <c r="AF4" s="1062"/>
      <c r="AG4" s="1062"/>
      <c r="AH4" s="1062"/>
      <c r="AI4" s="1062"/>
      <c r="AJ4" s="1062"/>
      <c r="AK4" s="1062"/>
      <c r="AL4" s="1062"/>
      <c r="AM4" s="1062"/>
      <c r="AN4" s="1062"/>
      <c r="AO4" s="1062"/>
      <c r="AP4" s="1062"/>
      <c r="AQ4" s="0"/>
    </row>
    <row r="5" ht="12.75" customHeight="1">
      <c r="C5" s="67"/>
      <c r="D5" s="67"/>
      <c r="E5" s="67"/>
    </row>
    <row r="6" ht="18" customHeight="1">
      <c r="B6" s="68"/>
      <c r="C6" s="68" t="s">
        <v>7</v>
      </c>
      <c r="D6" s="69"/>
      <c r="E6" s="69"/>
      <c r="F6" s="69"/>
      <c r="H6" s="1063" t="s">
        <v>244</v>
      </c>
      <c r="I6" s="1063"/>
      <c r="J6" s="1063"/>
      <c r="K6" s="1063"/>
      <c r="L6" s="1063"/>
      <c r="M6" s="1063"/>
      <c r="N6" s="1063"/>
      <c r="O6" s="1063"/>
      <c r="P6" s="1063"/>
      <c r="Q6" s="1063"/>
      <c r="R6" s="1063"/>
      <c r="S6" s="1063"/>
      <c r="T6" s="1063"/>
      <c r="U6" s="1063"/>
      <c r="Z6" s="1063" t="s">
        <v>245</v>
      </c>
      <c r="AA6" s="1063"/>
      <c r="AB6" s="1063"/>
      <c r="AC6" s="1063"/>
      <c r="AD6" s="1063"/>
      <c r="AE6" s="1063"/>
      <c r="AF6" s="1063"/>
      <c r="AG6" s="1063"/>
      <c r="AH6" s="1063"/>
      <c r="AI6" s="1063"/>
      <c r="AJ6" s="1063"/>
      <c r="AK6" s="1063"/>
      <c r="AL6" s="1063"/>
      <c r="AM6" s="1063"/>
    </row>
    <row r="7" ht="15" customHeight="1">
      <c r="D7" s="93" t="s">
        <v>247</v>
      </c>
      <c r="E7" s="71"/>
      <c r="F7" s="71"/>
      <c r="H7" s="1064" t="s">
        <v>0</v>
      </c>
      <c r="I7" s="1064"/>
      <c r="J7" s="1064" t="s">
        <v>1</v>
      </c>
      <c r="K7" s="1064"/>
      <c r="L7" s="1064" t="s">
        <v>2</v>
      </c>
      <c r="M7" s="1064"/>
      <c r="N7" s="1064" t="s">
        <v>3</v>
      </c>
      <c r="O7" s="1064"/>
      <c r="P7" s="1064" t="s">
        <v>4</v>
      </c>
      <c r="Q7" s="1064"/>
      <c r="R7" s="1064" t="s">
        <v>5</v>
      </c>
      <c r="S7" s="1064"/>
      <c r="T7" s="1064" t="s">
        <v>6</v>
      </c>
      <c r="U7" s="1064"/>
      <c r="Z7" s="1064" t="s">
        <v>0</v>
      </c>
      <c r="AA7" s="1064"/>
      <c r="AB7" s="1064" t="s">
        <v>1</v>
      </c>
      <c r="AC7" s="1064"/>
      <c r="AD7" s="1064" t="s">
        <v>2</v>
      </c>
      <c r="AE7" s="1064"/>
      <c r="AF7" s="1064" t="s">
        <v>3</v>
      </c>
      <c r="AG7" s="1064"/>
      <c r="AH7" s="1064" t="s">
        <v>4</v>
      </c>
      <c r="AI7" s="1064"/>
      <c r="AJ7" s="1064" t="s">
        <v>5</v>
      </c>
      <c r="AK7" s="1064"/>
      <c r="AL7" s="1064" t="s">
        <v>6</v>
      </c>
      <c r="AM7" s="1064"/>
    </row>
    <row r="8" ht="15" customHeight="1">
      <c r="D8" s="175" t="s">
        <v>249</v>
      </c>
      <c r="E8" s="71"/>
      <c r="F8" s="71"/>
      <c r="G8" s="71"/>
      <c r="H8" s="1065"/>
      <c r="I8" s="1065"/>
      <c r="J8" s="1066"/>
      <c r="K8" s="1066"/>
      <c r="L8" s="1066">
        <v>1</v>
      </c>
      <c r="M8" s="1066"/>
      <c r="N8" s="1066">
        <v>2</v>
      </c>
      <c r="O8" s="1066"/>
      <c r="P8" s="1066">
        <v>3</v>
      </c>
      <c r="Q8" s="1066"/>
      <c r="R8" s="1066">
        <v>4</v>
      </c>
      <c r="S8" s="1066"/>
      <c r="T8" s="1067">
        <v>5</v>
      </c>
      <c r="U8" s="1067"/>
      <c r="Z8" s="1065">
        <v>1</v>
      </c>
      <c r="AA8" s="1065"/>
      <c r="AB8" s="1066">
        <v>2</v>
      </c>
      <c r="AC8" s="1066"/>
      <c r="AD8" s="1066">
        <v>3</v>
      </c>
      <c r="AE8" s="1066"/>
      <c r="AF8" s="1066">
        <v>4</v>
      </c>
      <c r="AG8" s="1066"/>
      <c r="AH8" s="1066">
        <v>5</v>
      </c>
      <c r="AI8" s="1066"/>
      <c r="AJ8" s="1066">
        <v>6</v>
      </c>
      <c r="AK8" s="1066"/>
      <c r="AL8" s="1067">
        <v>7</v>
      </c>
      <c r="AM8" s="1067"/>
    </row>
    <row r="9" ht="15" customHeight="1">
      <c r="D9" s="175" t="s">
        <v>251</v>
      </c>
      <c r="H9" s="1068">
        <v>6</v>
      </c>
      <c r="I9" s="1068"/>
      <c r="J9" s="1069">
        <v>7</v>
      </c>
      <c r="K9" s="1069"/>
      <c r="L9" s="1069">
        <v>8</v>
      </c>
      <c r="M9" s="1069"/>
      <c r="N9" s="1069">
        <v>9</v>
      </c>
      <c r="O9" s="1069"/>
      <c r="P9" s="1069">
        <v>10</v>
      </c>
      <c r="Q9" s="1069"/>
      <c r="R9" s="1069">
        <v>11</v>
      </c>
      <c r="S9" s="1069"/>
      <c r="T9" s="1070">
        <v>12</v>
      </c>
      <c r="U9" s="1070"/>
      <c r="Z9" s="1068">
        <v>8</v>
      </c>
      <c r="AA9" s="1068"/>
      <c r="AB9" s="1069">
        <v>9</v>
      </c>
      <c r="AC9" s="1069"/>
      <c r="AD9" s="1069">
        <v>10</v>
      </c>
      <c r="AE9" s="1069"/>
      <c r="AF9" s="1069">
        <v>11</v>
      </c>
      <c r="AG9" s="1069"/>
      <c r="AH9" s="1069">
        <v>12</v>
      </c>
      <c r="AI9" s="1069"/>
      <c r="AJ9" s="1069">
        <v>13</v>
      </c>
      <c r="AK9" s="1069"/>
      <c r="AL9" s="1070">
        <v>14</v>
      </c>
      <c r="AM9" s="1070"/>
    </row>
    <row r="10" ht="15" customHeight="1">
      <c r="D10" t="s">
        <v>253</v>
      </c>
      <c r="H10" s="1071">
        <v>13</v>
      </c>
      <c r="I10" s="1071"/>
      <c r="J10" s="1072">
        <v>14</v>
      </c>
      <c r="K10" s="1072"/>
      <c r="L10" s="1072">
        <v>15</v>
      </c>
      <c r="M10" s="1072"/>
      <c r="N10" s="1072">
        <v>16</v>
      </c>
      <c r="O10" s="1072"/>
      <c r="P10" s="1072">
        <v>17</v>
      </c>
      <c r="Q10" s="1072"/>
      <c r="R10" s="1072">
        <v>18</v>
      </c>
      <c r="S10" s="1072"/>
      <c r="T10" s="1073">
        <v>19</v>
      </c>
      <c r="U10" s="1073"/>
      <c r="Z10" s="1071">
        <v>15</v>
      </c>
      <c r="AA10" s="1071"/>
      <c r="AB10" s="1072">
        <v>16</v>
      </c>
      <c r="AC10" s="1072"/>
      <c r="AD10" s="1072">
        <v>17</v>
      </c>
      <c r="AE10" s="1072"/>
      <c r="AF10" s="1072">
        <v>18</v>
      </c>
      <c r="AG10" s="1072"/>
      <c r="AH10" s="1072">
        <v>19</v>
      </c>
      <c r="AI10" s="1072"/>
      <c r="AJ10" s="1072">
        <v>20</v>
      </c>
      <c r="AK10" s="1072"/>
      <c r="AL10" s="1073">
        <v>21</v>
      </c>
      <c r="AM10" s="1073"/>
    </row>
    <row r="11" ht="15" customHeight="1">
      <c r="D11" t="s">
        <v>255</v>
      </c>
      <c r="H11" s="1068">
        <v>20</v>
      </c>
      <c r="I11" s="1068"/>
      <c r="J11" s="1069">
        <v>21</v>
      </c>
      <c r="K11" s="1069"/>
      <c r="L11" s="1069">
        <v>22</v>
      </c>
      <c r="M11" s="1069"/>
      <c r="N11" s="1069">
        <v>23</v>
      </c>
      <c r="O11" s="1069"/>
      <c r="P11" s="1069">
        <v>24</v>
      </c>
      <c r="Q11" s="1069"/>
      <c r="R11" s="1069">
        <v>25</v>
      </c>
      <c r="S11" s="1069"/>
      <c r="T11" s="1070">
        <v>26</v>
      </c>
      <c r="U11" s="1070"/>
      <c r="Z11" s="1068">
        <v>22</v>
      </c>
      <c r="AA11" s="1068"/>
      <c r="AB11" s="1069">
        <v>23</v>
      </c>
      <c r="AC11" s="1069"/>
      <c r="AD11" s="1069">
        <v>24</v>
      </c>
      <c r="AE11" s="1069"/>
      <c r="AF11" s="1069">
        <v>25</v>
      </c>
      <c r="AG11" s="1069"/>
      <c r="AH11" s="1069">
        <v>26</v>
      </c>
      <c r="AI11" s="1069"/>
      <c r="AJ11" s="1069">
        <v>27</v>
      </c>
      <c r="AK11" s="1069"/>
      <c r="AL11" s="1070">
        <v>28</v>
      </c>
      <c r="AM11" s="1070"/>
      <c r="AN11" t="s">
        <v>27</v>
      </c>
    </row>
    <row r="12" ht="15" customHeight="1">
      <c r="A12" s="68"/>
      <c r="H12" s="1071">
        <v>27</v>
      </c>
      <c r="I12" s="1071"/>
      <c r="J12" s="1072">
        <v>28</v>
      </c>
      <c r="K12" s="1072"/>
      <c r="L12" s="1072">
        <v>29</v>
      </c>
      <c r="M12" s="1072"/>
      <c r="N12" s="1072">
        <v>30</v>
      </c>
      <c r="O12" s="1072"/>
      <c r="P12" s="1072">
        <v>31</v>
      </c>
      <c r="Q12" s="1072"/>
      <c r="R12" s="1072"/>
      <c r="S12" s="1072"/>
      <c r="T12" s="1073"/>
      <c r="U12" s="1073"/>
      <c r="Z12" s="1071">
        <v>29</v>
      </c>
      <c r="AA12" s="1071"/>
      <c r="AB12" s="1072">
        <v>30</v>
      </c>
      <c r="AC12" s="1072"/>
      <c r="AD12" s="1072">
        <v>31</v>
      </c>
      <c r="AE12" s="1072"/>
      <c r="AF12" s="1072"/>
      <c r="AG12" s="1072"/>
      <c r="AH12" s="1072"/>
      <c r="AI12" s="1072"/>
      <c r="AJ12" s="1072"/>
      <c r="AK12" s="1072"/>
      <c r="AL12" s="1073"/>
      <c r="AM12" s="1073"/>
    </row>
    <row r="13" ht="15" customHeight="1">
      <c r="C13" s="72"/>
      <c r="D13" s="73"/>
      <c r="E13" s="73"/>
      <c r="F13" s="73"/>
      <c r="G13" s="73"/>
      <c r="H13" s="1074" t="s">
        <v>27</v>
      </c>
      <c r="I13" s="1074"/>
      <c r="J13" s="1075" t="s">
        <v>27</v>
      </c>
      <c r="K13" s="1075"/>
      <c r="L13" s="1075" t="s">
        <v>27</v>
      </c>
      <c r="M13" s="1075"/>
      <c r="N13" s="1075" t="s">
        <v>27</v>
      </c>
      <c r="O13" s="1075"/>
      <c r="P13" s="1075" t="s">
        <v>27</v>
      </c>
      <c r="Q13" s="1075"/>
      <c r="R13" s="1075" t="s">
        <v>27</v>
      </c>
      <c r="S13" s="1075"/>
      <c r="T13" s="1076" t="s">
        <v>27</v>
      </c>
      <c r="U13" s="1076"/>
      <c r="Z13" s="1074" t="s">
        <v>27</v>
      </c>
      <c r="AA13" s="1074"/>
      <c r="AB13" s="1075" t="s">
        <v>27</v>
      </c>
      <c r="AC13" s="1075"/>
      <c r="AD13" s="1075" t="s">
        <v>27</v>
      </c>
      <c r="AE13" s="1075"/>
      <c r="AF13" s="1075" t="s">
        <v>27</v>
      </c>
      <c r="AG13" s="1075"/>
      <c r="AH13" s="1075" t="s">
        <v>27</v>
      </c>
      <c r="AI13" s="1075"/>
      <c r="AJ13" s="1075" t="s">
        <v>27</v>
      </c>
      <c r="AK13" s="1075"/>
      <c r="AL13" s="1076" t="s">
        <v>27</v>
      </c>
      <c r="AM13" s="1076"/>
    </row>
    <row r="14" ht="15" customHeight="1">
      <c r="A14" s="68"/>
      <c r="C14" s="68" t="s">
        <v>8</v>
      </c>
      <c r="F14" s="64"/>
    </row>
    <row r="15" ht="15" customHeight="1">
      <c r="D15" s="70" t="s">
        <v>257</v>
      </c>
      <c r="F15" s="64"/>
      <c r="P15" s="1077"/>
      <c r="Q15" s="1077"/>
      <c r="R15" s="1077"/>
      <c r="S15" s="1077"/>
      <c r="T15" s="1077"/>
      <c r="U15" s="1077"/>
      <c r="V15" s="1077"/>
      <c r="W15" s="0"/>
      <c r="X15" s="1077"/>
      <c r="Y15" s="1077"/>
      <c r="Z15" s="1077"/>
      <c r="AA15" s="1077"/>
      <c r="AB15" s="1077"/>
      <c r="AC15" s="1077"/>
      <c r="AD15" s="1077"/>
      <c r="AE15" s="0"/>
      <c r="AF15" s="1077"/>
      <c r="AG15" s="1077"/>
      <c r="AH15" s="1077"/>
      <c r="AI15" s="1077"/>
      <c r="AJ15" s="1077"/>
      <c r="AK15" s="1077"/>
      <c r="AL15" s="1077"/>
      <c r="AM15" s="0"/>
      <c r="AN15" s="0"/>
    </row>
    <row r="16" ht="15" customHeight="1">
      <c r="C16" s="70"/>
      <c r="D16" s="73" t="s">
        <v>249</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251</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253</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255</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1008">
        <v>2019</v>
      </c>
      <c r="S21" s="1008"/>
      <c r="T21" s="1008"/>
      <c r="U21" s="1008"/>
      <c r="V21" s="1008"/>
      <c r="W21" s="1008"/>
      <c r="X21" s="1008"/>
      <c r="Y21" s="1008"/>
      <c r="Z21" s="1008"/>
      <c r="AA21" s="1008"/>
      <c r="AB21" s="1008"/>
      <c r="AC21" s="1008"/>
      <c r="AD21" s="1010">
        <v>2020</v>
      </c>
      <c r="AE21" s="1010"/>
      <c r="AF21" s="1010"/>
      <c r="AG21" s="1010"/>
      <c r="AH21" s="1010"/>
      <c r="AI21" s="1010"/>
      <c r="AJ21" s="1010"/>
      <c r="AK21" s="1010"/>
      <c r="AL21" s="1010"/>
      <c r="AM21" s="1010"/>
      <c r="AN21" s="1010"/>
      <c r="AO21" s="1010"/>
    </row>
    <row r="22" s="5" customFormat="1" ht="30" customHeight="1">
      <c r="B22" s="76"/>
      <c r="C22" s="77" t="s">
        <v>73</v>
      </c>
      <c r="D22" s="77" t="s">
        <v>21</v>
      </c>
      <c r="E22" s="177" t="s">
        <v>243</v>
      </c>
      <c r="F22" s="10" t="s">
        <v>62</v>
      </c>
      <c r="G22" s="10" t="s">
        <v>63</v>
      </c>
      <c r="H22" s="1078" t="s">
        <v>34</v>
      </c>
      <c r="I22" s="1078"/>
      <c r="J22" s="1078"/>
      <c r="K22" s="1078"/>
      <c r="L22" s="1078" t="s">
        <v>64</v>
      </c>
      <c r="M22" s="1078"/>
      <c r="N22" s="1078"/>
      <c r="O22" s="1078"/>
      <c r="R22" s="618" t="s">
        <v>232</v>
      </c>
      <c r="S22" s="619" t="s">
        <v>233</v>
      </c>
      <c r="T22" s="619" t="s">
        <v>234</v>
      </c>
      <c r="U22" s="619" t="s">
        <v>235</v>
      </c>
      <c r="V22" s="619" t="s">
        <v>236</v>
      </c>
      <c r="W22" s="619" t="s">
        <v>237</v>
      </c>
      <c r="X22" s="619" t="s">
        <v>221</v>
      </c>
      <c r="Y22" s="619" t="s">
        <v>224</v>
      </c>
      <c r="Z22" s="619" t="s">
        <v>226</v>
      </c>
      <c r="AA22" s="619" t="s">
        <v>228</v>
      </c>
      <c r="AB22" s="619" t="s">
        <v>229</v>
      </c>
      <c r="AC22" s="1030" t="s">
        <v>230</v>
      </c>
      <c r="AD22" s="619" t="s">
        <v>232</v>
      </c>
      <c r="AE22" s="619" t="s">
        <v>233</v>
      </c>
      <c r="AF22" s="619" t="s">
        <v>234</v>
      </c>
      <c r="AG22" s="619" t="s">
        <v>235</v>
      </c>
      <c r="AH22" s="619" t="s">
        <v>236</v>
      </c>
      <c r="AI22" s="619" t="s">
        <v>237</v>
      </c>
      <c r="AJ22" s="619" t="s">
        <v>221</v>
      </c>
      <c r="AK22" s="619" t="s">
        <v>224</v>
      </c>
      <c r="AL22" s="619" t="s">
        <v>226</v>
      </c>
      <c r="AM22" s="619" t="s">
        <v>228</v>
      </c>
      <c r="AN22" s="619" t="s">
        <v>229</v>
      </c>
      <c r="AO22" s="1030" t="s">
        <v>230</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31">
        <v>56387</v>
      </c>
      <c r="D23" s="1031" t="s">
        <v>217</v>
      </c>
      <c r="E23" s="1031" t="s">
        <v>262</v>
      </c>
      <c r="F23" s="1031" t="s">
        <v>263</v>
      </c>
      <c r="G23" s="1031" t="s">
        <v>264</v>
      </c>
      <c r="H23" s="1032" t="s">
        <v>265</v>
      </c>
      <c r="I23" s="1032"/>
      <c r="J23" s="1032"/>
      <c r="K23" s="1032"/>
      <c r="L23" s="1032" t="s">
        <v>266</v>
      </c>
      <c r="M23" s="1032"/>
      <c r="N23" s="1032"/>
      <c r="O23" s="1032"/>
      <c r="P23" s="80"/>
      <c r="Q23" s="4"/>
      <c r="R23" s="1033" t="s">
        <v>267</v>
      </c>
      <c r="S23" s="1034" t="s">
        <v>267</v>
      </c>
      <c r="T23" s="1034" t="s">
        <v>267</v>
      </c>
      <c r="U23" s="1034" t="s">
        <v>267</v>
      </c>
      <c r="V23" s="1034" t="s">
        <v>267</v>
      </c>
      <c r="W23" s="1034" t="s">
        <v>267</v>
      </c>
      <c r="X23" s="1034" t="s">
        <v>267</v>
      </c>
      <c r="Y23" s="1034" t="s">
        <v>267</v>
      </c>
      <c r="Z23" s="1034" t="s">
        <v>267</v>
      </c>
      <c r="AA23" s="1034" t="s">
        <v>267</v>
      </c>
      <c r="AB23" s="1034" t="s">
        <v>267</v>
      </c>
      <c r="AC23" s="1034" t="s">
        <v>267</v>
      </c>
      <c r="AD23" s="1034" t="s">
        <v>267</v>
      </c>
      <c r="AE23" s="1034" t="s">
        <v>267</v>
      </c>
      <c r="AF23" s="1034" t="s">
        <v>267</v>
      </c>
      <c r="AG23" s="1034" t="s">
        <v>268</v>
      </c>
      <c r="AH23" s="1034" t="s">
        <v>268</v>
      </c>
      <c r="AI23" s="1034" t="s">
        <v>267</v>
      </c>
      <c r="AJ23" s="1034" t="s">
        <v>267</v>
      </c>
      <c r="AK23" s="1034" t="s">
        <v>267</v>
      </c>
      <c r="AL23" s="1034" t="s">
        <v>267</v>
      </c>
      <c r="AM23" s="1034" t="s">
        <v>267</v>
      </c>
      <c r="AN23" s="1034" t="s">
        <v>267</v>
      </c>
      <c r="AO23" s="1035" t="s">
        <v>267</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36">
        <v>31851</v>
      </c>
      <c r="D24" s="1036" t="s">
        <v>325</v>
      </c>
      <c r="E24" s="1036" t="s">
        <v>262</v>
      </c>
      <c r="F24" s="1036" t="s">
        <v>326</v>
      </c>
      <c r="G24" s="1036" t="s">
        <v>327</v>
      </c>
      <c r="H24" s="1037" t="s">
        <v>328</v>
      </c>
      <c r="I24" s="1037"/>
      <c r="J24" s="1037"/>
      <c r="K24" s="1037"/>
      <c r="L24" s="1037" t="s">
        <v>329</v>
      </c>
      <c r="M24" s="1037"/>
      <c r="N24" s="1037"/>
      <c r="O24" s="1037"/>
      <c r="P24" s="80"/>
      <c r="Q24" s="4"/>
      <c r="R24" s="1038" t="s">
        <v>267</v>
      </c>
      <c r="S24" s="1039" t="s">
        <v>267</v>
      </c>
      <c r="T24" s="1039" t="s">
        <v>267</v>
      </c>
      <c r="U24" s="1039" t="s">
        <v>267</v>
      </c>
      <c r="V24" s="1039" t="s">
        <v>267</v>
      </c>
      <c r="W24" s="1039" t="s">
        <v>267</v>
      </c>
      <c r="X24" s="1039" t="s">
        <v>267</v>
      </c>
      <c r="Y24" s="1039" t="s">
        <v>267</v>
      </c>
      <c r="Z24" s="1039" t="s">
        <v>267</v>
      </c>
      <c r="AA24" s="1039" t="s">
        <v>267</v>
      </c>
      <c r="AB24" s="1039" t="s">
        <v>267</v>
      </c>
      <c r="AC24" s="1039" t="s">
        <v>267</v>
      </c>
      <c r="AD24" s="1039" t="s">
        <v>267</v>
      </c>
      <c r="AE24" s="1039" t="s">
        <v>267</v>
      </c>
      <c r="AF24" s="1039" t="s">
        <v>267</v>
      </c>
      <c r="AG24" s="1039" t="s">
        <v>268</v>
      </c>
      <c r="AH24" s="1039" t="s">
        <v>268</v>
      </c>
      <c r="AI24" s="1039" t="s">
        <v>267</v>
      </c>
      <c r="AJ24" s="1039" t="s">
        <v>267</v>
      </c>
      <c r="AK24" s="1039" t="s">
        <v>267</v>
      </c>
      <c r="AL24" s="1039" t="s">
        <v>267</v>
      </c>
      <c r="AM24" s="1039" t="s">
        <v>267</v>
      </c>
      <c r="AN24" s="1039" t="s">
        <v>267</v>
      </c>
      <c r="AO24" s="1040" t="s">
        <v>267</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31">
        <v>33931</v>
      </c>
      <c r="D25" s="1031" t="s">
        <v>269</v>
      </c>
      <c r="E25" s="1031" t="s">
        <v>262</v>
      </c>
      <c r="F25" s="1031" t="s">
        <v>270</v>
      </c>
      <c r="G25" s="1031" t="s">
        <v>271</v>
      </c>
      <c r="H25" s="1032" t="s">
        <v>272</v>
      </c>
      <c r="I25" s="1032"/>
      <c r="J25" s="1032"/>
      <c r="K25" s="1032"/>
      <c r="L25" s="1032" t="s">
        <v>273</v>
      </c>
      <c r="M25" s="1032"/>
      <c r="N25" s="1032"/>
      <c r="O25" s="1032"/>
      <c r="P25" s="80"/>
      <c r="Q25" s="4"/>
      <c r="R25" s="1033" t="s">
        <v>267</v>
      </c>
      <c r="S25" s="1034" t="s">
        <v>267</v>
      </c>
      <c r="T25" s="1034" t="s">
        <v>267</v>
      </c>
      <c r="U25" s="1034" t="s">
        <v>267</v>
      </c>
      <c r="V25" s="1034" t="s">
        <v>267</v>
      </c>
      <c r="W25" s="1034" t="s">
        <v>267</v>
      </c>
      <c r="X25" s="1034" t="s">
        <v>267</v>
      </c>
      <c r="Y25" s="1034" t="s">
        <v>267</v>
      </c>
      <c r="Z25" s="1034" t="s">
        <v>267</v>
      </c>
      <c r="AA25" s="1034" t="s">
        <v>267</v>
      </c>
      <c r="AB25" s="1034" t="s">
        <v>267</v>
      </c>
      <c r="AC25" s="1034" t="s">
        <v>267</v>
      </c>
      <c r="AD25" s="1034" t="s">
        <v>267</v>
      </c>
      <c r="AE25" s="1034" t="s">
        <v>267</v>
      </c>
      <c r="AF25" s="1034" t="s">
        <v>267</v>
      </c>
      <c r="AG25" s="1034" t="s">
        <v>268</v>
      </c>
      <c r="AH25" s="1034" t="s">
        <v>268</v>
      </c>
      <c r="AI25" s="1034" t="s">
        <v>274</v>
      </c>
      <c r="AJ25" s="1034" t="s">
        <v>267</v>
      </c>
      <c r="AK25" s="1034" t="s">
        <v>267</v>
      </c>
      <c r="AL25" s="1034" t="s">
        <v>267</v>
      </c>
      <c r="AM25" s="1034" t="s">
        <v>267</v>
      </c>
      <c r="AN25" s="1034" t="s">
        <v>267</v>
      </c>
      <c r="AO25" s="1035" t="s">
        <v>267</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36">
        <v>34401</v>
      </c>
      <c r="D26" s="1036" t="s">
        <v>275</v>
      </c>
      <c r="E26" s="1036" t="s">
        <v>262</v>
      </c>
      <c r="F26" s="1036" t="s">
        <v>276</v>
      </c>
      <c r="G26" s="1036" t="s">
        <v>277</v>
      </c>
      <c r="H26" s="1037" t="s">
        <v>278</v>
      </c>
      <c r="I26" s="1037"/>
      <c r="J26" s="1037"/>
      <c r="K26" s="1037"/>
      <c r="L26" s="1037" t="s">
        <v>279</v>
      </c>
      <c r="M26" s="1037"/>
      <c r="N26" s="1037"/>
      <c r="O26" s="1037"/>
      <c r="P26" s="80"/>
      <c r="Q26" s="4"/>
      <c r="R26" s="1038" t="s">
        <v>267</v>
      </c>
      <c r="S26" s="1039" t="s">
        <v>267</v>
      </c>
      <c r="T26" s="1039" t="s">
        <v>267</v>
      </c>
      <c r="U26" s="1039" t="s">
        <v>267</v>
      </c>
      <c r="V26" s="1039" t="s">
        <v>267</v>
      </c>
      <c r="W26" s="1039" t="s">
        <v>267</v>
      </c>
      <c r="X26" s="1039" t="s">
        <v>267</v>
      </c>
      <c r="Y26" s="1039" t="s">
        <v>267</v>
      </c>
      <c r="Z26" s="1039" t="s">
        <v>267</v>
      </c>
      <c r="AA26" s="1039" t="s">
        <v>267</v>
      </c>
      <c r="AB26" s="1039" t="s">
        <v>267</v>
      </c>
      <c r="AC26" s="1039" t="s">
        <v>267</v>
      </c>
      <c r="AD26" s="1039" t="s">
        <v>267</v>
      </c>
      <c r="AE26" s="1039" t="s">
        <v>267</v>
      </c>
      <c r="AF26" s="1039" t="s">
        <v>267</v>
      </c>
      <c r="AG26" s="1039" t="s">
        <v>268</v>
      </c>
      <c r="AH26" s="1039" t="s">
        <v>268</v>
      </c>
      <c r="AI26" s="1039" t="s">
        <v>268</v>
      </c>
      <c r="AJ26" s="1039" t="s">
        <v>268</v>
      </c>
      <c r="AK26" s="1039" t="s">
        <v>268</v>
      </c>
      <c r="AL26" s="1039" t="s">
        <v>268</v>
      </c>
      <c r="AM26" s="1039" t="s">
        <v>268</v>
      </c>
      <c r="AN26" s="1039" t="s">
        <v>268</v>
      </c>
      <c r="AO26" s="1040" t="s">
        <v>268</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31">
        <v>35815</v>
      </c>
      <c r="D27" s="1031" t="s">
        <v>330</v>
      </c>
      <c r="E27" s="1031" t="s">
        <v>262</v>
      </c>
      <c r="F27" s="1031" t="s">
        <v>331</v>
      </c>
      <c r="G27" s="1031" t="s">
        <v>332</v>
      </c>
      <c r="H27" s="1032" t="s">
        <v>333</v>
      </c>
      <c r="I27" s="1032"/>
      <c r="J27" s="1032"/>
      <c r="K27" s="1032"/>
      <c r="L27" s="1032" t="s">
        <v>334</v>
      </c>
      <c r="M27" s="1032"/>
      <c r="N27" s="1032"/>
      <c r="O27" s="1032"/>
      <c r="P27" s="80"/>
      <c r="Q27" s="4"/>
      <c r="R27" s="1033" t="s">
        <v>267</v>
      </c>
      <c r="S27" s="1034" t="s">
        <v>267</v>
      </c>
      <c r="T27" s="1034" t="s">
        <v>267</v>
      </c>
      <c r="U27" s="1034" t="s">
        <v>267</v>
      </c>
      <c r="V27" s="1034" t="s">
        <v>267</v>
      </c>
      <c r="W27" s="1034" t="s">
        <v>267</v>
      </c>
      <c r="X27" s="1034" t="s">
        <v>267</v>
      </c>
      <c r="Y27" s="1034" t="s">
        <v>267</v>
      </c>
      <c r="Z27" s="1034" t="s">
        <v>267</v>
      </c>
      <c r="AA27" s="1034" t="s">
        <v>267</v>
      </c>
      <c r="AB27" s="1034" t="s">
        <v>267</v>
      </c>
      <c r="AC27" s="1034" t="s">
        <v>267</v>
      </c>
      <c r="AD27" s="1034" t="s">
        <v>267</v>
      </c>
      <c r="AE27" s="1034" t="s">
        <v>267</v>
      </c>
      <c r="AF27" s="1034" t="s">
        <v>267</v>
      </c>
      <c r="AG27" s="1034" t="s">
        <v>268</v>
      </c>
      <c r="AH27" s="1034" t="s">
        <v>268</v>
      </c>
      <c r="AI27" s="1034" t="s">
        <v>268</v>
      </c>
      <c r="AJ27" s="1034" t="s">
        <v>268</v>
      </c>
      <c r="AK27" s="1034" t="s">
        <v>268</v>
      </c>
      <c r="AL27" s="1034" t="s">
        <v>267</v>
      </c>
      <c r="AM27" s="1034" t="s">
        <v>267</v>
      </c>
      <c r="AN27" s="1034" t="s">
        <v>267</v>
      </c>
      <c r="AO27" s="1035" t="s">
        <v>267</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36">
        <v>39070</v>
      </c>
      <c r="D28" s="1036" t="s">
        <v>280</v>
      </c>
      <c r="E28" s="1036" t="s">
        <v>262</v>
      </c>
      <c r="F28" s="1036" t="s">
        <v>281</v>
      </c>
      <c r="G28" s="1036" t="s">
        <v>282</v>
      </c>
      <c r="H28" s="1037" t="s">
        <v>283</v>
      </c>
      <c r="I28" s="1037"/>
      <c r="J28" s="1037"/>
      <c r="K28" s="1037"/>
      <c r="L28" s="1037" t="s">
        <v>284</v>
      </c>
      <c r="M28" s="1037"/>
      <c r="N28" s="1037"/>
      <c r="O28" s="1037"/>
      <c r="P28" s="80"/>
      <c r="Q28" s="4"/>
      <c r="R28" s="1038" t="s">
        <v>267</v>
      </c>
      <c r="S28" s="1039" t="s">
        <v>267</v>
      </c>
      <c r="T28" s="1039" t="s">
        <v>267</v>
      </c>
      <c r="U28" s="1039" t="s">
        <v>267</v>
      </c>
      <c r="V28" s="1039" t="s">
        <v>267</v>
      </c>
      <c r="W28" s="1039" t="s">
        <v>267</v>
      </c>
      <c r="X28" s="1039" t="s">
        <v>267</v>
      </c>
      <c r="Y28" s="1039" t="s">
        <v>267</v>
      </c>
      <c r="Z28" s="1039" t="s">
        <v>267</v>
      </c>
      <c r="AA28" s="1039" t="s">
        <v>267</v>
      </c>
      <c r="AB28" s="1039" t="s">
        <v>267</v>
      </c>
      <c r="AC28" s="1039" t="s">
        <v>267</v>
      </c>
      <c r="AD28" s="1039" t="s">
        <v>267</v>
      </c>
      <c r="AE28" s="1039" t="s">
        <v>267</v>
      </c>
      <c r="AF28" s="1039" t="s">
        <v>267</v>
      </c>
      <c r="AG28" s="1039" t="s">
        <v>268</v>
      </c>
      <c r="AH28" s="1039" t="s">
        <v>268</v>
      </c>
      <c r="AI28" s="1039" t="s">
        <v>268</v>
      </c>
      <c r="AJ28" s="1039" t="s">
        <v>268</v>
      </c>
      <c r="AK28" s="1039" t="s">
        <v>268</v>
      </c>
      <c r="AL28" s="1039" t="s">
        <v>268</v>
      </c>
      <c r="AM28" s="1039" t="s">
        <v>268</v>
      </c>
      <c r="AN28" s="1039" t="s">
        <v>268</v>
      </c>
      <c r="AO28" s="1040" t="s">
        <v>268</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031">
        <v>43915</v>
      </c>
      <c r="D29" s="1031" t="s">
        <v>335</v>
      </c>
      <c r="E29" s="1031" t="s">
        <v>262</v>
      </c>
      <c r="F29" s="1031" t="s">
        <v>336</v>
      </c>
      <c r="G29" s="1031" t="s">
        <v>337</v>
      </c>
      <c r="H29" s="1032" t="s">
        <v>338</v>
      </c>
      <c r="I29" s="1032"/>
      <c r="J29" s="1032"/>
      <c r="K29" s="1032"/>
      <c r="L29" s="1032" t="s">
        <v>339</v>
      </c>
      <c r="M29" s="1032"/>
      <c r="N29" s="1032"/>
      <c r="O29" s="1032"/>
      <c r="P29" s="80"/>
      <c r="Q29" s="4"/>
      <c r="R29" s="1033" t="s">
        <v>267</v>
      </c>
      <c r="S29" s="1034" t="s">
        <v>267</v>
      </c>
      <c r="T29" s="1034" t="s">
        <v>267</v>
      </c>
      <c r="U29" s="1034" t="s">
        <v>267</v>
      </c>
      <c r="V29" s="1034" t="s">
        <v>267</v>
      </c>
      <c r="W29" s="1034" t="s">
        <v>267</v>
      </c>
      <c r="X29" s="1034" t="s">
        <v>267</v>
      </c>
      <c r="Y29" s="1034" t="s">
        <v>267</v>
      </c>
      <c r="Z29" s="1034" t="s">
        <v>267</v>
      </c>
      <c r="AA29" s="1034" t="s">
        <v>267</v>
      </c>
      <c r="AB29" s="1034" t="s">
        <v>267</v>
      </c>
      <c r="AC29" s="1034" t="s">
        <v>267</v>
      </c>
      <c r="AD29" s="1034" t="s">
        <v>267</v>
      </c>
      <c r="AE29" s="1034" t="s">
        <v>267</v>
      </c>
      <c r="AF29" s="1034" t="s">
        <v>267</v>
      </c>
      <c r="AG29" s="1034" t="s">
        <v>268</v>
      </c>
      <c r="AH29" s="1034" t="s">
        <v>268</v>
      </c>
      <c r="AI29" s="1034" t="s">
        <v>267</v>
      </c>
      <c r="AJ29" s="1034" t="s">
        <v>267</v>
      </c>
      <c r="AK29" s="1034" t="s">
        <v>267</v>
      </c>
      <c r="AL29" s="1034" t="s">
        <v>267</v>
      </c>
      <c r="AM29" s="1034" t="s">
        <v>267</v>
      </c>
      <c r="AN29" s="1034" t="s">
        <v>267</v>
      </c>
      <c r="AO29" s="1035" t="s">
        <v>267</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1032">
        <v>688</v>
      </c>
      <c r="I30" s="1032"/>
      <c r="J30" s="1032"/>
      <c r="K30" s="1032"/>
      <c r="L30" s="1085"/>
      <c r="M30" s="1085"/>
      <c r="N30" s="1085"/>
      <c r="O30" s="1085"/>
      <c r="P30" s="80"/>
      <c r="Q30" s="4"/>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1011"/>
      <c r="I31" s="1011"/>
      <c r="J31" s="1011"/>
      <c r="K31" s="1011"/>
      <c r="L31" s="1085"/>
      <c r="M31" s="1085"/>
      <c r="N31" s="1085"/>
      <c r="O31" s="1085"/>
      <c r="P31" s="80"/>
      <c r="Q31" s="4"/>
      <c r="R31" s="182"/>
      <c r="S31" s="182"/>
      <c r="T31" s="182"/>
      <c r="U31" s="182"/>
      <c r="V31" s="182"/>
      <c r="W31" s="182"/>
      <c r="X31" s="1041" t="s">
        <v>295</v>
      </c>
      <c r="Y31" s="182"/>
      <c r="Z31" s="182"/>
      <c r="AA31" s="182"/>
      <c r="AB31" s="182"/>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1011"/>
      <c r="I32" s="1011"/>
      <c r="J32" s="1011"/>
      <c r="K32" s="1011"/>
      <c r="L32" s="1085"/>
      <c r="M32" s="1085"/>
      <c r="N32" s="1085"/>
      <c r="O32" s="1085"/>
      <c r="P32" s="80"/>
      <c r="Q32" s="4"/>
      <c r="R32" s="182"/>
      <c r="S32" s="182"/>
      <c r="T32" s="182"/>
      <c r="U32" s="182"/>
      <c r="V32" s="182"/>
      <c r="W32" s="182"/>
      <c r="X32" s="182"/>
      <c r="Y32" s="182"/>
      <c r="Z32" s="182"/>
      <c r="AA32" s="1042" t="s">
        <v>274</v>
      </c>
      <c r="AB32" s="1041" t="s">
        <v>296</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1011"/>
      <c r="I33" s="1011"/>
      <c r="J33" s="1011"/>
      <c r="K33" s="1011"/>
      <c r="L33" s="1085"/>
      <c r="M33" s="1085"/>
      <c r="N33" s="1085"/>
      <c r="O33" s="1085"/>
      <c r="P33" s="80"/>
      <c r="Q33" s="4"/>
      <c r="R33" s="182"/>
      <c r="S33" s="182"/>
      <c r="T33" s="182"/>
      <c r="U33" s="182"/>
      <c r="V33" s="182"/>
      <c r="W33" s="182"/>
      <c r="X33" s="182"/>
      <c r="Y33" s="182"/>
      <c r="Z33" s="182"/>
      <c r="AA33" s="1042" t="s">
        <v>267</v>
      </c>
      <c r="AB33" s="1041" t="s">
        <v>297</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1011"/>
      <c r="I34" s="1011"/>
      <c r="J34" s="1011"/>
      <c r="K34" s="1011"/>
      <c r="L34" s="1085"/>
      <c r="M34" s="1085"/>
      <c r="N34" s="1085"/>
      <c r="O34" s="1085"/>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1011"/>
      <c r="I35" s="1011"/>
      <c r="J35" s="1011"/>
      <c r="K35" s="1011"/>
      <c r="L35" s="1085"/>
      <c r="M35" s="1085"/>
      <c r="N35" s="1085"/>
      <c r="O35" s="1085"/>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1011"/>
      <c r="I36" s="1011"/>
      <c r="J36" s="1011"/>
      <c r="K36" s="1011"/>
      <c r="L36" s="1085"/>
      <c r="M36" s="1085"/>
      <c r="N36" s="1085"/>
      <c r="O36" s="1085"/>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1011"/>
      <c r="I37" s="1011"/>
      <c r="J37" s="1011"/>
      <c r="K37" s="1011"/>
      <c r="L37" s="1085"/>
      <c r="M37" s="1085"/>
      <c r="N37" s="1085"/>
      <c r="O37" s="1085"/>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1011"/>
      <c r="I38" s="1011"/>
      <c r="J38" s="1011"/>
      <c r="K38" s="1011"/>
      <c r="L38" s="1085"/>
      <c r="M38" s="1085"/>
      <c r="N38" s="1085"/>
      <c r="O38" s="1085"/>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1011"/>
      <c r="I39" s="1011"/>
      <c r="J39" s="1011"/>
      <c r="K39" s="1011"/>
      <c r="L39" s="1085"/>
      <c r="M39" s="1085"/>
      <c r="N39" s="1085"/>
      <c r="O39" s="1085"/>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011"/>
      <c r="I40" s="1011"/>
      <c r="J40" s="1011"/>
      <c r="K40" s="1011"/>
      <c r="L40" s="1085"/>
      <c r="M40" s="1085"/>
      <c r="N40" s="1085"/>
      <c r="O40" s="1085"/>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011"/>
      <c r="I41" s="1011"/>
      <c r="J41" s="1011"/>
      <c r="K41" s="1011"/>
      <c r="L41" s="1085"/>
      <c r="M41" s="1085"/>
      <c r="N41" s="1085"/>
      <c r="O41" s="1085"/>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011"/>
      <c r="I42" s="1011"/>
      <c r="J42" s="1011"/>
      <c r="K42" s="1011"/>
      <c r="L42" s="1085"/>
      <c r="M42" s="1085"/>
      <c r="N42" s="1085"/>
      <c r="O42" s="1085"/>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011"/>
      <c r="I43" s="1011"/>
      <c r="J43" s="1011"/>
      <c r="K43" s="1011"/>
      <c r="L43" s="1085"/>
      <c r="M43" s="1085"/>
      <c r="N43" s="1085"/>
      <c r="O43" s="1085"/>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011"/>
      <c r="I44" s="1011"/>
      <c r="J44" s="1011"/>
      <c r="K44" s="1011"/>
      <c r="L44" s="1085"/>
      <c r="M44" s="1085"/>
      <c r="N44" s="1085"/>
      <c r="O44" s="1085"/>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011"/>
      <c r="I45" s="1011"/>
      <c r="J45" s="1011"/>
      <c r="K45" s="1011"/>
      <c r="L45" s="1085"/>
      <c r="M45" s="1085"/>
      <c r="N45" s="1085"/>
      <c r="O45" s="1085"/>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011"/>
      <c r="I46" s="1011"/>
      <c r="J46" s="1011"/>
      <c r="K46" s="1011"/>
      <c r="L46" s="1085"/>
      <c r="M46" s="1085"/>
      <c r="N46" s="1085"/>
      <c r="O46" s="1085"/>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011"/>
      <c r="I47" s="1011"/>
      <c r="J47" s="1011"/>
      <c r="K47" s="1011"/>
      <c r="L47" s="1085"/>
      <c r="M47" s="1085"/>
      <c r="N47" s="1085"/>
      <c r="O47" s="1085"/>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011"/>
      <c r="I48" s="1011"/>
      <c r="J48" s="1011"/>
      <c r="K48" s="1011"/>
      <c r="L48" s="1085"/>
      <c r="M48" s="1085"/>
      <c r="N48" s="1085"/>
      <c r="O48" s="1085"/>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011"/>
      <c r="I49" s="1011"/>
      <c r="J49" s="1011"/>
      <c r="K49" s="1011"/>
      <c r="L49" s="1085"/>
      <c r="M49" s="1085"/>
      <c r="N49" s="1085"/>
      <c r="O49" s="1085"/>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011"/>
      <c r="I50" s="1011"/>
      <c r="J50" s="1011"/>
      <c r="K50" s="1011"/>
      <c r="L50" s="1085"/>
      <c r="M50" s="1085"/>
      <c r="N50" s="1085"/>
      <c r="O50" s="1085"/>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011"/>
      <c r="I51" s="1011"/>
      <c r="J51" s="1011"/>
      <c r="K51" s="1011"/>
      <c r="L51" s="1085"/>
      <c r="M51" s="1085"/>
      <c r="N51" s="1085"/>
      <c r="O51" s="1085"/>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011"/>
      <c r="I52" s="1011"/>
      <c r="J52" s="1011"/>
      <c r="K52" s="1011"/>
      <c r="L52" s="1085"/>
      <c r="M52" s="1085"/>
      <c r="N52" s="1085"/>
      <c r="O52" s="1085"/>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1011"/>
      <c r="I53" s="1011"/>
      <c r="J53" s="1011"/>
      <c r="K53" s="1011"/>
      <c r="L53" s="1085"/>
      <c r="M53" s="1085"/>
      <c r="N53" s="1085"/>
      <c r="O53" s="1085"/>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1011"/>
      <c r="I54" s="1011"/>
      <c r="J54" s="1011"/>
      <c r="K54" s="1011"/>
      <c r="L54" s="1085"/>
      <c r="M54" s="1085"/>
      <c r="N54" s="1085"/>
      <c r="O54" s="1085"/>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1011"/>
      <c r="I55" s="1011"/>
      <c r="J55" s="1011"/>
      <c r="K55" s="1011"/>
      <c r="L55" s="1085"/>
      <c r="M55" s="1085"/>
      <c r="N55" s="1085"/>
      <c r="O55" s="1085"/>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1011"/>
      <c r="I56" s="1011"/>
      <c r="J56" s="1011"/>
      <c r="K56" s="1011"/>
      <c r="L56" s="1085"/>
      <c r="M56" s="1085"/>
      <c r="N56" s="1085"/>
      <c r="O56" s="1085"/>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1011"/>
      <c r="I57" s="1011"/>
      <c r="J57" s="1011"/>
      <c r="K57" s="1011"/>
      <c r="L57" s="1085"/>
      <c r="M57" s="1085"/>
      <c r="N57" s="1085"/>
      <c r="O57" s="1085"/>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1011"/>
      <c r="I58" s="1011"/>
      <c r="J58" s="1011"/>
      <c r="K58" s="1011"/>
      <c r="L58" s="1085"/>
      <c r="M58" s="1085"/>
      <c r="N58" s="1085"/>
      <c r="O58" s="1085"/>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1011"/>
      <c r="I59" s="1011"/>
      <c r="J59" s="1011"/>
      <c r="K59" s="1011"/>
      <c r="L59" s="1085"/>
      <c r="M59" s="1085"/>
      <c r="N59" s="1085"/>
      <c r="O59" s="1085"/>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011"/>
      <c r="I60" s="1011"/>
      <c r="J60" s="1011"/>
      <c r="K60" s="1011"/>
      <c r="L60" s="1085"/>
      <c r="M60" s="1085"/>
      <c r="N60" s="1085"/>
      <c r="O60" s="1085"/>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011"/>
      <c r="I61" s="1011"/>
      <c r="J61" s="1011"/>
      <c r="K61" s="1011"/>
      <c r="L61" s="1085"/>
      <c r="M61" s="1085"/>
      <c r="N61" s="1085"/>
      <c r="O61" s="1085"/>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011"/>
      <c r="I62" s="1011"/>
      <c r="J62" s="1011"/>
      <c r="K62" s="1011"/>
      <c r="L62" s="1085"/>
      <c r="M62" s="1085"/>
      <c r="N62" s="1085"/>
      <c r="O62" s="1085"/>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011"/>
      <c r="I63" s="1011"/>
      <c r="J63" s="1011"/>
      <c r="K63" s="1011"/>
      <c r="L63" s="1085"/>
      <c r="M63" s="1085"/>
      <c r="N63" s="1085"/>
      <c r="O63" s="1085"/>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011"/>
      <c r="I64" s="1011"/>
      <c r="J64" s="1011"/>
      <c r="K64" s="1011"/>
      <c r="L64" s="1085"/>
      <c r="M64" s="1085"/>
      <c r="N64" s="1085"/>
      <c r="O64" s="1085"/>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011"/>
      <c r="I65" s="1011"/>
      <c r="J65" s="1011"/>
      <c r="K65" s="1011"/>
      <c r="L65" s="1085"/>
      <c r="M65" s="1085"/>
      <c r="N65" s="1085"/>
      <c r="O65" s="1085"/>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011"/>
      <c r="I66" s="1011"/>
      <c r="J66" s="1011"/>
      <c r="K66" s="1011"/>
      <c r="L66" s="1085"/>
      <c r="M66" s="1085"/>
      <c r="N66" s="1085"/>
      <c r="O66" s="1085"/>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011"/>
      <c r="I67" s="1011"/>
      <c r="J67" s="1011"/>
      <c r="K67" s="1011"/>
      <c r="L67" s="1085"/>
      <c r="M67" s="1085"/>
      <c r="N67" s="1085"/>
      <c r="O67" s="1085"/>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011"/>
      <c r="I68" s="1011"/>
      <c r="J68" s="1011"/>
      <c r="K68" s="1011"/>
      <c r="L68" s="1085"/>
      <c r="M68" s="1085"/>
      <c r="N68" s="1085"/>
      <c r="O68" s="1085"/>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011"/>
      <c r="I69" s="1011"/>
      <c r="J69" s="1011"/>
      <c r="K69" s="1011"/>
      <c r="L69" s="1085"/>
      <c r="M69" s="1085"/>
      <c r="N69" s="1085"/>
      <c r="O69" s="1085"/>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011"/>
      <c r="I70" s="1011"/>
      <c r="J70" s="1011"/>
      <c r="K70" s="1011"/>
      <c r="L70" s="1085"/>
      <c r="M70" s="1085"/>
      <c r="N70" s="1085"/>
      <c r="O70" s="1085"/>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011"/>
      <c r="I71" s="1011"/>
      <c r="J71" s="1011"/>
      <c r="K71" s="1011"/>
      <c r="L71" s="1085"/>
      <c r="M71" s="1085"/>
      <c r="N71" s="1085"/>
      <c r="O71" s="1085"/>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011"/>
      <c r="I72" s="1011"/>
      <c r="J72" s="1011"/>
      <c r="K72" s="1011"/>
      <c r="L72" s="1085"/>
      <c r="M72" s="1085"/>
      <c r="N72" s="1085"/>
      <c r="O72" s="1085"/>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011"/>
      <c r="I73" s="1011"/>
      <c r="J73" s="1011"/>
      <c r="K73" s="1011"/>
      <c r="L73" s="1085"/>
      <c r="M73" s="1085"/>
      <c r="N73" s="1085"/>
      <c r="O73" s="1085"/>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011"/>
      <c r="I74" s="1011"/>
      <c r="J74" s="1011"/>
      <c r="K74" s="1011"/>
      <c r="L74" s="1085"/>
      <c r="M74" s="1085"/>
      <c r="N74" s="1085"/>
      <c r="O74" s="1085"/>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011"/>
      <c r="I75" s="1011"/>
      <c r="J75" s="1011"/>
      <c r="K75" s="1011"/>
      <c r="L75" s="1085"/>
      <c r="M75" s="1085"/>
      <c r="N75" s="1085"/>
      <c r="O75" s="1085"/>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011"/>
      <c r="I76" s="1011"/>
      <c r="J76" s="1011"/>
      <c r="K76" s="1011"/>
      <c r="L76" s="1085"/>
      <c r="M76" s="1085"/>
      <c r="N76" s="1085"/>
      <c r="O76" s="1085"/>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011"/>
      <c r="I77" s="1011"/>
      <c r="J77" s="1011"/>
      <c r="K77" s="1011"/>
      <c r="L77" s="1085"/>
      <c r="M77" s="1085"/>
      <c r="N77" s="1085"/>
      <c r="O77" s="1085"/>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011"/>
      <c r="I78" s="1011"/>
      <c r="J78" s="1011"/>
      <c r="K78" s="1011"/>
      <c r="L78" s="1085"/>
      <c r="M78" s="1085"/>
      <c r="N78" s="1085"/>
      <c r="O78" s="1085"/>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011"/>
      <c r="I79" s="1011"/>
      <c r="J79" s="1011"/>
      <c r="K79" s="1011"/>
      <c r="L79" s="1085"/>
      <c r="M79" s="1085"/>
      <c r="N79" s="1085"/>
      <c r="O79" s="1085"/>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011"/>
      <c r="I80" s="1011"/>
      <c r="J80" s="1011"/>
      <c r="K80" s="1011"/>
      <c r="L80" s="1085"/>
      <c r="M80" s="1085"/>
      <c r="N80" s="1085"/>
      <c r="O80" s="1085"/>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011"/>
      <c r="I81" s="1011"/>
      <c r="J81" s="1011"/>
      <c r="K81" s="1011"/>
      <c r="L81" s="1085"/>
      <c r="M81" s="1085"/>
      <c r="N81" s="1085"/>
      <c r="O81" s="1085"/>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011"/>
      <c r="I82" s="1011"/>
      <c r="J82" s="1011"/>
      <c r="K82" s="1011"/>
      <c r="L82" s="1085"/>
      <c r="M82" s="1085"/>
      <c r="N82" s="1085"/>
      <c r="O82" s="1085"/>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011"/>
      <c r="I83" s="1011"/>
      <c r="J83" s="1011"/>
      <c r="K83" s="1011"/>
      <c r="L83" s="1085"/>
      <c r="M83" s="1085"/>
      <c r="N83" s="1085"/>
      <c r="O83" s="1085"/>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011"/>
      <c r="I84" s="1011"/>
      <c r="J84" s="1011"/>
      <c r="K84" s="1011"/>
      <c r="L84" s="1085"/>
      <c r="M84" s="1085"/>
      <c r="N84" s="1085"/>
      <c r="O84" s="1085"/>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011"/>
      <c r="I85" s="1011"/>
      <c r="J85" s="1011"/>
      <c r="K85" s="1011"/>
      <c r="L85" s="1085"/>
      <c r="M85" s="1085"/>
      <c r="N85" s="1085"/>
      <c r="O85" s="1085"/>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011"/>
      <c r="I86" s="1011"/>
      <c r="J86" s="1011"/>
      <c r="K86" s="1011"/>
      <c r="L86" s="1085"/>
      <c r="M86" s="1085"/>
      <c r="N86" s="1085"/>
      <c r="O86" s="1085"/>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011"/>
      <c r="I87" s="1011"/>
      <c r="J87" s="1011"/>
      <c r="K87" s="1011"/>
      <c r="L87" s="1085"/>
      <c r="M87" s="1085"/>
      <c r="N87" s="1085"/>
      <c r="O87" s="1085"/>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011"/>
      <c r="I88" s="1011"/>
      <c r="J88" s="1011"/>
      <c r="K88" s="1011"/>
      <c r="L88" s="1085"/>
      <c r="M88" s="1085"/>
      <c r="N88" s="1085"/>
      <c r="O88" s="1085"/>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011"/>
      <c r="I89" s="1011"/>
      <c r="J89" s="1011"/>
      <c r="K89" s="1011"/>
      <c r="L89" s="1085"/>
      <c r="M89" s="1085"/>
      <c r="N89" s="1085"/>
      <c r="O89" s="1085"/>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011"/>
      <c r="I90" s="1011"/>
      <c r="J90" s="1011"/>
      <c r="K90" s="1011"/>
      <c r="L90" s="1085"/>
      <c r="M90" s="1085"/>
      <c r="N90" s="1085"/>
      <c r="O90" s="1085"/>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011"/>
      <c r="I91" s="1011"/>
      <c r="J91" s="1011"/>
      <c r="K91" s="1011"/>
      <c r="L91" s="1085"/>
      <c r="M91" s="1085"/>
      <c r="N91" s="1085"/>
      <c r="O91" s="1085"/>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011"/>
      <c r="I92" s="1011"/>
      <c r="J92" s="1011"/>
      <c r="K92" s="1011"/>
      <c r="L92" s="1085"/>
      <c r="M92" s="1085"/>
      <c r="N92" s="1085"/>
      <c r="O92" s="1085"/>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011"/>
      <c r="I93" s="1011"/>
      <c r="J93" s="1011"/>
      <c r="K93" s="1011"/>
      <c r="L93" s="1085"/>
      <c r="M93" s="1085"/>
      <c r="N93" s="1085"/>
      <c r="O93" s="1085"/>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011"/>
      <c r="I94" s="1011"/>
      <c r="J94" s="1011"/>
      <c r="K94" s="1011"/>
      <c r="L94" s="1085"/>
      <c r="M94" s="1085"/>
      <c r="N94" s="1085"/>
      <c r="O94" s="1085"/>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011"/>
      <c r="I95" s="1011"/>
      <c r="J95" s="1011"/>
      <c r="K95" s="1011"/>
      <c r="L95" s="1085"/>
      <c r="M95" s="1085"/>
      <c r="N95" s="1085"/>
      <c r="O95" s="1085"/>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011"/>
      <c r="I96" s="1011"/>
      <c r="J96" s="1011"/>
      <c r="K96" s="1011"/>
      <c r="L96" s="1085"/>
      <c r="M96" s="1085"/>
      <c r="N96" s="1085"/>
      <c r="O96" s="1085"/>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011"/>
      <c r="I97" s="1011"/>
      <c r="J97" s="1011"/>
      <c r="K97" s="1011"/>
      <c r="L97" s="1085"/>
      <c r="M97" s="1085"/>
      <c r="N97" s="1085"/>
      <c r="O97" s="1085"/>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011"/>
      <c r="I98" s="1011"/>
      <c r="J98" s="1011"/>
      <c r="K98" s="1011"/>
      <c r="L98" s="1085"/>
      <c r="M98" s="1085"/>
      <c r="N98" s="1085"/>
      <c r="O98" s="1085"/>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011"/>
      <c r="I99" s="1011"/>
      <c r="J99" s="1011"/>
      <c r="K99" s="1011"/>
      <c r="L99" s="1085"/>
      <c r="M99" s="1085"/>
      <c r="N99" s="1085"/>
      <c r="O99" s="1085"/>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011"/>
      <c r="I100" s="1011"/>
      <c r="J100" s="1011"/>
      <c r="K100" s="1011"/>
      <c r="L100" s="1085"/>
      <c r="M100" s="1085"/>
      <c r="N100" s="1085"/>
      <c r="O100" s="1085"/>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011"/>
      <c r="I101" s="1011"/>
      <c r="J101" s="1011"/>
      <c r="K101" s="1011"/>
      <c r="L101" s="1085"/>
      <c r="M101" s="1085"/>
      <c r="N101" s="1085"/>
      <c r="O101" s="1085"/>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011"/>
      <c r="I102" s="1011"/>
      <c r="J102" s="1011"/>
      <c r="K102" s="1011"/>
      <c r="L102" s="1085"/>
      <c r="M102" s="1085"/>
      <c r="N102" s="1085"/>
      <c r="O102" s="1085"/>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011"/>
      <c r="I103" s="1011"/>
      <c r="J103" s="1011"/>
      <c r="K103" s="1011"/>
      <c r="L103" s="1085"/>
      <c r="M103" s="1085"/>
      <c r="N103" s="1085"/>
      <c r="O103" s="1085"/>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88" t="s">
        <v>129</v>
      </c>
      <c r="D105" s="1088"/>
      <c r="E105" s="1088"/>
      <c r="F105" s="1088"/>
      <c r="G105" s="1088"/>
      <c r="H105" s="1088"/>
      <c r="I105" s="1088"/>
      <c r="J105" s="1088"/>
      <c r="K105" s="1088"/>
      <c r="L105" s="1088"/>
      <c r="M105" s="1088"/>
      <c r="N105" s="1088"/>
      <c r="O105" s="1088"/>
      <c r="P105" s="1088"/>
      <c r="Q105" s="1088"/>
      <c r="R105" s="1088"/>
      <c r="S105" s="1088"/>
      <c r="T105" s="1088"/>
      <c r="U105" s="1088"/>
      <c r="V105" s="1088"/>
      <c r="W105" s="1088"/>
      <c r="X105" s="1088"/>
      <c r="Y105" s="1088"/>
      <c r="Z105" s="1088"/>
      <c r="AA105" s="1088"/>
      <c r="AB105" s="1088"/>
      <c r="AC105" s="1088"/>
      <c r="AD105" s="1088"/>
      <c r="AE105" s="1088"/>
      <c r="AF105" s="1088"/>
      <c r="AG105" s="1088"/>
      <c r="AH105" s="1088"/>
      <c r="AI105" s="1088"/>
      <c r="AJ105" s="1088"/>
      <c r="AK105" s="1088"/>
      <c r="AL105" s="1088"/>
      <c r="AM105" s="1088"/>
      <c r="AN105" s="1088"/>
      <c r="AO105" s="1088"/>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3">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AC21"/>
    <mergeCell ref="AD21:AO21"/>
    <mergeCell ref="H30:K30"/>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8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2" customWidth="1"/>
  </cols>
  <sheetData>
    <row r="1" s="2" customFormat="1" ht="23.25">
      <c r="B1" s="658" t="s">
        <v>176</v>
      </c>
      <c r="C1" s="130"/>
      <c r="P1" s="222"/>
      <c r="Q1" s="222"/>
      <c r="R1" s="222"/>
      <c r="S1" s="222"/>
      <c r="T1" s="222"/>
      <c r="U1" s="222"/>
      <c r="W1" s="282"/>
      <c r="X1" s="282"/>
      <c r="Y1" s="282"/>
      <c r="Z1" s="282"/>
      <c r="AA1" s="282"/>
      <c r="AB1" s="282"/>
      <c r="AC1" s="282"/>
      <c r="AD1" s="282"/>
      <c r="AE1" s="282"/>
      <c r="AF1" s="282"/>
      <c r="AG1" s="282"/>
      <c r="AH1" s="282"/>
      <c r="AI1" s="282"/>
      <c r="AJ1" s="282"/>
      <c r="AK1" s="282"/>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211</v>
      </c>
      <c r="C2" s="130"/>
      <c r="W2" s="282"/>
      <c r="X2" s="282"/>
      <c r="Y2" s="282"/>
      <c r="Z2" s="282"/>
      <c r="AA2" s="282"/>
      <c r="AB2" s="282"/>
      <c r="AC2" s="282"/>
      <c r="AD2" s="282"/>
      <c r="AE2" s="282"/>
      <c r="AF2" s="282"/>
      <c r="AG2" s="282"/>
      <c r="AH2" s="282"/>
      <c r="AI2" s="282"/>
      <c r="AJ2" s="282"/>
      <c r="AK2" s="282"/>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212</v>
      </c>
      <c r="C3" s="130"/>
      <c r="O3" s="1121"/>
      <c r="P3" s="1121"/>
      <c r="Q3" s="1121"/>
      <c r="R3" s="1121"/>
      <c r="S3" s="1121"/>
      <c r="T3" s="1121"/>
      <c r="U3" s="1121"/>
      <c r="W3" s="282"/>
      <c r="X3" s="282"/>
      <c r="Y3" s="282"/>
      <c r="Z3" s="282"/>
      <c r="AA3" s="282"/>
      <c r="AB3" s="282"/>
      <c r="AC3" s="282"/>
      <c r="AD3" s="282"/>
      <c r="AE3" s="282"/>
      <c r="AF3" s="282"/>
      <c r="AG3" s="282"/>
      <c r="AH3" s="282"/>
      <c r="AI3" s="282"/>
      <c r="AJ3" s="282"/>
      <c r="AK3" s="282"/>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213</v>
      </c>
      <c r="C4" s="131"/>
      <c r="D4" s="131"/>
      <c r="E4" s="131"/>
      <c r="G4" s="132"/>
      <c r="H4" s="132"/>
      <c r="I4" s="132"/>
      <c r="J4" s="132"/>
      <c r="K4" s="132"/>
      <c r="L4" s="132"/>
      <c r="M4" s="132"/>
      <c r="N4" s="132"/>
      <c r="O4" s="132"/>
      <c r="P4" s="132"/>
      <c r="Q4" s="132"/>
      <c r="R4" s="132"/>
      <c r="S4" s="132"/>
      <c r="T4" s="132"/>
      <c r="U4" s="132"/>
      <c r="V4" s="132"/>
      <c r="W4" s="282"/>
      <c r="X4" s="282"/>
      <c r="Y4" s="282"/>
      <c r="Z4" s="282"/>
      <c r="AA4" s="282"/>
      <c r="AB4" s="282"/>
      <c r="AC4" s="282"/>
      <c r="AD4" s="282"/>
      <c r="AE4" s="282"/>
      <c r="AF4" s="282"/>
      <c r="AG4" s="282"/>
      <c r="AH4" s="282"/>
      <c r="AI4" s="282"/>
      <c r="AJ4" s="282"/>
      <c r="AK4" s="282"/>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2"/>
      <c r="X5" s="282"/>
      <c r="Y5" s="282"/>
      <c r="Z5" s="282"/>
      <c r="AA5" s="282"/>
      <c r="AB5" s="282"/>
      <c r="AC5" s="282"/>
      <c r="AD5" s="282"/>
      <c r="AE5" s="282"/>
      <c r="AF5" s="282"/>
      <c r="AG5" s="282"/>
      <c r="AH5" s="282"/>
      <c r="AI5" s="282"/>
      <c r="AJ5" s="282"/>
      <c r="AK5" s="282"/>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2"/>
      <c r="X6" s="282"/>
      <c r="Y6" s="282"/>
      <c r="Z6" s="282"/>
      <c r="AA6" s="282"/>
      <c r="AB6" s="282"/>
      <c r="AC6" s="282"/>
      <c r="AD6" s="282"/>
      <c r="AE6" s="282"/>
      <c r="AF6" s="282"/>
      <c r="AG6" s="282"/>
      <c r="AH6" s="282"/>
      <c r="AI6" s="282"/>
      <c r="AJ6" s="282"/>
      <c r="AK6" s="282"/>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2"/>
      <c r="X7" s="282"/>
      <c r="Y7" s="282"/>
      <c r="Z7" s="282"/>
      <c r="AA7" s="282"/>
      <c r="AB7" s="282"/>
      <c r="AC7" s="282"/>
      <c r="AD7" s="282"/>
      <c r="AE7" s="282"/>
      <c r="AF7" s="282"/>
      <c r="AG7" s="282"/>
      <c r="AH7" s="282"/>
      <c r="AI7" s="282"/>
      <c r="AJ7" s="282"/>
      <c r="AK7" s="282"/>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2"/>
      <c r="X8" s="282"/>
      <c r="Y8" s="282"/>
      <c r="Z8" s="282"/>
      <c r="AA8" s="282"/>
      <c r="AB8" s="282"/>
      <c r="AC8" s="282"/>
      <c r="AD8" s="282"/>
      <c r="AE8" s="282"/>
      <c r="AF8" s="282"/>
      <c r="AG8" s="282"/>
      <c r="AH8" s="282"/>
      <c r="AI8" s="282"/>
      <c r="AJ8" s="282"/>
      <c r="AK8" s="282"/>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2"/>
      <c r="X9" s="282"/>
      <c r="Y9" s="282"/>
      <c r="Z9" s="282"/>
      <c r="AA9" s="282"/>
      <c r="AB9" s="282"/>
      <c r="AC9" s="282"/>
      <c r="AD9" s="282"/>
      <c r="AE9" s="282"/>
      <c r="AF9" s="282"/>
      <c r="AG9" s="282"/>
      <c r="AH9" s="282"/>
      <c r="AI9" s="282"/>
      <c r="AJ9" s="282"/>
      <c r="AK9" s="282"/>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2"/>
      <c r="X10" s="282"/>
      <c r="Y10" s="282"/>
      <c r="Z10" s="282"/>
      <c r="AA10" s="282"/>
      <c r="AB10" s="282"/>
      <c r="AC10" s="282"/>
      <c r="AD10" s="282"/>
      <c r="AE10" s="282"/>
      <c r="AF10" s="282"/>
      <c r="AG10" s="282"/>
      <c r="AH10" s="282"/>
      <c r="AI10" s="282"/>
      <c r="AJ10" s="282"/>
      <c r="AK10" s="282"/>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2"/>
      <c r="X11" s="282"/>
      <c r="Y11" s="282"/>
      <c r="Z11" s="282"/>
      <c r="AA11" s="282"/>
      <c r="AB11" s="282"/>
      <c r="AC11" s="282"/>
      <c r="AD11" s="282"/>
      <c r="AE11" s="282"/>
      <c r="AF11" s="282"/>
      <c r="AG11" s="282"/>
      <c r="AH11" s="282"/>
      <c r="AI11" s="282"/>
      <c r="AJ11" s="282"/>
      <c r="AK11" s="282"/>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2"/>
      <c r="X12" s="282"/>
      <c r="Y12" s="282"/>
      <c r="Z12" s="282"/>
      <c r="AA12" s="282"/>
      <c r="AB12" s="282"/>
      <c r="AC12" s="282"/>
      <c r="AD12" s="282"/>
      <c r="AE12" s="282"/>
      <c r="AF12" s="282"/>
      <c r="AG12" s="282"/>
      <c r="AH12" s="282"/>
      <c r="AI12" s="282"/>
      <c r="AJ12" s="282"/>
      <c r="AK12" s="282"/>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2"/>
      <c r="X13" s="1029" t="s">
        <v>43</v>
      </c>
      <c r="Y13" s="1029" t="s">
        <v>46</v>
      </c>
      <c r="Z13" s="1029" t="s">
        <v>47</v>
      </c>
      <c r="AA13" s="1029" t="s">
        <v>48</v>
      </c>
      <c r="AB13" s="1029" t="s">
        <v>49</v>
      </c>
      <c r="AC13" s="1029" t="s">
        <v>50</v>
      </c>
      <c r="AD13" s="1029" t="s">
        <v>51</v>
      </c>
      <c r="AE13" s="1029" t="s">
        <v>40</v>
      </c>
      <c r="AF13" s="1029" t="s">
        <v>52</v>
      </c>
      <c r="AG13" s="282"/>
      <c r="AH13" s="282"/>
      <c r="AI13" s="282"/>
      <c r="AJ13" s="282"/>
      <c r="AK13" s="282"/>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2"/>
      <c r="X14" s="1029" t="str">
        <f>D18</f>
      </c>
      <c r="Y14" s="1029" t="str">
        <f>D24</f>
      </c>
      <c r="Z14" s="1029" t="str">
        <f>D30</f>
      </c>
      <c r="AA14" s="1029" t="str">
        <f>D36</f>
      </c>
      <c r="AB14" s="1029" t="str">
        <f>D42</f>
      </c>
      <c r="AC14" s="1029" t="str">
        <f>D48</f>
      </c>
      <c r="AD14" s="1029" t="str">
        <f>D54</f>
      </c>
      <c r="AE14" s="1029" t="str">
        <f>D60</f>
      </c>
      <c r="AF14" s="1029" t="str">
        <f>D66</f>
      </c>
      <c r="AG14" s="282"/>
      <c r="AH14" s="282"/>
      <c r="AI14" s="282"/>
      <c r="AJ14" s="282"/>
      <c r="AK14" s="282"/>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977" t="s">
        <v>22</v>
      </c>
      <c r="E15" s="977"/>
      <c r="F15" s="977"/>
      <c r="G15" s="977"/>
      <c r="H15" s="977"/>
      <c r="I15" s="977"/>
      <c r="J15" s="977" t="s">
        <v>93</v>
      </c>
      <c r="K15" s="977"/>
      <c r="L15" s="977"/>
      <c r="M15" s="977"/>
      <c r="N15" s="977"/>
      <c r="O15" s="977"/>
      <c r="P15" s="977" t="s">
        <v>10</v>
      </c>
      <c r="Q15" s="977"/>
      <c r="R15" s="977"/>
      <c r="S15" s="977"/>
      <c r="T15" s="977"/>
      <c r="U15" s="977"/>
      <c r="W15" s="282"/>
      <c r="X15" s="1029" t="str">
        <f>F18</f>
      </c>
      <c r="Y15" s="1029" t="str">
        <f>F24</f>
      </c>
      <c r="Z15" s="1029" t="str">
        <f>F30</f>
      </c>
      <c r="AA15" s="1029" t="str">
        <f>F36</f>
      </c>
      <c r="AB15" s="1029" t="str">
        <f>F42</f>
      </c>
      <c r="AC15" s="1029" t="str">
        <f>F48</f>
      </c>
      <c r="AD15" s="1029" t="str">
        <f>F54</f>
      </c>
      <c r="AE15" s="1029" t="str">
        <f>F60</f>
      </c>
      <c r="AF15" s="1029" t="str">
        <f>F66</f>
      </c>
      <c r="AG15" s="282"/>
      <c r="AH15" s="282"/>
      <c r="AI15" s="282"/>
      <c r="AJ15" s="282"/>
      <c r="AK15" s="282"/>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978" t="s">
        <v>19</v>
      </c>
      <c r="E16" s="978"/>
      <c r="F16" s="978" t="s">
        <v>35</v>
      </c>
      <c r="G16" s="978"/>
      <c r="H16" s="978" t="s">
        <v>100</v>
      </c>
      <c r="I16" s="978"/>
      <c r="J16" s="978" t="s">
        <v>19</v>
      </c>
      <c r="K16" s="978"/>
      <c r="L16" s="978" t="s">
        <v>35</v>
      </c>
      <c r="M16" s="978"/>
      <c r="N16" s="978" t="s">
        <v>101</v>
      </c>
      <c r="O16" s="978"/>
      <c r="P16" s="978" t="s">
        <v>19</v>
      </c>
      <c r="Q16" s="978"/>
      <c r="R16" s="978" t="s">
        <v>35</v>
      </c>
      <c r="S16" s="978"/>
      <c r="T16" s="978" t="s">
        <v>102</v>
      </c>
      <c r="U16" s="978"/>
      <c r="W16" s="282"/>
      <c r="X16" s="1029" t="str">
        <f>J18</f>
      </c>
      <c r="Y16" s="1029" t="str">
        <f>J24</f>
      </c>
      <c r="Z16" s="1029" t="str">
        <f>J30</f>
      </c>
      <c r="AA16" s="1029" t="str">
        <f>J36</f>
      </c>
      <c r="AB16" s="1029" t="str">
        <f>J42</f>
      </c>
      <c r="AC16" s="1029" t="str">
        <f>J48</f>
      </c>
      <c r="AD16" s="1029" t="str">
        <f>J54</f>
      </c>
      <c r="AE16" s="1029" t="str">
        <f>J60</f>
      </c>
      <c r="AF16" s="1029" t="str">
        <f>J66</f>
      </c>
      <c r="AG16" s="282"/>
      <c r="AH16" s="282"/>
      <c r="AI16" s="282"/>
      <c r="AJ16" s="282"/>
      <c r="AK16" s="282"/>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2" t="s">
        <v>39</v>
      </c>
      <c r="C17" s="612" t="s">
        <v>41</v>
      </c>
      <c r="D17" s="299"/>
      <c r="E17" s="299" t="s">
        <v>24</v>
      </c>
      <c r="F17" s="300"/>
      <c r="G17" s="299" t="s">
        <v>24</v>
      </c>
      <c r="H17" s="300"/>
      <c r="I17" s="299" t="s">
        <v>24</v>
      </c>
      <c r="J17" s="300"/>
      <c r="K17" s="299" t="s">
        <v>24</v>
      </c>
      <c r="L17" s="300"/>
      <c r="M17" s="299" t="s">
        <v>24</v>
      </c>
      <c r="N17" s="300"/>
      <c r="O17" s="299" t="s">
        <v>24</v>
      </c>
      <c r="P17" s="300"/>
      <c r="Q17" s="299" t="s">
        <v>24</v>
      </c>
      <c r="R17" s="300"/>
      <c r="S17" s="299" t="s">
        <v>24</v>
      </c>
      <c r="T17" s="300"/>
      <c r="U17" s="299" t="s">
        <v>24</v>
      </c>
      <c r="W17" s="282"/>
      <c r="X17" s="1029" t="str">
        <f>L18</f>
      </c>
      <c r="Y17" s="1029" t="str">
        <f>L24</f>
      </c>
      <c r="Z17" s="1029" t="str">
        <f>L30</f>
      </c>
      <c r="AA17" s="1029" t="str">
        <f>L36</f>
      </c>
      <c r="AB17" s="1029" t="str">
        <f>L42</f>
      </c>
      <c r="AC17" s="1029" t="str">
        <f>L48</f>
      </c>
      <c r="AD17" s="1029" t="str">
        <f>L54</f>
      </c>
      <c r="AE17" s="1029" t="str">
        <f>L60</f>
      </c>
      <c r="AF17" s="1029" t="str">
        <f>L66</f>
      </c>
      <c r="AG17" s="282"/>
      <c r="AH17" s="282"/>
      <c r="AI17" s="282"/>
      <c r="AJ17" s="282"/>
      <c r="AK17" s="282"/>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1" t="s">
        <v>43</v>
      </c>
      <c r="C18" s="304" t="s">
        <v>42</v>
      </c>
      <c r="D18" s="308">
        <v>77.462121212121212121212121290</v>
      </c>
      <c r="E18" s="309">
        <v>-5.9011786900449439983512607300</v>
      </c>
      <c r="F18" s="309">
        <v>72.567287784679089026915113920</v>
      </c>
      <c r="G18" s="309">
        <v>-12.987330655623816054391703740</v>
      </c>
      <c r="H18" s="309">
        <v>106.74523408118272597587861500</v>
      </c>
      <c r="I18" s="310">
        <v>8.143816318901225969138690280</v>
      </c>
      <c r="J18" s="318">
        <v>143.87870756690630148514767496</v>
      </c>
      <c r="K18" s="309">
        <v>-31.376859160711133174707322230</v>
      </c>
      <c r="L18" s="319">
        <v>152.22859369949165325425546286</v>
      </c>
      <c r="M18" s="309">
        <v>-41.154302268590761155415458830</v>
      </c>
      <c r="N18" s="309">
        <v>94.51490293008386696962330572</v>
      </c>
      <c r="O18" s="310">
        <v>16.615391583097603333217024340</v>
      </c>
      <c r="P18" s="318">
        <v>111.45149885391037368830568015</v>
      </c>
      <c r="Q18" s="309">
        <v>-35.426433324358776914631366570</v>
      </c>
      <c r="R18" s="319">
        <v>110.46816168047996783771540325</v>
      </c>
      <c r="S18" s="309">
        <v>-48.796787609577801705147700180</v>
      </c>
      <c r="T18" s="309">
        <v>100.89015437432065484507076028</v>
      </c>
      <c r="U18" s="310">
        <v>26.112334873192472676294114320</v>
      </c>
      <c r="W18" s="282"/>
      <c r="X18" s="1029"/>
      <c r="Y18" s="1029"/>
      <c r="Z18" s="1029"/>
      <c r="AA18" s="1029"/>
      <c r="AB18" s="1029"/>
      <c r="AC18" s="1029"/>
      <c r="AD18" s="1029"/>
      <c r="AE18" s="1029"/>
      <c r="AF18" s="1029"/>
      <c r="AG18" s="282"/>
      <c r="AH18" s="282"/>
      <c r="AI18" s="282"/>
      <c r="AJ18" s="282"/>
      <c r="AK18" s="282"/>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2"/>
      <c r="C19" s="305" t="s">
        <v>60</v>
      </c>
      <c r="D19" s="311">
        <v>50.317098822904803950362969820</v>
      </c>
      <c r="E19" s="134">
        <v>-22.535742898665066865214441050</v>
      </c>
      <c r="F19" s="134">
        <v>56.338246454251341458903083720</v>
      </c>
      <c r="G19" s="134">
        <v>-32.513825178376982390077954610</v>
      </c>
      <c r="H19" s="134">
        <v>89.31250436373463736793833664</v>
      </c>
      <c r="I19" s="312">
        <v>14.785372420478144869889657660</v>
      </c>
      <c r="J19" s="320">
        <v>201.2587547643269876538852591</v>
      </c>
      <c r="K19" s="134">
        <v>12.221166044128604312493979770</v>
      </c>
      <c r="L19" s="135">
        <v>212.45948790022544509335983303</v>
      </c>
      <c r="M19" s="134">
        <v>9.347047128178044885418327430</v>
      </c>
      <c r="N19" s="134">
        <v>94.72806168997333250503911174</v>
      </c>
      <c r="O19" s="312">
        <v>2.628437613483498537532115800</v>
      </c>
      <c r="P19" s="320">
        <v>101.26756652451404074458013745</v>
      </c>
      <c r="Q19" s="134">
        <v>-13.068707413460240970962182890</v>
      </c>
      <c r="R19" s="135">
        <v>119.69594990866931965478196039</v>
      </c>
      <c r="S19" s="134">
        <v>-26.205860612795253316948430980</v>
      </c>
      <c r="T19" s="134">
        <v>84.60400423053867186619777776</v>
      </c>
      <c r="U19" s="312">
        <v>17.802434323955106541048271720</v>
      </c>
      <c r="W19" s="282"/>
      <c r="X19" s="282"/>
      <c r="Y19" s="282"/>
      <c r="Z19" s="282"/>
      <c r="AA19" s="282"/>
      <c r="AB19" s="282"/>
      <c r="AC19" s="282"/>
      <c r="AD19" s="282"/>
      <c r="AE19" s="282"/>
      <c r="AF19" s="282"/>
      <c r="AG19" s="282"/>
      <c r="AH19" s="282"/>
      <c r="AI19" s="282"/>
      <c r="AJ19" s="282"/>
      <c r="AK19" s="282"/>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2"/>
      <c r="C20" s="306" t="s">
        <v>44</v>
      </c>
      <c r="D20" s="313">
        <v>59.416852087306632761178215780</v>
      </c>
      <c r="E20" s="159">
        <v>-16.240917108701201769042505980</v>
      </c>
      <c r="F20" s="159">
        <v>60.901417423156553591336200080</v>
      </c>
      <c r="G20" s="159">
        <v>-26.944562678810616218491664760</v>
      </c>
      <c r="H20" s="159">
        <v>97.56234682431965144022960685</v>
      </c>
      <c r="I20" s="314">
        <v>14.651401678769874009588955180</v>
      </c>
      <c r="J20" s="321">
        <v>125.71911171077335843802792581</v>
      </c>
      <c r="K20" s="159">
        <v>-26.770964970724067206522282200</v>
      </c>
      <c r="L20" s="160">
        <v>129.11108816537189098307805961</v>
      </c>
      <c r="M20" s="159">
        <v>-32.775686932101496144022418640</v>
      </c>
      <c r="N20" s="159">
        <v>97.37282327738271346656867174</v>
      </c>
      <c r="O20" s="314">
        <v>8.93236641230158169799890800</v>
      </c>
      <c r="P20" s="321">
        <v>74.698338650665997610492856219</v>
      </c>
      <c r="Q20" s="159">
        <v>-38.664031849330538273182826410</v>
      </c>
      <c r="R20" s="160">
        <v>78.630482743172815913249004675</v>
      </c>
      <c r="S20" s="159">
        <v>-50.888984102081284397418541780</v>
      </c>
      <c r="T20" s="159">
        <v>94.99921155851198009407426453</v>
      </c>
      <c r="U20" s="314">
        <v>24.892484973557286014358579380</v>
      </c>
      <c r="W20" s="282"/>
      <c r="X20" s="282"/>
      <c r="Y20" s="282"/>
      <c r="Z20" s="282"/>
      <c r="AA20" s="282"/>
      <c r="AB20" s="282"/>
      <c r="AC20" s="282"/>
      <c r="AD20" s="282"/>
      <c r="AE20" s="282"/>
      <c r="AF20" s="282"/>
      <c r="AG20" s="282"/>
      <c r="AH20" s="282"/>
      <c r="AI20" s="282"/>
      <c r="AJ20" s="282"/>
      <c r="AK20" s="282"/>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3"/>
      <c r="C21" s="307" t="s">
        <v>45</v>
      </c>
      <c r="D21" s="315">
        <v>50.317098822904803950362969820</v>
      </c>
      <c r="E21" s="316">
        <v>-22.535742898665066865214441050</v>
      </c>
      <c r="F21" s="316">
        <v>56.338246454251341458903083720</v>
      </c>
      <c r="G21" s="316">
        <v>-32.513825178376982390077954610</v>
      </c>
      <c r="H21" s="316">
        <v>89.31250436373463736793833664</v>
      </c>
      <c r="I21" s="317">
        <v>14.785372420478144869889657660</v>
      </c>
      <c r="J21" s="322">
        <v>201.2587547643269876538852591</v>
      </c>
      <c r="K21" s="316">
        <v>12.221166044128604312493979770</v>
      </c>
      <c r="L21" s="323">
        <v>212.45948790022544509335983303</v>
      </c>
      <c r="M21" s="316">
        <v>9.347047128178044885418327430</v>
      </c>
      <c r="N21" s="316">
        <v>94.72806168997333250503911174</v>
      </c>
      <c r="O21" s="317">
        <v>2.628437613483498537532115800</v>
      </c>
      <c r="P21" s="322">
        <v>101.26756652451404074458013745</v>
      </c>
      <c r="Q21" s="316">
        <v>-13.068707413460240970962182890</v>
      </c>
      <c r="R21" s="323">
        <v>119.69594990866931965478196039</v>
      </c>
      <c r="S21" s="316">
        <v>-26.205860612795253316948430980</v>
      </c>
      <c r="T21" s="316">
        <v>84.60400423053867186619777776</v>
      </c>
      <c r="U21" s="317">
        <v>17.802434323955106541048271720</v>
      </c>
      <c r="W21" s="282"/>
      <c r="X21" s="282"/>
      <c r="Y21" s="282"/>
      <c r="Z21" s="282"/>
      <c r="AA21" s="282"/>
      <c r="AB21" s="282"/>
      <c r="AC21" s="282"/>
      <c r="AD21" s="282"/>
      <c r="AE21" s="282"/>
      <c r="AF21" s="282"/>
      <c r="AG21" s="282"/>
      <c r="AH21" s="282"/>
      <c r="AI21" s="282"/>
      <c r="AJ21" s="282"/>
      <c r="AK21" s="282"/>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8"/>
      <c r="C22" s="298"/>
      <c r="D22" s="159"/>
      <c r="E22" s="159"/>
      <c r="F22" s="159"/>
      <c r="G22" s="159"/>
      <c r="H22" s="159"/>
      <c r="I22" s="159"/>
      <c r="J22" s="160"/>
      <c r="K22" s="159"/>
      <c r="L22" s="160"/>
      <c r="M22" s="159"/>
      <c r="N22" s="159"/>
      <c r="O22" s="159"/>
      <c r="P22" s="160"/>
      <c r="Q22" s="159"/>
      <c r="R22" s="160"/>
      <c r="S22" s="159"/>
      <c r="T22" s="159"/>
      <c r="U22" s="159"/>
      <c r="W22" s="282"/>
      <c r="X22" s="282"/>
      <c r="Y22" s="282"/>
      <c r="Z22" s="282"/>
      <c r="AA22" s="282"/>
      <c r="AB22" s="282"/>
      <c r="AC22" s="282"/>
      <c r="AD22" s="282"/>
      <c r="AE22" s="282"/>
      <c r="AF22" s="282"/>
      <c r="AG22" s="282"/>
      <c r="AH22" s="282"/>
      <c r="AI22" s="282"/>
      <c r="AJ22" s="282"/>
      <c r="AK22" s="282"/>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8"/>
      <c r="C23" s="298"/>
      <c r="D23" s="159"/>
      <c r="E23" s="159"/>
      <c r="F23" s="159"/>
      <c r="G23" s="159"/>
      <c r="H23" s="159"/>
      <c r="I23" s="159"/>
      <c r="J23" s="160"/>
      <c r="K23" s="159"/>
      <c r="L23" s="160"/>
      <c r="M23" s="159"/>
      <c r="N23" s="159"/>
      <c r="O23" s="159"/>
      <c r="P23" s="160"/>
      <c r="Q23" s="159"/>
      <c r="R23" s="160"/>
      <c r="S23" s="159"/>
      <c r="T23" s="159"/>
      <c r="U23" s="159"/>
      <c r="W23" s="282"/>
      <c r="X23" s="282"/>
      <c r="Y23" s="282"/>
      <c r="Z23" s="282"/>
      <c r="AA23" s="282"/>
      <c r="AB23" s="282"/>
      <c r="AC23" s="282"/>
      <c r="AD23" s="282"/>
      <c r="AE23" s="282"/>
      <c r="AF23" s="282"/>
      <c r="AG23" s="282"/>
      <c r="AH23" s="282"/>
      <c r="AI23" s="282"/>
      <c r="AJ23" s="282"/>
      <c r="AK23" s="282"/>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4" t="s">
        <v>46</v>
      </c>
      <c r="C24" s="304" t="s">
        <v>42</v>
      </c>
      <c r="D24" s="308">
        <v>67.992424242424242424242424290</v>
      </c>
      <c r="E24" s="309">
        <v>-19.335887100936180754105467410</v>
      </c>
      <c r="F24" s="309">
        <v>61.749482401656314699792960690</v>
      </c>
      <c r="G24" s="309">
        <v>-24.931779870579737354957545970</v>
      </c>
      <c r="H24" s="309">
        <v>110.11011201706926769793492344</v>
      </c>
      <c r="I24" s="310">
        <v>7.4544098154932138247089602200</v>
      </c>
      <c r="J24" s="318">
        <v>154.63975118280306448500920085</v>
      </c>
      <c r="K24" s="309">
        <v>-29.673165156180401770917929270</v>
      </c>
      <c r="L24" s="319">
        <v>164.98648617705541245349394449</v>
      </c>
      <c r="M24" s="309">
        <v>-34.727162935703156311118236940</v>
      </c>
      <c r="N24" s="309">
        <v>93.72873788999376653577946994</v>
      </c>
      <c r="O24" s="310">
        <v>7.7428805102256038932759432900</v>
      </c>
      <c r="P24" s="318">
        <v>105.14331567164071998128466505</v>
      </c>
      <c r="Q24" s="309">
        <v>-43.271482543243206904946214760</v>
      </c>
      <c r="R24" s="319">
        <v>101.87830124701196017444010138</v>
      </c>
      <c r="S24" s="309">
        <v>-51.000842987855826762090528990</v>
      </c>
      <c r="T24" s="309">
        <v>103.20481828285738230590409176</v>
      </c>
      <c r="U24" s="310">
        <v>15.774476370474986170355415930</v>
      </c>
      <c r="W24" s="282"/>
      <c r="X24" s="282"/>
      <c r="Y24" s="282"/>
      <c r="Z24" s="282"/>
      <c r="AA24" s="282"/>
      <c r="AB24" s="282"/>
      <c r="AC24" s="282"/>
      <c r="AD24" s="282"/>
      <c r="AE24" s="282"/>
      <c r="AF24" s="282"/>
      <c r="AG24" s="282"/>
      <c r="AH24" s="282"/>
      <c r="AI24" s="282"/>
      <c r="AJ24" s="282"/>
      <c r="AK24" s="282"/>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5"/>
      <c r="C25" s="305" t="s">
        <v>60</v>
      </c>
      <c r="D25" s="311">
        <v>42.922064678779111637021941900</v>
      </c>
      <c r="E25" s="134">
        <v>-34.353051131387267767691811530</v>
      </c>
      <c r="F25" s="134">
        <v>47.643887502774909368850174330</v>
      </c>
      <c r="G25" s="134">
        <v>-38.899447925521724440395493410</v>
      </c>
      <c r="H25" s="134">
        <v>90.08934184113169616970680305</v>
      </c>
      <c r="I25" s="312">
        <v>7.4408440509549640999528203200</v>
      </c>
      <c r="J25" s="320">
        <v>174.77720619306342929545428943</v>
      </c>
      <c r="K25" s="134">
        <v>0.699411867593999788931054100</v>
      </c>
      <c r="L25" s="135">
        <v>193.56477316762225590201938593</v>
      </c>
      <c r="M25" s="134">
        <v>5.6090792444893526087921976500</v>
      </c>
      <c r="N25" s="134">
        <v>90.29391212713624128588803871</v>
      </c>
      <c r="O25" s="312">
        <v>-4.6489065258577544752602444200</v>
      </c>
      <c r="P25" s="320">
        <v>75.01798548594981622407168113</v>
      </c>
      <c r="Q25" s="134">
        <v>-33.893908580286825342466877410</v>
      </c>
      <c r="R25" s="135">
        <v>92.22178277298338105234216479</v>
      </c>
      <c r="S25" s="134">
        <v>-35.472269540843754919129697510</v>
      </c>
      <c r="T25" s="134">
        <v>81.34519115794683655959211426</v>
      </c>
      <c r="U25" s="312">
        <v>2.4460196404334658009942598500</v>
      </c>
      <c r="W25" s="282"/>
      <c r="X25" s="282"/>
      <c r="Y25" s="282"/>
      <c r="Z25" s="282"/>
      <c r="AA25" s="282"/>
      <c r="AB25" s="282"/>
      <c r="AC25" s="282"/>
      <c r="AD25" s="282"/>
      <c r="AE25" s="282"/>
      <c r="AF25" s="282"/>
      <c r="AG25" s="282"/>
      <c r="AH25" s="282"/>
      <c r="AI25" s="282"/>
      <c r="AJ25" s="282"/>
      <c r="AK25" s="282"/>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5"/>
      <c r="C26" s="306" t="s">
        <v>44</v>
      </c>
      <c r="D26" s="313">
        <v>45.992530197075651621106166630</v>
      </c>
      <c r="E26" s="159">
        <v>-38.780092659992662545975191380</v>
      </c>
      <c r="F26" s="159">
        <v>47.364229972925625099538143040</v>
      </c>
      <c r="G26" s="159">
        <v>-40.031693579844182767724211150</v>
      </c>
      <c r="H26" s="159">
        <v>97.10393312287761147576517153</v>
      </c>
      <c r="I26" s="314">
        <v>2.0871039963717357120373984700</v>
      </c>
      <c r="J26" s="321">
        <v>136.38049168547887651684332009</v>
      </c>
      <c r="K26" s="159">
        <v>-19.146463657273816990377443970</v>
      </c>
      <c r="L26" s="160">
        <v>133.98010439595629169816873075</v>
      </c>
      <c r="M26" s="159">
        <v>-26.953754799564069506651089890</v>
      </c>
      <c r="N26" s="159">
        <v>101.79159980531783485364847908</v>
      </c>
      <c r="O26" s="314">
        <v>10.688148474801631032908422720</v>
      </c>
      <c r="P26" s="321">
        <v>62.724838821364120598898131343</v>
      </c>
      <c r="Q26" s="159">
        <v>-50.501539969863873340533668460</v>
      </c>
      <c r="R26" s="160">
        <v>63.458644764066572943200160132</v>
      </c>
      <c r="S26" s="159">
        <v>-56.195403849784219388417602340</v>
      </c>
      <c r="T26" s="159">
        <v>98.84364699966304731708165301</v>
      </c>
      <c r="U26" s="314">
        <v>12.998325245129096304143247150</v>
      </c>
      <c r="W26" s="282"/>
      <c r="X26" s="282"/>
      <c r="Y26" s="282"/>
      <c r="Z26" s="282"/>
      <c r="AA26" s="282"/>
      <c r="AB26" s="282"/>
      <c r="AC26" s="282"/>
      <c r="AD26" s="282"/>
      <c r="AE26" s="282"/>
      <c r="AF26" s="282"/>
      <c r="AG26" s="282"/>
      <c r="AH26" s="282"/>
      <c r="AI26" s="282"/>
      <c r="AJ26" s="282"/>
      <c r="AK26" s="282"/>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6"/>
      <c r="C27" s="307" t="s">
        <v>45</v>
      </c>
      <c r="D27" s="315">
        <v>42.922064678779111637021941900</v>
      </c>
      <c r="E27" s="316">
        <v>-34.353051131387267767691811530</v>
      </c>
      <c r="F27" s="316">
        <v>47.643887502774909368850174330</v>
      </c>
      <c r="G27" s="316">
        <v>-38.899447925521724440395493410</v>
      </c>
      <c r="H27" s="316">
        <v>90.08934184113169616970680305</v>
      </c>
      <c r="I27" s="317">
        <v>7.4408440509549640999528203200</v>
      </c>
      <c r="J27" s="322">
        <v>174.77720619306342929545428943</v>
      </c>
      <c r="K27" s="316">
        <v>0.699411867593999788931054100</v>
      </c>
      <c r="L27" s="323">
        <v>193.56477316762225590201938593</v>
      </c>
      <c r="M27" s="316">
        <v>5.6090792444893526087921976500</v>
      </c>
      <c r="N27" s="316">
        <v>90.29391212713624128588803871</v>
      </c>
      <c r="O27" s="317">
        <v>-4.6489065258577544752602444200</v>
      </c>
      <c r="P27" s="322">
        <v>75.01798548594981622407168113</v>
      </c>
      <c r="Q27" s="316">
        <v>-33.893908580286825342466877410</v>
      </c>
      <c r="R27" s="323">
        <v>92.22178277298338105234216479</v>
      </c>
      <c r="S27" s="316">
        <v>-35.472269540843754919129697510</v>
      </c>
      <c r="T27" s="316">
        <v>81.34519115794683655959211426</v>
      </c>
      <c r="U27" s="317">
        <v>2.4460196404334658009942598500</v>
      </c>
      <c r="W27" s="282"/>
      <c r="X27" s="282"/>
      <c r="Y27" s="282"/>
      <c r="Z27" s="282"/>
      <c r="AA27" s="282"/>
      <c r="AB27" s="282"/>
      <c r="AC27" s="282"/>
      <c r="AD27" s="282"/>
      <c r="AE27" s="282"/>
      <c r="AF27" s="282"/>
      <c r="AG27" s="282"/>
      <c r="AH27" s="282"/>
      <c r="AI27" s="282"/>
      <c r="AJ27" s="282"/>
      <c r="AK27" s="282"/>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8"/>
      <c r="D28" s="159"/>
      <c r="E28" s="159"/>
      <c r="F28" s="159"/>
      <c r="G28" s="159"/>
      <c r="H28" s="159"/>
      <c r="I28" s="159"/>
      <c r="J28" s="160"/>
      <c r="K28" s="159"/>
      <c r="L28" s="160"/>
      <c r="M28" s="159"/>
      <c r="N28" s="159"/>
      <c r="O28" s="159"/>
      <c r="P28" s="160"/>
      <c r="Q28" s="159"/>
      <c r="R28" s="160"/>
      <c r="S28" s="159"/>
      <c r="T28" s="159"/>
      <c r="U28" s="159"/>
      <c r="W28" s="282"/>
      <c r="X28" s="282"/>
      <c r="Y28" s="282"/>
      <c r="Z28" s="282"/>
      <c r="AA28" s="282"/>
      <c r="AB28" s="282"/>
      <c r="AC28" s="282"/>
      <c r="AD28" s="282"/>
      <c r="AE28" s="282"/>
      <c r="AF28" s="282"/>
      <c r="AG28" s="282"/>
      <c r="AH28" s="282"/>
      <c r="AI28" s="282"/>
      <c r="AJ28" s="282"/>
      <c r="AK28" s="282"/>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8"/>
      <c r="D29" s="159"/>
      <c r="E29" s="159"/>
      <c r="F29" s="159"/>
      <c r="G29" s="159"/>
      <c r="H29" s="159"/>
      <c r="I29" s="159"/>
      <c r="J29" s="160"/>
      <c r="K29" s="159"/>
      <c r="L29" s="160"/>
      <c r="M29" s="159"/>
      <c r="N29" s="159"/>
      <c r="O29" s="159"/>
      <c r="P29" s="160"/>
      <c r="Q29" s="159"/>
      <c r="R29" s="160"/>
      <c r="S29" s="159"/>
      <c r="T29" s="159"/>
      <c r="U29" s="159"/>
      <c r="W29" s="282"/>
      <c r="X29" s="282"/>
      <c r="Y29" s="282"/>
      <c r="Z29" s="282"/>
      <c r="AA29" s="282"/>
      <c r="AB29" s="282"/>
      <c r="AC29" s="282"/>
      <c r="AD29" s="282"/>
      <c r="AE29" s="282"/>
      <c r="AF29" s="282"/>
      <c r="AG29" s="282"/>
      <c r="AH29" s="282"/>
      <c r="AI29" s="282"/>
      <c r="AJ29" s="282"/>
      <c r="AK29" s="282"/>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4" t="s">
        <v>47</v>
      </c>
      <c r="C30" s="304" t="s">
        <v>42</v>
      </c>
      <c r="D30" s="308">
        <v>62.424242424242424242424242490</v>
      </c>
      <c r="E30" s="309">
        <v>-24.585428918284011540826461900</v>
      </c>
      <c r="F30" s="309">
        <v>57.929606625258799171842650130</v>
      </c>
      <c r="G30" s="309">
        <v>-31.935280913567159246681401030</v>
      </c>
      <c r="H30" s="309">
        <v>107.75878874520761582948859581</v>
      </c>
      <c r="I30" s="309">
        <v>10.798328552491115968700553190</v>
      </c>
      <c r="J30" s="318">
        <v>152.15775097123465251922231805</v>
      </c>
      <c r="K30" s="309">
        <v>-40.664839290530697830015380260</v>
      </c>
      <c r="L30" s="319">
        <v>172.87517782375744473470040856</v>
      </c>
      <c r="M30" s="309">
        <v>-41.465357049080349448479470390</v>
      </c>
      <c r="N30" s="309">
        <v>88.01596208702456586493390290</v>
      </c>
      <c r="O30" s="310">
        <v>1.3675965517050693981106084700</v>
      </c>
      <c r="P30" s="318">
        <v>94.98332333355860126957514409</v>
      </c>
      <c r="Q30" s="309">
        <v>-55.252643050306856314230401670</v>
      </c>
      <c r="R30" s="319">
        <v>100.14591046601932305749311458</v>
      </c>
      <c r="S30" s="309">
        <v>-60.158559707210077209033589020</v>
      </c>
      <c r="T30" s="309">
        <v>94.84493464741883005641685051</v>
      </c>
      <c r="U30" s="310">
        <v>12.313602673121837803511575760</v>
      </c>
      <c r="W30" s="282"/>
      <c r="X30" s="282"/>
      <c r="Y30" s="282"/>
      <c r="Z30" s="282"/>
      <c r="AA30" s="282"/>
      <c r="AB30" s="282"/>
      <c r="AC30" s="282"/>
      <c r="AD30" s="282"/>
      <c r="AE30" s="282"/>
      <c r="AF30" s="282"/>
      <c r="AG30" s="282"/>
      <c r="AH30" s="282"/>
      <c r="AI30" s="282"/>
      <c r="AJ30" s="282"/>
      <c r="AK30" s="282"/>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5"/>
      <c r="C31" s="305" t="s">
        <v>60</v>
      </c>
      <c r="D31" s="311">
        <v>38.413070008479988698744432120</v>
      </c>
      <c r="E31" s="134">
        <v>-40.187335979421552163437295040</v>
      </c>
      <c r="F31" s="134">
        <v>46.697757060097819620108529390</v>
      </c>
      <c r="G31" s="134">
        <v>-40.050741179796956327452427840</v>
      </c>
      <c r="H31" s="134">
        <v>82.25891868648888666127281574</v>
      </c>
      <c r="I31" s="134">
        <v>-0.2278506895877802940563581200</v>
      </c>
      <c r="J31" s="320">
        <v>177.05039109812616512288499814</v>
      </c>
      <c r="K31" s="134">
        <v>-2.5686079697419326664931111300</v>
      </c>
      <c r="L31" s="135">
        <v>192.95848951071275219251446225</v>
      </c>
      <c r="M31" s="134">
        <v>2.2822417650451858261968961500</v>
      </c>
      <c r="N31" s="134">
        <v>91.75568877382645844250877488</v>
      </c>
      <c r="O31" s="312">
        <v>-4.7426118660266690179686355300</v>
      </c>
      <c r="P31" s="320">
        <v>68.010490682810825653173317224</v>
      </c>
      <c r="Q31" s="134">
        <v>-41.723688834369095667532196150</v>
      </c>
      <c r="R31" s="135">
        <v>90.10728665854697495470676283</v>
      </c>
      <c r="S31" s="134">
        <v>-38.682554157167247639059532920</v>
      </c>
      <c r="T31" s="134">
        <v>75.477237418689718224351111160</v>
      </c>
      <c r="U31" s="312">
        <v>-4.959656481773235651771719300</v>
      </c>
      <c r="W31" s="282"/>
      <c r="X31" s="282"/>
      <c r="Y31" s="282"/>
      <c r="Z31" s="282"/>
      <c r="AA31" s="282"/>
      <c r="AB31" s="282"/>
      <c r="AC31" s="282"/>
      <c r="AD31" s="282"/>
      <c r="AE31" s="282"/>
      <c r="AF31" s="282"/>
      <c r="AG31" s="282"/>
      <c r="AH31" s="282"/>
      <c r="AI31" s="282"/>
      <c r="AJ31" s="282"/>
      <c r="AK31" s="282"/>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5"/>
      <c r="C32" s="306" t="s">
        <v>44</v>
      </c>
      <c r="D32" s="313">
        <v>43.845624072896800169527442310</v>
      </c>
      <c r="E32" s="159">
        <v>-38.103020729009173899906340390</v>
      </c>
      <c r="F32" s="159">
        <v>45.341614906832298136645962760</v>
      </c>
      <c r="G32" s="159">
        <v>-41.094974819587116072060890050</v>
      </c>
      <c r="H32" s="159">
        <v>96.70062295529294283964271517</v>
      </c>
      <c r="I32" s="159">
        <v>5.0792849700246416580159945400</v>
      </c>
      <c r="J32" s="321">
        <v>130.21725789962628818831209298</v>
      </c>
      <c r="K32" s="159">
        <v>-30.712082600435161452316928790</v>
      </c>
      <c r="L32" s="160">
        <v>140.6788820134051729233761118</v>
      </c>
      <c r="M32" s="159">
        <v>-29.465673484268242859924911950</v>
      </c>
      <c r="N32" s="159">
        <v>92.56347223971967211873096042</v>
      </c>
      <c r="O32" s="314">
        <v>-1.7670957925555911757017856500</v>
      </c>
      <c r="P32" s="321">
        <v>57.094569376704654001532495044</v>
      </c>
      <c r="Q32" s="159">
        <v>-57.112872129890106044125415850</v>
      </c>
      <c r="R32" s="160">
        <v>63.786076937755140518052522786</v>
      </c>
      <c r="S32" s="159">
        <v>-58.451737205073566897518771070</v>
      </c>
      <c r="T32" s="159">
        <v>89.50945428485857194854721712</v>
      </c>
      <c r="U32" s="314">
        <v>3.222433346471836519130125200</v>
      </c>
      <c r="W32" s="282"/>
      <c r="X32" s="282"/>
      <c r="Y32" s="282"/>
      <c r="Z32" s="282"/>
      <c r="AA32" s="282"/>
      <c r="AB32" s="282"/>
      <c r="AC32" s="282"/>
      <c r="AD32" s="282"/>
      <c r="AE32" s="282"/>
      <c r="AF32" s="282"/>
      <c r="AG32" s="282"/>
      <c r="AH32" s="282"/>
      <c r="AI32" s="282"/>
      <c r="AJ32" s="282"/>
      <c r="AK32" s="282"/>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6"/>
      <c r="C33" s="307" t="s">
        <v>45</v>
      </c>
      <c r="D33" s="315">
        <v>38.413070008479988698744432120</v>
      </c>
      <c r="E33" s="316">
        <v>-40.187335979421552163437295040</v>
      </c>
      <c r="F33" s="316">
        <v>46.697757060097819620108529390</v>
      </c>
      <c r="G33" s="316">
        <v>-40.050741179796956327452427840</v>
      </c>
      <c r="H33" s="316">
        <v>82.25891868648888666127281574</v>
      </c>
      <c r="I33" s="316">
        <v>-0.2278506895877802940563581200</v>
      </c>
      <c r="J33" s="322">
        <v>177.05039109812616512288499814</v>
      </c>
      <c r="K33" s="316">
        <v>-2.5686079697419326664931111300</v>
      </c>
      <c r="L33" s="323">
        <v>192.95848951071275219251446225</v>
      </c>
      <c r="M33" s="316">
        <v>2.2822417650451858261968961500</v>
      </c>
      <c r="N33" s="316">
        <v>91.75568877382645844250877488</v>
      </c>
      <c r="O33" s="317">
        <v>-4.7426118660266690179686355300</v>
      </c>
      <c r="P33" s="322">
        <v>68.010490682810825653173317224</v>
      </c>
      <c r="Q33" s="316">
        <v>-41.723688834369095667532196150</v>
      </c>
      <c r="R33" s="323">
        <v>90.10728665854697495470676283</v>
      </c>
      <c r="S33" s="316">
        <v>-38.682554157167247639059532920</v>
      </c>
      <c r="T33" s="316">
        <v>75.477237418689718224351111160</v>
      </c>
      <c r="U33" s="317">
        <v>-4.959656481773235651771719300</v>
      </c>
      <c r="W33" s="282"/>
      <c r="X33" s="282"/>
      <c r="Y33" s="282"/>
      <c r="Z33" s="282"/>
      <c r="AA33" s="282"/>
      <c r="AB33" s="282"/>
      <c r="AC33" s="282"/>
      <c r="AD33" s="282"/>
      <c r="AE33" s="282"/>
      <c r="AF33" s="282"/>
      <c r="AG33" s="282"/>
      <c r="AH33" s="282"/>
      <c r="AI33" s="282"/>
      <c r="AJ33" s="282"/>
      <c r="AK33" s="282"/>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8"/>
      <c r="D34" s="159"/>
      <c r="E34" s="159"/>
      <c r="F34" s="159"/>
      <c r="G34" s="159"/>
      <c r="H34" s="159"/>
      <c r="I34" s="159"/>
      <c r="J34" s="160"/>
      <c r="K34" s="159"/>
      <c r="L34" s="160"/>
      <c r="M34" s="159"/>
      <c r="N34" s="159"/>
      <c r="O34" s="159"/>
      <c r="P34" s="160"/>
      <c r="Q34" s="159"/>
      <c r="R34" s="160"/>
      <c r="S34" s="159"/>
      <c r="T34" s="159"/>
      <c r="U34" s="159"/>
      <c r="W34" s="282"/>
      <c r="X34" s="282"/>
      <c r="Y34" s="282"/>
      <c r="Z34" s="282"/>
      <c r="AA34" s="282"/>
      <c r="AB34" s="282"/>
      <c r="AC34" s="282"/>
      <c r="AD34" s="282"/>
      <c r="AE34" s="282"/>
      <c r="AF34" s="282"/>
      <c r="AG34" s="282"/>
      <c r="AH34" s="282"/>
      <c r="AI34" s="282"/>
      <c r="AJ34" s="282"/>
      <c r="AK34" s="282"/>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8"/>
      <c r="D35" s="159"/>
      <c r="E35" s="159"/>
      <c r="F35" s="159"/>
      <c r="G35" s="159"/>
      <c r="H35" s="159"/>
      <c r="I35" s="159"/>
      <c r="J35" s="160"/>
      <c r="K35" s="159"/>
      <c r="L35" s="160"/>
      <c r="M35" s="159"/>
      <c r="N35" s="159"/>
      <c r="O35" s="159"/>
      <c r="P35" s="160"/>
      <c r="Q35" s="159"/>
      <c r="R35" s="160"/>
      <c r="S35" s="159"/>
      <c r="T35" s="159"/>
      <c r="U35" s="159"/>
      <c r="W35" s="282"/>
      <c r="X35" s="282"/>
      <c r="Y35" s="282"/>
      <c r="Z35" s="282"/>
      <c r="AA35" s="282"/>
      <c r="AB35" s="282"/>
      <c r="AC35" s="282"/>
      <c r="AD35" s="282"/>
      <c r="AE35" s="282"/>
      <c r="AF35" s="282"/>
      <c r="AG35" s="282"/>
      <c r="AH35" s="282"/>
      <c r="AI35" s="282"/>
      <c r="AJ35" s="282"/>
      <c r="AK35" s="282"/>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4" t="s">
        <v>48</v>
      </c>
      <c r="C36" s="304" t="s">
        <v>42</v>
      </c>
      <c r="D36" s="308">
        <v>61.515151515151515151515151580</v>
      </c>
      <c r="E36" s="309">
        <v>-22.711047345767575322812051630</v>
      </c>
      <c r="F36" s="309">
        <v>58.343685300207039337474120090</v>
      </c>
      <c r="G36" s="309">
        <v>-29.721893453934521970123156860</v>
      </c>
      <c r="H36" s="309">
        <v>105.43583456997225627459836128</v>
      </c>
      <c r="I36" s="309">
        <v>9.975860837359809437930764590</v>
      </c>
      <c r="J36" s="318">
        <v>169.20409659942943338620633048</v>
      </c>
      <c r="K36" s="309">
        <v>-24.356995926914996599357906510</v>
      </c>
      <c r="L36" s="319">
        <v>195.93956314393088082208628636</v>
      </c>
      <c r="M36" s="309">
        <v>-22.215827232494751919404538880</v>
      </c>
      <c r="N36" s="309">
        <v>86.35524846768059987485655068</v>
      </c>
      <c r="O36" s="310">
        <v>-2.7527048475788757005943838100</v>
      </c>
      <c r="P36" s="318">
        <v>104.08615639298234841636328825</v>
      </c>
      <c r="Q36" s="309">
        <v>-41.536314395714227156471307980</v>
      </c>
      <c r="R36" s="319">
        <v>114.31836209929549112973895549</v>
      </c>
      <c r="S36" s="309">
        <v>-45.334756186477013343893339510</v>
      </c>
      <c r="T36" s="309">
        <v>91.04937691687221903703260367</v>
      </c>
      <c r="U36" s="310">
        <v>6.948549984923207641795909800</v>
      </c>
      <c r="W36" s="282"/>
      <c r="X36" s="282"/>
      <c r="Y36" s="282"/>
      <c r="Z36" s="282"/>
      <c r="AA36" s="282"/>
      <c r="AB36" s="282"/>
      <c r="AC36" s="282"/>
      <c r="AD36" s="282"/>
      <c r="AE36" s="282"/>
      <c r="AF36" s="282"/>
      <c r="AG36" s="282"/>
      <c r="AH36" s="282"/>
      <c r="AI36" s="282"/>
      <c r="AJ36" s="282"/>
      <c r="AK36" s="282"/>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5"/>
      <c r="C37" s="305" t="s">
        <v>60</v>
      </c>
      <c r="D37" s="311">
        <v>41.565584815630140396655707910</v>
      </c>
      <c r="E37" s="134">
        <v>-35.791759599269602175972826380</v>
      </c>
      <c r="F37" s="134">
        <v>48.048517213593271225773257470</v>
      </c>
      <c r="G37" s="134">
        <v>-40.208012856424102161432057590</v>
      </c>
      <c r="H37" s="134">
        <v>86.50752869408202547102850395</v>
      </c>
      <c r="I37" s="134">
        <v>7.3860285769562117771418885800</v>
      </c>
      <c r="J37" s="320">
        <v>203.94021184793049324722075682</v>
      </c>
      <c r="K37" s="134">
        <v>20.053054120307851937866955040</v>
      </c>
      <c r="L37" s="135">
        <v>203.41386385299463815442631131</v>
      </c>
      <c r="M37" s="134">
        <v>11.397357193831492934295942980</v>
      </c>
      <c r="N37" s="134">
        <v>100.25875718840690329441529440</v>
      </c>
      <c r="O37" s="312">
        <v>7.7701097624923356559515511600</v>
      </c>
      <c r="P37" s="320">
        <v>84.76894172882733765280043153</v>
      </c>
      <c r="Q37" s="134">
        <v>-22.916046402013764312685433230</v>
      </c>
      <c r="R37" s="135">
        <v>97.7373453882413096530699981</v>
      </c>
      <c r="S37" s="134">
        <v>-33.393306508380953183339730460</v>
      </c>
      <c r="T37" s="134">
        <v>86.73137314309112722672425692</v>
      </c>
      <c r="U37" s="312">
        <v>15.730040866967095779097661690</v>
      </c>
      <c r="W37" s="282"/>
      <c r="X37" s="282"/>
      <c r="Y37" s="282"/>
      <c r="Z37" s="282"/>
      <c r="AA37" s="282"/>
      <c r="AB37" s="282"/>
      <c r="AC37" s="282"/>
      <c r="AD37" s="282"/>
      <c r="AE37" s="282"/>
      <c r="AF37" s="282"/>
      <c r="AG37" s="282"/>
      <c r="AH37" s="282"/>
      <c r="AI37" s="282"/>
      <c r="AJ37" s="282"/>
      <c r="AK37" s="282"/>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5"/>
      <c r="C38" s="306" t="s">
        <v>44</v>
      </c>
      <c r="D38" s="313">
        <v>45.508714770078406442042805710</v>
      </c>
      <c r="E38" s="159">
        <v>-36.032104363363446568842104750</v>
      </c>
      <c r="F38" s="159">
        <v>47.013855709507883420926899200</v>
      </c>
      <c r="G38" s="159">
        <v>-41.528013527211910743260863270</v>
      </c>
      <c r="H38" s="159">
        <v>96.79851627416067549105243123</v>
      </c>
      <c r="I38" s="159">
        <v>9.399217463573211833963069760</v>
      </c>
      <c r="J38" s="321">
        <v>141.27614429986593924327130434</v>
      </c>
      <c r="K38" s="159">
        <v>-15.641231237464167520367898150</v>
      </c>
      <c r="L38" s="160">
        <v>149.67956073228357660563584971</v>
      </c>
      <c r="M38" s="159">
        <v>-15.230270716340031302256632320</v>
      </c>
      <c r="N38" s="159">
        <v>94.38572882542863460790898285</v>
      </c>
      <c r="O38" s="314">
        <v>-0.4847963118402362141530940300</v>
      </c>
      <c r="P38" s="321">
        <v>64.292957547590373380802619258</v>
      </c>
      <c r="Q38" s="159">
        <v>-46.037470837629521375284669560</v>
      </c>
      <c r="R38" s="160">
        <v>70.370132709301022159553595865</v>
      </c>
      <c r="S38" s="159">
        <v>-50.433455360239259467124689300</v>
      </c>
      <c r="T38" s="159">
        <v>91.36398507756770065446644644</v>
      </c>
      <c r="U38" s="314">
        <v>8.868854092127729291078763300</v>
      </c>
      <c r="W38" s="282"/>
      <c r="X38" s="282"/>
      <c r="Y38" s="282"/>
      <c r="Z38" s="282"/>
      <c r="AA38" s="282"/>
      <c r="AB38" s="282"/>
      <c r="AC38" s="282"/>
      <c r="AD38" s="282"/>
      <c r="AE38" s="282"/>
      <c r="AF38" s="282"/>
      <c r="AG38" s="282"/>
      <c r="AH38" s="282"/>
      <c r="AI38" s="282"/>
      <c r="AJ38" s="282"/>
      <c r="AK38" s="282"/>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6"/>
      <c r="C39" s="307" t="s">
        <v>45</v>
      </c>
      <c r="D39" s="315">
        <v>41.565584815630140396655707910</v>
      </c>
      <c r="E39" s="316">
        <v>-35.791759599269602175972826380</v>
      </c>
      <c r="F39" s="316">
        <v>48.048517213593271225773257470</v>
      </c>
      <c r="G39" s="316">
        <v>-40.208012856424102161432057590</v>
      </c>
      <c r="H39" s="316">
        <v>86.50752869408202547102850395</v>
      </c>
      <c r="I39" s="316">
        <v>7.3860285769562117771418885800</v>
      </c>
      <c r="J39" s="322">
        <v>203.94021184793049324722075682</v>
      </c>
      <c r="K39" s="316">
        <v>20.053054120307851937866955040</v>
      </c>
      <c r="L39" s="323">
        <v>203.41386385299463815442631131</v>
      </c>
      <c r="M39" s="316">
        <v>11.397357193831492934295942980</v>
      </c>
      <c r="N39" s="316">
        <v>100.25875718840690329441529440</v>
      </c>
      <c r="O39" s="317">
        <v>7.7701097624923356559515511600</v>
      </c>
      <c r="P39" s="322">
        <v>84.76894172882733765280043153</v>
      </c>
      <c r="Q39" s="316">
        <v>-22.916046402013764312685433230</v>
      </c>
      <c r="R39" s="323">
        <v>97.7373453882413096530699981</v>
      </c>
      <c r="S39" s="316">
        <v>-33.393306508380953183339730460</v>
      </c>
      <c r="T39" s="316">
        <v>86.73137314309112722672425692</v>
      </c>
      <c r="U39" s="317">
        <v>15.730040866967095779097661690</v>
      </c>
      <c r="W39" s="282"/>
      <c r="X39" s="282"/>
      <c r="Y39" s="282"/>
      <c r="Z39" s="282"/>
      <c r="AA39" s="282"/>
      <c r="AB39" s="282"/>
      <c r="AC39" s="282"/>
      <c r="AD39" s="282"/>
      <c r="AE39" s="282"/>
      <c r="AF39" s="282"/>
      <c r="AG39" s="282"/>
      <c r="AH39" s="282"/>
      <c r="AI39" s="282"/>
      <c r="AJ39" s="282"/>
      <c r="AK39" s="282"/>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8"/>
      <c r="D40" s="159"/>
      <c r="E40" s="159"/>
      <c r="F40" s="159"/>
      <c r="G40" s="159"/>
      <c r="H40" s="159"/>
      <c r="I40" s="159"/>
      <c r="J40" s="160"/>
      <c r="K40" s="159"/>
      <c r="L40" s="160"/>
      <c r="M40" s="159"/>
      <c r="N40" s="159"/>
      <c r="O40" s="159"/>
      <c r="P40" s="160"/>
      <c r="Q40" s="159"/>
      <c r="R40" s="160"/>
      <c r="S40" s="159"/>
      <c r="T40" s="159"/>
      <c r="U40" s="159"/>
      <c r="W40" s="282"/>
      <c r="X40" s="282"/>
      <c r="Y40" s="282"/>
      <c r="Z40" s="282"/>
      <c r="AA40" s="282"/>
      <c r="AB40" s="282"/>
      <c r="AC40" s="282"/>
      <c r="AD40" s="282"/>
      <c r="AE40" s="282"/>
      <c r="AF40" s="282"/>
      <c r="AG40" s="282"/>
      <c r="AH40" s="282"/>
      <c r="AI40" s="282"/>
      <c r="AJ40" s="282"/>
      <c r="AK40" s="282"/>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8"/>
      <c r="D41" s="159"/>
      <c r="E41" s="159"/>
      <c r="F41" s="159"/>
      <c r="G41" s="159"/>
      <c r="H41" s="159"/>
      <c r="I41" s="159"/>
      <c r="J41" s="160"/>
      <c r="K41" s="159"/>
      <c r="L41" s="160"/>
      <c r="M41" s="159"/>
      <c r="N41" s="159"/>
      <c r="O41" s="159"/>
      <c r="P41" s="160"/>
      <c r="Q41" s="159"/>
      <c r="R41" s="160"/>
      <c r="S41" s="159"/>
      <c r="T41" s="159"/>
      <c r="U41" s="159"/>
      <c r="W41" s="282"/>
      <c r="X41" s="282"/>
      <c r="Y41" s="282"/>
      <c r="Z41" s="282"/>
      <c r="AA41" s="282"/>
      <c r="AB41" s="282"/>
      <c r="AC41" s="282"/>
      <c r="AD41" s="282"/>
      <c r="AE41" s="282"/>
      <c r="AF41" s="282"/>
      <c r="AG41" s="282"/>
      <c r="AH41" s="282"/>
      <c r="AI41" s="282"/>
      <c r="AJ41" s="282"/>
      <c r="AK41" s="282"/>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4" t="s">
        <v>49</v>
      </c>
      <c r="C42" s="304" t="s">
        <v>42</v>
      </c>
      <c r="D42" s="308">
        <v>70.454545454545454545454545500</v>
      </c>
      <c r="E42" s="309">
        <v>-20.727822253764993438219845620</v>
      </c>
      <c r="F42" s="309">
        <v>65.134575569358178053830227800</v>
      </c>
      <c r="G42" s="309">
        <v>-27.810282852666618399985982870</v>
      </c>
      <c r="H42" s="309">
        <v>108.16765878749349823729989017</v>
      </c>
      <c r="I42" s="309">
        <v>9.810899500335892662582938270</v>
      </c>
      <c r="J42" s="318">
        <v>206.67519372816061225824209759</v>
      </c>
      <c r="K42" s="309">
        <v>-22.823567990437102153447259900</v>
      </c>
      <c r="L42" s="319">
        <v>217.2647390042549856616553488</v>
      </c>
      <c r="M42" s="309">
        <v>-26.327614850990515219145839190</v>
      </c>
      <c r="N42" s="309">
        <v>95.12597151078114696280651772</v>
      </c>
      <c r="O42" s="310">
        <v>4.7562554863211517730426693600</v>
      </c>
      <c r="P42" s="318">
        <v>145.6120683084767950001251143</v>
      </c>
      <c r="Q42" s="309">
        <v>-38.820561639177090222042033260</v>
      </c>
      <c r="R42" s="319">
        <v>141.51446561229527637506578218</v>
      </c>
      <c r="S42" s="309">
        <v>-46.816113545236008288121111540</v>
      </c>
      <c r="T42" s="309">
        <v>102.89553628207002495767366855</v>
      </c>
      <c r="U42" s="310">
        <v>15.033786432399224796513543210</v>
      </c>
      <c r="W42" s="282"/>
      <c r="X42" s="282"/>
      <c r="Y42" s="282"/>
      <c r="Z42" s="282"/>
      <c r="AA42" s="282"/>
      <c r="AB42" s="282"/>
      <c r="AC42" s="282"/>
      <c r="AD42" s="282"/>
      <c r="AE42" s="282"/>
      <c r="AF42" s="282"/>
      <c r="AG42" s="282"/>
      <c r="AH42" s="282"/>
      <c r="AI42" s="282"/>
      <c r="AJ42" s="282"/>
      <c r="AK42" s="282"/>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5"/>
      <c r="C43" s="305" t="s">
        <v>60</v>
      </c>
      <c r="D43" s="311">
        <v>49.876854078455981184975680320</v>
      </c>
      <c r="E43" s="134">
        <v>-29.018933178746750359482547080</v>
      </c>
      <c r="F43" s="134">
        <v>54.160629503002987012667725300</v>
      </c>
      <c r="G43" s="134">
        <v>-37.745105822455245044703200060</v>
      </c>
      <c r="H43" s="134">
        <v>92.09060998024498981752498872</v>
      </c>
      <c r="I43" s="134">
        <v>14.016845999002616250266419570</v>
      </c>
      <c r="J43" s="320">
        <v>215.35027997796295386448017629</v>
      </c>
      <c r="K43" s="134">
        <v>16.919310981717857227377099960</v>
      </c>
      <c r="L43" s="135">
        <v>218.88066024288237074084062794</v>
      </c>
      <c r="M43" s="134">
        <v>10.720290916704889008465414700</v>
      </c>
      <c r="N43" s="134">
        <v>98.38707528522533370885723736</v>
      </c>
      <c r="O43" s="312">
        <v>5.59881121489872550512720800</v>
      </c>
      <c r="P43" s="320">
        <v>107.40994490215498981437720011</v>
      </c>
      <c r="Q43" s="134">
        <v>-17.009425745117958932989399450</v>
      </c>
      <c r="R43" s="135">
        <v>118.54714344787427873809822448</v>
      </c>
      <c r="S43" s="134">
        <v>-31.071200056735673861106768930</v>
      </c>
      <c r="T43" s="134">
        <v>90.60525777188687294618663398</v>
      </c>
      <c r="U43" s="312">
        <v>20.400433959668583532174369270</v>
      </c>
      <c r="W43" s="282"/>
      <c r="X43" s="282"/>
      <c r="Y43" s="282"/>
      <c r="Z43" s="282"/>
      <c r="AA43" s="282"/>
      <c r="AB43" s="282"/>
      <c r="AC43" s="282"/>
      <c r="AD43" s="282"/>
      <c r="AE43" s="282"/>
      <c r="AF43" s="282"/>
      <c r="AG43" s="282"/>
      <c r="AH43" s="282"/>
      <c r="AI43" s="282"/>
      <c r="AJ43" s="282"/>
      <c r="AK43" s="282"/>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5"/>
      <c r="C44" s="306" t="s">
        <v>44</v>
      </c>
      <c r="D44" s="313">
        <v>58.089580873671782762691853650</v>
      </c>
      <c r="E44" s="159">
        <v>-25.979676240191563555028606540</v>
      </c>
      <c r="F44" s="159">
        <v>55.51611949127477077787636800</v>
      </c>
      <c r="G44" s="159">
        <v>-37.701914087197737848540192040</v>
      </c>
      <c r="H44" s="159">
        <v>104.63552100899536362315458549</v>
      </c>
      <c r="I44" s="159">
        <v>18.816369195377242532154366510</v>
      </c>
      <c r="J44" s="321">
        <v>150.18058454016212880150712416</v>
      </c>
      <c r="K44" s="159">
        <v>-17.609339542408983159905940500</v>
      </c>
      <c r="L44" s="160">
        <v>157.61130135377194286079833189</v>
      </c>
      <c r="M44" s="159">
        <v>-20.259768432927225776721983270</v>
      </c>
      <c r="N44" s="159">
        <v>95.28541624249967995468630989</v>
      </c>
      <c r="O44" s="314">
        <v>3.3238289360733274757994601800</v>
      </c>
      <c r="P44" s="321">
        <v>87.23927211301050225532058253</v>
      </c>
      <c r="Q44" s="159">
        <v>-39.014166381446662316470365410</v>
      </c>
      <c r="R44" s="160">
        <v>87.49967839131320223298387143</v>
      </c>
      <c r="S44" s="159">
        <v>-50.323362031277533513471439450</v>
      </c>
      <c r="T44" s="159">
        <v>99.70239173092943321476783137</v>
      </c>
      <c r="U44" s="314">
        <v>22.765622055484906738164549960</v>
      </c>
      <c r="W44" s="282"/>
      <c r="X44" s="282"/>
      <c r="Y44" s="282"/>
      <c r="Z44" s="282"/>
      <c r="AA44" s="282"/>
      <c r="AB44" s="282"/>
      <c r="AC44" s="282"/>
      <c r="AD44" s="282"/>
      <c r="AE44" s="282"/>
      <c r="AF44" s="282"/>
      <c r="AG44" s="282"/>
      <c r="AH44" s="282"/>
      <c r="AI44" s="282"/>
      <c r="AJ44" s="282"/>
      <c r="AK44" s="282"/>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6"/>
      <c r="C45" s="307" t="s">
        <v>45</v>
      </c>
      <c r="D45" s="315">
        <v>49.876854078455981184975680320</v>
      </c>
      <c r="E45" s="316">
        <v>-29.018933178746750359482547080</v>
      </c>
      <c r="F45" s="316">
        <v>54.160629503002987012667725300</v>
      </c>
      <c r="G45" s="316">
        <v>-37.745105822455245044703200060</v>
      </c>
      <c r="H45" s="316">
        <v>92.09060998024498981752498872</v>
      </c>
      <c r="I45" s="316">
        <v>14.016845999002616250266419570</v>
      </c>
      <c r="J45" s="322">
        <v>215.35027997796295386448017629</v>
      </c>
      <c r="K45" s="316">
        <v>16.919310981717857227377099960</v>
      </c>
      <c r="L45" s="323">
        <v>218.88066024288237074084062794</v>
      </c>
      <c r="M45" s="316">
        <v>10.720290916704889008465414700</v>
      </c>
      <c r="N45" s="316">
        <v>98.38707528522533370885723736</v>
      </c>
      <c r="O45" s="317">
        <v>5.59881121489872550512720800</v>
      </c>
      <c r="P45" s="322">
        <v>107.40994490215498981437720011</v>
      </c>
      <c r="Q45" s="316">
        <v>-17.009425745117958932989399450</v>
      </c>
      <c r="R45" s="323">
        <v>118.54714344787427873809822448</v>
      </c>
      <c r="S45" s="316">
        <v>-31.071200056735673861106768930</v>
      </c>
      <c r="T45" s="316">
        <v>90.60525777188687294618663398</v>
      </c>
      <c r="U45" s="317">
        <v>20.400433959668583532174369270</v>
      </c>
      <c r="W45" s="282"/>
      <c r="X45" s="282"/>
      <c r="Y45" s="282"/>
      <c r="Z45" s="282"/>
      <c r="AA45" s="282"/>
      <c r="AB45" s="282"/>
      <c r="AC45" s="282"/>
      <c r="AD45" s="282"/>
      <c r="AE45" s="282"/>
      <c r="AF45" s="282"/>
      <c r="AG45" s="282"/>
      <c r="AH45" s="282"/>
      <c r="AI45" s="282"/>
      <c r="AJ45" s="282"/>
      <c r="AK45" s="282"/>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8"/>
      <c r="D46" s="159"/>
      <c r="E46" s="159"/>
      <c r="F46" s="159"/>
      <c r="G46" s="159"/>
      <c r="H46" s="159"/>
      <c r="I46" s="159"/>
      <c r="J46" s="160"/>
      <c r="K46" s="159"/>
      <c r="L46" s="160"/>
      <c r="M46" s="159"/>
      <c r="N46" s="159"/>
      <c r="O46" s="159"/>
      <c r="P46" s="160"/>
      <c r="Q46" s="159"/>
      <c r="R46" s="160"/>
      <c r="S46" s="159"/>
      <c r="T46" s="159"/>
      <c r="U46" s="159"/>
      <c r="W46" s="282"/>
      <c r="X46" s="282"/>
      <c r="Y46" s="282"/>
      <c r="Z46" s="282"/>
      <c r="AA46" s="282"/>
      <c r="AB46" s="282"/>
      <c r="AC46" s="282"/>
      <c r="AD46" s="282"/>
      <c r="AE46" s="282"/>
      <c r="AF46" s="282"/>
      <c r="AG46" s="282"/>
      <c r="AH46" s="282"/>
      <c r="AI46" s="282"/>
      <c r="AJ46" s="282"/>
      <c r="AK46" s="282"/>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8"/>
      <c r="D47" s="159"/>
      <c r="E47" s="159"/>
      <c r="F47" s="159"/>
      <c r="G47" s="159"/>
      <c r="H47" s="159"/>
      <c r="I47" s="159"/>
      <c r="J47" s="160"/>
      <c r="K47" s="159"/>
      <c r="L47" s="160"/>
      <c r="M47" s="159"/>
      <c r="N47" s="159"/>
      <c r="O47" s="159"/>
      <c r="P47" s="160"/>
      <c r="Q47" s="159"/>
      <c r="R47" s="160"/>
      <c r="S47" s="159"/>
      <c r="T47" s="159"/>
      <c r="U47" s="159"/>
      <c r="W47" s="282"/>
      <c r="X47" s="282"/>
      <c r="Y47" s="282"/>
      <c r="Z47" s="282"/>
      <c r="AA47" s="282"/>
      <c r="AB47" s="282"/>
      <c r="AC47" s="282"/>
      <c r="AD47" s="282"/>
      <c r="AE47" s="282"/>
      <c r="AF47" s="282"/>
      <c r="AG47" s="282"/>
      <c r="AH47" s="282"/>
      <c r="AI47" s="282"/>
      <c r="AJ47" s="282"/>
      <c r="AK47" s="282"/>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4" t="s">
        <v>50</v>
      </c>
      <c r="C48" s="304" t="s">
        <v>42</v>
      </c>
      <c r="D48" s="308">
        <v>79.92424242424242424242424246</v>
      </c>
      <c r="E48" s="309">
        <v>-9.299393714999768593511362100</v>
      </c>
      <c r="F48" s="309">
        <v>70.703933747412008281573499030</v>
      </c>
      <c r="G48" s="309">
        <v>-22.387224649043521266798274550</v>
      </c>
      <c r="H48" s="309">
        <v>113.04072940236922667376547313</v>
      </c>
      <c r="I48" s="309">
        <v>16.862985345984617988112760070</v>
      </c>
      <c r="J48" s="318">
        <v>162.41045529932034379637642212</v>
      </c>
      <c r="K48" s="309">
        <v>-45.774872431385509641120387510</v>
      </c>
      <c r="L48" s="319">
        <v>165.33201814362128402772790977</v>
      </c>
      <c r="M48" s="309">
        <v>-50.587082166193938873405252470</v>
      </c>
      <c r="N48" s="309">
        <v>98.23291164221861415736099542</v>
      </c>
      <c r="O48" s="310">
        <v>9.738768617133018525368786700</v>
      </c>
      <c r="P48" s="318">
        <v>129.80532601574466871604327683</v>
      </c>
      <c r="Q48" s="309">
        <v>-50.817480536451852389669653180</v>
      </c>
      <c r="R48" s="319">
        <v>116.89624057152519357239975412</v>
      </c>
      <c r="S48" s="309">
        <v>-61.649263087295391372597541800</v>
      </c>
      <c r="T48" s="309">
        <v>111.04319983354880013109644529</v>
      </c>
      <c r="U48" s="310">
        <v>28.244001087904126254195592380</v>
      </c>
      <c r="W48" s="282"/>
      <c r="X48" s="282"/>
      <c r="Y48" s="282"/>
      <c r="Z48" s="282"/>
      <c r="AA48" s="282"/>
      <c r="AB48" s="282"/>
      <c r="AC48" s="282"/>
      <c r="AD48" s="282"/>
      <c r="AE48" s="282"/>
      <c r="AF48" s="282"/>
      <c r="AG48" s="282"/>
      <c r="AH48" s="282"/>
      <c r="AI48" s="282"/>
      <c r="AJ48" s="282"/>
      <c r="AK48" s="282"/>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5"/>
      <c r="C49" s="305" t="s">
        <v>60</v>
      </c>
      <c r="D49" s="311">
        <v>57.760214226031940517556561380</v>
      </c>
      <c r="E49" s="134">
        <v>-18.957667709744023867610888240</v>
      </c>
      <c r="F49" s="134">
        <v>62.675933563647646793946951360</v>
      </c>
      <c r="G49" s="134">
        <v>-31.223146064480975878059236140</v>
      </c>
      <c r="H49" s="134">
        <v>92.15692681685582750994524083</v>
      </c>
      <c r="I49" s="134">
        <v>17.833729885691362207697427040</v>
      </c>
      <c r="J49" s="320">
        <v>228.12048911362302945878163108</v>
      </c>
      <c r="K49" s="134">
        <v>-2.268467553855963881040221700</v>
      </c>
      <c r="L49" s="135">
        <v>245.1663752521051496230744714</v>
      </c>
      <c r="M49" s="134">
        <v>-3.1010880257574911057530193100</v>
      </c>
      <c r="N49" s="134">
        <v>93.04721696808797858241232916</v>
      </c>
      <c r="O49" s="312">
        <v>0.8592671010824691941316909900</v>
      </c>
      <c r="P49" s="320">
        <v>131.76288320550053323033880893</v>
      </c>
      <c r="Q49" s="134">
        <v>-20.796086722636615559574747410</v>
      </c>
      <c r="R49" s="135">
        <v>153.66031447341250950581611161</v>
      </c>
      <c r="S49" s="134">
        <v>-33.355976846368076108079904600</v>
      </c>
      <c r="T49" s="134">
        <v>85.74945564640189617673881738</v>
      </c>
      <c r="U49" s="312">
        <v>18.846236360577489516998961500</v>
      </c>
      <c r="W49" s="282"/>
      <c r="X49" s="282"/>
      <c r="Y49" s="282"/>
      <c r="Z49" s="282"/>
      <c r="AA49" s="282"/>
      <c r="AB49" s="282"/>
      <c r="AC49" s="282"/>
      <c r="AD49" s="282"/>
      <c r="AE49" s="282"/>
      <c r="AF49" s="282"/>
      <c r="AG49" s="282"/>
      <c r="AH49" s="282"/>
      <c r="AI49" s="282"/>
      <c r="AJ49" s="282"/>
      <c r="AK49" s="282"/>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5"/>
      <c r="C50" s="306" t="s">
        <v>44</v>
      </c>
      <c r="D50" s="313">
        <v>75.593743377834286925196016170</v>
      </c>
      <c r="E50" s="159">
        <v>-6.0987990183472284437575818200</v>
      </c>
      <c r="F50" s="159">
        <v>69.549291288421723204331900050</v>
      </c>
      <c r="G50" s="159">
        <v>-24.957780631755328425499517960</v>
      </c>
      <c r="H50" s="159">
        <v>108.69088955104682564765417565</v>
      </c>
      <c r="I50" s="159">
        <v>25.131161860850537381359619600</v>
      </c>
      <c r="J50" s="321">
        <v>144.82009370425541999435412923</v>
      </c>
      <c r="K50" s="159">
        <v>-37.621298462934052997515377240</v>
      </c>
      <c r="L50" s="160">
        <v>152.88091223993440901218359036</v>
      </c>
      <c r="M50" s="159">
        <v>-38.394542164990450129613376920</v>
      </c>
      <c r="N50" s="159">
        <v>94.72738720774495597250784982</v>
      </c>
      <c r="O50" s="314">
        <v>1.2551545418707580431474918800</v>
      </c>
      <c r="P50" s="321">
        <v>109.47492999433399062597683027</v>
      </c>
      <c r="Q50" s="159">
        <v>-41.425650099934378473898650710</v>
      </c>
      <c r="R50" s="160">
        <v>106.32759097814836186593498005</v>
      </c>
      <c r="S50" s="159">
        <v>-53.769897188640659038851962200</v>
      </c>
      <c r="T50" s="159">
        <v>102.96003980456252972641799028</v>
      </c>
      <c r="U50" s="314">
        <v>26.701751322242652658911920180</v>
      </c>
      <c r="W50" s="282"/>
      <c r="X50" s="282"/>
      <c r="Y50" s="282"/>
      <c r="Z50" s="282"/>
      <c r="AA50" s="282"/>
      <c r="AB50" s="282"/>
      <c r="AC50" s="282"/>
      <c r="AD50" s="282"/>
      <c r="AE50" s="282"/>
      <c r="AF50" s="282"/>
      <c r="AG50" s="282"/>
      <c r="AH50" s="282"/>
      <c r="AI50" s="282"/>
      <c r="AJ50" s="282"/>
      <c r="AK50" s="282"/>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6"/>
      <c r="C51" s="307" t="s">
        <v>45</v>
      </c>
      <c r="D51" s="315">
        <v>57.760214226031940517556561380</v>
      </c>
      <c r="E51" s="316">
        <v>-18.957667709744023867610888240</v>
      </c>
      <c r="F51" s="316">
        <v>62.675933563647646793946951360</v>
      </c>
      <c r="G51" s="316">
        <v>-31.223146064480975878059236140</v>
      </c>
      <c r="H51" s="316">
        <v>92.15692681685582750994524083</v>
      </c>
      <c r="I51" s="316">
        <v>17.833729885691362207697427040</v>
      </c>
      <c r="J51" s="322">
        <v>228.12048911362302945878163108</v>
      </c>
      <c r="K51" s="316">
        <v>-2.268467553855963881040221700</v>
      </c>
      <c r="L51" s="323">
        <v>245.1663752521051496230744714</v>
      </c>
      <c r="M51" s="316">
        <v>-3.1010880257574911057530193100</v>
      </c>
      <c r="N51" s="316">
        <v>93.04721696808797858241232916</v>
      </c>
      <c r="O51" s="317">
        <v>0.8592671010824691941316909900</v>
      </c>
      <c r="P51" s="322">
        <v>131.76288320550053323033880893</v>
      </c>
      <c r="Q51" s="316">
        <v>-20.796086722636615559574747410</v>
      </c>
      <c r="R51" s="323">
        <v>153.66031447341250950581611161</v>
      </c>
      <c r="S51" s="316">
        <v>-33.355976846368076108079904600</v>
      </c>
      <c r="T51" s="316">
        <v>85.74945564640189617673881738</v>
      </c>
      <c r="U51" s="317">
        <v>18.846236360577489516998961500</v>
      </c>
      <c r="W51" s="282"/>
      <c r="X51" s="282"/>
      <c r="Y51" s="282"/>
      <c r="Z51" s="282"/>
      <c r="AA51" s="282"/>
      <c r="AB51" s="282"/>
      <c r="AC51" s="282"/>
      <c r="AD51" s="282"/>
      <c r="AE51" s="282"/>
      <c r="AF51" s="282"/>
      <c r="AG51" s="282"/>
      <c r="AH51" s="282"/>
      <c r="AI51" s="282"/>
      <c r="AJ51" s="282"/>
      <c r="AK51" s="282"/>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8"/>
      <c r="D52" s="159"/>
      <c r="E52" s="159"/>
      <c r="F52" s="159"/>
      <c r="G52" s="159"/>
      <c r="H52" s="159"/>
      <c r="I52" s="159"/>
      <c r="J52" s="160"/>
      <c r="K52" s="159"/>
      <c r="L52" s="160"/>
      <c r="M52" s="159"/>
      <c r="N52" s="159"/>
      <c r="O52" s="159"/>
      <c r="P52" s="160"/>
      <c r="Q52" s="159"/>
      <c r="R52" s="160"/>
      <c r="S52" s="159"/>
      <c r="T52" s="159"/>
      <c r="U52" s="159"/>
      <c r="W52" s="282"/>
      <c r="X52" s="282"/>
      <c r="Y52" s="282"/>
      <c r="Z52" s="282"/>
      <c r="AA52" s="282"/>
      <c r="AB52" s="282"/>
      <c r="AC52" s="282"/>
      <c r="AD52" s="282"/>
      <c r="AE52" s="282"/>
      <c r="AF52" s="282"/>
      <c r="AG52" s="282"/>
      <c r="AH52" s="282"/>
      <c r="AI52" s="282"/>
      <c r="AJ52" s="282"/>
      <c r="AK52" s="282"/>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8"/>
      <c r="D53" s="159"/>
      <c r="E53" s="159"/>
      <c r="F53" s="159"/>
      <c r="G53" s="159"/>
      <c r="H53" s="159"/>
      <c r="I53" s="159"/>
      <c r="J53" s="160"/>
      <c r="K53" s="159"/>
      <c r="L53" s="160"/>
      <c r="M53" s="159"/>
      <c r="N53" s="159"/>
      <c r="O53" s="159"/>
      <c r="P53" s="160"/>
      <c r="Q53" s="159"/>
      <c r="R53" s="160"/>
      <c r="S53" s="159"/>
      <c r="T53" s="159"/>
      <c r="U53" s="159"/>
      <c r="W53" s="282"/>
      <c r="X53" s="282"/>
      <c r="Y53" s="282"/>
      <c r="Z53" s="282"/>
      <c r="AA53" s="282"/>
      <c r="AB53" s="282"/>
      <c r="AC53" s="282"/>
      <c r="AD53" s="282"/>
      <c r="AE53" s="282"/>
      <c r="AF53" s="282"/>
      <c r="AG53" s="282"/>
      <c r="AH53" s="282"/>
      <c r="AI53" s="282"/>
      <c r="AJ53" s="282"/>
      <c r="AK53" s="282"/>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4" t="s">
        <v>51</v>
      </c>
      <c r="C54" s="304" t="s">
        <v>42</v>
      </c>
      <c r="D54" s="308">
        <v>87.12121212121212121212121225</v>
      </c>
      <c r="E54" s="309">
        <v>-5.0132207690574718095260679800</v>
      </c>
      <c r="F54" s="309">
        <v>84.42028985507246376811594209</v>
      </c>
      <c r="G54" s="309">
        <v>-9.801235316410127498836803710</v>
      </c>
      <c r="H54" s="309">
        <v>103.19937573156457276628950456</v>
      </c>
      <c r="I54" s="309">
        <v>5.3082928176994793241406963300</v>
      </c>
      <c r="J54" s="318">
        <v>161.23674802409592601648588503</v>
      </c>
      <c r="K54" s="309">
        <v>-43.446397046314727393154086590</v>
      </c>
      <c r="L54" s="319">
        <v>170.58396329918488803843649839</v>
      </c>
      <c r="M54" s="309">
        <v>-49.367424226559135274763941760</v>
      </c>
      <c r="N54" s="309">
        <v>94.52046071957244388748238857</v>
      </c>
      <c r="O54" s="310">
        <v>11.694106195067921796568949190</v>
      </c>
      <c r="P54" s="318">
        <v>140.47140926341690524163543035</v>
      </c>
      <c r="Q54" s="309">
        <v>-46.281554015239177309344424390</v>
      </c>
      <c r="R54" s="319">
        <v>144.00747626344231490201342084</v>
      </c>
      <c r="S54" s="309">
        <v>-54.330042124873739573205827110</v>
      </c>
      <c r="T54" s="309">
        <v>97.54452540119746940397616776</v>
      </c>
      <c r="U54" s="310">
        <v>17.623156412014341476685648820</v>
      </c>
      <c r="W54" s="282"/>
      <c r="X54" s="282"/>
      <c r="Y54" s="282"/>
      <c r="Z54" s="282"/>
      <c r="AA54" s="282"/>
      <c r="AB54" s="282"/>
      <c r="AC54" s="282"/>
      <c r="AD54" s="282"/>
      <c r="AE54" s="282"/>
      <c r="AF54" s="282"/>
      <c r="AG54" s="282"/>
      <c r="AH54" s="282"/>
      <c r="AI54" s="282"/>
      <c r="AJ54" s="282"/>
      <c r="AK54" s="282"/>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5"/>
      <c r="C55" s="305" t="s">
        <v>60</v>
      </c>
      <c r="D55" s="311">
        <v>64.004063830235333711956095940</v>
      </c>
      <c r="E55" s="134">
        <v>-11.533296251829920740451451380</v>
      </c>
      <c r="F55" s="134">
        <v>67.162975378765687952741087460</v>
      </c>
      <c r="G55" s="134">
        <v>-27.904833704804331132817933260</v>
      </c>
      <c r="H55" s="134">
        <v>95.29664740027423083984807234</v>
      </c>
      <c r="I55" s="134">
        <v>22.708231764027970680633728750</v>
      </c>
      <c r="J55" s="320">
        <v>219.41952413529581671679389451</v>
      </c>
      <c r="K55" s="134">
        <v>-6.0666392182477095645467311300</v>
      </c>
      <c r="L55" s="135">
        <v>245.96712101178268319418591799</v>
      </c>
      <c r="M55" s="134">
        <v>-4.177254816604938945741069500</v>
      </c>
      <c r="N55" s="134">
        <v>89.20685140059221818868787346</v>
      </c>
      <c r="O55" s="312">
        <v>-1.9717493983570180606408480800</v>
      </c>
      <c r="P55" s="320">
        <v>140.43741228355335820164056803</v>
      </c>
      <c r="Q55" s="134">
        <v>-16.900251996507423212776346420</v>
      </c>
      <c r="R55" s="135">
        <v>165.19883692500240860587014403</v>
      </c>
      <c r="S55" s="134">
        <v>-30.916432511409732726112136330</v>
      </c>
      <c r="T55" s="134">
        <v>85.01113863610896037691041536</v>
      </c>
      <c r="U55" s="312">
        <v>20.288732942486213838896106880</v>
      </c>
      <c r="W55" s="282"/>
      <c r="X55" s="282"/>
      <c r="Y55" s="282"/>
      <c r="Z55" s="282"/>
      <c r="AA55" s="282"/>
      <c r="AB55" s="282"/>
      <c r="AC55" s="282"/>
      <c r="AD55" s="282"/>
      <c r="AE55" s="282"/>
      <c r="AF55" s="282"/>
      <c r="AG55" s="282"/>
      <c r="AH55" s="282"/>
      <c r="AI55" s="282"/>
      <c r="AJ55" s="282"/>
      <c r="AK55" s="282"/>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5"/>
      <c r="C56" s="306" t="s">
        <v>44</v>
      </c>
      <c r="D56" s="313">
        <v>83.80946704810341173977537623</v>
      </c>
      <c r="E56" s="159">
        <v>1.4554095780549064692200104600</v>
      </c>
      <c r="F56" s="159">
        <v>77.050485746137920050963529280</v>
      </c>
      <c r="G56" s="159">
        <v>-18.580426301474799774684438610</v>
      </c>
      <c r="H56" s="159">
        <v>108.77214625775967803101479681</v>
      </c>
      <c r="I56" s="159">
        <v>24.608131643770356554864674180</v>
      </c>
      <c r="J56" s="321">
        <v>145.27045515395290132877046498</v>
      </c>
      <c r="K56" s="159">
        <v>-36.875501499595008279968108900</v>
      </c>
      <c r="L56" s="160">
        <v>157.77299689423827909508561402</v>
      </c>
      <c r="M56" s="159">
        <v>-37.263391004377527057964187800</v>
      </c>
      <c r="N56" s="159">
        <v>92.07561370678257123988393489</v>
      </c>
      <c r="O56" s="314">
        <v>0.6182825482480002447060943200</v>
      </c>
      <c r="P56" s="321">
        <v>121.75039424288200121363014738</v>
      </c>
      <c r="Q56" s="159">
        <v>-35.956781502320988228345246990</v>
      </c>
      <c r="R56" s="160">
        <v>121.56486048324968852715785972</v>
      </c>
      <c r="S56" s="159">
        <v>-48.920120402853570237308691080</v>
      </c>
      <c r="T56" s="159">
        <v>100.15262120887135572728424817</v>
      </c>
      <c r="U56" s="314">
        <v>25.378561975421682670041019130</v>
      </c>
      <c r="W56" s="282"/>
      <c r="X56" s="282"/>
      <c r="Y56" s="282"/>
      <c r="Z56" s="282"/>
      <c r="AA56" s="282"/>
      <c r="AB56" s="282"/>
      <c r="AC56" s="282"/>
      <c r="AD56" s="282"/>
      <c r="AE56" s="282"/>
      <c r="AF56" s="282"/>
      <c r="AG56" s="282"/>
      <c r="AH56" s="282"/>
      <c r="AI56" s="282"/>
      <c r="AJ56" s="282"/>
      <c r="AK56" s="282"/>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6"/>
      <c r="C57" s="307" t="s">
        <v>45</v>
      </c>
      <c r="D57" s="315">
        <v>64.004063830235333711956095940</v>
      </c>
      <c r="E57" s="316">
        <v>-11.533296251829920740451451380</v>
      </c>
      <c r="F57" s="316">
        <v>67.162975378765687952741087460</v>
      </c>
      <c r="G57" s="316">
        <v>-27.904833704804331132817933260</v>
      </c>
      <c r="H57" s="316">
        <v>95.29664740027423083984807234</v>
      </c>
      <c r="I57" s="316">
        <v>22.708231764027970680633728750</v>
      </c>
      <c r="J57" s="322">
        <v>219.41952413529581671679389451</v>
      </c>
      <c r="K57" s="316">
        <v>-6.0666392182477095645467311300</v>
      </c>
      <c r="L57" s="323">
        <v>245.96712101178268319418591799</v>
      </c>
      <c r="M57" s="316">
        <v>-4.177254816604938945741069500</v>
      </c>
      <c r="N57" s="316">
        <v>89.20685140059221818868787346</v>
      </c>
      <c r="O57" s="317">
        <v>-1.9717493983570180606408480800</v>
      </c>
      <c r="P57" s="322">
        <v>140.43741228355335820164056803</v>
      </c>
      <c r="Q57" s="316">
        <v>-16.900251996507423212776346420</v>
      </c>
      <c r="R57" s="323">
        <v>165.19883692500240860587014403</v>
      </c>
      <c r="S57" s="316">
        <v>-30.916432511409732726112136330</v>
      </c>
      <c r="T57" s="316">
        <v>85.01113863610896037691041536</v>
      </c>
      <c r="U57" s="317">
        <v>20.288732942486213838896106880</v>
      </c>
      <c r="W57" s="282"/>
      <c r="X57" s="282"/>
      <c r="Y57" s="282"/>
      <c r="Z57" s="282"/>
      <c r="AA57" s="282"/>
      <c r="AB57" s="282"/>
      <c r="AC57" s="282"/>
      <c r="AD57" s="282"/>
      <c r="AE57" s="282"/>
      <c r="AF57" s="282"/>
      <c r="AG57" s="282"/>
      <c r="AH57" s="282"/>
      <c r="AI57" s="282"/>
      <c r="AJ57" s="282"/>
      <c r="AK57" s="282"/>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8"/>
      <c r="D58" s="159"/>
      <c r="E58" s="159"/>
      <c r="F58" s="159"/>
      <c r="G58" s="159"/>
      <c r="H58" s="159"/>
      <c r="I58" s="159"/>
      <c r="J58" s="160"/>
      <c r="K58" s="159"/>
      <c r="L58" s="160"/>
      <c r="M58" s="159"/>
      <c r="N58" s="159"/>
      <c r="O58" s="159"/>
      <c r="P58" s="160"/>
      <c r="Q58" s="159"/>
      <c r="R58" s="160"/>
      <c r="S58" s="159"/>
      <c r="T58" s="159"/>
      <c r="U58" s="159"/>
      <c r="W58" s="282"/>
      <c r="X58" s="282"/>
      <c r="Y58" s="282"/>
      <c r="Z58" s="282"/>
      <c r="AA58" s="282"/>
      <c r="AB58" s="282"/>
      <c r="AC58" s="282"/>
      <c r="AD58" s="282"/>
      <c r="AE58" s="282"/>
      <c r="AF58" s="282"/>
      <c r="AG58" s="282"/>
      <c r="AH58" s="282"/>
      <c r="AI58" s="282"/>
      <c r="AJ58" s="282"/>
      <c r="AK58" s="282"/>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1122" t="s">
        <v>59</v>
      </c>
      <c r="C59" s="1122"/>
      <c r="D59" s="527"/>
      <c r="E59" s="528"/>
      <c r="F59" s="528"/>
      <c r="G59" s="528"/>
      <c r="H59" s="528"/>
      <c r="I59" s="528"/>
      <c r="J59" s="528"/>
      <c r="K59" s="528"/>
      <c r="L59" s="528"/>
      <c r="M59" s="528"/>
      <c r="N59" s="528"/>
      <c r="O59" s="528"/>
      <c r="P59" s="528"/>
      <c r="Q59" s="528"/>
      <c r="R59" s="528"/>
      <c r="S59" s="528"/>
      <c r="T59" s="528"/>
      <c r="U59" s="529"/>
      <c r="W59" s="282"/>
      <c r="X59" s="282"/>
      <c r="Y59" s="282"/>
      <c r="Z59" s="282"/>
      <c r="AA59" s="282"/>
      <c r="AB59" s="282"/>
      <c r="AC59" s="282"/>
      <c r="AD59" s="282"/>
      <c r="AE59" s="282"/>
      <c r="AF59" s="282"/>
      <c r="AG59" s="282"/>
      <c r="AH59" s="282"/>
      <c r="AI59" s="282"/>
      <c r="AJ59" s="282"/>
      <c r="AK59" s="282"/>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5" t="s">
        <v>40</v>
      </c>
      <c r="C60" s="349" t="s">
        <v>42</v>
      </c>
      <c r="D60" s="238">
        <v>67.555994729907773386034255650</v>
      </c>
      <c r="E60" s="246">
        <v>-19.107223538923722028900496990</v>
      </c>
      <c r="F60" s="246">
        <v>62.795931226933117292285534270</v>
      </c>
      <c r="G60" s="246">
        <v>-25.811665825994428614515950820</v>
      </c>
      <c r="H60" s="246">
        <v>107.58021007089241034195162640</v>
      </c>
      <c r="I60" s="239">
        <v>9.037057324060846753142674080</v>
      </c>
      <c r="J60" s="327">
        <v>166.6757112494406089470237166</v>
      </c>
      <c r="K60" s="246">
        <v>-29.095057133076800886484220060</v>
      </c>
      <c r="L60" s="329">
        <v>182.04444080774695722870323214</v>
      </c>
      <c r="M60" s="246">
        <v>-32.826237718606230937226574590</v>
      </c>
      <c r="N60" s="246">
        <v>91.55770454175147365257624133</v>
      </c>
      <c r="O60" s="239">
        <v>5.5545207813422072010028349100</v>
      </c>
      <c r="P60" s="327">
        <v>112.59943470770839556994257016</v>
      </c>
      <c r="Q60" s="246">
        <v>-42.643023066805966980725595690</v>
      </c>
      <c r="R60" s="329">
        <v>114.31650185208774629826570778</v>
      </c>
      <c r="S60" s="246">
        <v>-50.164904761427481873654988050</v>
      </c>
      <c r="T60" s="246">
        <v>98.49797088210323663694632650</v>
      </c>
      <c r="U60" s="239">
        <v>15.093543332489821661055072930</v>
      </c>
    </row>
    <row r="61" ht="15.95" customHeight="1">
      <c r="B61" s="346" t="s">
        <v>69</v>
      </c>
      <c r="C61" s="305" t="s">
        <v>60</v>
      </c>
      <c r="D61" s="240">
        <v>44.660199503614621555768888870</v>
      </c>
      <c r="E61" s="121">
        <v>-32.237034081836137956641274830</v>
      </c>
      <c r="F61" s="121">
        <v>50.617483537370708610099312940</v>
      </c>
      <c r="G61" s="121">
        <v>-37.761989617292429227742924670</v>
      </c>
      <c r="H61" s="121">
        <v>88.23077794976147841039898794</v>
      </c>
      <c r="I61" s="241">
        <v>8.877140354395654788368565680</v>
      </c>
      <c r="J61" s="330">
        <v>195.74432040068082358949405396</v>
      </c>
      <c r="K61" s="121">
        <v>10.063734294749888654969314450</v>
      </c>
      <c r="L61" s="136">
        <v>205.10578349082813131585066771</v>
      </c>
      <c r="M61" s="121">
        <v>8.225925028972870842600312290</v>
      </c>
      <c r="N61" s="121">
        <v>95.43578785014322559499768263</v>
      </c>
      <c r="O61" s="241">
        <v>1.6981229453894922539610951200</v>
      </c>
      <c r="P61" s="330">
        <v>87.41980400793867157270743325</v>
      </c>
      <c r="Q61" s="121">
        <v>-25.417549241590202603377899710</v>
      </c>
      <c r="R61" s="136">
        <v>103.81938619266513807297760823</v>
      </c>
      <c r="S61" s="121">
        <v>-32.642337543686553123509100040</v>
      </c>
      <c r="T61" s="121">
        <v>84.20373806266531317346156051</v>
      </c>
      <c r="U61" s="241">
        <v>10.726008057037569746427564180</v>
      </c>
    </row>
    <row r="62" ht="15.95" customHeight="1">
      <c r="B62" s="346"/>
      <c r="C62" s="306" t="s">
        <v>44</v>
      </c>
      <c r="D62" s="242">
        <v>50.684583437682611236330244640</v>
      </c>
      <c r="E62" s="156">
        <v>-30.822080394312249984996321620</v>
      </c>
      <c r="F62" s="156">
        <v>51.292427379383901123031557850</v>
      </c>
      <c r="G62" s="156">
        <v>-37.214593218678040880421503700</v>
      </c>
      <c r="H62" s="156">
        <v>98.81494409066395211251516956</v>
      </c>
      <c r="I62" s="243">
        <v>10.181526491706191470908825650</v>
      </c>
      <c r="J62" s="331">
        <v>137.08935035062985684226996171</v>
      </c>
      <c r="K62" s="156">
        <v>-22.036604502567119465434555650</v>
      </c>
      <c r="L62" s="186">
        <v>142.2675859136371868131472119</v>
      </c>
      <c r="M62" s="156">
        <v>-25.158047266081618324501927150</v>
      </c>
      <c r="N62" s="156">
        <v>96.36021407845441934559638329</v>
      </c>
      <c r="O62" s="243">
        <v>4.1707126143701761484600482300</v>
      </c>
      <c r="P62" s="331">
        <v>69.483166162642029155559507256</v>
      </c>
      <c r="Q62" s="156">
        <v>-46.066544940921498800731650930</v>
      </c>
      <c r="R62" s="186">
        <v>72.972498189154954563704437644</v>
      </c>
      <c r="S62" s="156">
        <v>-53.010175532924633012408893600</v>
      </c>
      <c r="T62" s="156">
        <v>95.21829166726882888948324797</v>
      </c>
      <c r="U62" s="243">
        <v>14.776881315801398993486497850</v>
      </c>
    </row>
    <row r="63" ht="15.95" customHeight="1">
      <c r="B63" s="347"/>
      <c r="C63" s="350" t="s">
        <v>45</v>
      </c>
      <c r="D63" s="244">
        <v>44.660199503614621555768888870</v>
      </c>
      <c r="E63" s="250">
        <v>-32.237034081836137956641274830</v>
      </c>
      <c r="F63" s="250">
        <v>50.617483537370708610099312940</v>
      </c>
      <c r="G63" s="250">
        <v>-37.761989617292429227742924670</v>
      </c>
      <c r="H63" s="250">
        <v>88.23077794976147841039898794</v>
      </c>
      <c r="I63" s="245">
        <v>8.877140354395654788368565680</v>
      </c>
      <c r="J63" s="333">
        <v>195.74432040068082358949405396</v>
      </c>
      <c r="K63" s="250">
        <v>10.063734294749888654969314450</v>
      </c>
      <c r="L63" s="335">
        <v>205.10578349082813131585066771</v>
      </c>
      <c r="M63" s="250">
        <v>8.225925028972870842600312290</v>
      </c>
      <c r="N63" s="250">
        <v>95.43578785014322559499768263</v>
      </c>
      <c r="O63" s="245">
        <v>1.6981229453894922539610951200</v>
      </c>
      <c r="P63" s="333">
        <v>87.41980400793867157270743325</v>
      </c>
      <c r="Q63" s="250">
        <v>-25.417549241590202603377899710</v>
      </c>
      <c r="R63" s="335">
        <v>103.81938619266513807297760823</v>
      </c>
      <c r="S63" s="250">
        <v>-32.642337543686553123509100040</v>
      </c>
      <c r="T63" s="250">
        <v>84.20373806266531317346156051</v>
      </c>
      <c r="U63" s="245">
        <v>10.726008057037569746427564180</v>
      </c>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2"/>
      <c r="X65" s="282"/>
      <c r="Y65" s="282"/>
      <c r="Z65" s="282"/>
      <c r="AA65" s="282"/>
      <c r="AB65" s="282"/>
      <c r="AC65" s="282"/>
      <c r="AD65" s="282"/>
      <c r="AE65" s="282"/>
      <c r="AF65" s="282"/>
      <c r="AG65" s="282"/>
      <c r="AH65" s="282"/>
      <c r="AI65" s="282"/>
      <c r="AJ65" s="282"/>
      <c r="AK65" s="282"/>
    </row>
    <row r="66" ht="15.95" customHeight="1">
      <c r="B66" s="348" t="s">
        <v>52</v>
      </c>
      <c r="C66" s="349" t="s">
        <v>42</v>
      </c>
      <c r="D66" s="238">
        <v>83.52272727272727272727272735</v>
      </c>
      <c r="E66" s="246">
        <v>-7.1134003474169744486758696300</v>
      </c>
      <c r="F66" s="246">
        <v>77.562111801242236024844720560</v>
      </c>
      <c r="G66" s="246">
        <v>-16.009207751549909970702851960</v>
      </c>
      <c r="H66" s="246">
        <v>107.68495768495768495768495770</v>
      </c>
      <c r="I66" s="239">
        <v>10.591407898402211831835801730</v>
      </c>
      <c r="J66" s="327">
        <v>161.79831771813754087262398782</v>
      </c>
      <c r="K66" s="246">
        <v>-44.620651830130648816473525630</v>
      </c>
      <c r="L66" s="329">
        <v>168.19018382554462007759968422</v>
      </c>
      <c r="M66" s="246">
        <v>-49.908327035585987992957332830</v>
      </c>
      <c r="N66" s="246">
        <v>96.19962000039369326584255688</v>
      </c>
      <c r="O66" s="239">
        <v>10.555996421225130163805844090</v>
      </c>
      <c r="P66" s="327">
        <v>135.13836763958078697883935359</v>
      </c>
      <c r="Q66" s="246">
        <v>-48.560006575243391124720749490</v>
      </c>
      <c r="R66" s="329">
        <v>130.45185841748375423720658748</v>
      </c>
      <c r="S66" s="246">
        <v>-57.927607026685986579042055670</v>
      </c>
      <c r="T66" s="246">
        <v>103.59252009051403851682117544</v>
      </c>
      <c r="U66" s="239">
        <v>22.265432958340035246746089590</v>
      </c>
    </row>
    <row r="67" ht="15.95" customHeight="1">
      <c r="B67" s="346" t="s">
        <v>55</v>
      </c>
      <c r="C67" s="305" t="s">
        <v>60</v>
      </c>
      <c r="D67" s="240">
        <v>60.882139028133637114756328640</v>
      </c>
      <c r="E67" s="121">
        <v>-15.217656399750932810134524950</v>
      </c>
      <c r="F67" s="121">
        <v>64.918380759543192377109279640</v>
      </c>
      <c r="G67" s="121">
        <v>-29.546884536960675883982919350</v>
      </c>
      <c r="H67" s="121">
        <v>93.78259025535504304834598953</v>
      </c>
      <c r="I67" s="241">
        <v>20.338672098506493651488622590</v>
      </c>
      <c r="J67" s="330">
        <v>223.54692183471915457142828247</v>
      </c>
      <c r="K67" s="121">
        <v>-4.2640732368454780100564198900</v>
      </c>
      <c r="L67" s="136">
        <v>245.58039304397429101895864662</v>
      </c>
      <c r="M67" s="121">
        <v>-3.6453541544626930472042628600</v>
      </c>
      <c r="N67" s="121">
        <v>91.02800067377131229137028377</v>
      </c>
      <c r="O67" s="241">
        <v>-0.6421268813282043883298859900</v>
      </c>
      <c r="P67" s="330">
        <v>136.10014774452694571598968842</v>
      </c>
      <c r="Q67" s="121">
        <v>-18.832837622779528185067818260</v>
      </c>
      <c r="R67" s="136">
        <v>159.42681462706995452444819107</v>
      </c>
      <c r="S67" s="121">
        <v>-32.115150108440977887085946130</v>
      </c>
      <c r="T67" s="121">
        <v>85.36841688952477765039281050</v>
      </c>
      <c r="U67" s="241">
        <v>19.565945136328579853536645260</v>
      </c>
    </row>
    <row r="68" ht="15.95" customHeight="1">
      <c r="B68" s="346"/>
      <c r="C68" s="306" t="s">
        <v>44</v>
      </c>
      <c r="D68" s="343">
        <v>79.70160521296884933248569620</v>
      </c>
      <c r="E68" s="161">
        <v>-2.2729798741807672922107622900</v>
      </c>
      <c r="F68" s="161">
        <v>73.299888517279821627647714660</v>
      </c>
      <c r="G68" s="161">
        <v>-21.735846274697256415352210970</v>
      </c>
      <c r="H68" s="161">
        <v>108.73359676963202715017440219</v>
      </c>
      <c r="I68" s="337">
        <v>24.868174603700031664668378310</v>
      </c>
      <c r="J68" s="336">
        <v>145.05688035978952612053332888</v>
      </c>
      <c r="K68" s="161">
        <v>-37.241462642108049676236260470</v>
      </c>
      <c r="L68" s="162">
        <v>155.45211327823121764456599018</v>
      </c>
      <c r="M68" s="161">
        <v>-37.779422183677196012697229990</v>
      </c>
      <c r="N68" s="161">
        <v>93.31290344066529263456983197</v>
      </c>
      <c r="O68" s="337">
        <v>0.8646006842900440913157626800</v>
      </c>
      <c r="P68" s="336">
        <v>115.61266211860799591980348882</v>
      </c>
      <c r="Q68" s="161">
        <v>-38.667951565583151966374429070</v>
      </c>
      <c r="R68" s="162">
        <v>113.94622573069902519654641986</v>
      </c>
      <c r="S68" s="161">
        <v>-51.303591329061503737477227930</v>
      </c>
      <c r="T68" s="161">
        <v>101.46247616120908934856804632</v>
      </c>
      <c r="U68" s="337">
        <v>25.947785695784109190121199390</v>
      </c>
    </row>
    <row r="69" ht="15.95" customHeight="1">
      <c r="B69" s="347"/>
      <c r="C69" s="350" t="s">
        <v>45</v>
      </c>
      <c r="D69" s="344">
        <v>60.882139028133637114756328640</v>
      </c>
      <c r="E69" s="339">
        <v>-15.217656399750932810134524950</v>
      </c>
      <c r="F69" s="339">
        <v>64.918380759543192377109279640</v>
      </c>
      <c r="G69" s="339">
        <v>-29.546884536960675883982919350</v>
      </c>
      <c r="H69" s="339">
        <v>93.78259025535504304834598953</v>
      </c>
      <c r="I69" s="341">
        <v>20.338672098506493651488622590</v>
      </c>
      <c r="J69" s="338">
        <v>223.54692183471915457142828247</v>
      </c>
      <c r="K69" s="339">
        <v>-4.2640732368454780100564198900</v>
      </c>
      <c r="L69" s="340">
        <v>245.58039304397429101895864662</v>
      </c>
      <c r="M69" s="339">
        <v>-3.6453541544626930472042628600</v>
      </c>
      <c r="N69" s="339">
        <v>91.02800067377131229137028377</v>
      </c>
      <c r="O69" s="341">
        <v>-0.6421268813282043883298859900</v>
      </c>
      <c r="P69" s="338">
        <v>136.10014774452694571598968842</v>
      </c>
      <c r="Q69" s="339">
        <v>-18.832837622779528185067818260</v>
      </c>
      <c r="R69" s="340">
        <v>159.42681462706995452444819107</v>
      </c>
      <c r="S69" s="339">
        <v>-32.115150108440977887085946130</v>
      </c>
      <c r="T69" s="339">
        <v>85.36841688952477765039281050</v>
      </c>
      <c r="U69" s="341">
        <v>19.565945136328579853536645260</v>
      </c>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2"/>
      <c r="X71" s="282"/>
      <c r="Y71" s="282"/>
      <c r="Z71" s="282"/>
      <c r="AA71" s="282"/>
      <c r="AB71" s="282"/>
      <c r="AC71" s="282"/>
      <c r="AD71" s="282"/>
      <c r="AE71" s="282"/>
      <c r="AF71" s="282"/>
      <c r="AG71" s="282"/>
      <c r="AH71" s="282"/>
      <c r="AI71" s="282"/>
      <c r="AJ71" s="282"/>
      <c r="AK71" s="282"/>
    </row>
    <row r="72" ht="15.95" customHeight="1">
      <c r="B72" s="348" t="s">
        <v>12</v>
      </c>
      <c r="C72" s="349" t="s">
        <v>42</v>
      </c>
      <c r="D72" s="238">
        <v>71.676441837732160312805474100</v>
      </c>
      <c r="E72" s="246">
        <v>-15.839311334289813486370157820</v>
      </c>
      <c r="F72" s="246">
        <v>66.606558471916115674881453280</v>
      </c>
      <c r="G72" s="246">
        <v>-23.115136889581544983101846590</v>
      </c>
      <c r="H72" s="246">
        <v>107.61168792102312607677091785</v>
      </c>
      <c r="I72" s="239">
        <v>9.463274383206652951680494640</v>
      </c>
      <c r="J72" s="327">
        <v>165.20900102284350494374360723</v>
      </c>
      <c r="K72" s="246">
        <v>-34.081338107849556950305522910</v>
      </c>
      <c r="L72" s="329">
        <v>177.88107891306527624586383236</v>
      </c>
      <c r="M72" s="246">
        <v>-38.411044588650983527390009660</v>
      </c>
      <c r="N72" s="246">
        <v>92.87609566590558074168521195</v>
      </c>
      <c r="O72" s="239">
        <v>7.0300047336142840017081042800</v>
      </c>
      <c r="P72" s="327">
        <v>118.41593352883675464320625611</v>
      </c>
      <c r="Q72" s="246">
        <v>-44.522400192345122104805193320</v>
      </c>
      <c r="R72" s="329">
        <v>118.48046483670607092766980565</v>
      </c>
      <c r="S72" s="246">
        <v>-52.647415940847649206928501590</v>
      </c>
      <c r="T72" s="246">
        <v>99.94553422122519894345049587</v>
      </c>
      <c r="U72" s="239">
        <v>17.158547753915272593636401660</v>
      </c>
    </row>
    <row r="73" ht="15.95" customHeight="1">
      <c r="B73" s="346"/>
      <c r="C73" s="305" t="s">
        <v>60</v>
      </c>
      <c r="D73" s="240">
        <v>49.336810730253353204172876300</v>
      </c>
      <c r="E73" s="121">
        <v>-27.003821981832497316759329930</v>
      </c>
      <c r="F73" s="121">
        <v>54.684750901975581766615490290</v>
      </c>
      <c r="G73" s="121">
        <v>-35.215686415366976417992661670</v>
      </c>
      <c r="H73" s="121">
        <v>90.22041778829969047291190865</v>
      </c>
      <c r="I73" s="241">
        <v>12.675698759710793231980584920</v>
      </c>
      <c r="J73" s="330">
        <v>205.63515078286260887076473846</v>
      </c>
      <c r="K73" s="121">
        <v>5.6208548544456858809412660900</v>
      </c>
      <c r="L73" s="136">
        <v>218.77122114399527526419462987</v>
      </c>
      <c r="M73" s="121">
        <v>4.2541545359683445195782308700</v>
      </c>
      <c r="N73" s="121">
        <v>93.99552176358402212842975133</v>
      </c>
      <c r="O73" s="241">
        <v>1.3109312761304117463727023900</v>
      </c>
      <c r="P73" s="330">
        <v>101.45382513661202185792349727</v>
      </c>
      <c r="Q73" s="121">
        <v>-22.900812766138514581284091810</v>
      </c>
      <c r="R73" s="136">
        <v>119.63449732780395094151697313</v>
      </c>
      <c r="S73" s="121">
        <v>-32.459661600410354232027907820</v>
      </c>
      <c r="T73" s="121">
        <v>84.80315243739766603037299256</v>
      </c>
      <c r="U73" s="241">
        <v>14.152799735350328454096493880</v>
      </c>
    </row>
    <row r="74" ht="15.95" customHeight="1">
      <c r="B74" s="346"/>
      <c r="C74" s="306" t="s">
        <v>44</v>
      </c>
      <c r="D74" s="242">
        <v>58.885046113306982872200263500</v>
      </c>
      <c r="E74" s="156">
        <v>-22.119363972990633848834676550</v>
      </c>
      <c r="F74" s="156">
        <v>57.511927266180574309118732560</v>
      </c>
      <c r="G74" s="156">
        <v>-32.398914682588590350025093900</v>
      </c>
      <c r="H74" s="156">
        <v>102.38753752899159066008338194</v>
      </c>
      <c r="I74" s="243">
        <v>15.206191825666361232609750980</v>
      </c>
      <c r="J74" s="331">
        <v>140.13704377010208362466787862</v>
      </c>
      <c r="K74" s="156">
        <v>-27.274979319903842615145905690</v>
      </c>
      <c r="L74" s="186">
        <v>147.01651275629989043668805761</v>
      </c>
      <c r="M74" s="156">
        <v>-29.549216201605505100453356730</v>
      </c>
      <c r="N74" s="156">
        <v>95.32061476821894575287604143</v>
      </c>
      <c r="O74" s="243">
        <v>3.2281214758514725570037967400</v>
      </c>
      <c r="P74" s="331">
        <v>82.51976284584980237154150198</v>
      </c>
      <c r="Q74" s="156">
        <v>-43.361291343567020098116790630</v>
      </c>
      <c r="R74" s="186">
        <v>84.55202988567827887298586732</v>
      </c>
      <c r="S74" s="156">
        <v>-52.374505537662282903696707580</v>
      </c>
      <c r="T74" s="156">
        <v>97.59643021867567361310763897</v>
      </c>
      <c r="U74" s="243">
        <v>18.925187645501340708775401510</v>
      </c>
    </row>
    <row r="75" ht="15.95" customHeight="1">
      <c r="B75" s="347"/>
      <c r="C75" s="350" t="s">
        <v>45</v>
      </c>
      <c r="D75" s="244">
        <v>49.336810730253353204172876300</v>
      </c>
      <c r="E75" s="250">
        <v>-27.003821981832497316759329930</v>
      </c>
      <c r="F75" s="250">
        <v>54.684750901975581766615490290</v>
      </c>
      <c r="G75" s="250">
        <v>-35.215686415366976417992661670</v>
      </c>
      <c r="H75" s="250">
        <v>90.22041778829969047291190865</v>
      </c>
      <c r="I75" s="245">
        <v>12.675698759710793231980584920</v>
      </c>
      <c r="J75" s="333">
        <v>205.63515078286260887076473846</v>
      </c>
      <c r="K75" s="250">
        <v>5.6208548544456858809412660900</v>
      </c>
      <c r="L75" s="335">
        <v>218.77122114399527526419462987</v>
      </c>
      <c r="M75" s="250">
        <v>4.2541545359683445195782308700</v>
      </c>
      <c r="N75" s="250">
        <v>93.99552176358402212842975133</v>
      </c>
      <c r="O75" s="245">
        <v>1.3109312761304117463727023900</v>
      </c>
      <c r="P75" s="333">
        <v>101.45382513661202185792349727</v>
      </c>
      <c r="Q75" s="250">
        <v>-22.900812766138514581284091810</v>
      </c>
      <c r="R75" s="335">
        <v>119.63449732780395094151697313</v>
      </c>
      <c r="S75" s="250">
        <v>-32.459661600410354232027907820</v>
      </c>
      <c r="T75" s="250">
        <v>84.80315243739766603037299256</v>
      </c>
      <c r="U75" s="245">
        <v>14.152799735350328454096493880</v>
      </c>
    </row>
    <row r="76" ht="9.95" customHeight="1"/>
    <row r="77" ht="24" customHeight="1">
      <c r="B77" s="1061" t="s">
        <v>129</v>
      </c>
      <c r="C77" s="1061"/>
      <c r="D77" s="1061"/>
      <c r="E77" s="1061"/>
      <c r="F77" s="1061"/>
      <c r="G77" s="1061"/>
      <c r="H77" s="1061"/>
      <c r="I77" s="1061"/>
      <c r="J77" s="1061"/>
      <c r="K77" s="1061"/>
      <c r="L77" s="1061"/>
      <c r="M77" s="1061"/>
      <c r="N77" s="1061"/>
      <c r="O77" s="1061"/>
      <c r="P77" s="1061"/>
      <c r="Q77" s="1061"/>
      <c r="R77" s="1061"/>
      <c r="S77" s="1061"/>
      <c r="T77" s="1061"/>
      <c r="U77" s="1061"/>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9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3" width="10.28515625" customWidth="1"/>
    <col min="34" max="34" width="2.7109375" customWidth="1"/>
    <col min="35" max="38" width="9.28515625" style="236" customWidth="1"/>
    <col min="39" max="49" width="9.140625" style="236" customWidth="1"/>
  </cols>
  <sheetData>
    <row r="1" ht="39.95" customHeight="1">
      <c r="A1" s="7"/>
      <c r="B1" s="657" t="s">
        <v>178</v>
      </c>
      <c r="AA1" s="1013"/>
      <c r="AB1" s="1013"/>
      <c r="AC1" s="1013"/>
      <c r="AD1" s="1013"/>
      <c r="AE1" s="1013"/>
      <c r="AF1" s="1013"/>
      <c r="AG1" s="1013"/>
      <c r="AH1"/>
    </row>
    <row r="2" ht="21.95" customHeight="1">
      <c r="A2" s="6"/>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c r="AC2" s="1014"/>
      <c r="AD2" s="1014"/>
      <c r="AE2" s="1014"/>
      <c r="AF2" s="1014"/>
      <c r="AG2" s="1014"/>
    </row>
    <row r="3" ht="21.95" customHeight="1">
      <c r="A3" s="6"/>
      <c r="B3" s="1014" t="s">
        <v>212</v>
      </c>
      <c r="C3" s="1014"/>
      <c r="D3" s="1014"/>
      <c r="E3" s="1014"/>
      <c r="F3" s="1014"/>
      <c r="G3" s="1014"/>
      <c r="H3" s="1014"/>
      <c r="I3" s="1014"/>
      <c r="J3" s="1014"/>
      <c r="K3" s="1014"/>
      <c r="L3" s="1014"/>
      <c r="M3" s="1014"/>
      <c r="N3" s="1014"/>
      <c r="O3" s="1014"/>
      <c r="P3" s="1014"/>
      <c r="Q3" s="1014"/>
      <c r="R3" s="1014"/>
      <c r="S3" s="1014"/>
      <c r="T3" s="1014"/>
      <c r="U3" s="1015"/>
      <c r="V3" s="1015"/>
      <c r="W3" s="1015"/>
      <c r="X3" s="1015"/>
      <c r="Y3" s="1015"/>
      <c r="Z3" s="1015"/>
      <c r="AA3" s="1015"/>
      <c r="AB3" s="1015"/>
      <c r="AC3" s="1015"/>
      <c r="AD3" s="1015"/>
      <c r="AE3" s="1015"/>
      <c r="AF3" s="1015"/>
      <c r="AG3" s="1015"/>
    </row>
    <row r="4" ht="21.95" customHeight="1">
      <c r="A4" s="6"/>
      <c r="B4" s="1014" t="s">
        <v>340</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c r="AC4" s="1014"/>
      <c r="AD4" s="1014"/>
      <c r="AE4" s="1014"/>
      <c r="AF4" s="1014"/>
      <c r="AG4" s="1014"/>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1016"/>
      <c r="Y22" s="1016"/>
      <c r="Z22" s="1016"/>
      <c r="AA22" s="1016"/>
      <c r="AB22" s="1016"/>
      <c r="AC22" s="1016"/>
      <c r="AD22" s="1016"/>
      <c r="AE22"/>
      <c r="AF22"/>
      <c r="AG22"/>
    </row>
    <row r="23" s="82" customFormat="1" ht="21.95" customHeight="1">
      <c r="B23" s="25"/>
      <c r="C23" s="41" t="s">
        <v>299</v>
      </c>
      <c r="D23" s="41" t="s">
        <v>301</v>
      </c>
      <c r="E23" s="41" t="s">
        <v>302</v>
      </c>
      <c r="F23" s="41" t="s">
        <v>303</v>
      </c>
      <c r="G23" s="41" t="s">
        <v>304</v>
      </c>
      <c r="H23" s="41" t="s">
        <v>305</v>
      </c>
      <c r="I23" s="41" t="s">
        <v>306</v>
      </c>
      <c r="J23" s="41" t="s">
        <v>299</v>
      </c>
      <c r="K23" s="41" t="s">
        <v>301</v>
      </c>
      <c r="L23" s="41" t="s">
        <v>302</v>
      </c>
      <c r="M23" s="41" t="s">
        <v>303</v>
      </c>
      <c r="N23" s="41" t="s">
        <v>304</v>
      </c>
      <c r="O23" s="41" t="s">
        <v>305</v>
      </c>
      <c r="P23" s="41" t="s">
        <v>306</v>
      </c>
      <c r="Q23" s="41" t="s">
        <v>299</v>
      </c>
      <c r="R23" s="41" t="s">
        <v>301</v>
      </c>
      <c r="S23" s="41" t="s">
        <v>302</v>
      </c>
      <c r="T23" s="41" t="s">
        <v>303</v>
      </c>
      <c r="U23" s="41" t="s">
        <v>304</v>
      </c>
      <c r="V23" s="41" t="s">
        <v>305</v>
      </c>
      <c r="W23" s="41" t="s">
        <v>306</v>
      </c>
      <c r="X23" s="41" t="s">
        <v>299</v>
      </c>
      <c r="Y23" s="41" t="s">
        <v>301</v>
      </c>
      <c r="Z23" s="41" t="s">
        <v>302</v>
      </c>
      <c r="AA23" s="41" t="s">
        <v>303</v>
      </c>
      <c r="AB23" s="41" t="s">
        <v>304</v>
      </c>
      <c r="AC23" s="41" t="s">
        <v>305</v>
      </c>
      <c r="AD23" s="41" t="s">
        <v>306</v>
      </c>
      <c r="AE23" s="41" t="s">
        <v>299</v>
      </c>
      <c r="AF23" s="41" t="s">
        <v>301</v>
      </c>
      <c r="AG23" s="41" t="s">
        <v>302</v>
      </c>
      <c r="AH23" s="93"/>
      <c r="AI23" s="236"/>
      <c r="AJ23" s="236"/>
      <c r="AK23" s="236"/>
      <c r="AL23" s="236"/>
      <c r="AM23" s="236"/>
      <c r="AN23" s="236"/>
      <c r="AO23" s="236"/>
      <c r="AP23" s="236"/>
      <c r="AQ23" s="236"/>
      <c r="AR23" s="236"/>
      <c r="AS23" s="236"/>
      <c r="AT23" s="236"/>
      <c r="AU23" s="236"/>
      <c r="AV23" s="236"/>
      <c r="AW23" s="236"/>
    </row>
    <row r="24" s="35" customFormat="1" ht="20.1" customHeight="1">
      <c r="B24" s="979" t="s">
        <v>22</v>
      </c>
      <c r="C24" s="351" t="s">
        <v>300</v>
      </c>
      <c r="D24" s="352"/>
      <c r="E24" s="352"/>
      <c r="F24" s="352"/>
      <c r="G24" s="352"/>
      <c r="H24" s="352"/>
      <c r="I24" s="352"/>
      <c r="J24" s="352"/>
      <c r="K24" s="352"/>
      <c r="L24" s="352"/>
      <c r="M24" s="352"/>
      <c r="N24" s="352"/>
      <c r="O24" s="352"/>
      <c r="P24" s="352"/>
      <c r="Q24" s="352"/>
      <c r="R24" s="352"/>
      <c r="S24" s="353"/>
      <c r="T24" s="353"/>
      <c r="U24" s="353"/>
      <c r="V24" s="353"/>
      <c r="W24" s="353"/>
      <c r="X24" s="353"/>
      <c r="Y24" s="353"/>
      <c r="Z24" s="353"/>
      <c r="AA24" s="353"/>
      <c r="AB24" s="353"/>
      <c r="AC24" s="353"/>
      <c r="AD24" s="353"/>
      <c r="AE24" s="353"/>
      <c r="AF24" s="353"/>
      <c r="AG24" s="354"/>
      <c r="AH24" s="530"/>
      <c r="AI24" s="236"/>
      <c r="AJ24" s="236"/>
      <c r="AK24" s="236"/>
      <c r="AL24" s="236"/>
      <c r="AM24" s="236"/>
      <c r="AN24" s="236"/>
      <c r="AO24" s="236"/>
      <c r="AP24" s="236"/>
      <c r="AQ24" s="236"/>
      <c r="AR24" s="236"/>
      <c r="AS24" s="236"/>
      <c r="AT24" s="236"/>
      <c r="AU24" s="236"/>
      <c r="AV24" s="236"/>
      <c r="AW24" s="236"/>
    </row>
    <row r="25" s="36" customFormat="1" ht="20.1" customHeight="1">
      <c r="B25" s="979"/>
      <c r="C25" s="355">
        <v>1</v>
      </c>
      <c r="D25" s="356">
        <v>2</v>
      </c>
      <c r="E25" s="356">
        <v>3</v>
      </c>
      <c r="F25" s="356">
        <v>4</v>
      </c>
      <c r="G25" s="356">
        <v>5</v>
      </c>
      <c r="H25" s="356">
        <v>6</v>
      </c>
      <c r="I25" s="356">
        <v>7</v>
      </c>
      <c r="J25" s="356">
        <v>8</v>
      </c>
      <c r="K25" s="356">
        <v>9</v>
      </c>
      <c r="L25" s="356">
        <v>10</v>
      </c>
      <c r="M25" s="356">
        <v>11</v>
      </c>
      <c r="N25" s="356">
        <v>12</v>
      </c>
      <c r="O25" s="356">
        <v>13</v>
      </c>
      <c r="P25" s="356">
        <v>14</v>
      </c>
      <c r="Q25" s="356">
        <v>15</v>
      </c>
      <c r="R25" s="356">
        <v>16</v>
      </c>
      <c r="S25" s="356">
        <v>17</v>
      </c>
      <c r="T25" s="356">
        <v>18</v>
      </c>
      <c r="U25" s="356">
        <v>19</v>
      </c>
      <c r="V25" s="356">
        <v>20</v>
      </c>
      <c r="W25" s="356">
        <v>21</v>
      </c>
      <c r="X25" s="356">
        <v>22</v>
      </c>
      <c r="Y25" s="356">
        <v>23</v>
      </c>
      <c r="Z25" s="356">
        <v>24</v>
      </c>
      <c r="AA25" s="356">
        <v>25</v>
      </c>
      <c r="AB25" s="356">
        <v>26</v>
      </c>
      <c r="AC25" s="356">
        <v>27</v>
      </c>
      <c r="AD25" s="356">
        <v>28</v>
      </c>
      <c r="AE25" s="356">
        <v>29</v>
      </c>
      <c r="AF25" s="356">
        <v>30</v>
      </c>
      <c r="AG25" s="357">
        <v>31</v>
      </c>
      <c r="AH25" s="530"/>
      <c r="AI25" s="236"/>
      <c r="AJ25" s="236"/>
      <c r="AK25" s="236"/>
      <c r="AL25" s="236"/>
      <c r="AM25" s="236"/>
      <c r="AN25" s="236"/>
      <c r="AO25" s="236"/>
      <c r="AP25" s="236"/>
      <c r="AQ25" s="236"/>
      <c r="AR25" s="236"/>
      <c r="AS25" s="236"/>
      <c r="AT25" s="236"/>
      <c r="AU25" s="236"/>
      <c r="AV25" s="236"/>
      <c r="AW25" s="236"/>
    </row>
    <row r="26" ht="24.95" customHeight="1">
      <c r="B26" s="264" t="s">
        <v>19</v>
      </c>
      <c r="C26" s="574">
        <v>45.454545454545454545454545450</v>
      </c>
      <c r="D26" s="575">
        <v>51.515151515151515151515151520</v>
      </c>
      <c r="E26" s="575">
        <v>68.181818181818181818181818180</v>
      </c>
      <c r="F26" s="575">
        <v>89.39393939393939393939393939</v>
      </c>
      <c r="G26" s="575">
        <v>93.18181818181818181818181818</v>
      </c>
      <c r="H26" s="575">
        <v>65.909090909090909090909090910</v>
      </c>
      <c r="I26" s="575">
        <v>46.969696969696969696969696970</v>
      </c>
      <c r="J26" s="575">
        <v>40.909090909090909090909090910</v>
      </c>
      <c r="K26" s="575">
        <v>45.454545454545454545454545450</v>
      </c>
      <c r="L26" s="575">
        <v>62.878787878787878787878787880</v>
      </c>
      <c r="M26" s="575">
        <v>83.33333333333333333333333333</v>
      </c>
      <c r="N26" s="575">
        <v>87.87878787878787878787878788</v>
      </c>
      <c r="O26" s="575">
        <v>73.484848484848484848484848480</v>
      </c>
      <c r="P26" s="575">
        <v>52.272727272727272727272727270</v>
      </c>
      <c r="Q26" s="575">
        <v>46.212121212121212121212121210</v>
      </c>
      <c r="R26" s="575">
        <v>46.969696969696969696969696970</v>
      </c>
      <c r="S26" s="575">
        <v>61.363636363636363636363636360</v>
      </c>
      <c r="T26" s="575">
        <v>78.787878787878787878787878790</v>
      </c>
      <c r="U26" s="575">
        <v>90.90909090909090909090909091</v>
      </c>
      <c r="V26" s="575">
        <v>79.54545454545454545454545455</v>
      </c>
      <c r="W26" s="575">
        <v>82.57575757575757575757575758</v>
      </c>
      <c r="X26" s="575">
        <v>86.36363636363636363636363636</v>
      </c>
      <c r="Y26" s="575">
        <v>65.909090909090909090909090910</v>
      </c>
      <c r="Z26" s="575">
        <v>62.121212121212121212121212120</v>
      </c>
      <c r="AA26" s="575">
        <v>68.181818181818181818181818180</v>
      </c>
      <c r="AB26" s="575">
        <v>76.515151515151515151515151520</v>
      </c>
      <c r="AC26" s="575">
        <v>90.90909090909090909090909091</v>
      </c>
      <c r="AD26" s="575">
        <v>90.15151515151515151515151515</v>
      </c>
      <c r="AE26" s="575">
        <v>93.18181818181818181818181818</v>
      </c>
      <c r="AF26" s="575">
        <v>97.72727272727272727272727273</v>
      </c>
      <c r="AG26" s="576">
        <v>97.72727272727272727272727273</v>
      </c>
      <c r="AH26" s="343"/>
    </row>
    <row r="27" ht="24.95" customHeight="1">
      <c r="B27" s="38" t="s">
        <v>35</v>
      </c>
      <c r="C27" s="272">
        <v>40.827338129496402877697841730</v>
      </c>
      <c r="D27" s="92">
        <v>42.625899280575539568345323740</v>
      </c>
      <c r="E27" s="92">
        <v>54.136690647482014388489208630</v>
      </c>
      <c r="F27" s="92">
        <v>69.424460431654676258992805760</v>
      </c>
      <c r="G27" s="92">
        <v>77.338129496402877697841726620</v>
      </c>
      <c r="H27" s="92">
        <v>56.294964028776978417266187050</v>
      </c>
      <c r="I27" s="92">
        <v>39.928057553956834532374100720</v>
      </c>
      <c r="J27" s="92">
        <v>34.172661870503597122302158270</v>
      </c>
      <c r="K27" s="92">
        <v>35.791366906474820143884892090</v>
      </c>
      <c r="L27" s="92">
        <v>47.302158273381294964028776980</v>
      </c>
      <c r="M27" s="92">
        <v>59.532374100719424460431654680</v>
      </c>
      <c r="N27" s="92">
        <v>66.546762589928057553956834530</v>
      </c>
      <c r="O27" s="92">
        <v>53.776978417266187050359712230</v>
      </c>
      <c r="P27" s="92">
        <v>37.769784172661870503597122300</v>
      </c>
      <c r="Q27" s="92">
        <v>35.971223021582733812949640290</v>
      </c>
      <c r="R27" s="92">
        <v>39.388489208633093525179856120</v>
      </c>
      <c r="S27" s="92">
        <v>44.244604316546762589928057550</v>
      </c>
      <c r="T27" s="92">
        <v>62.949640287769784172661870500</v>
      </c>
      <c r="U27" s="92">
        <v>75.00</v>
      </c>
      <c r="V27" s="92">
        <v>65.827338129496402877697841730</v>
      </c>
      <c r="W27" s="92">
        <v>62.589928057553956834532374100</v>
      </c>
      <c r="X27" s="92">
        <v>62.949640287769784172661870500</v>
      </c>
      <c r="Y27" s="92">
        <v>56.294964028776978417266187050</v>
      </c>
      <c r="Z27" s="92">
        <v>54.316546762589928057553956830</v>
      </c>
      <c r="AA27" s="92">
        <v>53.776978417266187050359712230</v>
      </c>
      <c r="AB27" s="92">
        <v>74.460431654676258992805755400</v>
      </c>
      <c r="AC27" s="92">
        <v>76.258992805755395683453237410</v>
      </c>
      <c r="AD27" s="92">
        <v>74.280575539568345323741007190</v>
      </c>
      <c r="AE27" s="92">
        <v>77.697841726618705035971223020</v>
      </c>
      <c r="AF27" s="92">
        <v>79.31654676258992805755395683</v>
      </c>
      <c r="AG27" s="273">
        <v>82.91366906474820143884892086</v>
      </c>
      <c r="AH27" s="343"/>
    </row>
    <row r="28" ht="24.95" customHeight="1">
      <c r="A28" s="23"/>
      <c r="B28" s="40" t="s">
        <v>100</v>
      </c>
      <c r="C28" s="582">
        <v>111.33360032038446135362434920</v>
      </c>
      <c r="D28" s="583">
        <v>120.85411072752844904743638922</v>
      </c>
      <c r="E28" s="583">
        <v>125.94382361824222289338568409</v>
      </c>
      <c r="F28" s="583">
        <v>128.76432720992306484534463808</v>
      </c>
      <c r="G28" s="583">
        <v>120.48625792811839323467230444</v>
      </c>
      <c r="H28" s="583">
        <v>117.07812953819343595701423178</v>
      </c>
      <c r="I28" s="583">
        <v>117.63581763581763581763581763</v>
      </c>
      <c r="J28" s="583">
        <v>119.71291866028708133971291867</v>
      </c>
      <c r="K28" s="583">
        <v>126.99862951119232526267702145</v>
      </c>
      <c r="L28" s="583">
        <v>132.93006106694319622076276068</v>
      </c>
      <c r="M28" s="583">
        <v>139.97985901309164149043303120</v>
      </c>
      <c r="N28" s="583">
        <v>132.05569205569205569205569206</v>
      </c>
      <c r="O28" s="583">
        <v>136.64741056045403871490828012</v>
      </c>
      <c r="P28" s="583">
        <v>138.39826839826839826839826840</v>
      </c>
      <c r="Q28" s="583">
        <v>128.46969696969696969696969696</v>
      </c>
      <c r="R28" s="583">
        <v>119.24726719247267192472671923</v>
      </c>
      <c r="S28" s="583">
        <v>138.69179600886917960088691796</v>
      </c>
      <c r="T28" s="583">
        <v>125.16017316017316017316017317</v>
      </c>
      <c r="U28" s="583">
        <v>121.21212121212121212121212121</v>
      </c>
      <c r="V28" s="583">
        <v>120.83954297069051167411823150</v>
      </c>
      <c r="W28" s="583">
        <v>131.93138279345175896900034832</v>
      </c>
      <c r="X28" s="583">
        <v>137.19480519480519480519480520</v>
      </c>
      <c r="Y28" s="583">
        <v>117.07812953819343595701423178</v>
      </c>
      <c r="Z28" s="583">
        <v>114.36885410395344170178607265</v>
      </c>
      <c r="AA28" s="583">
        <v>126.78625722103982973548190939</v>
      </c>
      <c r="AB28" s="583">
        <v>102.75947884643536817449860928</v>
      </c>
      <c r="AC28" s="583">
        <v>119.21097770154373927958833619</v>
      </c>
      <c r="AD28" s="583">
        <v>121.36620441705187467899332307</v>
      </c>
      <c r="AE28" s="583">
        <v>119.92845117845117845117845118</v>
      </c>
      <c r="AF28" s="583">
        <v>123.21170892599464028035456608</v>
      </c>
      <c r="AG28" s="584">
        <v>117.86629856044172746992703610</v>
      </c>
      <c r="AH28" s="343"/>
    </row>
    <row r="29" ht="24.95" customHeight="1">
      <c r="B29" s="25" t="s">
        <v>70</v>
      </c>
      <c r="R29" s="4"/>
      <c r="S29" s="4"/>
      <c r="T29" s="4"/>
      <c r="U29" s="4"/>
      <c r="V29" s="4"/>
      <c r="W29" s="4"/>
      <c r="X29" s="4"/>
      <c r="Y29" s="4"/>
      <c r="Z29" s="4"/>
      <c r="AA29" s="4"/>
      <c r="AB29" s="4"/>
      <c r="AC29" s="4"/>
      <c r="AD29" s="4"/>
      <c r="AE29" s="4"/>
      <c r="AF29" s="4"/>
      <c r="AG29" s="4"/>
      <c r="AH29" s="4"/>
    </row>
    <row r="30" ht="24.95" customHeight="1">
      <c r="B30" s="37" t="s">
        <v>19</v>
      </c>
      <c r="C30" s="574">
        <v>-45.454545454545454545454545460</v>
      </c>
      <c r="D30" s="575">
        <v>-41.379310344827586206896551720</v>
      </c>
      <c r="E30" s="575">
        <v>-25.00</v>
      </c>
      <c r="F30" s="575">
        <v>-5.6000000000000000000000000100</v>
      </c>
      <c r="G30" s="575">
        <v>0</v>
      </c>
      <c r="H30" s="575">
        <v>-20.909090909090909090909090900</v>
      </c>
      <c r="I30" s="575">
        <v>-45.614035087719298245614035090</v>
      </c>
      <c r="J30" s="575">
        <v>-47.572815533980582524271844660</v>
      </c>
      <c r="K30" s="575">
        <v>-46.428571428571428571428571430</v>
      </c>
      <c r="L30" s="575">
        <v>-35.658914728682170542635658920</v>
      </c>
      <c r="M30" s="575">
        <v>-14.728682170542635658914728690</v>
      </c>
      <c r="N30" s="575">
        <v>-9.37500</v>
      </c>
      <c r="O30" s="575">
        <v>-2.0202020202020202020202020300</v>
      </c>
      <c r="P30" s="575">
        <v>-28.865979381443298969072164950</v>
      </c>
      <c r="Q30" s="575">
        <v>-32.222222222222222222222222220</v>
      </c>
      <c r="R30" s="575">
        <v>-26.190476190476190476190476190</v>
      </c>
      <c r="S30" s="575">
        <v>-21.359223300970873786407766990</v>
      </c>
      <c r="T30" s="575">
        <v>6.1224489795918367346938775600</v>
      </c>
      <c r="U30" s="575">
        <v>14.285714285714285714285714280</v>
      </c>
      <c r="V30" s="575">
        <v>-14.634146341463414634146341460</v>
      </c>
      <c r="W30" s="575">
        <v>-8.403361344537815126050420160</v>
      </c>
      <c r="X30" s="575">
        <v>-3.3898305084745762711864406800</v>
      </c>
      <c r="Y30" s="575">
        <v>-19.444444444444444444444444450</v>
      </c>
      <c r="Z30" s="575">
        <v>-29.914529914529914529914529920</v>
      </c>
      <c r="AA30" s="575">
        <v>-20.353982300884955752212389390</v>
      </c>
      <c r="AB30" s="575">
        <v>-21.0937500</v>
      </c>
      <c r="AC30" s="575">
        <v>-4.7619047619047619047619047600</v>
      </c>
      <c r="AD30" s="575">
        <v>-8.461538461538461538461538460</v>
      </c>
      <c r="AE30" s="575">
        <v>-1.6000000000000000000000000100</v>
      </c>
      <c r="AF30" s="575">
        <v>8.403361344537815126050420170</v>
      </c>
      <c r="AG30" s="576">
        <v>0</v>
      </c>
      <c r="AH30" s="343"/>
    </row>
    <row r="31" ht="24.95" customHeight="1">
      <c r="B31" s="38" t="s">
        <v>35</v>
      </c>
      <c r="C31" s="272">
        <v>-55.811234374421560521736984340</v>
      </c>
      <c r="D31" s="92">
        <v>-55.468638334365620086712087280</v>
      </c>
      <c r="E31" s="92">
        <v>-44.902819679740078904618240890</v>
      </c>
      <c r="F31" s="92">
        <v>-27.351849863392867795315986010</v>
      </c>
      <c r="G31" s="92">
        <v>-15.570311916556720021906350350</v>
      </c>
      <c r="H31" s="92">
        <v>-33.727383764630086975195962630</v>
      </c>
      <c r="I31" s="92">
        <v>-51.361767728674203494347379240</v>
      </c>
      <c r="J31" s="92">
        <v>-55.170582868424595043300079270</v>
      </c>
      <c r="K31" s="92">
        <v>-50.034618323040682498249188260</v>
      </c>
      <c r="L31" s="92">
        <v>-47.451299523761272672003242470</v>
      </c>
      <c r="M31" s="92">
        <v>-36.005233292071623791256602890</v>
      </c>
      <c r="N31" s="92">
        <v>-30.247496355075408112048567130</v>
      </c>
      <c r="O31" s="92">
        <v>-26.709992696987118728343459140</v>
      </c>
      <c r="P31" s="92">
        <v>-49.61367058573014738315056200</v>
      </c>
      <c r="Q31" s="92">
        <v>-50.332950269980951781244588570</v>
      </c>
      <c r="R31" s="92">
        <v>-46.779150555358710889960408540</v>
      </c>
      <c r="S31" s="92">
        <v>-42.790275975940559028187286250</v>
      </c>
      <c r="T31" s="92">
        <v>-22.721355989138650169358676490</v>
      </c>
      <c r="U31" s="92">
        <v>-15.188172043010752688172043010</v>
      </c>
      <c r="V31" s="92">
        <v>-18.872948516187050359712230210</v>
      </c>
      <c r="W31" s="92">
        <v>-20.853217225818543561944031950</v>
      </c>
      <c r="X31" s="92">
        <v>-26.305708679809399233859665520</v>
      </c>
      <c r="Y31" s="92">
        <v>-38.006767360980325687094303620</v>
      </c>
      <c r="Z31" s="92">
        <v>-43.066875403331819594158560200</v>
      </c>
      <c r="AA31" s="92">
        <v>-43.064977548162812032253391920</v>
      </c>
      <c r="AB31" s="92">
        <v>-24.824748201438848920863309350</v>
      </c>
      <c r="AC31" s="92">
        <v>-19.262710636859639804934575830</v>
      </c>
      <c r="AD31" s="92">
        <v>-19.187856611262713966757628390</v>
      </c>
      <c r="AE31" s="92">
        <v>-21.681568483232583262463511620</v>
      </c>
      <c r="AF31" s="92">
        <v>-15.884468895471857807871349980</v>
      </c>
      <c r="AG31" s="273">
        <v>-11.624112871864670425821504970</v>
      </c>
      <c r="AH31" s="343"/>
    </row>
    <row r="32" ht="24.95" customHeight="1">
      <c r="A32" s="23"/>
      <c r="B32" s="40" t="s">
        <v>100</v>
      </c>
      <c r="C32" s="582">
        <v>23.437380006562550179073842650</v>
      </c>
      <c r="D32" s="583">
        <v>31.639113340679657162331390240</v>
      </c>
      <c r="E32" s="583">
        <v>36.123118395627885916464400230</v>
      </c>
      <c r="F32" s="583">
        <v>29.941367842802361577560086360</v>
      </c>
      <c r="G32" s="583">
        <v>18.441749898647403530755906090</v>
      </c>
      <c r="H32" s="583">
        <v>19.341763738456446921634792210</v>
      </c>
      <c r="I32" s="583">
        <v>11.817314019332536306429041430</v>
      </c>
      <c r="J32" s="583">
        <v>16.948173366038609825997455600</v>
      </c>
      <c r="K32" s="583">
        <v>7.2170906604564593399417280900</v>
      </c>
      <c r="L32" s="583">
        <v>22.440868543288407472424830090</v>
      </c>
      <c r="M32" s="583">
        <v>33.247329767815240349939348020</v>
      </c>
      <c r="N32" s="583">
        <v>29.923651861052811924444254080</v>
      </c>
      <c r="O32" s="583">
        <v>33.687799449530311516117345360</v>
      </c>
      <c r="P32" s="583">
        <v>41.177222960025580640869741800</v>
      </c>
      <c r="Q32" s="583">
        <v>36.464271878851910547631625270</v>
      </c>
      <c r="R32" s="583">
        <v>38.685354667813474230772279070</v>
      </c>
      <c r="S32" s="583">
        <v>37.460507003943764300320522340</v>
      </c>
      <c r="T32" s="583">
        <v>37.324419104295555668497872340</v>
      </c>
      <c r="U32" s="583">
        <v>34.752094181571202173420873870</v>
      </c>
      <c r="V32" s="583">
        <v>5.2248936664108788602889536300</v>
      </c>
      <c r="W32" s="583">
        <v>15.730084590806648906898679480</v>
      </c>
      <c r="X32" s="583">
        <v>31.095866125869617771092427960</v>
      </c>
      <c r="Y32" s="583">
        <v>29.942498763731858925349657140</v>
      </c>
      <c r="Z32" s="583">
        <v>23.101394104007426705551200460</v>
      </c>
      <c r="AA32" s="583">
        <v>39.889323423890235823876032910</v>
      </c>
      <c r="AB32" s="583">
        <v>4.9630671160721804971787745800</v>
      </c>
      <c r="AC32" s="583">
        <v>17.960481444618633267976927340</v>
      </c>
      <c r="AD32" s="583">
        <v>13.273151410087669455366680660</v>
      </c>
      <c r="AE32" s="583">
        <v>25.640922697658038387039971820</v>
      </c>
      <c r="AF32" s="583">
        <v>28.874370667442888407343920140</v>
      </c>
      <c r="AG32" s="584">
        <v>13.153036704470059231808478100</v>
      </c>
      <c r="AH32" s="343"/>
    </row>
    <row r="33" ht="30" customHeight="1">
      <c r="A33" s="8"/>
      <c r="B33" s="25"/>
      <c r="X33" s="1016"/>
      <c r="Y33" s="1016"/>
      <c r="Z33" s="1016"/>
      <c r="AA33" s="1016"/>
      <c r="AB33" s="1016"/>
      <c r="AC33" s="1016"/>
      <c r="AD33" s="1016"/>
      <c r="AE33"/>
      <c r="AF33"/>
      <c r="AG33" s="4"/>
      <c r="AH33" s="4"/>
    </row>
    <row r="34" s="35" customFormat="1" ht="20.1" customHeight="1">
      <c r="B34" s="979" t="s">
        <v>9</v>
      </c>
      <c r="C34" s="351" t="s">
        <v>300</v>
      </c>
      <c r="D34" s="352"/>
      <c r="E34" s="352"/>
      <c r="F34" s="352"/>
      <c r="G34" s="352"/>
      <c r="H34" s="352"/>
      <c r="I34" s="352"/>
      <c r="J34" s="352"/>
      <c r="K34" s="352"/>
      <c r="L34" s="352"/>
      <c r="M34" s="352"/>
      <c r="N34" s="352"/>
      <c r="O34" s="352"/>
      <c r="P34" s="352"/>
      <c r="Q34" s="352"/>
      <c r="R34" s="352"/>
      <c r="S34" s="353"/>
      <c r="T34" s="353"/>
      <c r="U34" s="353"/>
      <c r="V34" s="353"/>
      <c r="W34" s="353"/>
      <c r="X34" s="353"/>
      <c r="Y34" s="353"/>
      <c r="Z34" s="353"/>
      <c r="AA34" s="353"/>
      <c r="AB34" s="353"/>
      <c r="AC34" s="353"/>
      <c r="AD34" s="353"/>
      <c r="AE34" s="353"/>
      <c r="AF34" s="353"/>
      <c r="AG34" s="354"/>
      <c r="AH34" s="530"/>
      <c r="AI34" s="236"/>
      <c r="AJ34" s="236"/>
      <c r="AK34" s="236"/>
      <c r="AL34" s="236"/>
      <c r="AM34" s="236"/>
      <c r="AN34" s="236"/>
      <c r="AO34" s="236"/>
      <c r="AP34" s="236"/>
      <c r="AQ34" s="236"/>
      <c r="AR34" s="236"/>
      <c r="AS34" s="236"/>
      <c r="AT34" s="236"/>
      <c r="AU34" s="236"/>
      <c r="AV34" s="236"/>
      <c r="AW34" s="236"/>
    </row>
    <row r="35" s="36" customFormat="1" ht="20.1" customHeight="1">
      <c r="B35" s="979"/>
      <c r="C35" s="355">
        <v>1</v>
      </c>
      <c r="D35" s="356">
        <v>2</v>
      </c>
      <c r="E35" s="356">
        <v>3</v>
      </c>
      <c r="F35" s="356">
        <v>4</v>
      </c>
      <c r="G35" s="356">
        <v>5</v>
      </c>
      <c r="H35" s="356">
        <v>6</v>
      </c>
      <c r="I35" s="356">
        <v>7</v>
      </c>
      <c r="J35" s="356">
        <v>8</v>
      </c>
      <c r="K35" s="356">
        <v>9</v>
      </c>
      <c r="L35" s="356">
        <v>10</v>
      </c>
      <c r="M35" s="356">
        <v>11</v>
      </c>
      <c r="N35" s="356">
        <v>12</v>
      </c>
      <c r="O35" s="356">
        <v>13</v>
      </c>
      <c r="P35" s="356">
        <v>14</v>
      </c>
      <c r="Q35" s="356">
        <v>15</v>
      </c>
      <c r="R35" s="356">
        <v>16</v>
      </c>
      <c r="S35" s="356">
        <v>17</v>
      </c>
      <c r="T35" s="356">
        <v>18</v>
      </c>
      <c r="U35" s="356">
        <v>19</v>
      </c>
      <c r="V35" s="356">
        <v>20</v>
      </c>
      <c r="W35" s="356">
        <v>21</v>
      </c>
      <c r="X35" s="356">
        <v>22</v>
      </c>
      <c r="Y35" s="356">
        <v>23</v>
      </c>
      <c r="Z35" s="356">
        <v>24</v>
      </c>
      <c r="AA35" s="356">
        <v>25</v>
      </c>
      <c r="AB35" s="356">
        <v>26</v>
      </c>
      <c r="AC35" s="356">
        <v>27</v>
      </c>
      <c r="AD35" s="356">
        <v>28</v>
      </c>
      <c r="AE35" s="356">
        <v>29</v>
      </c>
      <c r="AF35" s="356">
        <v>30</v>
      </c>
      <c r="AG35" s="357">
        <v>31</v>
      </c>
      <c r="AH35" s="530"/>
      <c r="AI35" s="236"/>
      <c r="AJ35" s="236"/>
      <c r="AK35" s="236"/>
      <c r="AL35" s="236"/>
      <c r="AM35" s="236"/>
      <c r="AN35" s="236"/>
      <c r="AO35" s="236"/>
      <c r="AP35" s="236"/>
      <c r="AQ35" s="236"/>
      <c r="AR35" s="236"/>
      <c r="AS35" s="236"/>
      <c r="AT35" s="236"/>
      <c r="AU35" s="236"/>
      <c r="AV35" s="236"/>
      <c r="AW35" s="236"/>
    </row>
    <row r="36" ht="24.95" customHeight="1">
      <c r="B36" s="264" t="s">
        <v>19</v>
      </c>
      <c r="C36" s="579">
        <v>108.46666666666666666666666667</v>
      </c>
      <c r="D36" s="580">
        <v>114.55882352941176470588235294</v>
      </c>
      <c r="E36" s="580">
        <v>115.03333333333333333333333333</v>
      </c>
      <c r="F36" s="580">
        <v>147.58474576271186440677966102</v>
      </c>
      <c r="G36" s="580">
        <v>143.21951219512195121951219512</v>
      </c>
      <c r="H36" s="580">
        <v>105.94252873563218390804597701</v>
      </c>
      <c r="I36" s="580">
        <v>99.74193548387096774193548387</v>
      </c>
      <c r="J36" s="580">
        <v>107.64814814814814814814814815</v>
      </c>
      <c r="K36" s="580">
        <v>111.33333333333333333333333333</v>
      </c>
      <c r="L36" s="580">
        <v>109.19277108433734939759036145</v>
      </c>
      <c r="M36" s="580">
        <v>143.88181818181818181818181818</v>
      </c>
      <c r="N36" s="580">
        <v>146.750000000</v>
      </c>
      <c r="O36" s="580">
        <v>112.7319587628865979381443299</v>
      </c>
      <c r="P36" s="580">
        <v>131.04347826086956521739130435</v>
      </c>
      <c r="Q36" s="580">
        <v>102.14754098360655737704918033</v>
      </c>
      <c r="R36" s="580">
        <v>93.96774193548387096774193548</v>
      </c>
      <c r="S36" s="580">
        <v>119.60493827160493827160493827</v>
      </c>
      <c r="T36" s="580">
        <v>163.66346153846153846153846154</v>
      </c>
      <c r="U36" s="580">
        <v>148.74166666666666666666666667</v>
      </c>
      <c r="V36" s="580">
        <v>125.46666666666666666666666667</v>
      </c>
      <c r="W36" s="580">
        <v>125.29357798165137614678899083</v>
      </c>
      <c r="X36" s="580">
        <v>116.98245614035087719298245614</v>
      </c>
      <c r="Y36" s="580">
        <v>128.88505747126436781609195402</v>
      </c>
      <c r="Z36" s="580">
        <v>157.96341463414634146341463415</v>
      </c>
      <c r="AA36" s="580">
        <v>204.71111111111111111111111111</v>
      </c>
      <c r="AB36" s="580">
        <v>216.26732673267326732673267327</v>
      </c>
      <c r="AC36" s="580">
        <v>213.74166666666666666666666667</v>
      </c>
      <c r="AD36" s="580">
        <v>224.82352941176470588235294118</v>
      </c>
      <c r="AE36" s="580">
        <v>251.52845528455284552845528455</v>
      </c>
      <c r="AF36" s="580">
        <v>289.44186046511627906976744186</v>
      </c>
      <c r="AG36" s="581">
        <v>420.5968992248062015503875969</v>
      </c>
      <c r="AH36" s="343"/>
    </row>
    <row r="37" ht="24.95" customHeight="1">
      <c r="B37" s="38" t="s">
        <v>35</v>
      </c>
      <c r="C37" s="277">
        <v>133.92511013215859030837004404</v>
      </c>
      <c r="D37" s="94">
        <v>131.13924050632911392405063292</v>
      </c>
      <c r="E37" s="94">
        <v>141.49169435215946843853820599</v>
      </c>
      <c r="F37" s="94">
        <v>170.1554404145077720207253886</v>
      </c>
      <c r="G37" s="94">
        <v>162.7</v>
      </c>
      <c r="H37" s="94">
        <v>119.97444089456869009584664537</v>
      </c>
      <c r="I37" s="94">
        <v>108.94594594594594594594594595</v>
      </c>
      <c r="J37" s="94">
        <v>113.51578947368421052631578949</v>
      </c>
      <c r="K37" s="94">
        <v>113.76884422110552763819095476</v>
      </c>
      <c r="L37" s="94">
        <v>114.60836501901140684410646387</v>
      </c>
      <c r="M37" s="94">
        <v>146.1933534743202416918429003</v>
      </c>
      <c r="N37" s="94">
        <v>150.24324324324324324324324325</v>
      </c>
      <c r="O37" s="94">
        <v>112.28093645484949832775919732</v>
      </c>
      <c r="P37" s="94">
        <v>108.15238095238095238095238096</v>
      </c>
      <c r="Q37" s="94">
        <v>109.44499999999999999999999999</v>
      </c>
      <c r="R37" s="94">
        <v>114.7123287671232876712328767</v>
      </c>
      <c r="S37" s="94">
        <v>117.46341463414634146341463416</v>
      </c>
      <c r="T37" s="94">
        <v>145.8057142857142857142857143</v>
      </c>
      <c r="U37" s="94">
        <v>159.34052757793764988009592327</v>
      </c>
      <c r="V37" s="94">
        <v>130.17759562841530054644808743</v>
      </c>
      <c r="W37" s="94">
        <v>124.25</v>
      </c>
      <c r="X37" s="94">
        <v>119.60285714285714285714285715</v>
      </c>
      <c r="Y37" s="94">
        <v>132.00638977635782747603833866</v>
      </c>
      <c r="Z37" s="94">
        <v>149.53642384105960264900662253</v>
      </c>
      <c r="AA37" s="94">
        <v>212.45150501672240802675585284</v>
      </c>
      <c r="AB37" s="94">
        <v>216.5531400966183574879227053</v>
      </c>
      <c r="AC37" s="94">
        <v>229.44339622641509433962264151</v>
      </c>
      <c r="AD37" s="94">
        <v>264.20338983050847457627118645</v>
      </c>
      <c r="AE37" s="94">
        <v>298.87037037037037037037037038</v>
      </c>
      <c r="AF37" s="94">
        <v>361.26757369614512471655328801</v>
      </c>
      <c r="AG37" s="278">
        <v>432.05960954446854663774403473</v>
      </c>
      <c r="AH37" s="343"/>
    </row>
    <row r="38" ht="24.95" customHeight="1">
      <c r="A38" s="23"/>
      <c r="B38" s="40" t="s">
        <v>101</v>
      </c>
      <c r="C38" s="582">
        <v>80.99053759196517658410359309</v>
      </c>
      <c r="D38" s="583">
        <v>87.35663184192595957301839654</v>
      </c>
      <c r="E38" s="583">
        <v>81.30041403492294567454820101</v>
      </c>
      <c r="F38" s="583">
        <v>86.73524948904808109168232210</v>
      </c>
      <c r="G38" s="583">
        <v>88.02674381998890671143957905</v>
      </c>
      <c r="H38" s="583">
        <v>88.30424875972750735837875693</v>
      </c>
      <c r="I38" s="583">
        <v>91.55176415041492945799089315</v>
      </c>
      <c r="J38" s="583">
        <v>94.83099104297175513792724474</v>
      </c>
      <c r="K38" s="583">
        <v>97.85924617196702002355712604</v>
      </c>
      <c r="L38" s="583">
        <v>95.27469575735094848240417047</v>
      </c>
      <c r="M38" s="583">
        <v>98.41885062653816528584042533</v>
      </c>
      <c r="N38" s="583">
        <v>97.67494153624752653354919949</v>
      </c>
      <c r="O38" s="583">
        <v>100.40169090344064334417119815</v>
      </c>
      <c r="P38" s="583">
        <v>121.16559719435808689526318207</v>
      </c>
      <c r="Q38" s="583">
        <v>93.33230479565677498017194055</v>
      </c>
      <c r="R38" s="583">
        <v>81.91599189503609482499595523</v>
      </c>
      <c r="S38" s="583">
        <v>101.82314097042779213321848979</v>
      </c>
      <c r="T38" s="583">
        <v>112.24763195340480181364332484</v>
      </c>
      <c r="U38" s="583">
        <v>93.34829558281285273534502220</v>
      </c>
      <c r="V38" s="583">
        <v>96.38115227201175359429111135</v>
      </c>
      <c r="W38" s="583">
        <v>100.83990179609768703966920791</v>
      </c>
      <c r="X38" s="583">
        <v>97.80908160130624451767482776</v>
      </c>
      <c r="Y38" s="583">
        <v>97.63546877512403099481286995</v>
      </c>
      <c r="Z38" s="583">
        <v>105.63541014063816457473697854</v>
      </c>
      <c r="AA38" s="583">
        <v>96.35663023191949722497712989</v>
      </c>
      <c r="AB38" s="583">
        <v>99.86801698473752431404116621</v>
      </c>
      <c r="AC38" s="583">
        <v>93.15659992050765456464235297</v>
      </c>
      <c r="AD38" s="583">
        <v>85.09486935651858895983335597</v>
      </c>
      <c r="AE38" s="583">
        <v>84.15971612470322608920370138</v>
      </c>
      <c r="AF38" s="583">
        <v>80.11841680221208962507136114</v>
      </c>
      <c r="AG38" s="584">
        <v>97.34696091316016033113887141</v>
      </c>
      <c r="AH38" s="343"/>
    </row>
    <row r="39" ht="24.95" customHeight="1">
      <c r="B39" s="25" t="s">
        <v>70</v>
      </c>
      <c r="S39" s="4"/>
      <c r="T39" s="4"/>
      <c r="U39" s="4"/>
      <c r="V39" s="4"/>
      <c r="W39" s="4"/>
      <c r="X39" s="4"/>
      <c r="Y39" s="4"/>
      <c r="Z39" s="4"/>
      <c r="AA39" s="4"/>
      <c r="AB39" s="4"/>
      <c r="AC39" s="4"/>
      <c r="AD39" s="4"/>
      <c r="AE39" s="4"/>
      <c r="AF39" s="4"/>
      <c r="AG39" s="4"/>
      <c r="AH39" s="4"/>
    </row>
    <row r="40" ht="24.95" customHeight="1">
      <c r="B40" s="37" t="s">
        <v>19</v>
      </c>
      <c r="C40" s="574">
        <v>-61.983962614837236471775264190</v>
      </c>
      <c r="D40" s="575">
        <v>-67.893637280957321319443457500</v>
      </c>
      <c r="E40" s="575">
        <v>-76.172063798936684388593523440</v>
      </c>
      <c r="F40" s="575">
        <v>-68.462102367144229334391900800</v>
      </c>
      <c r="G40" s="575">
        <v>-62.005823358136525396311873180</v>
      </c>
      <c r="H40" s="575">
        <v>-31.444919342787574387404803400</v>
      </c>
      <c r="I40" s="575">
        <v>-29.401585464042652908353128270</v>
      </c>
      <c r="J40" s="575">
        <v>-21.167726560545614935945543840</v>
      </c>
      <c r="K40" s="575">
        <v>-17.694169416941694169416941690</v>
      </c>
      <c r="L40" s="575">
        <v>-30.914377998530982037916736340</v>
      </c>
      <c r="M40" s="575">
        <v>-14.030780243378668575518969220</v>
      </c>
      <c r="N40" s="575">
        <v>-12.871654529430864140266246120</v>
      </c>
      <c r="O40" s="575">
        <v>-13.678831173905381731949194370</v>
      </c>
      <c r="P40" s="575">
        <v>4.8953407435579124120065730500</v>
      </c>
      <c r="Q40" s="575">
        <v>-25.014040060973979086994892090</v>
      </c>
      <c r="R40" s="575">
        <v>-28.379545208414434613099332360</v>
      </c>
      <c r="S40" s="575">
        <v>-11.039076819935668385504703620</v>
      </c>
      <c r="T40" s="575">
        <v>-14.704215960597581529298185330</v>
      </c>
      <c r="U40" s="575">
        <v>-28.348511263017846492636601370</v>
      </c>
      <c r="V40" s="575">
        <v>-34.405576571598588855357674160</v>
      </c>
      <c r="W40" s="575">
        <v>-33.651051175611811314222633020</v>
      </c>
      <c r="X40" s="575">
        <v>-45.898766119688796751824692050</v>
      </c>
      <c r="Y40" s="575">
        <v>-47.200295084411668914243708860</v>
      </c>
      <c r="Z40" s="575">
        <v>-44.655568329055752676470287490</v>
      </c>
      <c r="AA40" s="575">
        <v>-42.666479402296191648559854380</v>
      </c>
      <c r="AB40" s="575">
        <v>-42.607306570642136674430820850</v>
      </c>
      <c r="AC40" s="575">
        <v>-38.210778690405175973936585140</v>
      </c>
      <c r="AD40" s="575">
        <v>-43.546591162154423694842999400</v>
      </c>
      <c r="AE40" s="575">
        <v>-44.600185169825197450254769670</v>
      </c>
      <c r="AF40" s="575">
        <v>10.258271376640856651308702520</v>
      </c>
      <c r="AG40" s="576">
        <v>80.03450907522314762584198825</v>
      </c>
      <c r="AH40" s="343"/>
    </row>
    <row r="41" ht="24.95" customHeight="1">
      <c r="B41" s="38" t="s">
        <v>35</v>
      </c>
      <c r="C41" s="272">
        <v>-62.748469862738236474775823760</v>
      </c>
      <c r="D41" s="92">
        <v>-69.876540193088824004524680920</v>
      </c>
      <c r="E41" s="92">
        <v>-72.552130703475502087420294600</v>
      </c>
      <c r="F41" s="92">
        <v>-65.331902001800990684791878240</v>
      </c>
      <c r="G41" s="92">
        <v>-61.295685739436184960992193830</v>
      </c>
      <c r="H41" s="92">
        <v>-38.607275595309007242892982900</v>
      </c>
      <c r="I41" s="92">
        <v>-27.757008340830642068325274470</v>
      </c>
      <c r="J41" s="92">
        <v>-26.186298617423949060431397640</v>
      </c>
      <c r="K41" s="92">
        <v>-27.752620104893858279412855910</v>
      </c>
      <c r="L41" s="92">
        <v>-35.682974365491660319573314610</v>
      </c>
      <c r="M41" s="92">
        <v>-31.222095287940648597070508280</v>
      </c>
      <c r="N41" s="92">
        <v>-31.313843390424375356642970890</v>
      </c>
      <c r="O41" s="92">
        <v>-32.559829192376599456529836250</v>
      </c>
      <c r="P41" s="92">
        <v>-19.269245108792577888128392270</v>
      </c>
      <c r="Q41" s="92">
        <v>-23.99246221533853014262858700</v>
      </c>
      <c r="R41" s="92">
        <v>-18.661032273657285278896838160</v>
      </c>
      <c r="S41" s="92">
        <v>-21.977544282805002840463198830</v>
      </c>
      <c r="T41" s="92">
        <v>-25.402777241580885236066814130</v>
      </c>
      <c r="U41" s="92">
        <v>-29.041681869176441164553946630</v>
      </c>
      <c r="V41" s="92">
        <v>-36.583158718154048654757323580</v>
      </c>
      <c r="W41" s="92">
        <v>-34.873408041734295962746359360</v>
      </c>
      <c r="X41" s="92">
        <v>-40.112495640766050945579852890</v>
      </c>
      <c r="Y41" s="92">
        <v>-41.298320769131225891366974480</v>
      </c>
      <c r="Z41" s="92">
        <v>-49.594389551443468218166591370</v>
      </c>
      <c r="AA41" s="92">
        <v>-49.271881533776110739081494770</v>
      </c>
      <c r="AB41" s="92">
        <v>-54.496070951534452716153975910</v>
      </c>
      <c r="AC41" s="92">
        <v>-50.988017358618295343965588050</v>
      </c>
      <c r="AD41" s="92">
        <v>-45.522880071317868844757491250</v>
      </c>
      <c r="AE41" s="92">
        <v>-44.571512279685755024142427840</v>
      </c>
      <c r="AF41" s="92">
        <v>5.9577850899765104179427636900</v>
      </c>
      <c r="AG41" s="273">
        <v>53.255140230116653867135290240</v>
      </c>
      <c r="AH41" s="343"/>
    </row>
    <row r="42" ht="24.95" customHeight="1">
      <c r="A42" s="23"/>
      <c r="B42" s="40" t="s">
        <v>101</v>
      </c>
      <c r="C42" s="582">
        <v>2.0522841480175407262012086600</v>
      </c>
      <c r="D42" s="583">
        <v>6.5825868769448870576297477700</v>
      </c>
      <c r="E42" s="583">
        <v>-13.188393810661089104500960060</v>
      </c>
      <c r="F42" s="583">
        <v>-9.029051335628078076506420710</v>
      </c>
      <c r="G42" s="583">
        <v>-1.8347763867345048012203334900</v>
      </c>
      <c r="H42" s="583">
        <v>11.666457747188948936034829930</v>
      </c>
      <c r="I42" s="583">
        <v>-2.2764521311227769399579801700</v>
      </c>
      <c r="J42" s="583">
        <v>6.7989708724496822834236769700</v>
      </c>
      <c r="K42" s="583">
        <v>13.922235937906308220490268810</v>
      </c>
      <c r="L42" s="583">
        <v>7.4142053677341682118372760100</v>
      </c>
      <c r="M42" s="583">
        <v>24.995403853219879256237905320</v>
      </c>
      <c r="N42" s="583">
        <v>26.849935665817210916755857190</v>
      </c>
      <c r="O42" s="583">
        <v>27.996663994713548218733357050</v>
      </c>
      <c r="P42" s="583">
        <v>29.932317472956409364216810670</v>
      </c>
      <c r="Q42" s="583">
        <v>-1.3440480712974840804719342600</v>
      </c>
      <c r="R42" s="583">
        <v>-11.948163600322749956118245160</v>
      </c>
      <c r="S42" s="583">
        <v>14.019640066851494580279017560</v>
      </c>
      <c r="T42" s="583">
        <v>14.341768882777681861285536210</v>
      </c>
      <c r="U42" s="583">
        <v>0.9768701181454419736378920500</v>
      </c>
      <c r="V42" s="583">
        <v>3.4337600273680396400563894500</v>
      </c>
      <c r="W42" s="583">
        <v>1.8768936456951301820370272400</v>
      </c>
      <c r="X42" s="583">
        <v>-9.661899491109067946236013700</v>
      </c>
      <c r="Y42" s="583">
        <v>-10.054183104487477679998203070</v>
      </c>
      <c r="Z42" s="583">
        <v>9.798157741643120671029888820</v>
      </c>
      <c r="AA42" s="583">
        <v>13.021184958551082358125458180</v>
      </c>
      <c r="AB42" s="583">
        <v>26.126896357081105532624594910</v>
      </c>
      <c r="AC42" s="583">
        <v>26.069622120173251957603305190</v>
      </c>
      <c r="AD42" s="583">
        <v>3.6277411723502873155529102400</v>
      </c>
      <c r="AE42" s="583">
        <v>-0.0517295190951673120941319200</v>
      </c>
      <c r="AF42" s="583">
        <v>4.0586789191681277339175990100</v>
      </c>
      <c r="AG42" s="584">
        <v>17.473716578051843392049950450</v>
      </c>
      <c r="AH42" s="343"/>
    </row>
    <row r="43" ht="30" customHeight="1">
      <c r="A43" s="8"/>
      <c r="B43" s="25"/>
      <c r="X43" s="1016"/>
      <c r="Y43" s="1016"/>
      <c r="Z43" s="1016"/>
      <c r="AA43" s="1016"/>
      <c r="AB43" s="1016"/>
      <c r="AC43" s="1016"/>
      <c r="AD43" s="1016"/>
      <c r="AE43"/>
      <c r="AF43"/>
      <c r="AG43" s="4"/>
      <c r="AH43" s="4"/>
    </row>
    <row r="44" s="35" customFormat="1" ht="20.1" customHeight="1">
      <c r="B44" s="979" t="s">
        <v>10</v>
      </c>
      <c r="C44" s="351" t="s">
        <v>300</v>
      </c>
      <c r="D44" s="352"/>
      <c r="E44" s="352"/>
      <c r="F44" s="352"/>
      <c r="G44" s="352"/>
      <c r="H44" s="352"/>
      <c r="I44" s="352"/>
      <c r="J44" s="352"/>
      <c r="K44" s="352"/>
      <c r="L44" s="352"/>
      <c r="M44" s="352"/>
      <c r="N44" s="352"/>
      <c r="O44" s="352"/>
      <c r="P44" s="352"/>
      <c r="Q44" s="352"/>
      <c r="R44" s="352"/>
      <c r="S44" s="353"/>
      <c r="T44" s="353"/>
      <c r="U44" s="353"/>
      <c r="V44" s="353"/>
      <c r="W44" s="353"/>
      <c r="X44" s="353"/>
      <c r="Y44" s="353"/>
      <c r="Z44" s="353"/>
      <c r="AA44" s="353"/>
      <c r="AB44" s="353"/>
      <c r="AC44" s="353"/>
      <c r="AD44" s="353"/>
      <c r="AE44" s="353"/>
      <c r="AF44" s="353"/>
      <c r="AG44" s="354"/>
      <c r="AH44" s="530"/>
      <c r="AI44" s="236"/>
      <c r="AJ44" s="236"/>
      <c r="AK44" s="236"/>
      <c r="AL44" s="236"/>
      <c r="AM44" s="236"/>
      <c r="AN44" s="236"/>
      <c r="AO44" s="236"/>
      <c r="AP44" s="236"/>
      <c r="AQ44" s="236"/>
      <c r="AR44" s="236"/>
      <c r="AS44" s="236"/>
      <c r="AT44" s="236"/>
      <c r="AU44" s="236"/>
      <c r="AV44" s="236"/>
      <c r="AW44" s="236"/>
    </row>
    <row r="45" s="36" customFormat="1" ht="20.1" customHeight="1">
      <c r="B45" s="979"/>
      <c r="C45" s="355">
        <v>1</v>
      </c>
      <c r="D45" s="356">
        <v>2</v>
      </c>
      <c r="E45" s="356">
        <v>3</v>
      </c>
      <c r="F45" s="356">
        <v>4</v>
      </c>
      <c r="G45" s="356">
        <v>5</v>
      </c>
      <c r="H45" s="356">
        <v>6</v>
      </c>
      <c r="I45" s="356">
        <v>7</v>
      </c>
      <c r="J45" s="356">
        <v>8</v>
      </c>
      <c r="K45" s="356">
        <v>9</v>
      </c>
      <c r="L45" s="356">
        <v>10</v>
      </c>
      <c r="M45" s="356">
        <v>11</v>
      </c>
      <c r="N45" s="356">
        <v>12</v>
      </c>
      <c r="O45" s="356">
        <v>13</v>
      </c>
      <c r="P45" s="356">
        <v>14</v>
      </c>
      <c r="Q45" s="356">
        <v>15</v>
      </c>
      <c r="R45" s="356">
        <v>16</v>
      </c>
      <c r="S45" s="356">
        <v>17</v>
      </c>
      <c r="T45" s="356">
        <v>18</v>
      </c>
      <c r="U45" s="356">
        <v>19</v>
      </c>
      <c r="V45" s="356">
        <v>20</v>
      </c>
      <c r="W45" s="356">
        <v>21</v>
      </c>
      <c r="X45" s="356">
        <v>22</v>
      </c>
      <c r="Y45" s="356">
        <v>23</v>
      </c>
      <c r="Z45" s="356">
        <v>24</v>
      </c>
      <c r="AA45" s="356">
        <v>25</v>
      </c>
      <c r="AB45" s="356">
        <v>26</v>
      </c>
      <c r="AC45" s="356">
        <v>27</v>
      </c>
      <c r="AD45" s="356">
        <v>28</v>
      </c>
      <c r="AE45" s="356">
        <v>29</v>
      </c>
      <c r="AF45" s="356">
        <v>30</v>
      </c>
      <c r="AG45" s="357">
        <v>31</v>
      </c>
      <c r="AH45" s="530"/>
      <c r="AI45" s="236"/>
      <c r="AJ45" s="236"/>
      <c r="AK45" s="236"/>
      <c r="AL45" s="236"/>
      <c r="AM45" s="236"/>
      <c r="AN45" s="236"/>
      <c r="AO45" s="236"/>
      <c r="AP45" s="236"/>
      <c r="AQ45" s="236"/>
      <c r="AR45" s="236"/>
      <c r="AS45" s="236"/>
      <c r="AT45" s="236"/>
      <c r="AU45" s="236"/>
      <c r="AV45" s="236"/>
      <c r="AW45" s="236"/>
    </row>
    <row r="46" ht="24.95" customHeight="1">
      <c r="B46" s="264" t="s">
        <v>19</v>
      </c>
      <c r="C46" s="579">
        <v>49.303030303030303030303030303</v>
      </c>
      <c r="D46" s="580">
        <v>59.015151515151515151515151515</v>
      </c>
      <c r="E46" s="580">
        <v>78.431818181818181818181818182</v>
      </c>
      <c r="F46" s="580">
        <v>131.93181818181818181818181818</v>
      </c>
      <c r="G46" s="580">
        <v>133.45454545454545454545454545</v>
      </c>
      <c r="H46" s="580">
        <v>69.825757575757575757575757576</v>
      </c>
      <c r="I46" s="580">
        <v>46.848484848484848484848484848</v>
      </c>
      <c r="J46" s="580">
        <v>44.037878787878787878787878788</v>
      </c>
      <c r="K46" s="580">
        <v>50.606060606060606060606060606</v>
      </c>
      <c r="L46" s="580">
        <v>68.659090909090909090909090909</v>
      </c>
      <c r="M46" s="580">
        <v>119.90151515151515151515151515</v>
      </c>
      <c r="N46" s="580">
        <v>128.96212121212121212121212121</v>
      </c>
      <c r="O46" s="580">
        <v>82.84090909090909090909090909</v>
      </c>
      <c r="P46" s="580">
        <v>68.500000000</v>
      </c>
      <c r="Q46" s="580">
        <v>47.204545454545454545454545455</v>
      </c>
      <c r="R46" s="580">
        <v>44.136363636363636363636363636</v>
      </c>
      <c r="S46" s="580">
        <v>73.393939393939393939393939394</v>
      </c>
      <c r="T46" s="580">
        <v>128.9469696969696969696969697</v>
      </c>
      <c r="U46" s="580">
        <v>135.21969696969696969696969697</v>
      </c>
      <c r="V46" s="580">
        <v>99.8030303030303030303030303</v>
      </c>
      <c r="W46" s="580">
        <v>103.46212121212121212121212121</v>
      </c>
      <c r="X46" s="580">
        <v>101.03030303030303030303030303</v>
      </c>
      <c r="Y46" s="580">
        <v>84.9469696969696969696969697</v>
      </c>
      <c r="Z46" s="580">
        <v>98.12878787878787878787878788</v>
      </c>
      <c r="AA46" s="580">
        <v>139.57575757575757575757575758</v>
      </c>
      <c r="AB46" s="580">
        <v>165.47727272727272727272727273</v>
      </c>
      <c r="AC46" s="580">
        <v>194.31060606060606060606060606</v>
      </c>
      <c r="AD46" s="580">
        <v>202.68181818181818181818181818</v>
      </c>
      <c r="AE46" s="580">
        <v>234.37878787878787878787878788</v>
      </c>
      <c r="AF46" s="580">
        <v>282.86363636363636363636363636</v>
      </c>
      <c r="AG46" s="581">
        <v>411.03787878787878787878787879</v>
      </c>
      <c r="AH46" s="343"/>
    </row>
    <row r="47" ht="24.95" customHeight="1">
      <c r="B47" s="38" t="s">
        <v>35</v>
      </c>
      <c r="C47" s="277">
        <v>54.678057553956834532374100719</v>
      </c>
      <c r="D47" s="94">
        <v>55.899280575539568345323741007</v>
      </c>
      <c r="E47" s="94">
        <v>76.598920863309352517985611511</v>
      </c>
      <c r="F47" s="94">
        <v>118.12949640287769784172661871</v>
      </c>
      <c r="G47" s="94">
        <v>125.82913669064748201438848921</v>
      </c>
      <c r="H47" s="94">
        <v>67.539568345323741007194244604</v>
      </c>
      <c r="I47" s="94">
        <v>43.500000000</v>
      </c>
      <c r="J47" s="94">
        <v>38.791366906474820143884892086</v>
      </c>
      <c r="K47" s="94">
        <v>40.719424460431654676258992806</v>
      </c>
      <c r="L47" s="94">
        <v>54.212230215827338129496402878</v>
      </c>
      <c r="M47" s="94">
        <v>87.03237410071942446043165468</v>
      </c>
      <c r="N47" s="94">
        <v>99.98201438848920863309352518</v>
      </c>
      <c r="O47" s="94">
        <v>60.381294964028776978417266187</v>
      </c>
      <c r="P47" s="94">
        <v>40.848920863309352517985611511</v>
      </c>
      <c r="Q47" s="94">
        <v>39.368705035971223021582733813</v>
      </c>
      <c r="R47" s="94">
        <v>45.183453237410071942446043165</v>
      </c>
      <c r="S47" s="94">
        <v>51.971223021582733812949640288</v>
      </c>
      <c r="T47" s="94">
        <v>91.78417266187050359712230216</v>
      </c>
      <c r="U47" s="94">
        <v>119.50539568345323741007194245</v>
      </c>
      <c r="V47" s="94">
        <v>85.69244604316546762589928058</v>
      </c>
      <c r="W47" s="94">
        <v>77.76798561151079136690647482</v>
      </c>
      <c r="X47" s="94">
        <v>75.289568345323741007194244604</v>
      </c>
      <c r="Y47" s="94">
        <v>74.312949640287769784172661871</v>
      </c>
      <c r="Z47" s="94">
        <v>81.22302158273381294964028777</v>
      </c>
      <c r="AA47" s="94">
        <v>114.250000000</v>
      </c>
      <c r="AB47" s="94">
        <v>161.24640287769784172661870504</v>
      </c>
      <c r="AC47" s="94">
        <v>174.97122302158273381294964029</v>
      </c>
      <c r="AD47" s="94">
        <v>196.25179856115107913669064748</v>
      </c>
      <c r="AE47" s="94">
        <v>232.21582733812949640287769784</v>
      </c>
      <c r="AF47" s="94">
        <v>286.54496402877697841726618705</v>
      </c>
      <c r="AG47" s="278">
        <v>358.23647482014388489208633094</v>
      </c>
      <c r="AH47" s="343"/>
    </row>
    <row r="48" ht="24.95" customHeight="1">
      <c r="A48" s="23"/>
      <c r="B48" s="40" t="s">
        <v>102</v>
      </c>
      <c r="C48" s="582">
        <v>90.16968141996923944886182971</v>
      </c>
      <c r="D48" s="583">
        <v>105.57408057408057408057408057</v>
      </c>
      <c r="E48" s="583">
        <v>102.39285005304399983777287776</v>
      </c>
      <c r="F48" s="583">
        <v>111.68406045842099435278485217</v>
      </c>
      <c r="G48" s="583">
        <v>106.06012960467585187071758161</v>
      </c>
      <c r="H48" s="583">
        <v>103.38496275064234160953376974</v>
      </c>
      <c r="I48" s="583">
        <v>107.69766631835597352838732149</v>
      </c>
      <c r="J48" s="583">
        <v>113.52494717201690495459041453</v>
      </c>
      <c r="K48" s="583">
        <v>124.27990148838205375307848806</v>
      </c>
      <c r="L48" s="583">
        <v>126.64871125159095433131661650</v>
      </c>
      <c r="M48" s="583">
        <v>137.76656834933338343133755408</v>
      </c>
      <c r="N48" s="583">
        <v>128.98532001068428483431181758</v>
      </c>
      <c r="O48" s="583">
        <v>137.19631077846257162353909643</v>
      </c>
      <c r="P48" s="583">
        <v>167.69108841141246917928848186</v>
      </c>
      <c r="Q48" s="583">
        <v>119.90372914581421137225422483</v>
      </c>
      <c r="R48" s="583">
        <v>97.68258172843795007635466198</v>
      </c>
      <c r="S48" s="583">
        <v>141.22034296452901104063894762</v>
      </c>
      <c r="T48" s="583">
        <v>140.48933052107530865956951550</v>
      </c>
      <c r="U48" s="583">
        <v>113.14944919128830634587275418</v>
      </c>
      <c r="V48" s="583">
        <v>116.46654391538429737611183722</v>
      </c>
      <c r="W48" s="583">
        <v>133.03947684715047512522014707</v>
      </c>
      <c r="X48" s="583">
        <v>134.18897896574015156944375071</v>
      </c>
      <c r="Y48" s="583">
        <v>114.30978060776211703168477456</v>
      </c>
      <c r="Z48" s="583">
        <v>120.81400810585930160775156347</v>
      </c>
      <c r="AA48" s="583">
        <v>122.16696505536768118825011604</v>
      </c>
      <c r="AB48" s="583">
        <v>102.62385378778583690856565161</v>
      </c>
      <c r="AC48" s="583">
        <v>111.05289355875269283435066092</v>
      </c>
      <c r="AD48" s="583">
        <v>103.27641309165558588191382649</v>
      </c>
      <c r="AE48" s="583">
        <v>100.93144406453781260150923699</v>
      </c>
      <c r="AF48" s="583">
        <v>98.71527050645674287550021141</v>
      </c>
      <c r="AG48" s="584">
        <v>114.73925958942186517436738996</v>
      </c>
      <c r="AH48" s="343"/>
    </row>
    <row r="49" ht="24.95" customHeight="1">
      <c r="B49" s="25" t="s">
        <v>70</v>
      </c>
      <c r="S49" s="4"/>
      <c r="T49" s="4"/>
      <c r="U49" s="4"/>
      <c r="V49" s="4"/>
      <c r="W49" s="4"/>
      <c r="X49" s="4"/>
      <c r="Y49" s="4"/>
      <c r="Z49" s="4"/>
      <c r="AA49" s="4"/>
      <c r="AB49" s="4"/>
      <c r="AC49" s="4"/>
      <c r="AD49" s="4"/>
      <c r="AE49" s="4"/>
      <c r="AF49" s="4"/>
      <c r="AG49" s="4"/>
      <c r="AH49" s="4"/>
    </row>
    <row r="50" ht="24.95" customHeight="1">
      <c r="B50" s="37" t="s">
        <v>19</v>
      </c>
      <c r="C50" s="574">
        <v>-79.26397960809303807551378047</v>
      </c>
      <c r="D50" s="575">
        <v>-81.17902875090601594588064750</v>
      </c>
      <c r="E50" s="575">
        <v>-82.12904784920251329144514258</v>
      </c>
      <c r="F50" s="575">
        <v>-70.228224634584152491665954360</v>
      </c>
      <c r="G50" s="575">
        <v>-62.005823358136525396311873180</v>
      </c>
      <c r="H50" s="575">
        <v>-45.779163480204717924583799050</v>
      </c>
      <c r="I50" s="575">
        <v>-61.604371041847758599279771520</v>
      </c>
      <c r="J50" s="575">
        <v>-58.670458585140419480981158900</v>
      </c>
      <c r="K50" s="575">
        <v>-55.907590759075907590759075910</v>
      </c>
      <c r="L50" s="575">
        <v>-55.549561037814507822845652070</v>
      </c>
      <c r="M50" s="575">
        <v>-26.692913385826771653543307090</v>
      </c>
      <c r="N50" s="575">
        <v>-21.039936917296720627116285550</v>
      </c>
      <c r="O50" s="575">
        <v>-15.422693170392141696960321760</v>
      </c>
      <c r="P50" s="575">
        <v>-25.383726687572206634758210920</v>
      </c>
      <c r="Q50" s="575">
        <v>-49.176182707993474714518760200</v>
      </c>
      <c r="R50" s="575">
        <v>-47.137283368115416023954269120</v>
      </c>
      <c r="S50" s="575">
        <v>-30.040439052570768341998844600</v>
      </c>
      <c r="T50" s="575">
        <v>-9.482025101042331418847053810</v>
      </c>
      <c r="U50" s="575">
        <v>-18.112584300591824563013258710</v>
      </c>
      <c r="V50" s="575">
        <v>-44.004760487950014876524843800</v>
      </c>
      <c r="W50" s="575">
        <v>-39.226593093627625489498042010</v>
      </c>
      <c r="X50" s="575">
        <v>-47.732706251224769743288261810</v>
      </c>
      <c r="Y50" s="575">
        <v>-57.466904373553844403140765470</v>
      </c>
      <c r="Z50" s="575">
        <v>-61.211594897286937773252680120</v>
      </c>
      <c r="AA50" s="575">
        <v>-54.336134037227055295313158350</v>
      </c>
      <c r="AB50" s="575">
        <v>-54.713577840897310969668069580</v>
      </c>
      <c r="AC50" s="575">
        <v>-41.153122562290643784701509660</v>
      </c>
      <c r="AD50" s="575">
        <v>-48.323418063818280151433207140</v>
      </c>
      <c r="AE50" s="575">
        <v>-45.486582207107994291050693360</v>
      </c>
      <c r="AF50" s="575">
        <v>19.523672332661096706040526260</v>
      </c>
      <c r="AG50" s="576">
        <v>80.03450907522314762584198826</v>
      </c>
      <c r="AH50" s="343"/>
    </row>
    <row r="51" ht="24.95" customHeight="1">
      <c r="B51" s="38" t="s">
        <v>35</v>
      </c>
      <c r="C51" s="272">
        <v>-83.53900865570368096652598402</v>
      </c>
      <c r="D51" s="92">
        <v>-86.58561316718237637394781927</v>
      </c>
      <c r="E51" s="92">
        <v>-84.87699795962463908959684374</v>
      </c>
      <c r="F51" s="92">
        <v>-74.814268116762291948924498060</v>
      </c>
      <c r="G51" s="92">
        <v>-67.322068194970314609625139880</v>
      </c>
      <c r="H51" s="92">
        <v>-59.313435358840850348615821980</v>
      </c>
      <c r="I51" s="92">
        <v>-64.862285917058685877528197480</v>
      </c>
      <c r="J51" s="92">
        <v>-66.90974790694954027451472600</v>
      </c>
      <c r="K51" s="92">
        <v>-63.901320883807446084101009510</v>
      </c>
      <c r="L51" s="92">
        <v>-66.202238844096531769347674150</v>
      </c>
      <c r="M51" s="92">
        <v>-55.985740332916340270098977330</v>
      </c>
      <c r="N51" s="92">
        <v>-52.089686107347148935548873110</v>
      </c>
      <c r="O51" s="92">
        <v>-50.573093889928448509346410160</v>
      </c>
      <c r="P51" s="92">
        <v>-59.322735901889456918018667240</v>
      </c>
      <c r="Q51" s="92">
        <v>-62.249298409929169371722555920</v>
      </c>
      <c r="R51" s="92">
        <v>-56.710710446537775928571608030</v>
      </c>
      <c r="S51" s="92">
        <v>-55.363568407398754905183912100</v>
      </c>
      <c r="T51" s="92">
        <v>-42.352277782532046945893947530</v>
      </c>
      <c r="U51" s="92">
        <v>-39.818953305712815019937554200</v>
      </c>
      <c r="V51" s="92">
        <v>-48.551786523868890936311210270</v>
      </c>
      <c r="W51" s="92">
        <v>-48.454397734563914093898399530</v>
      </c>
      <c r="X51" s="92">
        <v>-55.866328073114288221364205340</v>
      </c>
      <c r="Y51" s="92">
        <v>-63.608931431396425813974950600</v>
      </c>
      <c r="Z51" s="92">
        <v>-71.302510999612114864690426350</v>
      </c>
      <c r="AA51" s="92">
        <v>-71.117934361860862093307199480</v>
      </c>
      <c r="AB51" s="92">
        <v>-65.792306759577413585184943150</v>
      </c>
      <c r="AC51" s="92">
        <v>-60.429053752215529216074577790</v>
      </c>
      <c r="AD51" s="92">
        <v>-55.975871729179020635544332960</v>
      </c>
      <c r="AE51" s="92">
        <v>-56.589277803985850936461467960</v>
      </c>
      <c r="AF51" s="92">
        <v>-10.873046324971726224196388390</v>
      </c>
      <c r="AG51" s="273">
        <v>35.440589747833413013030003490</v>
      </c>
      <c r="AH51" s="343"/>
    </row>
    <row r="52" ht="24.95" customHeight="1">
      <c r="A52" s="23"/>
      <c r="B52" s="40" t="s">
        <v>102</v>
      </c>
      <c r="C52" s="582">
        <v>25.970665789165406568960417350</v>
      </c>
      <c r="D52" s="583">
        <v>40.304372340369842388635447130</v>
      </c>
      <c r="E52" s="583">
        <v>18.170665474260031395203109500</v>
      </c>
      <c r="F52" s="583">
        <v>18.208895034058421004396664550</v>
      </c>
      <c r="G52" s="583">
        <v>16.268608639471881697716521830</v>
      </c>
      <c r="H52" s="583">
        <v>33.264720179753530884573811390</v>
      </c>
      <c r="I52" s="583">
        <v>9.271846391375193155208846780</v>
      </c>
      <c r="J52" s="583">
        <v>24.899445609057532064755435340</v>
      </c>
      <c r="K52" s="583">
        <v>22.144106987964116476831109500</v>
      </c>
      <c r="L52" s="583">
        <v>31.518885991125233232676471170</v>
      </c>
      <c r="M52" s="583">
        <v>66.553037966912330127939639660</v>
      </c>
      <c r="N52" s="583">
        <v>64.808068800425817384287382710</v>
      </c>
      <c r="O52" s="583">
        <v>71.115923463341821354102151920</v>
      </c>
      <c r="P52" s="583">
        <v>83.43483753592394527123717501</v>
      </c>
      <c r="Q52" s="583">
        <v>34.630126464654046502598013900</v>
      </c>
      <c r="R52" s="583">
        <v>22.115001602415276865502964990</v>
      </c>
      <c r="S52" s="583">
        <v>56.731975319965869247439503350</v>
      </c>
      <c r="T52" s="583">
        <v>57.019169911850625895161323420</v>
      </c>
      <c r="U52" s="583">
        <v>36.068447123206174015642457200</v>
      </c>
      <c r="V52" s="583">
        <v>8.838064003968619664072526010</v>
      </c>
      <c r="W52" s="583">
        <v>17.902215194649097902157402610</v>
      </c>
      <c r="X52" s="583">
        <v>18.429515303789196183559803140</v>
      </c>
      <c r="Y52" s="583">
        <v>16.877842007479880807106902170</v>
      </c>
      <c r="Z52" s="583">
        <v>35.163062880479838488324907260</v>
      </c>
      <c r="AA52" s="583">
        <v>58.104570964180707171695429540</v>
      </c>
      <c r="AB52" s="583">
        <v>32.386658874701838839630241690</v>
      </c>
      <c r="AC52" s="583">
        <v>48.712333208367796879348204630</v>
      </c>
      <c r="AD52" s="583">
        <v>17.382408161010099882810865490</v>
      </c>
      <c r="AE52" s="583">
        <v>25.575929252559808970495893450</v>
      </c>
      <c r="AF52" s="583">
        <v>34.104967581932986074501221320</v>
      </c>
      <c r="AG52" s="584">
        <v>32.925077637668131211278538340</v>
      </c>
      <c r="AH52" s="343"/>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92</v>
      </c>
      <c r="C54" s="358"/>
      <c r="D54" s="359"/>
      <c r="E54" s="359"/>
      <c r="F54" s="359"/>
      <c r="G54" s="359"/>
      <c r="H54" s="359"/>
      <c r="I54" s="359"/>
      <c r="J54" s="359"/>
      <c r="K54" s="359"/>
      <c r="L54" s="359"/>
      <c r="M54" s="359"/>
      <c r="N54" s="359"/>
      <c r="O54" s="359"/>
      <c r="P54" s="359"/>
      <c r="Q54" s="359"/>
      <c r="R54" s="359"/>
      <c r="S54" s="359"/>
      <c r="T54" s="359"/>
      <c r="U54" s="359"/>
      <c r="V54" s="359"/>
      <c r="W54" s="359"/>
      <c r="X54" s="359"/>
      <c r="Y54" s="359"/>
      <c r="Z54" s="359"/>
      <c r="AA54" s="359"/>
      <c r="AB54" s="359"/>
      <c r="AC54" s="359"/>
      <c r="AD54" s="359"/>
      <c r="AE54" s="359"/>
      <c r="AF54" s="359"/>
      <c r="AG54" s="360"/>
      <c r="AH54" s="533"/>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1061" t="s">
        <v>129</v>
      </c>
      <c r="C56" s="1061"/>
      <c r="D56" s="1061"/>
      <c r="E56" s="1061"/>
      <c r="F56" s="1061"/>
      <c r="G56" s="1061"/>
      <c r="H56" s="1061"/>
      <c r="I56" s="1061"/>
      <c r="J56" s="1061"/>
      <c r="K56" s="1061"/>
      <c r="L56" s="1061"/>
      <c r="M56" s="1061"/>
      <c r="N56" s="1061"/>
      <c r="O56" s="1061"/>
      <c r="P56" s="1061"/>
      <c r="Q56" s="1061"/>
      <c r="R56" s="1061"/>
      <c r="S56" s="1061"/>
      <c r="T56" s="1061"/>
      <c r="U56" s="1061"/>
      <c r="V56" s="1061"/>
      <c r="W56" s="1061"/>
      <c r="X56" s="1061"/>
      <c r="Y56" s="1061"/>
      <c r="Z56" s="1061"/>
      <c r="AA56" s="1061"/>
      <c r="AB56" s="1061"/>
      <c r="AC56" s="1061"/>
      <c r="AD56" s="1061"/>
      <c r="AE56" s="1061"/>
      <c r="AF56" s="1061"/>
      <c r="AG56" s="1061"/>
    </row>
    <row r="57" ht="15" customHeight="1">
      <c r="A57"/>
      <c r="AE57"/>
      <c r="AF57"/>
      <c r="AG57"/>
    </row>
    <row r="58" s="283" customFormat="1"/>
    <row r="59" s="283" customFormat="1"/>
    <row r="60" s="283" customFormat="1">
      <c r="C60" s="283">
        <v>100</v>
      </c>
      <c r="D60" s="283">
        <v>100</v>
      </c>
      <c r="E60" s="283">
        <v>100</v>
      </c>
      <c r="F60" s="283">
        <v>100</v>
      </c>
      <c r="G60" s="283">
        <v>100</v>
      </c>
      <c r="H60" s="283">
        <v>100</v>
      </c>
      <c r="I60" s="283">
        <v>100</v>
      </c>
      <c r="J60" s="283">
        <v>100</v>
      </c>
      <c r="K60" s="283">
        <v>100</v>
      </c>
      <c r="L60" s="283">
        <v>100</v>
      </c>
      <c r="M60" s="283">
        <v>100</v>
      </c>
      <c r="N60" s="283">
        <v>100</v>
      </c>
      <c r="O60" s="283">
        <v>100</v>
      </c>
      <c r="P60" s="283">
        <v>100</v>
      </c>
      <c r="Q60" s="283">
        <v>100</v>
      </c>
      <c r="R60" s="283">
        <v>100</v>
      </c>
      <c r="S60" s="283">
        <v>100</v>
      </c>
      <c r="T60" s="283">
        <v>100</v>
      </c>
      <c r="U60" s="283">
        <v>100</v>
      </c>
      <c r="V60" s="283">
        <v>100</v>
      </c>
      <c r="W60" s="283">
        <v>100</v>
      </c>
      <c r="X60" s="283">
        <v>100</v>
      </c>
      <c r="Y60" s="283">
        <v>100</v>
      </c>
      <c r="Z60" s="283">
        <v>100</v>
      </c>
      <c r="AA60" s="283">
        <v>100</v>
      </c>
      <c r="AB60" s="283">
        <v>100</v>
      </c>
      <c r="AC60" s="283">
        <v>100</v>
      </c>
      <c r="AD60" s="283">
        <v>100</v>
      </c>
      <c r="AE60" s="283">
        <v>100</v>
      </c>
      <c r="AF60" s="283">
        <v>100</v>
      </c>
      <c r="AG60" s="283">
        <v>100</v>
      </c>
    </row>
    <row r="61" s="283" customFormat="1"/>
    <row r="62" s="283" customFormat="1"/>
    <row r="63" s="283" customFormat="1"/>
    <row r="64" s="283" customFormat="1"/>
    <row r="65" s="283" customFormat="1" ht="10.5" customHeight="1">
      <c r="B65" s="1029"/>
      <c r="C65" s="1029"/>
      <c r="D65" s="1029"/>
      <c r="E65" s="1029"/>
      <c r="F65" s="1029"/>
      <c r="G65" s="1029"/>
      <c r="H65" s="1029"/>
      <c r="I65" s="1029"/>
      <c r="J65" s="1029"/>
      <c r="K65" s="1029"/>
      <c r="L65" s="1029"/>
      <c r="M65" s="1029"/>
      <c r="N65" s="1029"/>
      <c r="O65" s="1029"/>
      <c r="P65" s="1029"/>
      <c r="Q65" s="1029"/>
      <c r="R65" s="1029"/>
      <c r="S65" s="1029"/>
      <c r="T65" s="1029"/>
      <c r="U65" s="1029"/>
      <c r="V65" s="1029"/>
      <c r="W65" s="1029"/>
      <c r="X65" s="1029"/>
      <c r="Y65" s="1029"/>
      <c r="Z65" s="1029"/>
      <c r="AA65" s="1029"/>
      <c r="AB65" s="1029"/>
      <c r="AC65" s="1029"/>
      <c r="AD65" s="1029"/>
      <c r="AE65" s="1029"/>
      <c r="AF65" s="1029"/>
      <c r="AG65" s="1029"/>
      <c r="AH65" s="1029"/>
      <c r="AI65" s="1029"/>
    </row>
    <row r="66" s="283" customFormat="1">
      <c r="B66" s="1029"/>
      <c r="C66" s="1029"/>
      <c r="D66" s="1029"/>
      <c r="E66" s="1029"/>
      <c r="F66" s="1029"/>
      <c r="G66" s="1029"/>
      <c r="H66" s="1029"/>
      <c r="I66" s="1029"/>
      <c r="J66" s="1029"/>
      <c r="K66" s="1029"/>
      <c r="L66" s="1029"/>
      <c r="M66" s="1029"/>
      <c r="N66" s="1029"/>
      <c r="O66" s="1029"/>
      <c r="P66" s="1029"/>
      <c r="Q66" s="1029"/>
      <c r="R66" s="1029"/>
      <c r="S66" s="1029"/>
      <c r="T66" s="1029"/>
      <c r="U66" s="1029"/>
      <c r="V66" s="1029"/>
      <c r="W66" s="1029"/>
      <c r="X66" s="1029"/>
      <c r="Y66" s="1029"/>
      <c r="Z66" s="1029"/>
      <c r="AA66" s="1029"/>
      <c r="AB66" s="1029"/>
      <c r="AC66" s="1029"/>
      <c r="AD66" s="1029"/>
      <c r="AE66" s="1029"/>
      <c r="AF66" s="1029"/>
      <c r="AG66" s="1029"/>
      <c r="AH66" s="1029"/>
      <c r="AI66" s="1029"/>
    </row>
    <row r="67" s="283" customFormat="1">
      <c r="B67" s="1029"/>
      <c r="C67" s="1029"/>
      <c r="D67" s="1029"/>
      <c r="E67" s="1029"/>
      <c r="F67" s="1029"/>
      <c r="G67" s="1029"/>
      <c r="H67" s="1029"/>
      <c r="I67" s="1029"/>
      <c r="J67" s="1029"/>
      <c r="K67" s="1029"/>
      <c r="L67" s="1029"/>
      <c r="M67" s="1029"/>
      <c r="N67" s="1029"/>
      <c r="O67" s="1029"/>
      <c r="P67" s="1029"/>
      <c r="Q67" s="1029"/>
      <c r="R67" s="1029"/>
      <c r="S67" s="1029"/>
      <c r="T67" s="1029"/>
      <c r="U67" s="1029"/>
      <c r="V67" s="1029"/>
      <c r="W67" s="1029"/>
      <c r="X67" s="1029"/>
      <c r="Y67" s="1029"/>
      <c r="Z67" s="1029"/>
      <c r="AA67" s="1029"/>
      <c r="AB67" s="1029"/>
      <c r="AC67" s="1029"/>
      <c r="AD67" s="1029"/>
      <c r="AE67" s="1029"/>
      <c r="AF67" s="1029"/>
      <c r="AG67" s="1029"/>
      <c r="AH67" s="1029"/>
      <c r="AI67" s="1029"/>
    </row>
    <row r="68" s="283" customFormat="1">
      <c r="B68" s="1029"/>
      <c r="C68" s="1029"/>
      <c r="D68" s="1029"/>
      <c r="E68" s="1029"/>
      <c r="F68" s="1029"/>
      <c r="G68" s="1029"/>
      <c r="H68" s="1029"/>
      <c r="I68" s="1029"/>
      <c r="J68" s="1029"/>
      <c r="K68" s="1029"/>
      <c r="L68" s="1029"/>
      <c r="M68" s="1029"/>
      <c r="N68" s="1029"/>
      <c r="O68" s="1029"/>
      <c r="P68" s="1029"/>
      <c r="Q68" s="1029"/>
      <c r="R68" s="1029"/>
      <c r="S68" s="1029"/>
      <c r="T68" s="1029"/>
      <c r="U68" s="1029"/>
      <c r="V68" s="1029"/>
      <c r="W68" s="1029"/>
      <c r="X68" s="1029"/>
      <c r="Y68" s="1029"/>
      <c r="Z68" s="1029"/>
      <c r="AA68" s="1029"/>
      <c r="AB68" s="1029"/>
      <c r="AC68" s="1029"/>
      <c r="AD68" s="1029"/>
      <c r="AE68" s="1029"/>
      <c r="AF68" s="1029"/>
      <c r="AG68" s="1029"/>
      <c r="AH68" s="1029"/>
      <c r="AI68" s="1029"/>
    </row>
    <row r="69" s="283" customFormat="1">
      <c r="B69" s="1029"/>
      <c r="C69" s="1029"/>
      <c r="D69" s="1029"/>
      <c r="E69" s="1029"/>
      <c r="F69" s="1029"/>
      <c r="G69" s="1029"/>
      <c r="H69" s="1029"/>
      <c r="I69" s="1029"/>
      <c r="J69" s="1029"/>
      <c r="K69" s="1029"/>
      <c r="L69" s="1029"/>
      <c r="M69" s="1029"/>
      <c r="N69" s="1029"/>
      <c r="O69" s="1029"/>
      <c r="P69" s="1029"/>
      <c r="Q69" s="1029"/>
      <c r="R69" s="1029"/>
      <c r="S69" s="1029"/>
      <c r="T69" s="1029"/>
      <c r="U69" s="1029"/>
      <c r="V69" s="1029"/>
      <c r="W69" s="1029"/>
      <c r="X69" s="1029"/>
      <c r="Y69" s="1029"/>
      <c r="Z69" s="1029"/>
      <c r="AA69" s="1029"/>
      <c r="AB69" s="1029"/>
      <c r="AC69" s="1029"/>
      <c r="AD69" s="1029"/>
      <c r="AE69" s="1029"/>
      <c r="AF69" s="1029"/>
      <c r="AG69" s="1029"/>
      <c r="AH69" s="1029"/>
      <c r="AI69" s="1029"/>
    </row>
    <row r="70" s="283" customFormat="1">
      <c r="B70" s="1029"/>
      <c r="C70" s="1029"/>
      <c r="D70" s="1029"/>
      <c r="E70" s="1029"/>
      <c r="F70" s="1029"/>
      <c r="G70" s="1029"/>
      <c r="H70" s="1029"/>
      <c r="I70" s="1029"/>
      <c r="J70" s="1029"/>
      <c r="K70" s="1029"/>
      <c r="L70" s="1029"/>
      <c r="M70" s="1029"/>
      <c r="N70" s="1029"/>
      <c r="O70" s="1029"/>
      <c r="P70" s="1029"/>
      <c r="Q70" s="1029"/>
      <c r="R70" s="1029"/>
      <c r="S70" s="1029"/>
      <c r="T70" s="1029"/>
      <c r="U70" s="1029"/>
      <c r="V70" s="1029"/>
      <c r="W70" s="1029"/>
      <c r="X70" s="1029"/>
      <c r="Y70" s="1029"/>
      <c r="Z70" s="1029"/>
      <c r="AA70" s="1029"/>
      <c r="AB70" s="1029"/>
      <c r="AC70" s="1029"/>
      <c r="AD70" s="1029"/>
      <c r="AE70" s="1029"/>
      <c r="AF70" s="1029"/>
      <c r="AG70" s="1029"/>
      <c r="AH70" s="1029"/>
      <c r="AI70" s="1029"/>
    </row>
    <row r="71" s="283" customFormat="1"/>
    <row r="72" s="283" customFormat="1"/>
    <row r="73" s="283" customFormat="1"/>
    <row r="74" s="283" customFormat="1"/>
    <row r="75" s="283" customFormat="1"/>
    <row r="76" s="283" customFormat="1"/>
    <row r="77" s="283" customFormat="1"/>
    <row r="78" s="283" customFormat="1"/>
    <row r="79" s="283" customFormat="1"/>
    <row r="80" s="283" customFormat="1"/>
    <row r="81" s="283" customFormat="1"/>
    <row r="82" s="283" customFormat="1"/>
    <row r="83" s="283" customFormat="1"/>
    <row r="84" s="283" customFormat="1"/>
    <row r="85" s="283" customFormat="1"/>
    <row r="86" s="283" customFormat="1"/>
    <row r="87" s="283" customFormat="1"/>
    <row r="88" s="283" customFormat="1"/>
    <row r="89" s="283" customFormat="1"/>
    <row r="90" s="283" customFormat="1"/>
    <row r="91" s="283" customFormat="1"/>
    <row r="92" s="283" customFormat="1"/>
    <row r="93" s="283" customFormat="1"/>
    <row r="94" s="283"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9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180</v>
      </c>
      <c r="C1" s="12"/>
      <c r="D1" s="12"/>
      <c r="E1" s="12"/>
      <c r="F1" s="12"/>
      <c r="G1" s="12"/>
      <c r="H1" s="2"/>
      <c r="I1" s="2"/>
      <c r="J1" s="2"/>
      <c r="K1" s="2"/>
      <c r="L1" s="2"/>
      <c r="M1" s="2"/>
      <c r="N1" s="2"/>
      <c r="O1" s="2"/>
      <c r="P1" s="131"/>
      <c r="Q1" s="2"/>
      <c r="R1" s="2"/>
      <c r="S1" s="222"/>
      <c r="T1" s="2"/>
      <c r="U1" s="236"/>
    </row>
    <row r="2" ht="14.25" customHeight="1">
      <c r="B2" s="1014" t="s">
        <v>211</v>
      </c>
      <c r="C2" s="1014"/>
      <c r="D2" s="1014"/>
      <c r="E2" s="1014"/>
      <c r="F2" s="1014"/>
      <c r="G2" s="1014"/>
      <c r="H2" s="1014"/>
      <c r="I2" s="1014"/>
      <c r="J2" s="1014"/>
      <c r="K2" s="1014"/>
      <c r="L2" s="1014"/>
      <c r="M2" s="1014"/>
      <c r="N2" s="1014"/>
      <c r="O2" s="1014"/>
      <c r="P2" s="1014"/>
      <c r="Q2" s="1014"/>
      <c r="R2" s="1014"/>
      <c r="S2" s="1014"/>
      <c r="T2" s="2"/>
    </row>
    <row r="3" ht="14.25" customHeight="1">
      <c r="B3" s="1043" t="s">
        <v>212</v>
      </c>
      <c r="C3" s="1043"/>
      <c r="D3" s="1043"/>
      <c r="E3" s="1043"/>
      <c r="F3" s="1043"/>
      <c r="G3" s="1043"/>
      <c r="H3" s="1043"/>
      <c r="I3" s="1043"/>
      <c r="J3" s="1043"/>
      <c r="K3" s="1043"/>
      <c r="L3" s="1043"/>
      <c r="M3" s="1043"/>
      <c r="N3" s="1043"/>
      <c r="O3" s="1043"/>
      <c r="P3" s="1043"/>
      <c r="Q3" s="1043"/>
      <c r="R3" s="1043"/>
      <c r="S3" s="1043"/>
      <c r="T3" s="2"/>
    </row>
    <row r="4" ht="14.25" customHeight="1">
      <c r="B4" s="1043" t="s">
        <v>213</v>
      </c>
      <c r="C4" s="1043"/>
      <c r="D4" s="1043"/>
      <c r="E4" s="1043"/>
      <c r="F4" s="1043"/>
      <c r="G4" s="1043"/>
      <c r="H4" s="1043"/>
      <c r="I4" s="1043"/>
      <c r="J4" s="1043"/>
      <c r="K4" s="1043"/>
      <c r="L4" s="1043"/>
      <c r="M4" s="1043"/>
      <c r="N4" s="1043"/>
      <c r="O4" s="1043"/>
      <c r="P4" s="1043"/>
      <c r="Q4" s="1043"/>
      <c r="R4" s="1043"/>
      <c r="S4" s="1043"/>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44" t="s">
        <v>214</v>
      </c>
      <c r="C6" s="1044"/>
      <c r="D6" s="1044"/>
      <c r="E6" s="1044"/>
      <c r="F6" s="1044"/>
      <c r="G6" s="1044"/>
      <c r="H6" s="1044"/>
      <c r="I6" s="1044"/>
      <c r="J6" s="1044"/>
      <c r="K6" s="1044"/>
      <c r="L6" s="1044"/>
      <c r="M6" s="1044"/>
      <c r="N6" s="1044"/>
      <c r="O6" s="1044"/>
      <c r="P6" s="1044"/>
      <c r="Q6" s="1044"/>
      <c r="R6" s="1044"/>
      <c r="S6" s="1044"/>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45" t="s">
        <v>11</v>
      </c>
      <c r="E8" s="1045"/>
      <c r="F8" s="1045"/>
      <c r="G8" s="2"/>
      <c r="H8" s="1045" t="s">
        <v>13</v>
      </c>
      <c r="I8" s="1045"/>
      <c r="J8" s="1045"/>
      <c r="K8" s="2"/>
      <c r="L8" s="1045" t="s">
        <v>14</v>
      </c>
      <c r="M8" s="1045"/>
      <c r="N8" s="1045"/>
      <c r="O8" s="2"/>
      <c r="P8" s="1045" t="s">
        <v>12</v>
      </c>
      <c r="Q8" s="1045"/>
      <c r="R8" s="1045"/>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69.037145650048875855327468230</v>
      </c>
      <c r="F10" s="113">
        <v>-15.190633443410387271089762830</v>
      </c>
      <c r="G10" s="660"/>
      <c r="H10" s="18" t="s">
        <v>19</v>
      </c>
      <c r="I10" s="668">
        <v>2.6392961876832844574780058700</v>
      </c>
      <c r="J10" s="113">
        <v>-29.870129870129870129870129830</v>
      </c>
      <c r="K10" s="9"/>
      <c r="L10" s="18" t="s">
        <v>19</v>
      </c>
      <c r="M10" s="668">
        <v>0</v>
      </c>
      <c r="N10" s="113">
        <v>0</v>
      </c>
      <c r="O10" s="9"/>
      <c r="P10" s="18" t="s">
        <v>19</v>
      </c>
      <c r="Q10" s="668">
        <v>71.676441837732160312805474100</v>
      </c>
      <c r="R10" s="113">
        <v>-15.839311334289813486370157820</v>
      </c>
      <c r="S10" s="675"/>
      <c r="T10" s="9"/>
    </row>
    <row r="11" ht="15" customHeight="1">
      <c r="A11" s="2"/>
      <c r="B11" s="44"/>
      <c r="C11" s="45"/>
      <c r="D11" s="133" t="s">
        <v>16</v>
      </c>
      <c r="E11" s="92">
        <v>65.023709343484939557870834170</v>
      </c>
      <c r="F11" s="92">
        <v>-17.299819345389538186507712140</v>
      </c>
      <c r="G11" s="662"/>
      <c r="H11" s="133" t="s">
        <v>16</v>
      </c>
      <c r="I11" s="669">
        <v>1.5828491284311761170106191100</v>
      </c>
      <c r="J11" s="92">
        <v>-80.22853652538809960099315428</v>
      </c>
      <c r="K11" s="120"/>
      <c r="L11" s="133" t="s">
        <v>16</v>
      </c>
      <c r="M11" s="669">
        <v>0</v>
      </c>
      <c r="N11" s="92">
        <v>0</v>
      </c>
      <c r="O11" s="120"/>
      <c r="P11" s="133" t="s">
        <v>16</v>
      </c>
      <c r="Q11" s="669">
        <v>66.606558471916115674881453280</v>
      </c>
      <c r="R11" s="92">
        <v>-23.115136889581544983101846590</v>
      </c>
      <c r="S11" s="675"/>
      <c r="T11" s="9"/>
    </row>
    <row r="12" ht="15" customHeight="1">
      <c r="A12" s="2"/>
      <c r="B12" s="44"/>
      <c r="C12" s="45"/>
      <c r="D12" s="19" t="s">
        <v>100</v>
      </c>
      <c r="E12" s="113">
        <v>106.17226600433256144020318219</v>
      </c>
      <c r="F12" s="113">
        <v>2.5504005980204175887191837800</v>
      </c>
      <c r="G12" s="113"/>
      <c r="H12" s="19" t="s">
        <v>100</v>
      </c>
      <c r="I12" s="668">
        <v>166.74338319907940161104718144</v>
      </c>
      <c r="J12" s="113">
        <v>254.70247419935477870441460613</v>
      </c>
      <c r="K12" s="9"/>
      <c r="L12" s="19" t="s">
        <v>100</v>
      </c>
      <c r="M12" s="668">
        <v>0</v>
      </c>
      <c r="N12" s="113">
        <v>0</v>
      </c>
      <c r="O12" s="9"/>
      <c r="P12" s="19" t="s">
        <v>100</v>
      </c>
      <c r="Q12" s="668">
        <v>107.61168792102312607677091785</v>
      </c>
      <c r="R12" s="113">
        <v>9.463274383206652951680494640</v>
      </c>
      <c r="S12" s="668"/>
      <c r="T12" s="9"/>
    </row>
    <row r="13" ht="15" customHeight="1">
      <c r="A13" s="2"/>
      <c r="B13" s="17"/>
      <c r="C13" s="2"/>
      <c r="D13" s="2"/>
      <c r="E13" s="663"/>
      <c r="F13" s="660"/>
      <c r="G13" s="663"/>
      <c r="H13" s="2"/>
      <c r="I13" s="9"/>
      <c r="J13" s="660"/>
      <c r="K13" s="9"/>
      <c r="L13" s="2"/>
      <c r="M13" s="9"/>
      <c r="N13" s="660"/>
      <c r="O13" s="9"/>
      <c r="P13" s="2"/>
      <c r="Q13" s="675"/>
      <c r="R13" s="660"/>
      <c r="S13" s="675"/>
      <c r="T13" s="9"/>
    </row>
    <row r="14" ht="15" customHeight="1">
      <c r="A14" s="2"/>
      <c r="B14" s="173" t="s">
        <v>9</v>
      </c>
      <c r="C14" s="45"/>
      <c r="D14" s="18" t="s">
        <v>19</v>
      </c>
      <c r="E14" s="664">
        <v>161.70017699115044247787610619</v>
      </c>
      <c r="F14" s="113">
        <v>-36.019318152038167721228610020</v>
      </c>
      <c r="G14" s="665"/>
      <c r="H14" s="53" t="s">
        <v>19</v>
      </c>
      <c r="I14" s="671">
        <v>256.99074074074074074074074074</v>
      </c>
      <c r="J14" s="113">
        <v>25.333546803287437293200981960</v>
      </c>
      <c r="K14" s="672"/>
      <c r="L14" s="53" t="s">
        <v>19</v>
      </c>
      <c r="M14" s="671">
        <v>0</v>
      </c>
      <c r="N14" s="113">
        <v>0</v>
      </c>
      <c r="O14" s="672"/>
      <c r="P14" s="53" t="s">
        <v>19</v>
      </c>
      <c r="Q14" s="671">
        <v>165.20900102284350494374360723</v>
      </c>
      <c r="R14" s="113">
        <v>-34.081338107849556950305522910</v>
      </c>
      <c r="S14" s="676"/>
      <c r="T14" s="9"/>
    </row>
    <row r="15" ht="15" customHeight="1">
      <c r="A15" s="2"/>
      <c r="B15" s="44"/>
      <c r="C15" s="45"/>
      <c r="D15" s="133" t="s">
        <v>16</v>
      </c>
      <c r="E15" s="666">
        <v>177.22935497124075595727198029</v>
      </c>
      <c r="F15" s="92">
        <v>-39.082052203693768725316232930</v>
      </c>
      <c r="G15" s="667"/>
      <c r="H15" s="143" t="s">
        <v>16</v>
      </c>
      <c r="I15" s="673">
        <v>204.65400843881856540084388187</v>
      </c>
      <c r="J15" s="92">
        <v>-23.660025759639532830097220550</v>
      </c>
      <c r="K15" s="674"/>
      <c r="L15" s="143" t="s">
        <v>16</v>
      </c>
      <c r="M15" s="673">
        <v>0</v>
      </c>
      <c r="N15" s="92">
        <v>0</v>
      </c>
      <c r="O15" s="674"/>
      <c r="P15" s="143" t="s">
        <v>16</v>
      </c>
      <c r="Q15" s="673">
        <v>177.88107891306527624586383236</v>
      </c>
      <c r="R15" s="92">
        <v>-38.411044588650983527390009660</v>
      </c>
      <c r="S15" s="676"/>
      <c r="T15" s="9"/>
    </row>
    <row r="16" ht="15" customHeight="1">
      <c r="A16" s="2"/>
      <c r="B16" s="44"/>
      <c r="C16" s="45"/>
      <c r="D16" s="19" t="s">
        <v>101</v>
      </c>
      <c r="E16" s="113">
        <v>91.23780708753905134813296802</v>
      </c>
      <c r="F16" s="113">
        <v>5.0276382617099756171049128700</v>
      </c>
      <c r="G16" s="113"/>
      <c r="H16" s="19" t="s">
        <v>101</v>
      </c>
      <c r="I16" s="668">
        <v>125.57327496351886595789034813</v>
      </c>
      <c r="J16" s="113">
        <v>64.178136095079233828701271280</v>
      </c>
      <c r="K16" s="9"/>
      <c r="L16" s="19" t="s">
        <v>101</v>
      </c>
      <c r="M16" s="668">
        <v>0</v>
      </c>
      <c r="N16" s="113">
        <v>0</v>
      </c>
      <c r="O16" s="9"/>
      <c r="P16" s="19" t="s">
        <v>101</v>
      </c>
      <c r="Q16" s="668">
        <v>92.87609566590558074168521195</v>
      </c>
      <c r="R16" s="113">
        <v>7.0300047336142840017081042800</v>
      </c>
      <c r="S16" s="668"/>
      <c r="T16" s="9"/>
    </row>
    <row r="17" ht="15" customHeight="1">
      <c r="A17" s="2"/>
      <c r="B17" s="17"/>
      <c r="C17" s="2"/>
      <c r="D17" s="2"/>
      <c r="E17" s="663"/>
      <c r="F17" s="113"/>
      <c r="G17" s="663"/>
      <c r="H17" s="2"/>
      <c r="I17" s="9"/>
      <c r="J17" s="113"/>
      <c r="K17" s="9"/>
      <c r="L17" s="2"/>
      <c r="M17" s="9"/>
      <c r="N17" s="113"/>
      <c r="O17" s="9"/>
      <c r="P17" s="2"/>
      <c r="Q17" s="676"/>
      <c r="R17" s="113"/>
      <c r="S17" s="676"/>
      <c r="T17" s="9"/>
    </row>
    <row r="18" ht="15" customHeight="1">
      <c r="A18" s="2"/>
      <c r="B18" s="173" t="s">
        <v>10</v>
      </c>
      <c r="C18" s="45"/>
      <c r="D18" s="18" t="s">
        <v>19</v>
      </c>
      <c r="E18" s="664">
        <v>111.63318670576735092864125122</v>
      </c>
      <c r="F18" s="113">
        <v>-45.738389006156656803503699580</v>
      </c>
      <c r="G18" s="665"/>
      <c r="H18" s="53" t="s">
        <v>19</v>
      </c>
      <c r="I18" s="671">
        <v>6.7827468230694037145650048876</v>
      </c>
      <c r="J18" s="113">
        <v>-12.103746397694524495677233430</v>
      </c>
      <c r="K18" s="672"/>
      <c r="L18" s="53" t="s">
        <v>19</v>
      </c>
      <c r="M18" s="671">
        <v>0</v>
      </c>
      <c r="N18" s="113">
        <v>0</v>
      </c>
      <c r="O18" s="672"/>
      <c r="P18" s="53" t="s">
        <v>19</v>
      </c>
      <c r="Q18" s="671">
        <v>118.41593352883675464320625611</v>
      </c>
      <c r="R18" s="113">
        <v>-44.522400192345122104805193320</v>
      </c>
      <c r="S18" s="676"/>
      <c r="T18" s="9"/>
    </row>
    <row r="19" ht="15" customHeight="1">
      <c r="A19" s="2"/>
      <c r="B19" s="44"/>
      <c r="C19" s="45"/>
      <c r="D19" s="133" t="s">
        <v>16</v>
      </c>
      <c r="E19" s="666">
        <v>115.24110064783276564482735591</v>
      </c>
      <c r="F19" s="92">
        <v>-49.620747121373453987917861450</v>
      </c>
      <c r="G19" s="667"/>
      <c r="H19" s="143" t="s">
        <v>16</v>
      </c>
      <c r="I19" s="673">
        <v>3.239364188873305282842449743</v>
      </c>
      <c r="J19" s="92">
        <v>-84.90646987653899666058842145</v>
      </c>
      <c r="K19" s="674"/>
      <c r="L19" s="143" t="s">
        <v>16</v>
      </c>
      <c r="M19" s="673">
        <v>0</v>
      </c>
      <c r="N19" s="92">
        <v>0</v>
      </c>
      <c r="O19" s="674"/>
      <c r="P19" s="143" t="s">
        <v>16</v>
      </c>
      <c r="Q19" s="673">
        <v>118.48046483670607092766980565</v>
      </c>
      <c r="R19" s="92">
        <v>-52.647415940847649206928501590</v>
      </c>
      <c r="S19" s="676"/>
      <c r="T19" s="9"/>
    </row>
    <row r="20" ht="15" customHeight="1">
      <c r="A20" s="2"/>
      <c r="B20" s="44"/>
      <c r="C20" s="45"/>
      <c r="D20" s="19" t="s">
        <v>102</v>
      </c>
      <c r="E20" s="113">
        <v>96.86924723750174849997800380</v>
      </c>
      <c r="F20" s="113">
        <v>7.7062637760233477514909588200</v>
      </c>
      <c r="G20" s="113"/>
      <c r="H20" s="19" t="s">
        <v>102</v>
      </c>
      <c r="I20" s="668">
        <v>209.38512706805389732219000511</v>
      </c>
      <c r="J20" s="113">
        <v>482.34391082362999454402617546</v>
      </c>
      <c r="K20" s="9"/>
      <c r="L20" s="19" t="s">
        <v>102</v>
      </c>
      <c r="M20" s="668">
        <v>0</v>
      </c>
      <c r="N20" s="113">
        <v>0</v>
      </c>
      <c r="O20" s="9"/>
      <c r="P20" s="19" t="s">
        <v>102</v>
      </c>
      <c r="Q20" s="668">
        <v>99.94553422122519894345049587</v>
      </c>
      <c r="R20" s="113">
        <v>17.158547753915272593636401660</v>
      </c>
      <c r="S20" s="668"/>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46" t="s">
        <v>60</v>
      </c>
      <c r="C23" s="1046"/>
      <c r="D23" s="1046"/>
      <c r="E23" s="1046"/>
      <c r="F23" s="1046"/>
      <c r="G23" s="1046"/>
      <c r="H23" s="1046"/>
      <c r="I23" s="1046"/>
      <c r="J23" s="1046"/>
      <c r="K23" s="1046"/>
      <c r="L23" s="1046"/>
      <c r="M23" s="1046"/>
      <c r="N23" s="1046"/>
      <c r="O23" s="1046"/>
      <c r="P23" s="1046"/>
      <c r="Q23" s="1046"/>
      <c r="R23" s="1046"/>
      <c r="S23" s="1046"/>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45" t="s">
        <v>11</v>
      </c>
      <c r="E25" s="1045"/>
      <c r="F25" s="1045"/>
      <c r="G25" s="2"/>
      <c r="H25" s="1045" t="s">
        <v>13</v>
      </c>
      <c r="I25" s="1045"/>
      <c r="J25" s="1045"/>
      <c r="K25" s="2"/>
      <c r="L25" s="1045" t="s">
        <v>14</v>
      </c>
      <c r="M25" s="1045"/>
      <c r="N25" s="1045"/>
      <c r="O25" s="2"/>
      <c r="P25" s="1045" t="s">
        <v>12</v>
      </c>
      <c r="Q25" s="1045"/>
      <c r="R25" s="1045"/>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8">
        <v>45.213611525086934923000496770</v>
      </c>
      <c r="F27" s="113">
        <v>-26.035861629815003239502786420</v>
      </c>
      <c r="G27" s="9"/>
      <c r="H27" s="18" t="s">
        <v>19</v>
      </c>
      <c r="I27" s="668">
        <v>4.1231992051664182811723795300</v>
      </c>
      <c r="J27" s="113">
        <v>-36.164608706645876353828648540</v>
      </c>
      <c r="K27" s="9"/>
      <c r="L27" s="18" t="s">
        <v>19</v>
      </c>
      <c r="M27" s="668">
        <v>0</v>
      </c>
      <c r="N27" s="113">
        <v>0</v>
      </c>
      <c r="O27" s="9"/>
      <c r="P27" s="18" t="s">
        <v>19</v>
      </c>
      <c r="Q27" s="668">
        <v>49.336810730253353204172876300</v>
      </c>
      <c r="R27" s="113">
        <v>-27.003821981832497316759329930</v>
      </c>
      <c r="S27" s="675"/>
      <c r="T27" s="9"/>
    </row>
    <row r="28" ht="15" customHeight="1">
      <c r="A28" s="2"/>
      <c r="B28" s="44"/>
      <c r="C28" s="45"/>
      <c r="D28" s="133" t="s">
        <v>16</v>
      </c>
      <c r="E28" s="669">
        <v>49.957000059513263315861564200</v>
      </c>
      <c r="F28" s="92">
        <v>-34.391022017980286020455858140</v>
      </c>
      <c r="G28" s="120"/>
      <c r="H28" s="133" t="s">
        <v>16</v>
      </c>
      <c r="I28" s="669">
        <v>4.727750842462318450753926100</v>
      </c>
      <c r="J28" s="92">
        <v>-42.751212656061573397192929010</v>
      </c>
      <c r="K28" s="120"/>
      <c r="L28" s="133" t="s">
        <v>16</v>
      </c>
      <c r="M28" s="669">
        <v>0</v>
      </c>
      <c r="N28" s="92">
        <v>-100</v>
      </c>
      <c r="O28" s="120"/>
      <c r="P28" s="133" t="s">
        <v>16</v>
      </c>
      <c r="Q28" s="669">
        <v>54.684750901975581766615490290</v>
      </c>
      <c r="R28" s="92">
        <v>-35.215686415366976417992661670</v>
      </c>
      <c r="S28" s="675"/>
      <c r="T28" s="9"/>
    </row>
    <row r="29" ht="15" customHeight="1">
      <c r="A29" s="2"/>
      <c r="B29" s="44"/>
      <c r="C29" s="45"/>
      <c r="D29" s="19" t="s">
        <v>100</v>
      </c>
      <c r="E29" s="668">
        <v>90.50505729171972268712687179</v>
      </c>
      <c r="F29" s="113">
        <v>12.734782106276724852722838870</v>
      </c>
      <c r="G29" s="677"/>
      <c r="H29" s="19" t="s">
        <v>100</v>
      </c>
      <c r="I29" s="668">
        <v>87.21270097683413142006745793</v>
      </c>
      <c r="J29" s="113">
        <v>11.505228765536629186787896570</v>
      </c>
      <c r="K29" s="677"/>
      <c r="L29" s="19" t="s">
        <v>100</v>
      </c>
      <c r="M29" s="668">
        <v>0</v>
      </c>
      <c r="N29" s="113">
        <v>0</v>
      </c>
      <c r="O29" s="677"/>
      <c r="P29" s="19" t="s">
        <v>100</v>
      </c>
      <c r="Q29" s="668">
        <v>90.22041778829969047291190865</v>
      </c>
      <c r="R29" s="113">
        <v>12.675698759710793231980584920</v>
      </c>
      <c r="S29" s="668"/>
      <c r="T29" s="9"/>
    </row>
    <row r="30" ht="15" customHeight="1">
      <c r="A30" s="2"/>
      <c r="B30" s="17"/>
      <c r="C30" s="2"/>
      <c r="D30" s="2"/>
      <c r="E30" s="9"/>
      <c r="F30" s="660"/>
      <c r="G30" s="9"/>
      <c r="H30" s="2"/>
      <c r="I30" s="9"/>
      <c r="J30" s="660"/>
      <c r="K30" s="9"/>
      <c r="L30" s="2"/>
      <c r="M30" s="9"/>
      <c r="N30" s="660"/>
      <c r="O30" s="9"/>
      <c r="P30" s="2"/>
      <c r="Q30" s="675"/>
      <c r="R30" s="660"/>
      <c r="S30" s="675"/>
      <c r="T30" s="9"/>
    </row>
    <row r="31" ht="15" customHeight="1">
      <c r="A31" s="2"/>
      <c r="B31" s="173" t="s">
        <v>9</v>
      </c>
      <c r="C31" s="45"/>
      <c r="D31" s="18" t="s">
        <v>19</v>
      </c>
      <c r="E31" s="671">
        <v>191.36636818106905455144756359</v>
      </c>
      <c r="F31" s="113">
        <v>-0.9851504547039589682434917900</v>
      </c>
      <c r="G31" s="672"/>
      <c r="H31" s="53" t="s">
        <v>19</v>
      </c>
      <c r="I31" s="671">
        <v>362.10180722891566265060240964</v>
      </c>
      <c r="J31" s="113">
        <v>73.9667344551305748664481700</v>
      </c>
      <c r="K31" s="672"/>
      <c r="L31" s="53" t="s">
        <v>19</v>
      </c>
      <c r="M31" s="671">
        <v>0</v>
      </c>
      <c r="N31" s="113">
        <v>0</v>
      </c>
      <c r="O31" s="672"/>
      <c r="P31" s="53" t="s">
        <v>19</v>
      </c>
      <c r="Q31" s="671">
        <v>205.63515078286260887076473846</v>
      </c>
      <c r="R31" s="113">
        <v>5.6208548544456858809412660900</v>
      </c>
      <c r="S31" s="676"/>
      <c r="T31" s="9"/>
    </row>
    <row r="32" ht="15" customHeight="1">
      <c r="A32" s="2"/>
      <c r="B32" s="44"/>
      <c r="C32" s="45"/>
      <c r="D32" s="133" t="s">
        <v>16</v>
      </c>
      <c r="E32" s="673">
        <v>206.68192658671673983592636599</v>
      </c>
      <c r="F32" s="92">
        <v>0.0988884728211276897766750700</v>
      </c>
      <c r="G32" s="674"/>
      <c r="H32" s="143" t="s">
        <v>16</v>
      </c>
      <c r="I32" s="673">
        <v>346.51587373716982369598193767</v>
      </c>
      <c r="J32" s="92">
        <v>43.861989112616758914018295750</v>
      </c>
      <c r="K32" s="674"/>
      <c r="L32" s="143" t="s">
        <v>16</v>
      </c>
      <c r="M32" s="673">
        <v>0</v>
      </c>
      <c r="N32" s="92">
        <v>-100</v>
      </c>
      <c r="O32" s="674"/>
      <c r="P32" s="143" t="s">
        <v>16</v>
      </c>
      <c r="Q32" s="673">
        <v>218.77122114399527526419462987</v>
      </c>
      <c r="R32" s="92">
        <v>4.2541545359683445195782308700</v>
      </c>
      <c r="S32" s="676"/>
      <c r="T32" s="9"/>
    </row>
    <row r="33" ht="15" customHeight="1">
      <c r="A33" s="2"/>
      <c r="B33" s="44"/>
      <c r="C33" s="45"/>
      <c r="D33" s="19" t="s">
        <v>101</v>
      </c>
      <c r="E33" s="668">
        <v>92.58979309000112526189790477</v>
      </c>
      <c r="F33" s="113">
        <v>-1.082967997011700231904732900</v>
      </c>
      <c r="G33" s="677"/>
      <c r="H33" s="19" t="s">
        <v>101</v>
      </c>
      <c r="I33" s="668">
        <v>104.49789884764923480125281435</v>
      </c>
      <c r="J33" s="113">
        <v>20.92612894358598626771039600</v>
      </c>
      <c r="K33" s="677"/>
      <c r="L33" s="19" t="s">
        <v>101</v>
      </c>
      <c r="M33" s="668">
        <v>0</v>
      </c>
      <c r="N33" s="113">
        <v>0</v>
      </c>
      <c r="O33" s="677"/>
      <c r="P33" s="19" t="s">
        <v>101</v>
      </c>
      <c r="Q33" s="668">
        <v>93.99552176358402212842975133</v>
      </c>
      <c r="R33" s="113">
        <v>1.3109312761304117463727023900</v>
      </c>
      <c r="S33" s="668"/>
      <c r="T33" s="9"/>
    </row>
    <row r="34" ht="15" customHeight="1">
      <c r="A34" s="2"/>
      <c r="B34" s="17"/>
      <c r="C34" s="2"/>
      <c r="D34" s="2"/>
      <c r="E34" s="9"/>
      <c r="F34" s="113"/>
      <c r="G34" s="9"/>
      <c r="H34" s="2"/>
      <c r="I34" s="9"/>
      <c r="J34" s="113"/>
      <c r="K34" s="9"/>
      <c r="L34" s="2"/>
      <c r="M34" s="9"/>
      <c r="N34" s="113"/>
      <c r="O34" s="9"/>
      <c r="P34" s="2"/>
      <c r="Q34" s="676"/>
      <c r="R34" s="113"/>
      <c r="S34" s="676"/>
      <c r="T34" s="9"/>
    </row>
    <row r="35" ht="15" customHeight="1">
      <c r="A35" s="2"/>
      <c r="B35" s="173" t="s">
        <v>10</v>
      </c>
      <c r="C35" s="45"/>
      <c r="D35" s="18" t="s">
        <v>19</v>
      </c>
      <c r="E35" s="671">
        <v>86.5236462990561351217088922</v>
      </c>
      <c r="F35" s="113">
        <v>-26.764519675286746121069652930</v>
      </c>
      <c r="G35" s="672"/>
      <c r="H35" s="53" t="s">
        <v>19</v>
      </c>
      <c r="I35" s="671">
        <v>14.930178837555886736214605067</v>
      </c>
      <c r="J35" s="113">
        <v>11.052345659702911323255242750</v>
      </c>
      <c r="K35" s="672"/>
      <c r="L35" s="53" t="s">
        <v>19</v>
      </c>
      <c r="M35" s="671">
        <v>0</v>
      </c>
      <c r="N35" s="113">
        <v>0</v>
      </c>
      <c r="O35" s="672"/>
      <c r="P35" s="53" t="s">
        <v>19</v>
      </c>
      <c r="Q35" s="671">
        <v>101.45382513661202185792349727</v>
      </c>
      <c r="R35" s="113">
        <v>-22.900812766138514581284091810</v>
      </c>
      <c r="S35" s="676"/>
      <c r="T35" s="9"/>
    </row>
    <row r="36" ht="15" customHeight="1">
      <c r="A36" s="2"/>
      <c r="B36" s="44"/>
      <c r="C36" s="45"/>
      <c r="D36" s="133" t="s">
        <v>16</v>
      </c>
      <c r="E36" s="673">
        <v>103.25209018792924091568215734</v>
      </c>
      <c r="F36" s="92">
        <v>-34.326142301620316805372870650</v>
      </c>
      <c r="G36" s="674"/>
      <c r="H36" s="143" t="s">
        <v>16</v>
      </c>
      <c r="I36" s="673">
        <v>16.382407139874710025834815783</v>
      </c>
      <c r="J36" s="92">
        <v>-17.640755784158179729574461960</v>
      </c>
      <c r="K36" s="674"/>
      <c r="L36" s="143" t="s">
        <v>16</v>
      </c>
      <c r="M36" s="673">
        <v>0</v>
      </c>
      <c r="N36" s="92">
        <v>-100</v>
      </c>
      <c r="O36" s="674"/>
      <c r="P36" s="143" t="s">
        <v>16</v>
      </c>
      <c r="Q36" s="673">
        <v>119.63449732780395094151697313</v>
      </c>
      <c r="R36" s="92">
        <v>-32.459661600410354232027907820</v>
      </c>
      <c r="S36" s="676"/>
      <c r="T36" s="9"/>
    </row>
    <row r="37" ht="15" customHeight="1">
      <c r="A37" s="2"/>
      <c r="B37" s="44"/>
      <c r="C37" s="45"/>
      <c r="D37" s="19" t="s">
        <v>102</v>
      </c>
      <c r="E37" s="668">
        <v>83.79844528239026735765793926</v>
      </c>
      <c r="F37" s="113">
        <v>11.513900494564875163364375430</v>
      </c>
      <c r="G37" s="677"/>
      <c r="H37" s="19" t="s">
        <v>102</v>
      </c>
      <c r="I37" s="668">
        <v>91.13544004907492676016729733</v>
      </c>
      <c r="J37" s="113">
        <v>34.838956715853356684656011370</v>
      </c>
      <c r="K37" s="677"/>
      <c r="L37" s="19" t="s">
        <v>102</v>
      </c>
      <c r="M37" s="668">
        <v>0</v>
      </c>
      <c r="N37" s="113">
        <v>0</v>
      </c>
      <c r="O37" s="677"/>
      <c r="P37" s="19" t="s">
        <v>102</v>
      </c>
      <c r="Q37" s="668">
        <v>84.80315243739766603037299256</v>
      </c>
      <c r="R37" s="113">
        <v>14.152799735350328454096493880</v>
      </c>
      <c r="S37" s="668"/>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1" customFormat="1" ht="9.75" customHeight="1">
      <c r="A39" s="679"/>
      <c r="B39" s="679"/>
      <c r="C39" s="679"/>
      <c r="D39" s="679"/>
      <c r="E39" s="679"/>
      <c r="F39" s="679"/>
      <c r="G39" s="679"/>
      <c r="H39" s="679"/>
      <c r="I39" s="679"/>
      <c r="J39" s="679"/>
      <c r="K39" s="679"/>
      <c r="L39" s="679"/>
      <c r="M39" s="679"/>
      <c r="N39" s="679"/>
      <c r="O39" s="679"/>
      <c r="P39" s="679"/>
      <c r="Q39" s="679"/>
      <c r="R39" s="679"/>
      <c r="S39" s="679"/>
      <c r="T39" s="679"/>
      <c r="U39" s="680"/>
      <c r="V39" s="680"/>
      <c r="W39" s="680"/>
      <c r="X39" s="680"/>
      <c r="Y39" s="680"/>
      <c r="Z39" s="680"/>
      <c r="AA39" s="680"/>
      <c r="AB39" s="680"/>
      <c r="AC39" s="680"/>
      <c r="AD39" s="680"/>
      <c r="AE39" s="680"/>
      <c r="AF39" s="680"/>
      <c r="AG39" s="680"/>
      <c r="AH39" s="680"/>
      <c r="AI39" s="680"/>
      <c r="AJ39" s="680"/>
      <c r="AK39" s="680"/>
      <c r="AL39" s="680"/>
      <c r="AM39" s="680"/>
      <c r="AN39" s="680"/>
      <c r="AO39" s="680"/>
    </row>
    <row r="40" ht="35.1" customHeight="1">
      <c r="A40" s="2"/>
      <c r="B40" s="1047" t="s">
        <v>129</v>
      </c>
      <c r="C40" s="1047"/>
      <c r="D40" s="1047"/>
      <c r="E40" s="1047"/>
      <c r="F40" s="1047"/>
      <c r="G40" s="1047"/>
      <c r="H40" s="1047"/>
      <c r="I40" s="1047"/>
      <c r="J40" s="1047"/>
      <c r="K40" s="1047"/>
      <c r="L40" s="1047"/>
      <c r="M40" s="1047"/>
      <c r="N40" s="1047"/>
      <c r="O40" s="1047"/>
      <c r="P40" s="1047"/>
      <c r="Q40" s="1047"/>
      <c r="R40" s="1047"/>
      <c r="S40" s="1047"/>
      <c r="T40" s="2"/>
    </row>
    <row r="41" s="684" customFormat="1" ht="15" customHeight="1">
      <c r="A41" s="682"/>
      <c r="B41" s="682"/>
      <c r="C41" s="682"/>
      <c r="D41" s="682"/>
      <c r="E41" s="682"/>
      <c r="F41" s="682"/>
      <c r="G41" s="682"/>
      <c r="H41" s="682"/>
      <c r="I41" s="682"/>
      <c r="J41" s="682"/>
      <c r="K41" s="682"/>
      <c r="L41" s="682"/>
      <c r="M41" s="682"/>
      <c r="N41" s="682"/>
      <c r="O41" s="682"/>
      <c r="P41" s="682"/>
      <c r="Q41" s="682"/>
      <c r="R41" s="682"/>
      <c r="S41" s="682"/>
      <c r="T41" s="682"/>
      <c r="U41" s="683"/>
      <c r="V41" s="683"/>
      <c r="W41" s="683"/>
      <c r="X41" s="683"/>
      <c r="Y41" s="683"/>
      <c r="Z41" s="683"/>
      <c r="AA41" s="683"/>
      <c r="AB41" s="683"/>
      <c r="AC41" s="683"/>
      <c r="AD41" s="683"/>
      <c r="AE41" s="683"/>
      <c r="AF41" s="683"/>
      <c r="AG41" s="683"/>
      <c r="AH41" s="683"/>
      <c r="AI41" s="683"/>
      <c r="AJ41" s="683"/>
      <c r="AK41" s="683"/>
      <c r="AL41" s="683"/>
      <c r="AM41" s="683"/>
      <c r="AN41" s="683"/>
      <c r="AO41" s="683"/>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9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7" t="s">
        <v>182</v>
      </c>
      <c r="Z1" s="5"/>
      <c r="AB1" s="686"/>
      <c r="AD1" s="236"/>
    </row>
    <row r="2" ht="15" customHeight="1">
      <c r="A2" s="11"/>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row>
    <row r="3" ht="17.1" customHeight="1">
      <c r="A3" s="11"/>
      <c r="B3" s="1014" t="s">
        <v>212</v>
      </c>
      <c r="C3" s="1014"/>
      <c r="D3" s="1014"/>
      <c r="E3" s="1014"/>
      <c r="F3" s="1014"/>
      <c r="G3" s="1014"/>
      <c r="H3" s="1014"/>
      <c r="I3" s="1014"/>
      <c r="J3" s="1014"/>
      <c r="K3" s="1014"/>
      <c r="L3" s="1014"/>
      <c r="M3" s="1014"/>
      <c r="N3" s="1014"/>
      <c r="O3" s="1014"/>
      <c r="P3" s="1014"/>
      <c r="Q3" s="1014"/>
      <c r="R3" s="1048" t="s">
        <v>298</v>
      </c>
      <c r="S3" s="1048"/>
      <c r="T3" s="1048"/>
      <c r="U3" s="1048"/>
      <c r="V3" s="1048"/>
      <c r="W3" s="1048"/>
      <c r="X3" s="1048"/>
      <c r="Y3" s="1048"/>
      <c r="Z3" s="1048"/>
      <c r="AA3" s="1048"/>
      <c r="AB3" s="1048"/>
    </row>
    <row r="4" ht="19.5" customHeight="1">
      <c r="A4" s="4"/>
      <c r="B4" s="1014" t="s">
        <v>213</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row>
    <row r="5" ht="12.75" customHeight="1"/>
    <row r="6" ht="15.75">
      <c r="D6" s="975" t="s">
        <v>22</v>
      </c>
      <c r="E6" s="975"/>
      <c r="F6" s="975"/>
      <c r="G6" s="975"/>
      <c r="H6" s="975"/>
      <c r="I6" s="975"/>
      <c r="J6" s="975"/>
      <c r="K6" s="975"/>
      <c r="L6" s="975"/>
      <c r="M6" s="975"/>
      <c r="N6" s="975"/>
      <c r="O6" s="975"/>
      <c r="Q6" s="975" t="s">
        <v>72</v>
      </c>
      <c r="R6" s="975"/>
      <c r="S6" s="975"/>
      <c r="T6" s="975"/>
      <c r="U6" s="975"/>
      <c r="V6" s="975"/>
      <c r="W6" s="975"/>
      <c r="X6" s="975"/>
      <c r="Y6" s="975"/>
      <c r="Z6" s="975"/>
      <c r="AA6" s="975"/>
      <c r="AB6" s="975"/>
    </row>
    <row r="7" ht="15.75">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958" t="s">
        <v>42</v>
      </c>
      <c r="C8" s="958"/>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18" customHeight="1">
      <c r="A9" s="57"/>
      <c r="B9" s="285">
        <v>2019</v>
      </c>
      <c r="C9" s="286" t="s">
        <v>221</v>
      </c>
      <c r="D9" s="416">
        <v>59.359726295210166177908113390</v>
      </c>
      <c r="E9" s="417">
        <v>76.340677879454015643372015740</v>
      </c>
      <c r="F9" s="418">
        <v>57.693572768212039448832662770</v>
      </c>
      <c r="G9" s="416">
        <v>1.7350928641251221896383186700</v>
      </c>
      <c r="H9" s="417">
        <v>4.8668268493430806196002249400</v>
      </c>
      <c r="I9" s="418">
        <v>13.514590603308316484634304860</v>
      </c>
      <c r="J9" s="416">
        <v>0</v>
      </c>
      <c r="K9" s="417">
        <v>0</v>
      </c>
      <c r="L9" s="418">
        <v>6.7611566132551034755984765200</v>
      </c>
      <c r="M9" s="416">
        <v>61.094819159335288367546432060</v>
      </c>
      <c r="N9" s="417">
        <v>81.20750472879709626297224068</v>
      </c>
      <c r="O9" s="418">
        <v>77.969319984775459409065444140</v>
      </c>
      <c r="P9" s="5"/>
      <c r="Q9" s="416">
        <v>36.739369501466275659824046920</v>
      </c>
      <c r="R9" s="417">
        <v>-1.503858584526086669744739800</v>
      </c>
      <c r="S9" s="418">
        <v>0.3500314992567778129572820800</v>
      </c>
      <c r="T9" s="416">
        <v>69.235033259423503325942350150</v>
      </c>
      <c r="U9" s="417">
        <v>-8.549471661863592699327569680</v>
      </c>
      <c r="V9" s="418">
        <v>20.748331878123496376160939330</v>
      </c>
      <c r="W9" s="416">
        <v>0</v>
      </c>
      <c r="X9" s="417">
        <v>-100</v>
      </c>
      <c r="Y9" s="418">
        <v>30.576352700938929597012158180</v>
      </c>
      <c r="Z9" s="416">
        <v>37.489128766562643883971965010</v>
      </c>
      <c r="AA9" s="417">
        <v>-4.0876705711870547035382200300</v>
      </c>
      <c r="AB9" s="418">
        <v>5.5599063621849392009312086100</v>
      </c>
    </row>
    <row r="10" ht="18" customHeight="1">
      <c r="A10" s="58"/>
      <c r="B10" s="287"/>
      <c r="C10" s="288" t="s">
        <v>224</v>
      </c>
      <c r="D10" s="272">
        <v>68.157380254154447702834799610</v>
      </c>
      <c r="E10" s="92">
        <v>77.035938857931598589029190740</v>
      </c>
      <c r="F10" s="273">
        <v>61.777650511811280053797886290</v>
      </c>
      <c r="G10" s="272">
        <v>0.1955034213098729227761485800</v>
      </c>
      <c r="H10" s="92">
        <v>1.7892745769643678748530238700</v>
      </c>
      <c r="I10" s="273">
        <v>7.3296683503518644727266463800</v>
      </c>
      <c r="J10" s="272">
        <v>0</v>
      </c>
      <c r="K10" s="92">
        <v>0</v>
      </c>
      <c r="L10" s="273">
        <v>6.5338438479761429136571354500</v>
      </c>
      <c r="M10" s="272">
        <v>68.352883675464320625610948190</v>
      </c>
      <c r="N10" s="92">
        <v>78.825213434895966463882214610</v>
      </c>
      <c r="O10" s="273">
        <v>75.641162710139287440181668110</v>
      </c>
      <c r="P10" s="5"/>
      <c r="Q10" s="272">
        <v>51.171028084505621943225936570</v>
      </c>
      <c r="R10" s="92">
        <v>4.8934985382152304051232075900</v>
      </c>
      <c r="S10" s="273">
        <v>6.138034810219237239047465500</v>
      </c>
      <c r="T10" s="272">
        <v>-2.2727272727272727272727284100</v>
      </c>
      <c r="U10" s="92">
        <v>-56.250000000000000000000000080</v>
      </c>
      <c r="V10" s="273">
        <v>-9.513180241514760036507466820</v>
      </c>
      <c r="W10" s="272">
        <v>0</v>
      </c>
      <c r="X10" s="92">
        <v>-100</v>
      </c>
      <c r="Y10" s="273">
        <v>32.405380962992402242292924500</v>
      </c>
      <c r="Z10" s="272">
        <v>50.934943024948546759700818220</v>
      </c>
      <c r="AA10" s="92">
        <v>-1.1982570806100217864923747200</v>
      </c>
      <c r="AB10" s="273">
        <v>6.1779457415734737294601828600</v>
      </c>
    </row>
    <row r="11" ht="18" customHeight="1">
      <c r="A11" s="58"/>
      <c r="B11" s="289"/>
      <c r="C11" s="290" t="s">
        <v>226</v>
      </c>
      <c r="D11" s="421">
        <v>52.752525252525252525252525250</v>
      </c>
      <c r="E11" s="91">
        <v>62.836767036450079239302694140</v>
      </c>
      <c r="F11" s="422">
        <v>49.252390987077161528279892300</v>
      </c>
      <c r="G11" s="421">
        <v>0.6313131313131313131313131300</v>
      </c>
      <c r="H11" s="91">
        <v>3.6872688853671421024828314800</v>
      </c>
      <c r="I11" s="422">
        <v>11.219499882632829317039255880</v>
      </c>
      <c r="J11" s="421">
        <v>0</v>
      </c>
      <c r="K11" s="91">
        <v>0</v>
      </c>
      <c r="L11" s="422">
        <v>5.9760299398706357842270094100</v>
      </c>
      <c r="M11" s="421">
        <v>53.383838383838383838383838380</v>
      </c>
      <c r="N11" s="91">
        <v>66.524035921817221341785525620</v>
      </c>
      <c r="O11" s="422">
        <v>66.447920809580626629546157590</v>
      </c>
      <c r="P11" s="5"/>
      <c r="Q11" s="421">
        <v>58.980213089802130898021308980</v>
      </c>
      <c r="R11" s="91">
        <v>3.4887767530885679484948668900</v>
      </c>
      <c r="S11" s="422">
        <v>-2.7205477767572771296788739400</v>
      </c>
      <c r="T11" s="421">
        <v>-83.66013071895424836601307191</v>
      </c>
      <c r="U11" s="91">
        <v>-12.967581047381546134663341800</v>
      </c>
      <c r="V11" s="422">
        <v>14.323583684541970090206702550</v>
      </c>
      <c r="W11" s="421">
        <v>0</v>
      </c>
      <c r="X11" s="91">
        <v>-100</v>
      </c>
      <c r="Y11" s="422">
        <v>31.432189197286791965465551980</v>
      </c>
      <c r="Z11" s="421">
        <v>44.103612815269256987048398060</v>
      </c>
      <c r="AA11" s="91">
        <v>-1.029550455831499528450172900</v>
      </c>
      <c r="AB11" s="422">
        <v>2.242571007022558361130358300</v>
      </c>
    </row>
    <row r="12" ht="18" customHeight="1">
      <c r="A12" s="58"/>
      <c r="B12" s="287"/>
      <c r="C12" s="288" t="s">
        <v>228</v>
      </c>
      <c r="D12" s="272">
        <v>61.705767350928641251221896380</v>
      </c>
      <c r="E12" s="92">
        <v>72.363376105516077910127294110</v>
      </c>
      <c r="F12" s="273">
        <v>52.686006132759476036695666620</v>
      </c>
      <c r="G12" s="272">
        <v>5.03421309872922776148582600</v>
      </c>
      <c r="H12" s="92">
        <v>6.7532334747712284648024129600</v>
      </c>
      <c r="I12" s="273">
        <v>14.170487583186469372377563260</v>
      </c>
      <c r="J12" s="272">
        <v>0</v>
      </c>
      <c r="K12" s="92">
        <v>0</v>
      </c>
      <c r="L12" s="273">
        <v>6.0883002181865337534059753700</v>
      </c>
      <c r="M12" s="272">
        <v>66.739980449657869012707722390</v>
      </c>
      <c r="N12" s="92">
        <v>79.116609580287306374929707070</v>
      </c>
      <c r="O12" s="273">
        <v>72.944793934132479162479205240</v>
      </c>
      <c r="P12" s="5"/>
      <c r="Q12" s="272">
        <v>74.378453038674033149171270710</v>
      </c>
      <c r="R12" s="92">
        <v>8.177302254489873901413832640</v>
      </c>
      <c r="S12" s="273">
        <v>7.2617182564624613165194674500</v>
      </c>
      <c r="T12" s="272">
        <v>-51.068883610451306413301662730</v>
      </c>
      <c r="U12" s="92">
        <v>-30.253431890179514255543822660</v>
      </c>
      <c r="V12" s="273">
        <v>1.7055395196617357683294723400</v>
      </c>
      <c r="W12" s="272">
        <v>0</v>
      </c>
      <c r="X12" s="92">
        <v>-100</v>
      </c>
      <c r="Y12" s="273">
        <v>36.171693647058614520697252700</v>
      </c>
      <c r="Z12" s="272">
        <v>46.120920278223649010165864110</v>
      </c>
      <c r="AA12" s="92">
        <v>3.3041853013817502169414591800</v>
      </c>
      <c r="AB12" s="273">
        <v>8.029521749881904631683468740</v>
      </c>
    </row>
    <row r="13" ht="18" customHeight="1">
      <c r="A13" s="58"/>
      <c r="B13" s="289"/>
      <c r="C13" s="290" t="s">
        <v>229</v>
      </c>
      <c r="D13" s="421">
        <v>68.686868686868686868686868690</v>
      </c>
      <c r="E13" s="91">
        <v>78.663497094558901215002641310</v>
      </c>
      <c r="F13" s="422">
        <v>59.091769941361779279969023630</v>
      </c>
      <c r="G13" s="421">
        <v>6.2121212121212121212121212100</v>
      </c>
      <c r="H13" s="91">
        <v>10.961436872688853671421024830</v>
      </c>
      <c r="I13" s="422">
        <v>17.365373202994670599765328550</v>
      </c>
      <c r="J13" s="421">
        <v>0</v>
      </c>
      <c r="K13" s="91">
        <v>0</v>
      </c>
      <c r="L13" s="422">
        <v>6.242144100385340316601298700</v>
      </c>
      <c r="M13" s="421">
        <v>74.898989898989898989898989900</v>
      </c>
      <c r="N13" s="91">
        <v>89.62493396724775488642366614</v>
      </c>
      <c r="O13" s="422">
        <v>82.69928724474179019633565088</v>
      </c>
      <c r="P13" s="5"/>
      <c r="Q13" s="421">
        <v>72.917991099809281627463445660</v>
      </c>
      <c r="R13" s="91">
        <v>4.0164850516904163174070969600</v>
      </c>
      <c r="S13" s="422">
        <v>8.731682897588452401313149520</v>
      </c>
      <c r="T13" s="421">
        <v>13.888888888888888888888888940</v>
      </c>
      <c r="U13" s="91">
        <v>1.8155053974484789008832188200</v>
      </c>
      <c r="V13" s="422">
        <v>8.978475796720935504500238890</v>
      </c>
      <c r="W13" s="421">
        <v>0</v>
      </c>
      <c r="X13" s="91">
        <v>0</v>
      </c>
      <c r="Y13" s="422">
        <v>27.468916338924888277322003820</v>
      </c>
      <c r="Z13" s="421">
        <v>65.790944661822247065399664610</v>
      </c>
      <c r="AA13" s="91">
        <v>3.7422037422037422037422037400</v>
      </c>
      <c r="AB13" s="422">
        <v>10.004509492220950030762306060</v>
      </c>
    </row>
    <row r="14" ht="18" customHeight="1">
      <c r="A14" s="58"/>
      <c r="B14" s="287"/>
      <c r="C14" s="288" t="s">
        <v>230</v>
      </c>
      <c r="D14" s="272">
        <v>81.40273704789833822091886608</v>
      </c>
      <c r="E14" s="92">
        <v>78.625837124891365472112877660</v>
      </c>
      <c r="F14" s="273">
        <v>67.153149528870341500912462810</v>
      </c>
      <c r="G14" s="272">
        <v>3.7634408602150537634408602200</v>
      </c>
      <c r="H14" s="92">
        <v>8.005725678646285977199529680</v>
      </c>
      <c r="I14" s="273">
        <v>9.504700933857718741755820470</v>
      </c>
      <c r="J14" s="272">
        <v>0</v>
      </c>
      <c r="K14" s="92">
        <v>0</v>
      </c>
      <c r="L14" s="273">
        <v>6.5627087109102922813147392400</v>
      </c>
      <c r="M14" s="272">
        <v>85.16617790811339198435972630</v>
      </c>
      <c r="N14" s="92">
        <v>86.63156280353765144931240734</v>
      </c>
      <c r="O14" s="273">
        <v>83.22055917363835252398302252</v>
      </c>
      <c r="P14" s="5"/>
      <c r="Q14" s="272">
        <v>79.56873315363881401617250674</v>
      </c>
      <c r="R14" s="92">
        <v>-3.014251481901879177702106200</v>
      </c>
      <c r="S14" s="273">
        <v>6.982477737760945165481392900</v>
      </c>
      <c r="T14" s="272">
        <v>-28.372093023255813953488372030</v>
      </c>
      <c r="U14" s="92">
        <v>21.489526764934057408844065150</v>
      </c>
      <c r="V14" s="273">
        <v>-6.6114357820334781425270295400</v>
      </c>
      <c r="W14" s="272">
        <v>0</v>
      </c>
      <c r="X14" s="92">
        <v>0</v>
      </c>
      <c r="Y14" s="273">
        <v>9.631182793530237451467965700</v>
      </c>
      <c r="Z14" s="272">
        <v>68.357487922705314009661835750</v>
      </c>
      <c r="AA14" s="92">
        <v>-1.1722167142940456056453023900</v>
      </c>
      <c r="AB14" s="273">
        <v>5.4305781983463402921138168400</v>
      </c>
    </row>
    <row r="15" ht="18" customHeight="1">
      <c r="A15" s="58"/>
      <c r="B15" s="289">
        <v>2020</v>
      </c>
      <c r="C15" s="290" t="s">
        <v>232</v>
      </c>
      <c r="D15" s="421">
        <v>66.251221896383186705767350930</v>
      </c>
      <c r="E15" s="91">
        <v>71.427841112417565564132713050</v>
      </c>
      <c r="F15" s="422">
        <v>51.018016849705899779971143490</v>
      </c>
      <c r="G15" s="421">
        <v>20.772238514173998044965786900</v>
      </c>
      <c r="H15" s="91">
        <v>19.477531823526404580542917030</v>
      </c>
      <c r="I15" s="422">
        <v>27.380590962465977117298537850</v>
      </c>
      <c r="J15" s="421">
        <v>0</v>
      </c>
      <c r="K15" s="91">
        <v>0</v>
      </c>
      <c r="L15" s="422">
        <v>6.9775670068181913596607456900</v>
      </c>
      <c r="M15" s="421">
        <v>87.02346041055718475073313783</v>
      </c>
      <c r="N15" s="91">
        <v>90.90537293594397014467563008</v>
      </c>
      <c r="O15" s="422">
        <v>85.37617481899006825693042702</v>
      </c>
      <c r="P15" s="5"/>
      <c r="Q15" s="421">
        <v>19.164835164835164835164835160</v>
      </c>
      <c r="R15" s="91">
        <v>-1.8130709768095572733661278900</v>
      </c>
      <c r="S15" s="422">
        <v>-1.5490235553780543668915177600</v>
      </c>
      <c r="T15" s="421">
        <v>49.384885764499121265377855850</v>
      </c>
      <c r="U15" s="91">
        <v>15.805471124620060790273556280</v>
      </c>
      <c r="V15" s="422">
        <v>20.678718576908218750359300830</v>
      </c>
      <c r="W15" s="421">
        <v>0</v>
      </c>
      <c r="X15" s="91">
        <v>0</v>
      </c>
      <c r="Y15" s="422">
        <v>-5.3223639033943875489904677800</v>
      </c>
      <c r="Z15" s="421">
        <v>25.210970464135021097046413510</v>
      </c>
      <c r="AA15" s="91">
        <v>1.49543378995433789954337900</v>
      </c>
      <c r="AB15" s="422">
        <v>4.2706672780098565162539633700</v>
      </c>
    </row>
    <row r="16" ht="18" customHeight="1">
      <c r="A16" s="58"/>
      <c r="B16" s="287"/>
      <c r="C16" s="288" t="s">
        <v>233</v>
      </c>
      <c r="D16" s="272">
        <v>71.995820271682340647857889240</v>
      </c>
      <c r="E16" s="92">
        <v>77.403136783430760923703871410</v>
      </c>
      <c r="F16" s="273">
        <v>54.163679774199080356972407830</v>
      </c>
      <c r="G16" s="272">
        <v>15.517241379310344827586206900</v>
      </c>
      <c r="H16" s="92">
        <v>15.503579430569970964455512790</v>
      </c>
      <c r="I16" s="273">
        <v>28.156405176629778412021665030</v>
      </c>
      <c r="J16" s="272">
        <v>0</v>
      </c>
      <c r="K16" s="92">
        <v>0</v>
      </c>
      <c r="L16" s="273">
        <v>6.3761747423216233437888560900</v>
      </c>
      <c r="M16" s="272">
        <v>87.51306165099268547544409613</v>
      </c>
      <c r="N16" s="92">
        <v>92.90671621400073188815938420</v>
      </c>
      <c r="O16" s="273">
        <v>88.69625969315048211278292895</v>
      </c>
      <c r="P16" s="5"/>
      <c r="Q16" s="272">
        <v>33.649699509863350594918512620</v>
      </c>
      <c r="R16" s="92">
        <v>-2.6024769824332537568549248500</v>
      </c>
      <c r="S16" s="273">
        <v>-6.206959798131431073171853600</v>
      </c>
      <c r="T16" s="272">
        <v>-10.944527736131934032983508200</v>
      </c>
      <c r="U16" s="92">
        <v>10.27264145704921376811594200</v>
      </c>
      <c r="V16" s="273">
        <v>34.060566425144009393111359410</v>
      </c>
      <c r="W16" s="272">
        <v>0</v>
      </c>
      <c r="X16" s="92">
        <v>0</v>
      </c>
      <c r="Y16" s="273">
        <v>-7.8031106870630438800880623400</v>
      </c>
      <c r="Z16" s="272">
        <v>22.750768828109664332918929530</v>
      </c>
      <c r="AA16" s="92">
        <v>-0.6671187855391872314674735200</v>
      </c>
      <c r="AB16" s="273">
        <v>3.5365055789233310552521414100</v>
      </c>
    </row>
    <row r="17" ht="18" customHeight="1">
      <c r="A17" s="58"/>
      <c r="B17" s="289"/>
      <c r="C17" s="290" t="s">
        <v>234</v>
      </c>
      <c r="D17" s="421">
        <v>39.565004887585532746823069400</v>
      </c>
      <c r="E17" s="91">
        <v>40.458054291702878175962374110</v>
      </c>
      <c r="F17" s="422">
        <v>25.595525267683616665460232920</v>
      </c>
      <c r="G17" s="421">
        <v>0.1221896383186705767350928600</v>
      </c>
      <c r="H17" s="91">
        <v>3.2667041562292316343745207300</v>
      </c>
      <c r="I17" s="422">
        <v>7.2978662927506920091914544900</v>
      </c>
      <c r="J17" s="421">
        <v>0</v>
      </c>
      <c r="K17" s="91">
        <v>0</v>
      </c>
      <c r="L17" s="422">
        <v>5.1384444203253585060377717800</v>
      </c>
      <c r="M17" s="421">
        <v>39.687194525904203323558162270</v>
      </c>
      <c r="N17" s="91">
        <v>43.724758447932109810336894840</v>
      </c>
      <c r="O17" s="422">
        <v>38.031835980759667180689459190</v>
      </c>
      <c r="P17" s="5"/>
      <c r="Q17" s="421">
        <v>-39.158211198797444569710635110</v>
      </c>
      <c r="R17" s="91">
        <v>-51.235442725984349004867829200</v>
      </c>
      <c r="S17" s="422">
        <v>-59.365456757241782676878212780</v>
      </c>
      <c r="T17" s="421">
        <v>-98.61878453038674033149171275</v>
      </c>
      <c r="U17" s="91">
        <v>-68.722466960352422907488986770</v>
      </c>
      <c r="V17" s="422">
        <v>-58.400179237742730898511732600</v>
      </c>
      <c r="W17" s="421">
        <v>0</v>
      </c>
      <c r="X17" s="91">
        <v>-100</v>
      </c>
      <c r="Y17" s="422">
        <v>-30.712963129978045010942055580</v>
      </c>
      <c r="Z17" s="421">
        <v>-46.278531260337413165729407870</v>
      </c>
      <c r="AA17" s="91">
        <v>-53.234184482475805128765924880</v>
      </c>
      <c r="AB17" s="422">
        <v>-56.756828365870682271079176380</v>
      </c>
    </row>
    <row r="18" ht="18" customHeight="1">
      <c r="A18" s="58"/>
      <c r="B18" s="287"/>
      <c r="C18" s="288" t="s">
        <v>235</v>
      </c>
      <c r="D18" s="272"/>
      <c r="E18" s="92"/>
      <c r="F18" s="273">
        <v>3.6777283289994499672652025400</v>
      </c>
      <c r="G18" s="272"/>
      <c r="H18" s="92"/>
      <c r="I18" s="273">
        <v>1.4004444192885490455954276500</v>
      </c>
      <c r="J18" s="272"/>
      <c r="K18" s="92"/>
      <c r="L18" s="273">
        <v>5.1417776854170815323686139300</v>
      </c>
      <c r="M18" s="272"/>
      <c r="N18" s="92"/>
      <c r="O18" s="273">
        <v>10.219950433705080545229244110</v>
      </c>
      <c r="P18" s="5"/>
      <c r="Q18" s="272"/>
      <c r="R18" s="92"/>
      <c r="S18" s="273">
        <v>-93.81055635177858211864018669</v>
      </c>
      <c r="T18" s="272"/>
      <c r="U18" s="92"/>
      <c r="V18" s="273">
        <v>-91.37944778666553671295803683</v>
      </c>
      <c r="W18" s="272"/>
      <c r="X18" s="92"/>
      <c r="Y18" s="273">
        <v>-18.503347329589108855451887980</v>
      </c>
      <c r="Z18" s="272"/>
      <c r="AA18" s="92"/>
      <c r="AB18" s="273">
        <v>-87.53268843925290785954554573</v>
      </c>
    </row>
    <row r="19" ht="18" customHeight="1">
      <c r="A19" s="58"/>
      <c r="B19" s="289"/>
      <c r="C19" s="290" t="s">
        <v>236</v>
      </c>
      <c r="D19" s="421"/>
      <c r="E19" s="91"/>
      <c r="F19" s="422">
        <v>14.820790860369868869122037450</v>
      </c>
      <c r="G19" s="421"/>
      <c r="H19" s="91"/>
      <c r="I19" s="422">
        <v>1.0657310050246974955894818700</v>
      </c>
      <c r="J19" s="421"/>
      <c r="K19" s="91"/>
      <c r="L19" s="422">
        <v>10.2107537488457812869682400</v>
      </c>
      <c r="M19" s="421"/>
      <c r="N19" s="91"/>
      <c r="O19" s="422">
        <v>26.097275614240347651679759320</v>
      </c>
      <c r="P19" s="5"/>
      <c r="Q19" s="421"/>
      <c r="R19" s="91"/>
      <c r="S19" s="422">
        <v>-74.021956014640550123953697010</v>
      </c>
      <c r="T19" s="421"/>
      <c r="U19" s="91"/>
      <c r="V19" s="422">
        <v>-93.08398708554167973253765286</v>
      </c>
      <c r="W19" s="421"/>
      <c r="X19" s="91"/>
      <c r="Y19" s="422">
        <v>58.720000245689999697362435790</v>
      </c>
      <c r="Z19" s="421"/>
      <c r="AA19" s="91"/>
      <c r="AB19" s="422">
        <v>-66.921098576464421383187269940</v>
      </c>
    </row>
    <row r="20" ht="18" customHeight="1">
      <c r="A20" s="58"/>
      <c r="B20" s="287"/>
      <c r="C20" s="288" t="s">
        <v>237</v>
      </c>
      <c r="D20" s="272">
        <v>18.131313131313131313131313130</v>
      </c>
      <c r="E20" s="92">
        <v>18.181026979982593559617058310</v>
      </c>
      <c r="F20" s="273">
        <v>21.718671166529077876392896050</v>
      </c>
      <c r="G20" s="272">
        <v>0</v>
      </c>
      <c r="H20" s="92">
        <v>0</v>
      </c>
      <c r="I20" s="273">
        <v>0.3825327797387176751832225100</v>
      </c>
      <c r="J20" s="272">
        <v>0</v>
      </c>
      <c r="K20" s="92">
        <v>0</v>
      </c>
      <c r="L20" s="273">
        <v>3.263327528452859388129601100</v>
      </c>
      <c r="M20" s="272">
        <v>18.131313131313131313131313130</v>
      </c>
      <c r="N20" s="92">
        <v>18.181026979982593559617058310</v>
      </c>
      <c r="O20" s="273">
        <v>25.364531474720654939705719660</v>
      </c>
      <c r="P20" s="5"/>
      <c r="Q20" s="272">
        <v>-59.111617312072892938496583140</v>
      </c>
      <c r="R20" s="92">
        <v>-75.076628232958903897201034560</v>
      </c>
      <c r="S20" s="273">
        <v>-60.560078734268672168603912440</v>
      </c>
      <c r="T20" s="272">
        <v>-100</v>
      </c>
      <c r="U20" s="92">
        <v>-100</v>
      </c>
      <c r="V20" s="273">
        <v>-97.35015331401387140192575216</v>
      </c>
      <c r="W20" s="272">
        <v>0</v>
      </c>
      <c r="X20" s="92">
        <v>0</v>
      </c>
      <c r="Y20" s="273">
        <v>-48.735686808207592495735921920</v>
      </c>
      <c r="Z20" s="272">
        <v>-67.003676470588235294117647060</v>
      </c>
      <c r="AA20" s="92">
        <v>-77.794255066064230203009812650</v>
      </c>
      <c r="AB20" s="273">
        <v>-66.568192751757363739953942970</v>
      </c>
    </row>
    <row r="21" ht="18" customHeight="1">
      <c r="A21" s="58"/>
      <c r="B21" s="289"/>
      <c r="C21" s="290" t="s">
        <v>221</v>
      </c>
      <c r="D21" s="421">
        <v>13.098729227761485826001955030</v>
      </c>
      <c r="E21" s="91">
        <v>18.975827507790785816558578290</v>
      </c>
      <c r="F21" s="422">
        <v>17.789278636981108462217434640</v>
      </c>
      <c r="G21" s="421">
        <v>0</v>
      </c>
      <c r="H21" s="91">
        <v>0</v>
      </c>
      <c r="I21" s="422">
        <v>3.6379461613017387768426354300</v>
      </c>
      <c r="J21" s="421">
        <v>0</v>
      </c>
      <c r="K21" s="91">
        <v>0</v>
      </c>
      <c r="L21" s="422">
        <v>3.1171560923454092507623137500</v>
      </c>
      <c r="M21" s="421">
        <v>13.098729227761485826001955030</v>
      </c>
      <c r="N21" s="91">
        <v>18.975827507790785816558578290</v>
      </c>
      <c r="O21" s="422">
        <v>24.544380890628256489822383810</v>
      </c>
      <c r="P21" s="5"/>
      <c r="Q21" s="421">
        <v>-77.933305887196377109921778520</v>
      </c>
      <c r="R21" s="91">
        <v>-75.143228964046369694120247110</v>
      </c>
      <c r="S21" s="422">
        <v>-69.165926491585503636221029300</v>
      </c>
      <c r="T21" s="421">
        <v>-100</v>
      </c>
      <c r="U21" s="91">
        <v>-100</v>
      </c>
      <c r="V21" s="422">
        <v>-73.081343948286643316877149480</v>
      </c>
      <c r="W21" s="421">
        <v>0</v>
      </c>
      <c r="X21" s="91">
        <v>0</v>
      </c>
      <c r="Y21" s="422">
        <v>-53.896111706179218639277838890</v>
      </c>
      <c r="Z21" s="421">
        <v>-78.560000000000000000000000010</v>
      </c>
      <c r="AA21" s="91">
        <v>-76.632913951533172089537151400</v>
      </c>
      <c r="AB21" s="422">
        <v>-68.520463054672182122529659860</v>
      </c>
    </row>
    <row r="22" ht="18" customHeight="1">
      <c r="A22" s="58"/>
      <c r="B22" s="287"/>
      <c r="C22" s="288" t="s">
        <v>224</v>
      </c>
      <c r="D22" s="272">
        <v>25.537634408602150537634408600</v>
      </c>
      <c r="E22" s="92">
        <v>32.359134169965467868272551170</v>
      </c>
      <c r="F22" s="273">
        <v>19.084737011263703925265992210</v>
      </c>
      <c r="G22" s="272">
        <v>0</v>
      </c>
      <c r="H22" s="92">
        <v>0</v>
      </c>
      <c r="I22" s="273">
        <v>7.2833802541610204303200822600</v>
      </c>
      <c r="J22" s="272">
        <v>0</v>
      </c>
      <c r="K22" s="92">
        <v>0</v>
      </c>
      <c r="L22" s="273">
        <v>3.3045799573713680801486597600</v>
      </c>
      <c r="M22" s="272">
        <v>25.537634408602150537634408600</v>
      </c>
      <c r="N22" s="92">
        <v>32.359134169965467868272551170</v>
      </c>
      <c r="O22" s="273">
        <v>29.672697222796092435734734230</v>
      </c>
      <c r="P22" s="5"/>
      <c r="Q22" s="272">
        <v>-62.531373252061670849766941560</v>
      </c>
      <c r="R22" s="92">
        <v>-57.994755889661257085985840240</v>
      </c>
      <c r="S22" s="273">
        <v>-69.10737644900417564165481800</v>
      </c>
      <c r="T22" s="272">
        <v>-100</v>
      </c>
      <c r="U22" s="92">
        <v>-100</v>
      </c>
      <c r="V22" s="273">
        <v>-0.6315169251637689542618540800</v>
      </c>
      <c r="W22" s="272">
        <v>0</v>
      </c>
      <c r="X22" s="92">
        <v>0</v>
      </c>
      <c r="Y22" s="273">
        <v>-49.423646566102720787635557620</v>
      </c>
      <c r="Z22" s="272">
        <v>-62.638541294243832677869145520</v>
      </c>
      <c r="AA22" s="92">
        <v>-58.948244146916498023783684190</v>
      </c>
      <c r="AB22" s="273">
        <v>-60.771759502820772513059239290</v>
      </c>
    </row>
    <row r="23" ht="18" customHeight="1">
      <c r="A23" s="58"/>
      <c r="B23" s="289"/>
      <c r="C23" s="290" t="s">
        <v>226</v>
      </c>
      <c r="D23" s="421">
        <v>47.424242424242424242424242420</v>
      </c>
      <c r="E23" s="91">
        <v>42.249827467218771566597653550</v>
      </c>
      <c r="F23" s="422">
        <v>26.743091198528067080441861150</v>
      </c>
      <c r="G23" s="421">
        <v>0</v>
      </c>
      <c r="H23" s="91">
        <v>0.1104209799861973775017253300</v>
      </c>
      <c r="I23" s="422">
        <v>1.140954081155160854740771500</v>
      </c>
      <c r="J23" s="421">
        <v>0</v>
      </c>
      <c r="K23" s="91">
        <v>0</v>
      </c>
      <c r="L23" s="422">
        <v>2.7243719206827372981202035800</v>
      </c>
      <c r="M23" s="421">
        <v>47.424242424242424242424242420</v>
      </c>
      <c r="N23" s="91">
        <v>42.360248447204968944099378880</v>
      </c>
      <c r="O23" s="422">
        <v>30.608417200365965233302836230</v>
      </c>
      <c r="P23" s="5"/>
      <c r="Q23" s="421">
        <v>-10.100526567735758736237434180</v>
      </c>
      <c r="R23" s="91">
        <v>-32.762569654943140331593645930</v>
      </c>
      <c r="S23" s="422">
        <v>-45.701943271048674073899901060</v>
      </c>
      <c r="T23" s="421">
        <v>-100</v>
      </c>
      <c r="U23" s="91">
        <v>-97.00534505567519146689446920</v>
      </c>
      <c r="V23" s="422">
        <v>-89.83061550790427640282276415</v>
      </c>
      <c r="W23" s="421">
        <v>0</v>
      </c>
      <c r="X23" s="91">
        <v>0</v>
      </c>
      <c r="Y23" s="422">
        <v>-54.411675508745656040298202320</v>
      </c>
      <c r="Z23" s="421">
        <v>-11.163670766319772942289498580</v>
      </c>
      <c r="AA23" s="91">
        <v>-36.323393702406887785928591900</v>
      </c>
      <c r="AB23" s="422">
        <v>-53.936230317754701741468434740</v>
      </c>
    </row>
    <row r="24" ht="18" customHeight="1">
      <c r="A24" s="59"/>
      <c r="B24" s="287"/>
      <c r="C24" s="288" t="s">
        <v>228</v>
      </c>
      <c r="D24" s="272">
        <v>51.392961876832844574780058650</v>
      </c>
      <c r="E24" s="92">
        <v>46.483670607092766980565017030</v>
      </c>
      <c r="F24" s="273">
        <v>30.791473449484944158438261120</v>
      </c>
      <c r="G24" s="272">
        <v>1.5151515151515151515151515200</v>
      </c>
      <c r="H24" s="92">
        <v>0.0066786883056167768650237100</v>
      </c>
      <c r="I24" s="273">
        <v>2.8665583076494326221737989600</v>
      </c>
      <c r="J24" s="272">
        <v>0</v>
      </c>
      <c r="K24" s="92">
        <v>0</v>
      </c>
      <c r="L24" s="273">
        <v>3.6176302734974346711222053200</v>
      </c>
      <c r="M24" s="272">
        <v>52.908113391984359726295210170</v>
      </c>
      <c r="N24" s="92">
        <v>46.490349295398383757430040740</v>
      </c>
      <c r="O24" s="273">
        <v>37.275662030631811451734265390</v>
      </c>
      <c r="P24" s="93"/>
      <c r="Q24" s="272">
        <v>-16.712871287128712871287128710</v>
      </c>
      <c r="R24" s="92">
        <v>-35.763540745648773231590794910</v>
      </c>
      <c r="S24" s="273">
        <v>-41.556637692567087774953682380</v>
      </c>
      <c r="T24" s="272">
        <v>-69.902912621359223300970873680</v>
      </c>
      <c r="U24" s="92">
        <v>-99.90110384409828177724698805</v>
      </c>
      <c r="V24" s="273">
        <v>-79.77092678835798111634919663</v>
      </c>
      <c r="W24" s="272">
        <v>0</v>
      </c>
      <c r="X24" s="92">
        <v>0</v>
      </c>
      <c r="Y24" s="273">
        <v>-40.580619485696369278511554410</v>
      </c>
      <c r="Z24" s="272">
        <v>-20.725009154155986818015378980</v>
      </c>
      <c r="AA24" s="92">
        <v>-41.238193165721905874961939330</v>
      </c>
      <c r="AB24" s="273">
        <v>-48.898804122620591272778884330</v>
      </c>
    </row>
    <row r="25" ht="18" customHeight="1">
      <c r="A25" s="60"/>
      <c r="B25" s="289"/>
      <c r="C25" s="290" t="s">
        <v>229</v>
      </c>
      <c r="D25" s="421">
        <v>50.808080808080808080808080810</v>
      </c>
      <c r="E25" s="91">
        <v>59.040717736369910282953761210</v>
      </c>
      <c r="F25" s="422">
        <v>33.398977766323469963779298880</v>
      </c>
      <c r="G25" s="421">
        <v>1.0353535353535353535353535400</v>
      </c>
      <c r="H25" s="91">
        <v>0.4623878536922015182884748100</v>
      </c>
      <c r="I25" s="422">
        <v>2.3928930910756950482376092800</v>
      </c>
      <c r="J25" s="421">
        <v>0</v>
      </c>
      <c r="K25" s="91">
        <v>0</v>
      </c>
      <c r="L25" s="422">
        <v>3.7647018789761747104834494400</v>
      </c>
      <c r="M25" s="421">
        <v>51.843434343434343434343434340</v>
      </c>
      <c r="N25" s="91">
        <v>59.503105590062111801242236020</v>
      </c>
      <c r="O25" s="422">
        <v>39.556572736375339722500357600</v>
      </c>
      <c r="P25" s="93"/>
      <c r="Q25" s="421">
        <v>-26.029411764705882352941176470</v>
      </c>
      <c r="R25" s="91">
        <v>-24.945216120510214112127143930</v>
      </c>
      <c r="S25" s="422">
        <v>-43.479476415300981277947379760</v>
      </c>
      <c r="T25" s="421">
        <v>-83.33333333333333333333333325</v>
      </c>
      <c r="U25" s="91">
        <v>-95.78168574920801217291526354</v>
      </c>
      <c r="V25" s="422">
        <v>-86.22031865884092267955076445</v>
      </c>
      <c r="W25" s="421">
        <v>0</v>
      </c>
      <c r="X25" s="91">
        <v>0</v>
      </c>
      <c r="Y25" s="422">
        <v>-39.68896234318313851435850600</v>
      </c>
      <c r="Z25" s="421">
        <v>-30.782198246797033041132838850</v>
      </c>
      <c r="AA25" s="91">
        <v>-33.608759352830615560679268660</v>
      </c>
      <c r="AB25" s="422">
        <v>-52.168181789389681738857333620</v>
      </c>
    </row>
    <row r="26" ht="18" customHeight="1">
      <c r="A26" s="60"/>
      <c r="B26" s="291"/>
      <c r="C26" s="292" t="s">
        <v>230</v>
      </c>
      <c r="D26" s="274">
        <v>69.037145650048875855327468230</v>
      </c>
      <c r="E26" s="275">
        <v>65.023709343484939557870834170</v>
      </c>
      <c r="F26" s="276">
        <v>41.735392500403479119568238240</v>
      </c>
      <c r="G26" s="274">
        <v>2.6392961876832844574780058700</v>
      </c>
      <c r="H26" s="275">
        <v>1.5828491284311761170106191100</v>
      </c>
      <c r="I26" s="276">
        <v>0.9648744295962906046524514300</v>
      </c>
      <c r="J26" s="274">
        <v>0</v>
      </c>
      <c r="K26" s="275">
        <v>0</v>
      </c>
      <c r="L26" s="276">
        <v>4.2052013910212665389933043600</v>
      </c>
      <c r="M26" s="274">
        <v>71.676441837732160312805474100</v>
      </c>
      <c r="N26" s="275">
        <v>66.606558471916115674881453280</v>
      </c>
      <c r="O26" s="276">
        <v>46.905468321021036263213994030</v>
      </c>
      <c r="P26" s="184"/>
      <c r="Q26" s="274">
        <v>-15.190633443410387271089762830</v>
      </c>
      <c r="R26" s="275">
        <v>-17.299819345389538186507712140</v>
      </c>
      <c r="S26" s="276">
        <v>-37.850431747120533008478983050</v>
      </c>
      <c r="T26" s="274">
        <v>-29.870129870129870129870129830</v>
      </c>
      <c r="U26" s="275">
        <v>-80.22853652538809960099315428</v>
      </c>
      <c r="V26" s="276">
        <v>-89.84845040037811717691573804</v>
      </c>
      <c r="W26" s="274">
        <v>0</v>
      </c>
      <c r="X26" s="275">
        <v>0</v>
      </c>
      <c r="Y26" s="276">
        <v>-35.922778592469685608831475990</v>
      </c>
      <c r="Z26" s="274">
        <v>-15.839311334289813486370157820</v>
      </c>
      <c r="AA26" s="275">
        <v>-23.115136889581544983101846590</v>
      </c>
      <c r="AB26" s="276">
        <v>-43.637162755475441788311416240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88" t="s">
        <v>61</v>
      </c>
      <c r="C28" s="988"/>
      <c r="D28" s="988"/>
      <c r="E28" s="988"/>
      <c r="F28" s="988"/>
      <c r="G28" s="988"/>
      <c r="H28" s="988"/>
      <c r="I28" s="988"/>
      <c r="J28" s="988"/>
      <c r="K28" s="988"/>
      <c r="L28" s="988"/>
      <c r="M28" s="988"/>
      <c r="N28" s="988"/>
      <c r="O28" s="988"/>
      <c r="P28" s="412"/>
      <c r="Q28" s="986"/>
      <c r="R28" s="986"/>
      <c r="S28" s="986"/>
      <c r="T28" s="986"/>
      <c r="U28" s="986"/>
      <c r="V28" s="986"/>
      <c r="W28" s="986"/>
      <c r="X28" s="986"/>
      <c r="Y28" s="986"/>
      <c r="Z28" s="986"/>
      <c r="AA28" s="986"/>
      <c r="AB28" s="986"/>
      <c r="AC28" s="9"/>
    </row>
    <row r="29" ht="18" customHeight="1">
      <c r="A29" s="58"/>
      <c r="B29" s="285">
        <v>2018</v>
      </c>
      <c r="C29" s="286"/>
      <c r="D29" s="428">
        <v>34.887654022710799710074897320</v>
      </c>
      <c r="E29" s="429">
        <v>72.565833749430128302542170510</v>
      </c>
      <c r="F29" s="430">
        <v>55.854804198622832386849997250</v>
      </c>
      <c r="G29" s="428">
        <v>4.2683417894821615527099943600</v>
      </c>
      <c r="H29" s="429">
        <v>9.069752295768838330113105960</v>
      </c>
      <c r="I29" s="430">
        <v>15.349214593730450560413663080</v>
      </c>
      <c r="J29" s="428">
        <v>0.3865668035757429330756221300</v>
      </c>
      <c r="K29" s="429">
        <v>1.9212817228578251525085209400</v>
      </c>
      <c r="L29" s="430">
        <v>5.5440511631543326367093445200</v>
      </c>
      <c r="M29" s="428">
        <v>39.542562615768704195860513810</v>
      </c>
      <c r="N29" s="429">
        <v>83.55686776805679178516379741</v>
      </c>
      <c r="O29" s="430">
        <v>76.748069955507615583973004860</v>
      </c>
      <c r="P29" s="5"/>
      <c r="Q29" s="428">
        <v>-42.133933625220472435555658980</v>
      </c>
      <c r="R29" s="429">
        <v>7.7623081637017723509718844200</v>
      </c>
      <c r="S29" s="430">
        <v>-1.0118207276085851160937544500</v>
      </c>
      <c r="T29" s="428">
        <v>5.5432809906041576095439630100</v>
      </c>
      <c r="U29" s="429">
        <v>23.402106118362247163556388440</v>
      </c>
      <c r="V29" s="430">
        <v>-6.8895805603396010325849471700</v>
      </c>
      <c r="W29" s="428">
        <v>296.08601111379560280260932192</v>
      </c>
      <c r="X29" s="429">
        <v>-31.438710130498903214346204070</v>
      </c>
      <c r="Y29" s="430">
        <v>3.7910959160778604141836047900</v>
      </c>
      <c r="Z29" s="428">
        <v>-38.629104276918286794761217130</v>
      </c>
      <c r="AA29" s="429">
        <v>7.8280748348489687515758686300</v>
      </c>
      <c r="AB29" s="430">
        <v>-1.922205176521229915978451800</v>
      </c>
    </row>
    <row r="30" ht="18" customHeight="1">
      <c r="A30" s="58"/>
      <c r="B30" s="287">
        <v>2019</v>
      </c>
      <c r="C30" s="288"/>
      <c r="D30" s="272">
        <v>61.129099211290992112909921130</v>
      </c>
      <c r="E30" s="92">
        <v>76.143542539565377852072162040</v>
      </c>
      <c r="F30" s="273">
        <v>57.688682304738133199394271740</v>
      </c>
      <c r="G30" s="272">
        <v>6.4591116645911166459111664600</v>
      </c>
      <c r="H30" s="92">
        <v>8.258254998588889130104422200</v>
      </c>
      <c r="I30" s="273">
        <v>14.934339081560734228781134030</v>
      </c>
      <c r="J30" s="272">
        <v>0</v>
      </c>
      <c r="K30" s="92">
        <v>0.0086837591993574018192475500</v>
      </c>
      <c r="L30" s="273">
        <v>6.5764360914707568927563732200</v>
      </c>
      <c r="M30" s="272">
        <v>67.588210875882108758821087590</v>
      </c>
      <c r="N30" s="92">
        <v>84.41048129735362438399583180</v>
      </c>
      <c r="O30" s="273">
        <v>79.19945747776962432093177900</v>
      </c>
      <c r="P30" s="5"/>
      <c r="Q30" s="272">
        <v>75.216995592474665066020888880</v>
      </c>
      <c r="R30" s="92">
        <v>4.9302937832824747202776281900</v>
      </c>
      <c r="S30" s="273">
        <v>3.2832952015979268094986701800</v>
      </c>
      <c r="T30" s="272">
        <v>51.326017998543198853356516950</v>
      </c>
      <c r="U30" s="92">
        <v>-8.947292833548757719373833130</v>
      </c>
      <c r="V30" s="273">
        <v>-2.7029103648024872442758367800</v>
      </c>
      <c r="W30" s="272">
        <v>-100</v>
      </c>
      <c r="X30" s="92">
        <v>-99.54802259887005649717514136</v>
      </c>
      <c r="Y30" s="273">
        <v>18.621489916572857205867331390</v>
      </c>
      <c r="Z30" s="272">
        <v>70.925216791411027384578705630</v>
      </c>
      <c r="AA30" s="92">
        <v>1.0215958928311612728897757300</v>
      </c>
      <c r="AB30" s="273">
        <v>3.1940705788212353710095077400</v>
      </c>
    </row>
    <row r="31" ht="18" customHeight="1">
      <c r="A31" s="58"/>
      <c r="B31" s="426">
        <v>2020</v>
      </c>
      <c r="C31" s="427"/>
      <c r="D31" s="431">
        <v>45.213611525086934923000496770</v>
      </c>
      <c r="E31" s="432">
        <v>49.957000059513263315861564200</v>
      </c>
      <c r="F31" s="433">
        <v>30.923800846352271168058437990</v>
      </c>
      <c r="G31" s="431">
        <v>4.1231992051664182811723795300</v>
      </c>
      <c r="H31" s="432">
        <v>4.727750842462318450753926100</v>
      </c>
      <c r="I31" s="433">
        <v>8.062426998566784472012739490</v>
      </c>
      <c r="J31" s="431">
        <v>0</v>
      </c>
      <c r="K31" s="432">
        <v>0</v>
      </c>
      <c r="L31" s="433">
        <v>4.5145798095111012411489580700</v>
      </c>
      <c r="M31" s="431">
        <v>49.336810730253353204172876300</v>
      </c>
      <c r="N31" s="432">
        <v>54.684750901975581766615490290</v>
      </c>
      <c r="O31" s="433">
        <v>43.500807654430156881220135560</v>
      </c>
      <c r="P31" s="184"/>
      <c r="Q31" s="431">
        <v>-26.035861629815003239502786420</v>
      </c>
      <c r="R31" s="432">
        <v>-34.391022017980286020455858140</v>
      </c>
      <c r="S31" s="433">
        <v>-46.395376682381922399645219910</v>
      </c>
      <c r="T31" s="431">
        <v>-36.164608706645876353828648540</v>
      </c>
      <c r="U31" s="432">
        <v>-42.751212656061573397192929010</v>
      </c>
      <c r="V31" s="433">
        <v>-46.014169394872149005292921860</v>
      </c>
      <c r="W31" s="431">
        <v>0</v>
      </c>
      <c r="X31" s="432">
        <v>-100</v>
      </c>
      <c r="Y31" s="433">
        <v>-31.352183056013568867229725470</v>
      </c>
      <c r="Z31" s="431">
        <v>-27.003821981832497316759329930</v>
      </c>
      <c r="AA31" s="432">
        <v>-35.215686415366976417992661670</v>
      </c>
      <c r="AB31" s="433">
        <v>-45.074361567892895416860372960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87" t="s">
        <v>44</v>
      </c>
      <c r="C33" s="987"/>
      <c r="D33" s="987"/>
      <c r="E33" s="987"/>
      <c r="F33" s="987"/>
      <c r="G33" s="987"/>
      <c r="H33" s="987"/>
      <c r="I33" s="987"/>
      <c r="J33" s="987"/>
      <c r="K33" s="987"/>
      <c r="L33" s="987"/>
      <c r="M33" s="987"/>
      <c r="N33" s="987"/>
      <c r="O33" s="987"/>
      <c r="P33" s="412"/>
      <c r="Q33" s="986"/>
      <c r="R33" s="986"/>
      <c r="S33" s="986"/>
      <c r="T33" s="986"/>
      <c r="U33" s="986"/>
      <c r="V33" s="986"/>
      <c r="W33" s="986"/>
      <c r="X33" s="986"/>
      <c r="Y33" s="986"/>
      <c r="Z33" s="986"/>
      <c r="AA33" s="986"/>
      <c r="AB33" s="986"/>
      <c r="AC33" s="9"/>
    </row>
    <row r="34" ht="18" customHeight="1">
      <c r="A34" s="58"/>
      <c r="B34" s="285">
        <v>2018</v>
      </c>
      <c r="C34" s="286"/>
      <c r="D34" s="428">
        <v>40.151515151515151515151515150</v>
      </c>
      <c r="E34" s="429">
        <v>74.517673809687866051126576170</v>
      </c>
      <c r="F34" s="430">
        <v>55.303308049091595372790180420</v>
      </c>
      <c r="G34" s="428">
        <v>7.0158102766798418972332015800</v>
      </c>
      <c r="H34" s="429">
        <v>8.993660855784469096671949290</v>
      </c>
      <c r="I34" s="430">
        <v>13.371677376362193912375634430</v>
      </c>
      <c r="J34" s="428">
        <v>0</v>
      </c>
      <c r="K34" s="429">
        <v>0.0034451870736580996348101700</v>
      </c>
      <c r="L34" s="430">
        <v>5.1063100081435152391935760200</v>
      </c>
      <c r="M34" s="428">
        <v>47.167325428194993412384716730</v>
      </c>
      <c r="N34" s="429">
        <v>83.51477985254599324743333563</v>
      </c>
      <c r="O34" s="430">
        <v>73.781295433597304524359390870</v>
      </c>
      <c r="P34" s="5"/>
      <c r="Q34" s="428">
        <v>-11.909235438647203353085706030</v>
      </c>
      <c r="R34" s="429">
        <v>12.454507642716023708017053130</v>
      </c>
      <c r="S34" s="430">
        <v>-0.9870129470899233343356446200</v>
      </c>
      <c r="T34" s="428">
        <v>92.35400361228175797712221573</v>
      </c>
      <c r="U34" s="429">
        <v>1.5956411753259388986184082700</v>
      </c>
      <c r="V34" s="430">
        <v>-10.489646228878340825572421460</v>
      </c>
      <c r="W34" s="428">
        <v>-100</v>
      </c>
      <c r="X34" s="429">
        <v>-99.89914271306101865859808372</v>
      </c>
      <c r="Y34" s="430">
        <v>-5.0217282879475406281475195900</v>
      </c>
      <c r="Z34" s="428">
        <v>-4.9305125254492343099938036600</v>
      </c>
      <c r="AA34" s="429">
        <v>6.3434963807852599254222417200</v>
      </c>
      <c r="AB34" s="430">
        <v>-3.1354916835383895278363956500</v>
      </c>
    </row>
    <row r="35" ht="18" customHeight="1">
      <c r="A35" s="58"/>
      <c r="B35" s="287">
        <v>2019</v>
      </c>
      <c r="C35" s="288"/>
      <c r="D35" s="272">
        <v>70.619235836627140974967061920</v>
      </c>
      <c r="E35" s="92">
        <v>76.527940467167367188038310480</v>
      </c>
      <c r="F35" s="273">
        <v>59.674352730179196370435839950</v>
      </c>
      <c r="G35" s="272">
        <v>4.9901185770750988142292490100</v>
      </c>
      <c r="H35" s="92">
        <v>8.547509129745745193964032250</v>
      </c>
      <c r="I35" s="273">
        <v>13.638248763107241185674520110</v>
      </c>
      <c r="J35" s="272">
        <v>0</v>
      </c>
      <c r="K35" s="92">
        <v>0</v>
      </c>
      <c r="L35" s="273">
        <v>6.2990670526957385195354280700</v>
      </c>
      <c r="M35" s="272">
        <v>75.609354413702239789196310940</v>
      </c>
      <c r="N35" s="92">
        <v>85.07544959691311238200234273</v>
      </c>
      <c r="O35" s="273">
        <v>79.61166854598217607564578814</v>
      </c>
      <c r="P35" s="5"/>
      <c r="Q35" s="272">
        <v>75.881870385561936013125512710</v>
      </c>
      <c r="R35" s="92">
        <v>2.6977045239140988002496590300</v>
      </c>
      <c r="S35" s="273">
        <v>7.9037671258426631929854381400</v>
      </c>
      <c r="T35" s="272">
        <v>-28.873239436619718309859154950</v>
      </c>
      <c r="U35" s="92">
        <v>-4.960735491285194407201685500</v>
      </c>
      <c r="V35" s="273">
        <v>1.9935523363454708294079331500</v>
      </c>
      <c r="W35" s="272">
        <v>0</v>
      </c>
      <c r="X35" s="92">
        <v>-100</v>
      </c>
      <c r="Y35" s="273">
        <v>23.358492583686084024343890780</v>
      </c>
      <c r="Z35" s="272">
        <v>60.300279329608938547486033540</v>
      </c>
      <c r="AA35" s="92">
        <v>1.8687347881688049172888907300</v>
      </c>
      <c r="AB35" s="273">
        <v>7.9022373870246967663432072400</v>
      </c>
    </row>
    <row r="36" ht="18" customHeight="1">
      <c r="A36" s="58"/>
      <c r="B36" s="426">
        <v>2020</v>
      </c>
      <c r="C36" s="427"/>
      <c r="D36" s="431">
        <v>57.147562582345191040843214760</v>
      </c>
      <c r="E36" s="432">
        <v>56.825546853902241425870915470</v>
      </c>
      <c r="F36" s="433">
        <v>35.406332205813009846995427460</v>
      </c>
      <c r="G36" s="431">
        <v>1.7374835309617918313570487500</v>
      </c>
      <c r="H36" s="432">
        <v>0.6863804122783328832478170900</v>
      </c>
      <c r="I36" s="433">
        <v>2.0578305465321752238174475600</v>
      </c>
      <c r="J36" s="431">
        <v>0</v>
      </c>
      <c r="K36" s="432">
        <v>0</v>
      </c>
      <c r="L36" s="433">
        <v>3.8677454263767927739359256800</v>
      </c>
      <c r="M36" s="431">
        <v>58.885046113306982872200263500</v>
      </c>
      <c r="N36" s="432">
        <v>57.511927266180574309118732560</v>
      </c>
      <c r="O36" s="433">
        <v>41.331908178721977844748800690</v>
      </c>
      <c r="P36" s="184"/>
      <c r="Q36" s="431">
        <v>-19.076492537313432835820895510</v>
      </c>
      <c r="R36" s="432">
        <v>-25.745359790151422156965326950</v>
      </c>
      <c r="S36" s="433">
        <v>-40.667421453392799925969279100</v>
      </c>
      <c r="T36" s="431">
        <v>-65.181518151815181518151815140</v>
      </c>
      <c r="U36" s="432">
        <v>-91.96981948940310750941106858</v>
      </c>
      <c r="V36" s="433">
        <v>-84.91132855635539961840810162</v>
      </c>
      <c r="W36" s="431">
        <v>0</v>
      </c>
      <c r="X36" s="432">
        <v>0</v>
      </c>
      <c r="Y36" s="433">
        <v>-38.598122642279879934188633600</v>
      </c>
      <c r="Z36" s="431">
        <v>-22.119363972990633848834676550</v>
      </c>
      <c r="AA36" s="432">
        <v>-32.398914682588590350025093900</v>
      </c>
      <c r="AB36" s="433">
        <v>-48.083102724006520820136652180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87" t="s">
        <v>45</v>
      </c>
      <c r="C38" s="987"/>
      <c r="D38" s="987"/>
      <c r="E38" s="987"/>
      <c r="F38" s="987"/>
      <c r="G38" s="987"/>
      <c r="H38" s="987"/>
      <c r="I38" s="987"/>
      <c r="J38" s="987"/>
      <c r="K38" s="987"/>
      <c r="L38" s="987"/>
      <c r="M38" s="987"/>
      <c r="N38" s="987"/>
      <c r="O38" s="987"/>
      <c r="P38" s="412"/>
      <c r="Q38" s="986"/>
      <c r="R38" s="986"/>
      <c r="S38" s="986"/>
      <c r="T38" s="986"/>
      <c r="U38" s="986"/>
      <c r="V38" s="986"/>
      <c r="W38" s="986"/>
      <c r="X38" s="986"/>
      <c r="Y38" s="986"/>
      <c r="Z38" s="986"/>
      <c r="AA38" s="986"/>
      <c r="AB38" s="986"/>
      <c r="AC38" s="9"/>
    </row>
    <row r="39" ht="18" customHeight="1">
      <c r="A39" s="58"/>
      <c r="B39" s="285">
        <v>2018</v>
      </c>
      <c r="C39" s="286"/>
      <c r="D39" s="428">
        <v>34.887654022710799710074897320</v>
      </c>
      <c r="E39" s="429">
        <v>72.565833749430128302542170510</v>
      </c>
      <c r="F39" s="430">
        <v>55.854804198622832386849997250</v>
      </c>
      <c r="G39" s="428">
        <v>4.2683417894821615527099943600</v>
      </c>
      <c r="H39" s="429">
        <v>9.069752295768838330113105960</v>
      </c>
      <c r="I39" s="430">
        <v>15.349214593730450560413663080</v>
      </c>
      <c r="J39" s="428">
        <v>0.3865668035757429330756221300</v>
      </c>
      <c r="K39" s="429">
        <v>1.9212817228578251525085209400</v>
      </c>
      <c r="L39" s="430">
        <v>5.5440511631543326367093445200</v>
      </c>
      <c r="M39" s="428">
        <v>39.542562615768704195860513810</v>
      </c>
      <c r="N39" s="429">
        <v>83.55686776805679178516379741</v>
      </c>
      <c r="O39" s="430">
        <v>76.748069955507615583973004860</v>
      </c>
      <c r="P39" s="5"/>
      <c r="Q39" s="428">
        <v>-42.133933625220472435555658980</v>
      </c>
      <c r="R39" s="429">
        <v>7.7623081637017723509718844200</v>
      </c>
      <c r="S39" s="430">
        <v>-1.0118207276085851160937544500</v>
      </c>
      <c r="T39" s="428">
        <v>5.5432809906041576095439630100</v>
      </c>
      <c r="U39" s="429">
        <v>23.402106118362247163556388440</v>
      </c>
      <c r="V39" s="430">
        <v>-6.8895805603396010325849471700</v>
      </c>
      <c r="W39" s="428">
        <v>296.08601111379560280260932192</v>
      </c>
      <c r="X39" s="429">
        <v>-31.438710130498903214346204070</v>
      </c>
      <c r="Y39" s="430">
        <v>3.7910959160778604141836047900</v>
      </c>
      <c r="Z39" s="428">
        <v>-38.629104276918286794761217130</v>
      </c>
      <c r="AA39" s="429">
        <v>7.8280748348489687515758686300</v>
      </c>
      <c r="AB39" s="430">
        <v>-1.922205176521229915978451800</v>
      </c>
    </row>
    <row r="40" ht="18" customHeight="1">
      <c r="A40" s="58"/>
      <c r="B40" s="287">
        <v>2019</v>
      </c>
      <c r="C40" s="288"/>
      <c r="D40" s="272">
        <v>61.129099211290992112909921130</v>
      </c>
      <c r="E40" s="92">
        <v>76.143542539565377852072162040</v>
      </c>
      <c r="F40" s="273">
        <v>57.688682304738133199394271740</v>
      </c>
      <c r="G40" s="272">
        <v>6.4591116645911166459111664600</v>
      </c>
      <c r="H40" s="92">
        <v>8.258254998588889130104422200</v>
      </c>
      <c r="I40" s="273">
        <v>14.934339081560734228781134030</v>
      </c>
      <c r="J40" s="272">
        <v>0</v>
      </c>
      <c r="K40" s="92">
        <v>0.0086837591993574018192475500</v>
      </c>
      <c r="L40" s="273">
        <v>6.5764360914707568927563732200</v>
      </c>
      <c r="M40" s="272">
        <v>67.588210875882108758821087590</v>
      </c>
      <c r="N40" s="92">
        <v>84.41048129735362438399583180</v>
      </c>
      <c r="O40" s="273">
        <v>79.19945747776962432093177900</v>
      </c>
      <c r="P40" s="5"/>
      <c r="Q40" s="272">
        <v>75.216995592474665066020888880</v>
      </c>
      <c r="R40" s="92">
        <v>4.9302937832824747202776281900</v>
      </c>
      <c r="S40" s="273">
        <v>3.2832952015979268094986701800</v>
      </c>
      <c r="T40" s="272">
        <v>51.326017998543198853356516950</v>
      </c>
      <c r="U40" s="92">
        <v>-8.947292833548757719373833130</v>
      </c>
      <c r="V40" s="273">
        <v>-2.7029103648024872442758367800</v>
      </c>
      <c r="W40" s="272">
        <v>-100</v>
      </c>
      <c r="X40" s="92">
        <v>-99.54802259887005649717514136</v>
      </c>
      <c r="Y40" s="273">
        <v>18.621489916572857205867331390</v>
      </c>
      <c r="Z40" s="272">
        <v>70.925216791411027384578705630</v>
      </c>
      <c r="AA40" s="92">
        <v>1.0215958928311612728897757300</v>
      </c>
      <c r="AB40" s="273">
        <v>3.1940705788212353710095077400</v>
      </c>
    </row>
    <row r="41" ht="18" customHeight="1">
      <c r="A41" s="58"/>
      <c r="B41" s="426">
        <v>2020</v>
      </c>
      <c r="C41" s="427"/>
      <c r="D41" s="431">
        <v>45.213611525086934923000496770</v>
      </c>
      <c r="E41" s="432">
        <v>49.957000059513263315861564200</v>
      </c>
      <c r="F41" s="433">
        <v>30.923800846352271168058437990</v>
      </c>
      <c r="G41" s="431">
        <v>4.1231992051664182811723795300</v>
      </c>
      <c r="H41" s="432">
        <v>4.727750842462318450753926100</v>
      </c>
      <c r="I41" s="433">
        <v>8.062426998566784472012739490</v>
      </c>
      <c r="J41" s="431">
        <v>0</v>
      </c>
      <c r="K41" s="432">
        <v>0</v>
      </c>
      <c r="L41" s="433">
        <v>4.5145798095111012411489580700</v>
      </c>
      <c r="M41" s="431">
        <v>49.336810730253353204172876300</v>
      </c>
      <c r="N41" s="432">
        <v>54.684750901975581766615490290</v>
      </c>
      <c r="O41" s="433">
        <v>43.500807654430156881220135560</v>
      </c>
      <c r="P41" s="184"/>
      <c r="Q41" s="431">
        <v>-26.035861629815003239502786420</v>
      </c>
      <c r="R41" s="432">
        <v>-34.391022017980286020455858140</v>
      </c>
      <c r="S41" s="433">
        <v>-46.395376682381922399645219910</v>
      </c>
      <c r="T41" s="431">
        <v>-36.164608706645876353828648540</v>
      </c>
      <c r="U41" s="432">
        <v>-42.751212656061573397192929010</v>
      </c>
      <c r="V41" s="433">
        <v>-46.014169394872149005292921860</v>
      </c>
      <c r="W41" s="431">
        <v>0</v>
      </c>
      <c r="X41" s="432">
        <v>-100</v>
      </c>
      <c r="Y41" s="433">
        <v>-31.352183056013568867229725470</v>
      </c>
      <c r="Z41" s="431">
        <v>-27.003821981832497316759329930</v>
      </c>
      <c r="AA41" s="432">
        <v>-35.215686415366976417992661670</v>
      </c>
      <c r="AB41" s="433">
        <v>-45.074361567892895416860372960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49" t="s">
        <v>129</v>
      </c>
      <c r="C43" s="1049"/>
      <c r="D43" s="1049"/>
      <c r="E43" s="1049"/>
      <c r="F43" s="1049"/>
      <c r="G43" s="1049"/>
      <c r="H43" s="1049"/>
      <c r="I43" s="1049"/>
      <c r="J43" s="1049"/>
      <c r="K43" s="1049"/>
      <c r="L43" s="1049"/>
      <c r="M43" s="1049"/>
      <c r="N43" s="1049"/>
      <c r="O43" s="1049"/>
      <c r="P43" s="1049"/>
      <c r="Q43" s="1049"/>
      <c r="R43" s="1049"/>
      <c r="S43" s="1049"/>
      <c r="T43" s="1049"/>
      <c r="U43" s="1049"/>
      <c r="V43" s="1049"/>
      <c r="W43" s="1049"/>
      <c r="X43" s="1049"/>
      <c r="Y43" s="1049"/>
      <c r="Z43" s="1049"/>
      <c r="AA43" s="1049"/>
      <c r="AB43" s="1049"/>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10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7" t="s">
        <v>184</v>
      </c>
      <c r="Z1" s="5"/>
      <c r="AB1" s="686"/>
      <c r="AD1" s="236"/>
    </row>
    <row r="2" ht="15" customHeight="1">
      <c r="A2" s="11"/>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row>
    <row r="3" ht="17.1" customHeight="1">
      <c r="A3" s="11"/>
      <c r="B3" s="1014" t="s">
        <v>212</v>
      </c>
      <c r="C3" s="1014"/>
      <c r="D3" s="1014"/>
      <c r="E3" s="1014"/>
      <c r="F3" s="1014"/>
      <c r="G3" s="1014"/>
      <c r="H3" s="1014"/>
      <c r="I3" s="1014"/>
      <c r="J3" s="1014"/>
      <c r="K3" s="1014"/>
      <c r="L3" s="1014"/>
      <c r="M3" s="1014"/>
      <c r="N3" s="1014"/>
      <c r="O3" s="1014"/>
      <c r="P3" s="1014"/>
      <c r="Q3" s="1014"/>
      <c r="R3" s="1048" t="s">
        <v>298</v>
      </c>
      <c r="S3" s="1048"/>
      <c r="T3" s="1048"/>
      <c r="U3" s="1048"/>
      <c r="V3" s="1048"/>
      <c r="W3" s="1048"/>
      <c r="X3" s="1048"/>
      <c r="Y3" s="1048"/>
      <c r="Z3" s="1048"/>
      <c r="AA3" s="1048"/>
      <c r="AB3" s="1048"/>
    </row>
    <row r="4" ht="19.5" customHeight="1">
      <c r="A4" s="4"/>
      <c r="B4" s="1014" t="s">
        <v>213</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row>
    <row r="5" ht="12.75" customHeight="1"/>
    <row r="6" ht="15.75" customHeight="1">
      <c r="D6" s="975" t="s">
        <v>93</v>
      </c>
      <c r="E6" s="975"/>
      <c r="F6" s="975"/>
      <c r="G6" s="975"/>
      <c r="H6" s="975"/>
      <c r="I6" s="975"/>
      <c r="J6" s="975"/>
      <c r="K6" s="975"/>
      <c r="L6" s="975"/>
      <c r="M6" s="975"/>
      <c r="N6" s="975"/>
      <c r="O6" s="975"/>
      <c r="Q6" s="975" t="s">
        <v>72</v>
      </c>
      <c r="R6" s="975"/>
      <c r="S6" s="975"/>
      <c r="T6" s="975"/>
      <c r="U6" s="975"/>
      <c r="V6" s="975"/>
      <c r="W6" s="975"/>
      <c r="X6" s="975"/>
      <c r="Y6" s="975"/>
      <c r="Z6" s="975"/>
      <c r="AA6" s="975"/>
      <c r="AB6" s="975"/>
    </row>
    <row r="7" ht="15.75" customHeight="1">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958" t="s">
        <v>42</v>
      </c>
      <c r="C8" s="958"/>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18" customHeight="1">
      <c r="A9" s="57"/>
      <c r="B9" s="285">
        <v>2019</v>
      </c>
      <c r="C9" s="286" t="s">
        <v>221</v>
      </c>
      <c r="D9" s="435">
        <v>157.34417455743104158089748868</v>
      </c>
      <c r="E9" s="436">
        <v>163.94995159064336699529385884</v>
      </c>
      <c r="F9" s="437">
        <v>147.38937249171230795207103329</v>
      </c>
      <c r="G9" s="435">
        <v>161.40845070422535211267605634</v>
      </c>
      <c r="H9" s="436">
        <v>186.91803875727163934797983827</v>
      </c>
      <c r="I9" s="437">
        <v>132.48375483109778180699508196</v>
      </c>
      <c r="J9" s="435">
        <v>0</v>
      </c>
      <c r="K9" s="436">
        <v>0</v>
      </c>
      <c r="L9" s="437">
        <v>116.81180759835526610576684141</v>
      </c>
      <c r="M9" s="435">
        <v>157.459600000</v>
      </c>
      <c r="N9" s="436">
        <v>165.32644633301857097891092226</v>
      </c>
      <c r="O9" s="437">
        <v>142.1541976107679987713774833</v>
      </c>
      <c r="P9" s="5"/>
      <c r="Q9" s="416">
        <v>10.456256988378228242093573730</v>
      </c>
      <c r="R9" s="417">
        <v>-5.3822851549369599619476599600</v>
      </c>
      <c r="S9" s="418">
        <v>-0.7692654100194855464108402100</v>
      </c>
      <c r="T9" s="416">
        <v>-8.531493035615211656949297720</v>
      </c>
      <c r="U9" s="417">
        <v>-7.3010055184821008535937288200</v>
      </c>
      <c r="V9" s="418">
        <v>-1.1900668976385146809615389800</v>
      </c>
      <c r="W9" s="416">
        <v>0</v>
      </c>
      <c r="X9" s="417">
        <v>-100</v>
      </c>
      <c r="Y9" s="418">
        <v>4.6897732864571437896600545600</v>
      </c>
      <c r="Z9" s="416">
        <v>9.931641515438440715523304010</v>
      </c>
      <c r="AA9" s="417">
        <v>-5.3510425153294427378965579800</v>
      </c>
      <c r="AB9" s="418">
        <v>-1.1111552994981603855608704600</v>
      </c>
    </row>
    <row r="10" ht="18" customHeight="1">
      <c r="A10" s="58"/>
      <c r="B10" s="287"/>
      <c r="C10" s="288" t="s">
        <v>224</v>
      </c>
      <c r="D10" s="277">
        <v>135.78702043743277160272499104</v>
      </c>
      <c r="E10" s="94">
        <v>148.48044037751041988422449094</v>
      </c>
      <c r="F10" s="278">
        <v>137.26091953094840359765177761</v>
      </c>
      <c r="G10" s="277">
        <v>139.625</v>
      </c>
      <c r="H10" s="94">
        <v>158.50569700370137932748898897</v>
      </c>
      <c r="I10" s="278">
        <v>134.79568975440703404853933411</v>
      </c>
      <c r="J10" s="277">
        <v>0</v>
      </c>
      <c r="K10" s="94">
        <v>0</v>
      </c>
      <c r="L10" s="278">
        <v>120.08812240388068023156026712</v>
      </c>
      <c r="M10" s="277">
        <v>135.79799785484447622452627816</v>
      </c>
      <c r="N10" s="94">
        <v>148.70800635579479862507296193</v>
      </c>
      <c r="O10" s="278">
        <v>135.53866028924545156439047005</v>
      </c>
      <c r="P10" s="5"/>
      <c r="Q10" s="272">
        <v>-6.3104166448444066526427367700</v>
      </c>
      <c r="R10" s="92">
        <v>-6.4623136854003180254782838700</v>
      </c>
      <c r="S10" s="273">
        <v>-1.0643863451200324775550323200</v>
      </c>
      <c r="T10" s="272">
        <v>16.84100418410041841004184100</v>
      </c>
      <c r="U10" s="92">
        <v>-8.732379146232318713886439040</v>
      </c>
      <c r="V10" s="273">
        <v>-1.4433442009859096837730833500</v>
      </c>
      <c r="W10" s="272">
        <v>0</v>
      </c>
      <c r="X10" s="92">
        <v>-100</v>
      </c>
      <c r="Y10" s="273">
        <v>6.9426695286071373482066443300</v>
      </c>
      <c r="Z10" s="272">
        <v>-6.2301543771215364156719831700</v>
      </c>
      <c r="AA10" s="92">
        <v>-6.6948159192389746476866537100</v>
      </c>
      <c r="AB10" s="273">
        <v>-0.8365030211534312636723819700</v>
      </c>
    </row>
    <row r="11" ht="18" customHeight="1">
      <c r="A11" s="58"/>
      <c r="B11" s="289"/>
      <c r="C11" s="290" t="s">
        <v>226</v>
      </c>
      <c r="D11" s="440">
        <v>124.08808042125418860698898995</v>
      </c>
      <c r="E11" s="95">
        <v>133.76194357850659577077262505</v>
      </c>
      <c r="F11" s="441">
        <v>133.8526373915503800346898866</v>
      </c>
      <c r="G11" s="440">
        <v>97.36</v>
      </c>
      <c r="H11" s="95">
        <v>151.08025950381668095509974918</v>
      </c>
      <c r="I11" s="441">
        <v>140.36610514838389197421760619</v>
      </c>
      <c r="J11" s="440">
        <v>0</v>
      </c>
      <c r="K11" s="95">
        <v>0</v>
      </c>
      <c r="L11" s="441">
        <v>116.80006082392349968223349104</v>
      </c>
      <c r="M11" s="440">
        <v>123.77199621570482497634815516</v>
      </c>
      <c r="N11" s="95">
        <v>134.72185658699277376320177876</v>
      </c>
      <c r="O11" s="441">
        <v>133.41878096631529943803411698</v>
      </c>
      <c r="P11" s="5"/>
      <c r="Q11" s="421">
        <v>-9.679637463009204308751352830</v>
      </c>
      <c r="R11" s="91">
        <v>-11.912634112062655475483223510</v>
      </c>
      <c r="S11" s="422">
        <v>0.5262832552923274404779131800</v>
      </c>
      <c r="T11" s="421">
        <v>-36.787269255251432208784213870</v>
      </c>
      <c r="U11" s="91">
        <v>-11.728169808762289515293621730</v>
      </c>
      <c r="V11" s="422">
        <v>-4.8572445987342079753231248300</v>
      </c>
      <c r="W11" s="421">
        <v>0</v>
      </c>
      <c r="X11" s="91">
        <v>-100</v>
      </c>
      <c r="Y11" s="422">
        <v>5.2416696124942491582925818100</v>
      </c>
      <c r="Z11" s="421">
        <v>-11.033059542831884678744901230</v>
      </c>
      <c r="AA11" s="91">
        <v>-12.045968234978648717853141170</v>
      </c>
      <c r="AB11" s="422">
        <v>-0.2643090859990371196909375700</v>
      </c>
    </row>
    <row r="12" ht="18" customHeight="1">
      <c r="A12" s="58"/>
      <c r="B12" s="287"/>
      <c r="C12" s="288" t="s">
        <v>228</v>
      </c>
      <c r="D12" s="277">
        <v>145.01742574257425742574257426</v>
      </c>
      <c r="E12" s="94">
        <v>150.85830370267528987837586901</v>
      </c>
      <c r="F12" s="278">
        <v>154.12131600831741296308475905</v>
      </c>
      <c r="G12" s="277">
        <v>128</v>
      </c>
      <c r="H12" s="94">
        <v>173.94551937065198468704736858</v>
      </c>
      <c r="I12" s="278">
        <v>173.99299195942657439721351835</v>
      </c>
      <c r="J12" s="277">
        <v>0</v>
      </c>
      <c r="K12" s="94">
        <v>0</v>
      </c>
      <c r="L12" s="278">
        <v>119.97136643564412444449338907</v>
      </c>
      <c r="M12" s="277">
        <v>143.73379714390333211277920176</v>
      </c>
      <c r="N12" s="94">
        <v>152.8289816490049108296717498</v>
      </c>
      <c r="O12" s="278">
        <v>155.13134274106080237323311973</v>
      </c>
      <c r="P12" s="5"/>
      <c r="Q12" s="272">
        <v>-7.0960462272822688066421054700</v>
      </c>
      <c r="R12" s="92">
        <v>-10.457207751695997617309907480</v>
      </c>
      <c r="S12" s="273">
        <v>-4.4358516316300739791723439300</v>
      </c>
      <c r="T12" s="272">
        <v>-17.350960874833208079630680510</v>
      </c>
      <c r="U12" s="92">
        <v>-11.576003077453174430070251460</v>
      </c>
      <c r="V12" s="273">
        <v>-3.7241734704556019150567888800</v>
      </c>
      <c r="W12" s="272">
        <v>0</v>
      </c>
      <c r="X12" s="92">
        <v>-100</v>
      </c>
      <c r="Y12" s="273">
        <v>5.3190053317846716569196884400</v>
      </c>
      <c r="Z12" s="272">
        <v>-7.7556985622953634753938267300</v>
      </c>
      <c r="AA12" s="92">
        <v>-11.169185486352370031905157090</v>
      </c>
      <c r="AB12" s="273">
        <v>-4.3297315463078776464831159400</v>
      </c>
    </row>
    <row r="13" ht="18" customHeight="1">
      <c r="A13" s="58"/>
      <c r="B13" s="289"/>
      <c r="C13" s="290" t="s">
        <v>229</v>
      </c>
      <c r="D13" s="440">
        <v>170.94889705882352941176470588</v>
      </c>
      <c r="E13" s="95">
        <v>177.30722615507784782968644104</v>
      </c>
      <c r="F13" s="441">
        <v>169.31765433074289228848607608</v>
      </c>
      <c r="G13" s="440">
        <v>155.9837398373983739837398374</v>
      </c>
      <c r="H13" s="95">
        <v>195.89011340951121347862130434</v>
      </c>
      <c r="I13" s="441">
        <v>184.2477997973089922115205862</v>
      </c>
      <c r="J13" s="440">
        <v>0</v>
      </c>
      <c r="K13" s="95">
        <v>0</v>
      </c>
      <c r="L13" s="441">
        <v>123.56332577119624496981359983</v>
      </c>
      <c r="M13" s="440">
        <v>169.70768712070128118678354686</v>
      </c>
      <c r="N13" s="95">
        <v>179.5799770128492278674997053</v>
      </c>
      <c r="O13" s="441">
        <v>168.99918043621943159286186385</v>
      </c>
      <c r="P13" s="5"/>
      <c r="Q13" s="421">
        <v>0.0977572489314367795956977200</v>
      </c>
      <c r="R13" s="91">
        <v>-2.5059664834432655054022975900</v>
      </c>
      <c r="S13" s="422">
        <v>-0.3114274432602426813010479600</v>
      </c>
      <c r="T13" s="421">
        <v>-20.826018552748093571876853770</v>
      </c>
      <c r="U13" s="91">
        <v>-6.7096193140018709581477599500</v>
      </c>
      <c r="V13" s="422">
        <v>-2.3006080960391487812793600</v>
      </c>
      <c r="W13" s="421">
        <v>0</v>
      </c>
      <c r="X13" s="91">
        <v>0</v>
      </c>
      <c r="Y13" s="422">
        <v>3.4094713043506864785500510400</v>
      </c>
      <c r="Z13" s="421">
        <v>-2.4383257253700759834972395700</v>
      </c>
      <c r="AA13" s="91">
        <v>-3.1225677873249666300148728200</v>
      </c>
      <c r="AB13" s="422">
        <v>-0.9026132150260901784508272500</v>
      </c>
    </row>
    <row r="14" ht="18" customHeight="1">
      <c r="A14" s="58"/>
      <c r="B14" s="287"/>
      <c r="C14" s="288" t="s">
        <v>230</v>
      </c>
      <c r="D14" s="277">
        <v>252.73281296907835484839387571</v>
      </c>
      <c r="E14" s="94">
        <v>290.93126308826031064262744133</v>
      </c>
      <c r="F14" s="278">
        <v>219.49853506382507717856343768</v>
      </c>
      <c r="G14" s="277">
        <v>205.04545454545454545454545455</v>
      </c>
      <c r="H14" s="94">
        <v>268.08236507187511003600890963</v>
      </c>
      <c r="I14" s="278">
        <v>211.28755544106473949468841979</v>
      </c>
      <c r="J14" s="277">
        <v>0</v>
      </c>
      <c r="K14" s="94">
        <v>0</v>
      </c>
      <c r="L14" s="278">
        <v>126.71762568306437948951632735</v>
      </c>
      <c r="M14" s="277">
        <v>250.6255380200860832137733142</v>
      </c>
      <c r="N14" s="94">
        <v>288.819769267083677564026909</v>
      </c>
      <c r="O14" s="278">
        <v>211.24412059330523082868489431</v>
      </c>
      <c r="P14" s="5"/>
      <c r="Q14" s="272">
        <v>-8.388269169150252616772649040</v>
      </c>
      <c r="R14" s="92">
        <v>1.5344929278681734675672918600</v>
      </c>
      <c r="S14" s="273">
        <v>-2.0105778228478678241201149900</v>
      </c>
      <c r="T14" s="272">
        <v>-20.197000964351892993144215040</v>
      </c>
      <c r="U14" s="92">
        <v>-23.389241265728203307902947420</v>
      </c>
      <c r="V14" s="273">
        <v>-5.4800292579718461721080448800</v>
      </c>
      <c r="W14" s="272">
        <v>0</v>
      </c>
      <c r="X14" s="92">
        <v>0</v>
      </c>
      <c r="Y14" s="273">
        <v>-1.5143916544805014714353678700</v>
      </c>
      <c r="Z14" s="272">
        <v>-8.499851195866898020326574740</v>
      </c>
      <c r="AA14" s="92">
        <v>-0.851407210058990574273489300</v>
      </c>
      <c r="AB14" s="273">
        <v>-2.5232319140341021886944667400</v>
      </c>
    </row>
    <row r="15" ht="18" customHeight="1">
      <c r="A15" s="58"/>
      <c r="B15" s="289">
        <v>2020</v>
      </c>
      <c r="C15" s="290" t="s">
        <v>232</v>
      </c>
      <c r="D15" s="440">
        <v>280.43009959424566580597565474</v>
      </c>
      <c r="E15" s="95">
        <v>287.26729227601339331837036936</v>
      </c>
      <c r="F15" s="441">
        <v>242.54386295758574300921010616</v>
      </c>
      <c r="G15" s="440">
        <v>409.32352941176470588235294118</v>
      </c>
      <c r="H15" s="95">
        <v>342.85009772166426996213364814</v>
      </c>
      <c r="I15" s="441">
        <v>297.77730493078559117260970963</v>
      </c>
      <c r="J15" s="440">
        <v>0</v>
      </c>
      <c r="K15" s="95">
        <v>0</v>
      </c>
      <c r="L15" s="441">
        <v>133.55883797673394523799006796</v>
      </c>
      <c r="M15" s="440">
        <v>311.19657399606852007862959843</v>
      </c>
      <c r="N15" s="95">
        <v>299.17655381846811382296704533</v>
      </c>
      <c r="O15" s="441">
        <v>251.35046467249882282966964883</v>
      </c>
      <c r="P15" s="5"/>
      <c r="Q15" s="421">
        <v>23.934665302350348642810306460</v>
      </c>
      <c r="R15" s="91">
        <v>21.026341882569246706360522500</v>
      </c>
      <c r="S15" s="422">
        <v>8.710721360637935296600003820</v>
      </c>
      <c r="T15" s="421">
        <v>82.35600394244763361028720915</v>
      </c>
      <c r="U15" s="91">
        <v>28.322380071210496542932112710</v>
      </c>
      <c r="V15" s="422">
        <v>27.183758134231418226731654650</v>
      </c>
      <c r="W15" s="421">
        <v>0</v>
      </c>
      <c r="X15" s="91">
        <v>0</v>
      </c>
      <c r="Y15" s="422">
        <v>3.2981407780694948850037150100</v>
      </c>
      <c r="Z15" s="421">
        <v>37.752036054229462108923497320</v>
      </c>
      <c r="AA15" s="91">
        <v>23.138719252708636432048626860</v>
      </c>
      <c r="AB15" s="422">
        <v>15.446896116686285784125877100</v>
      </c>
    </row>
    <row r="16" ht="18" customHeight="1">
      <c r="A16" s="58"/>
      <c r="B16" s="287"/>
      <c r="C16" s="288" t="s">
        <v>233</v>
      </c>
      <c r="D16" s="277">
        <v>330.54136429608127721335268505</v>
      </c>
      <c r="E16" s="94">
        <v>324.93837398097190545546015135</v>
      </c>
      <c r="F16" s="278">
        <v>278.51805757902339160823708642</v>
      </c>
      <c r="G16" s="277">
        <v>355.22390572390572390572390572</v>
      </c>
      <c r="H16" s="94">
        <v>388.81530875344163945324723868</v>
      </c>
      <c r="I16" s="278">
        <v>304.32549750452868171912323026</v>
      </c>
      <c r="J16" s="277">
        <v>0</v>
      </c>
      <c r="K16" s="94">
        <v>0</v>
      </c>
      <c r="L16" s="278">
        <v>135.39894146404878727832608102</v>
      </c>
      <c r="M16" s="277">
        <v>334.91791044776119402985074627</v>
      </c>
      <c r="N16" s="94">
        <v>335.59768013646256102582201047</v>
      </c>
      <c r="O16" s="278">
        <v>276.42205309309810590450754039</v>
      </c>
      <c r="P16" s="5"/>
      <c r="Q16" s="272">
        <v>30.625681070220205737811960800</v>
      </c>
      <c r="R16" s="92">
        <v>16.050443736378225458513601850</v>
      </c>
      <c r="S16" s="273">
        <v>8.11922952023045823751997400</v>
      </c>
      <c r="T16" s="272">
        <v>23.323681144478022089222149600</v>
      </c>
      <c r="U16" s="92">
        <v>29.274274594037887677228408810</v>
      </c>
      <c r="V16" s="273">
        <v>16.474318929106518393194662280</v>
      </c>
      <c r="W16" s="272">
        <v>0</v>
      </c>
      <c r="X16" s="92">
        <v>0</v>
      </c>
      <c r="Y16" s="273">
        <v>1.5511338371899356850603739800</v>
      </c>
      <c r="Z16" s="272">
        <v>28.027652834475403158901673760</v>
      </c>
      <c r="AA16" s="92">
        <v>18.535633447706186742822461380</v>
      </c>
      <c r="AB16" s="273">
        <v>11.248707411027424762526991630</v>
      </c>
    </row>
    <row r="17" ht="18" customHeight="1">
      <c r="A17" s="58"/>
      <c r="B17" s="289"/>
      <c r="C17" s="290" t="s">
        <v>234</v>
      </c>
      <c r="D17" s="440">
        <v>222.93761581222977146386658431</v>
      </c>
      <c r="E17" s="95">
        <v>252.25000860003050072961297019</v>
      </c>
      <c r="F17" s="441">
        <v>214.42825374268530271230802834</v>
      </c>
      <c r="G17" s="440">
        <v>343.6</v>
      </c>
      <c r="H17" s="95">
        <v>275.28319552325292210617050656</v>
      </c>
      <c r="I17" s="441">
        <v>220.71049101036142859384716051</v>
      </c>
      <c r="J17" s="440">
        <v>0</v>
      </c>
      <c r="K17" s="95">
        <v>0</v>
      </c>
      <c r="L17" s="441">
        <v>118.42410459009677671092351533</v>
      </c>
      <c r="M17" s="440">
        <v>223.30911330049261083743842365</v>
      </c>
      <c r="N17" s="95">
        <v>253.97083245644802993101835612</v>
      </c>
      <c r="O17" s="441">
        <v>202.66271454629365096806803947</v>
      </c>
      <c r="P17" s="5"/>
      <c r="Q17" s="421">
        <v>-14.865468608765293070787132340</v>
      </c>
      <c r="R17" s="91">
        <v>-10.090695020000083661146023020</v>
      </c>
      <c r="S17" s="422">
        <v>-12.215666138123503946422849760</v>
      </c>
      <c r="T17" s="421">
        <v>27.572512820512820512820512820</v>
      </c>
      <c r="U17" s="91">
        <v>-13.785148085464707279604112450</v>
      </c>
      <c r="V17" s="422">
        <v>-6.558936001797518872494741400</v>
      </c>
      <c r="W17" s="421">
        <v>0</v>
      </c>
      <c r="X17" s="91">
        <v>-100</v>
      </c>
      <c r="Y17" s="422">
        <v>-8.329198641201419582292557560</v>
      </c>
      <c r="Z17" s="421">
        <v>-15.013986815515959809601842740</v>
      </c>
      <c r="AA17" s="91">
        <v>-10.832951017038796706698227730</v>
      </c>
      <c r="AB17" s="422">
        <v>-13.003237646085337364886514700</v>
      </c>
    </row>
    <row r="18" ht="18" customHeight="1">
      <c r="A18" s="58"/>
      <c r="B18" s="287"/>
      <c r="C18" s="288" t="s">
        <v>235</v>
      </c>
      <c r="D18" s="277"/>
      <c r="E18" s="94"/>
      <c r="F18" s="278">
        <v>88.58141332485643896463212025</v>
      </c>
      <c r="G18" s="277"/>
      <c r="H18" s="94"/>
      <c r="I18" s="278">
        <v>96.74552224056216698349585343</v>
      </c>
      <c r="J18" s="277"/>
      <c r="K18" s="94"/>
      <c r="L18" s="278">
        <v>107.16589561187258389082154944</v>
      </c>
      <c r="M18" s="277"/>
      <c r="N18" s="94"/>
      <c r="O18" s="278">
        <v>99.05021723754673133272708902</v>
      </c>
      <c r="P18" s="5"/>
      <c r="Q18" s="272"/>
      <c r="R18" s="92"/>
      <c r="S18" s="273">
        <v>-56.559118587498940505439278820</v>
      </c>
      <c r="T18" s="272"/>
      <c r="U18" s="92"/>
      <c r="V18" s="273">
        <v>-51.573058840605773149110298390</v>
      </c>
      <c r="W18" s="272"/>
      <c r="X18" s="92"/>
      <c r="Y18" s="273">
        <v>-15.542201058761080716681129430</v>
      </c>
      <c r="Z18" s="272"/>
      <c r="AA18" s="92"/>
      <c r="AB18" s="273">
        <v>-49.762650453249984390985559440</v>
      </c>
    </row>
    <row r="19" ht="18" customHeight="1">
      <c r="A19" s="58"/>
      <c r="B19" s="289"/>
      <c r="C19" s="290" t="s">
        <v>236</v>
      </c>
      <c r="D19" s="440"/>
      <c r="E19" s="95"/>
      <c r="F19" s="441">
        <v>80.72492759591251898868127074</v>
      </c>
      <c r="G19" s="440"/>
      <c r="H19" s="95"/>
      <c r="I19" s="441">
        <v>115.26474110576959589923109472</v>
      </c>
      <c r="J19" s="440"/>
      <c r="K19" s="95"/>
      <c r="L19" s="441">
        <v>97.59264451341949949241459661</v>
      </c>
      <c r="M19" s="440"/>
      <c r="N19" s="95"/>
      <c r="O19" s="441">
        <v>88.73504547201229665684641988</v>
      </c>
      <c r="P19" s="5"/>
      <c r="Q19" s="421"/>
      <c r="R19" s="91"/>
      <c r="S19" s="422">
        <v>-52.882097742935422248925797420</v>
      </c>
      <c r="T19" s="421"/>
      <c r="U19" s="91"/>
      <c r="V19" s="422">
        <v>-34.939433365944879246276525310</v>
      </c>
      <c r="W19" s="421"/>
      <c r="X19" s="91"/>
      <c r="Y19" s="422">
        <v>-16.824933957435457088586273710</v>
      </c>
      <c r="Z19" s="421"/>
      <c r="AA19" s="91"/>
      <c r="AB19" s="422">
        <v>-47.201466655806815499137779980</v>
      </c>
    </row>
    <row r="20" ht="18" customHeight="1">
      <c r="A20" s="58"/>
      <c r="B20" s="287"/>
      <c r="C20" s="288" t="s">
        <v>237</v>
      </c>
      <c r="D20" s="277">
        <v>125.16016713091922005571030641</v>
      </c>
      <c r="E20" s="94">
        <v>115.91574916227860220201053137</v>
      </c>
      <c r="F20" s="278">
        <v>118.56398582559606656564616318</v>
      </c>
      <c r="G20" s="277">
        <v>0</v>
      </c>
      <c r="H20" s="94">
        <v>0</v>
      </c>
      <c r="I20" s="278">
        <v>107.71229995141240878592354717</v>
      </c>
      <c r="J20" s="277">
        <v>0</v>
      </c>
      <c r="K20" s="94">
        <v>0</v>
      </c>
      <c r="L20" s="278">
        <v>95.22863205590455269684441292</v>
      </c>
      <c r="M20" s="277">
        <v>125.16016713091922005571030641</v>
      </c>
      <c r="N20" s="94">
        <v>115.91574916227860220201053137</v>
      </c>
      <c r="O20" s="278">
        <v>115.39806778034631656998298949</v>
      </c>
      <c r="P20" s="5"/>
      <c r="Q20" s="272">
        <v>-21.813855040236872850292672340</v>
      </c>
      <c r="R20" s="92">
        <v>-28.989109335576792006436916750</v>
      </c>
      <c r="S20" s="273">
        <v>-18.126230677668168437165536910</v>
      </c>
      <c r="T20" s="272">
        <v>-100</v>
      </c>
      <c r="U20" s="92">
        <v>-100</v>
      </c>
      <c r="V20" s="273">
        <v>-28.814595513953509094914206610</v>
      </c>
      <c r="W20" s="272">
        <v>0</v>
      </c>
      <c r="X20" s="92">
        <v>0</v>
      </c>
      <c r="Y20" s="273">
        <v>-18.538425074965386988504662400</v>
      </c>
      <c r="Z20" s="272">
        <v>-18.340682159019836158400558070</v>
      </c>
      <c r="AA20" s="92">
        <v>-29.868281764926274394237398690</v>
      </c>
      <c r="AB20" s="273">
        <v>-19.699501250325687442017747030</v>
      </c>
    </row>
    <row r="21" ht="18" customHeight="1">
      <c r="A21" s="58"/>
      <c r="B21" s="289"/>
      <c r="C21" s="290" t="s">
        <v>221</v>
      </c>
      <c r="D21" s="442">
        <v>137.33955223880597014925373134</v>
      </c>
      <c r="E21" s="154">
        <v>124.91655570350643586329338657</v>
      </c>
      <c r="F21" s="443">
        <v>118.98889571889652455290707279</v>
      </c>
      <c r="G21" s="442">
        <v>0</v>
      </c>
      <c r="H21" s="154">
        <v>0</v>
      </c>
      <c r="I21" s="443">
        <v>96.85387785021554310803953415</v>
      </c>
      <c r="J21" s="442">
        <v>0</v>
      </c>
      <c r="K21" s="154">
        <v>0</v>
      </c>
      <c r="L21" s="443">
        <v>87.68977954722496083279678603</v>
      </c>
      <c r="M21" s="442">
        <v>137.33955223880597014925373134</v>
      </c>
      <c r="N21" s="154">
        <v>124.91655570350643586329338657</v>
      </c>
      <c r="O21" s="443">
        <v>111.73305028776299650910463251</v>
      </c>
      <c r="P21" s="5"/>
      <c r="Q21" s="421">
        <v>-12.713926254272179080890001170</v>
      </c>
      <c r="R21" s="91">
        <v>-23.808116750529476363492555320</v>
      </c>
      <c r="S21" s="422">
        <v>-19.269012611077328404425255290</v>
      </c>
      <c r="T21" s="421">
        <v>-100</v>
      </c>
      <c r="U21" s="91">
        <v>-100</v>
      </c>
      <c r="V21" s="422">
        <v>-26.893770505150924834438428940</v>
      </c>
      <c r="W21" s="421">
        <v>0</v>
      </c>
      <c r="X21" s="91">
        <v>0</v>
      </c>
      <c r="Y21" s="422">
        <v>-24.930722886562324990819412020</v>
      </c>
      <c r="Z21" s="421">
        <v>-12.777911134788879084378639770</v>
      </c>
      <c r="AA21" s="91">
        <v>-24.442484264201822439966716850</v>
      </c>
      <c r="AB21" s="422">
        <v>-21.400104839887358511628141110</v>
      </c>
    </row>
    <row r="22" ht="18" customHeight="1">
      <c r="A22" s="58"/>
      <c r="B22" s="287"/>
      <c r="C22" s="288" t="s">
        <v>224</v>
      </c>
      <c r="D22" s="277">
        <v>110.25358851674641148325358852</v>
      </c>
      <c r="E22" s="94">
        <v>103.23243102550754815200416449</v>
      </c>
      <c r="F22" s="278">
        <v>117.7523798021587226592754897</v>
      </c>
      <c r="G22" s="277">
        <v>0</v>
      </c>
      <c r="H22" s="94">
        <v>0</v>
      </c>
      <c r="I22" s="278">
        <v>98.90901793628866243673148227</v>
      </c>
      <c r="J22" s="277">
        <v>0</v>
      </c>
      <c r="K22" s="94">
        <v>0</v>
      </c>
      <c r="L22" s="278">
        <v>87.65158046967821802003917823</v>
      </c>
      <c r="M22" s="277">
        <v>110.25358851674641148325358852</v>
      </c>
      <c r="N22" s="94">
        <v>103.23243102550754815200416449</v>
      </c>
      <c r="O22" s="278">
        <v>109.77488230223459982759763941</v>
      </c>
      <c r="P22" s="5"/>
      <c r="Q22" s="272">
        <v>-18.804029898020717269997027180</v>
      </c>
      <c r="R22" s="92">
        <v>-30.474053846392254158837530320</v>
      </c>
      <c r="S22" s="273">
        <v>-14.212741540312254956290993900</v>
      </c>
      <c r="T22" s="272">
        <v>-100</v>
      </c>
      <c r="U22" s="92">
        <v>-100</v>
      </c>
      <c r="V22" s="273">
        <v>-26.623011376330070254124342470</v>
      </c>
      <c r="W22" s="272">
        <v>0</v>
      </c>
      <c r="X22" s="92">
        <v>0</v>
      </c>
      <c r="Y22" s="273">
        <v>-27.010616274865054069094014340</v>
      </c>
      <c r="Z22" s="272">
        <v>-18.810593485629059303667120270</v>
      </c>
      <c r="AA22" s="92">
        <v>-30.580448521032287420367849970</v>
      </c>
      <c r="AB22" s="273">
        <v>-19.008434886422677053348783020</v>
      </c>
    </row>
    <row r="23" ht="18" customHeight="1">
      <c r="A23" s="58"/>
      <c r="B23" s="289"/>
      <c r="C23" s="290" t="s">
        <v>226</v>
      </c>
      <c r="D23" s="440">
        <v>112.30937167199148029818956337</v>
      </c>
      <c r="E23" s="95">
        <v>124.29287814439725579875857564</v>
      </c>
      <c r="F23" s="441">
        <v>116.79180570736913780585169154</v>
      </c>
      <c r="G23" s="440">
        <v>0</v>
      </c>
      <c r="H23" s="95">
        <v>134.18750000000000000000000001</v>
      </c>
      <c r="I23" s="441">
        <v>96.17683722589752515368760697</v>
      </c>
      <c r="J23" s="440">
        <v>0</v>
      </c>
      <c r="K23" s="95">
        <v>0</v>
      </c>
      <c r="L23" s="441">
        <v>85.78952020967659752701019748</v>
      </c>
      <c r="M23" s="440">
        <v>112.30937167199148029818956337</v>
      </c>
      <c r="N23" s="95">
        <v>124.3186705767350928641251222</v>
      </c>
      <c r="O23" s="441">
        <v>113.26393663129577043790165894</v>
      </c>
      <c r="P23" s="5"/>
      <c r="Q23" s="421">
        <v>-9.492216101076227782224366220</v>
      </c>
      <c r="R23" s="91">
        <v>-7.079042948080239534143214900</v>
      </c>
      <c r="S23" s="422">
        <v>-12.745980965824607040056080270</v>
      </c>
      <c r="T23" s="421">
        <v>-100</v>
      </c>
      <c r="U23" s="91">
        <v>-11.181314858272351485055749340</v>
      </c>
      <c r="V23" s="422">
        <v>-31.481437684527175798452598090</v>
      </c>
      <c r="W23" s="421">
        <v>0</v>
      </c>
      <c r="X23" s="91">
        <v>0</v>
      </c>
      <c r="Y23" s="422">
        <v>-26.550106562868490815051696370</v>
      </c>
      <c r="Z23" s="421">
        <v>-9.261080772856524513146087220</v>
      </c>
      <c r="AA23" s="91">
        <v>-7.7219734598447446403022459100</v>
      </c>
      <c r="AB23" s="422">
        <v>-15.106452171908310404797030800</v>
      </c>
    </row>
    <row r="24" ht="18" customHeight="1">
      <c r="A24" s="59"/>
      <c r="B24" s="287"/>
      <c r="C24" s="288" t="s">
        <v>228</v>
      </c>
      <c r="D24" s="277">
        <v>118.99476937708036138849262958</v>
      </c>
      <c r="E24" s="94">
        <v>128.84870689655172413793103448</v>
      </c>
      <c r="F24" s="278">
        <v>120.178392778469433293443546</v>
      </c>
      <c r="G24" s="277">
        <v>128</v>
      </c>
      <c r="H24" s="94">
        <v>146</v>
      </c>
      <c r="I24" s="278">
        <v>105.76413964106388477594669472</v>
      </c>
      <c r="J24" s="277">
        <v>0</v>
      </c>
      <c r="K24" s="94">
        <v>0</v>
      </c>
      <c r="L24" s="278">
        <v>92.24729483854924925015305843</v>
      </c>
      <c r="M24" s="277">
        <v>119.25265588914549653579676674</v>
      </c>
      <c r="N24" s="94">
        <v>128.85117080879184025283723603</v>
      </c>
      <c r="O24" s="278">
        <v>116.35918005886489724689396505</v>
      </c>
      <c r="P24" s="93"/>
      <c r="Q24" s="272">
        <v>-17.944503036267976670350605950</v>
      </c>
      <c r="R24" s="92">
        <v>-14.589582585723620405677199800</v>
      </c>
      <c r="S24" s="273">
        <v>-22.023509861553604567904223760</v>
      </c>
      <c r="T24" s="272">
        <v>0</v>
      </c>
      <c r="U24" s="92">
        <v>-16.065673592375924707530490190</v>
      </c>
      <c r="V24" s="273">
        <v>-39.213563460230039390324825840</v>
      </c>
      <c r="W24" s="272">
        <v>0</v>
      </c>
      <c r="X24" s="92">
        <v>0</v>
      </c>
      <c r="Y24" s="273">
        <v>-23.108907084063941773638272670</v>
      </c>
      <c r="Z24" s="272">
        <v>-17.032278935933083750255142840</v>
      </c>
      <c r="AA24" s="92">
        <v>-15.689308782598430138417080650</v>
      </c>
      <c r="AB24" s="273">
        <v>-24.993120021472958931217439890</v>
      </c>
    </row>
    <row r="25" ht="18" customHeight="1">
      <c r="A25" s="60"/>
      <c r="B25" s="289"/>
      <c r="C25" s="290" t="s">
        <v>229</v>
      </c>
      <c r="D25" s="440">
        <v>126.55467196819085487077534791</v>
      </c>
      <c r="E25" s="95">
        <v>125.62898889538281706604324958</v>
      </c>
      <c r="F25" s="441">
        <v>118.72277975213408230817307539</v>
      </c>
      <c r="G25" s="440">
        <v>115.90243902439024390243902439</v>
      </c>
      <c r="H25" s="95">
        <v>171.00000000000000000000000001</v>
      </c>
      <c r="I25" s="441">
        <v>111.83026702091506172878477643</v>
      </c>
      <c r="J25" s="440">
        <v>0</v>
      </c>
      <c r="K25" s="95">
        <v>0</v>
      </c>
      <c r="L25" s="441">
        <v>93.56184969349228853412505066</v>
      </c>
      <c r="M25" s="440">
        <v>126.34193862640038967364831953</v>
      </c>
      <c r="N25" s="95">
        <v>125.98155880306193458594293668</v>
      </c>
      <c r="O25" s="441">
        <v>115.91120030857501024565463706</v>
      </c>
      <c r="P25" s="93"/>
      <c r="Q25" s="421">
        <v>-25.969296002744386276319043940</v>
      </c>
      <c r="R25" s="91">
        <v>-29.146154040273464293475496570</v>
      </c>
      <c r="S25" s="422">
        <v>-29.881629755971839453005210560</v>
      </c>
      <c r="T25" s="421">
        <v>-25.695819868654227040550401340</v>
      </c>
      <c r="U25" s="91">
        <v>-12.706161110580429818902968730</v>
      </c>
      <c r="V25" s="422">
        <v>-39.304422009956406296386369990</v>
      </c>
      <c r="W25" s="421">
        <v>0</v>
      </c>
      <c r="X25" s="91">
        <v>0</v>
      </c>
      <c r="Y25" s="422">
        <v>-24.280243260251884726386059950</v>
      </c>
      <c r="Z25" s="421">
        <v>-25.553202232647157010678208780</v>
      </c>
      <c r="AA25" s="91">
        <v>-29.846544754793148645652246510</v>
      </c>
      <c r="AB25" s="422">
        <v>-31.413158330480728150644552780</v>
      </c>
    </row>
    <row r="26" ht="18" customHeight="1">
      <c r="A26" s="60"/>
      <c r="B26" s="291"/>
      <c r="C26" s="292" t="s">
        <v>230</v>
      </c>
      <c r="D26" s="444">
        <v>161.70017699115044247787610619</v>
      </c>
      <c r="E26" s="445">
        <v>177.22935497124075595727198029</v>
      </c>
      <c r="F26" s="446">
        <v>152.80384823873466678040346646</v>
      </c>
      <c r="G26" s="444">
        <v>256.99074074074074074074074074</v>
      </c>
      <c r="H26" s="445">
        <v>204.65400843881856540084388187</v>
      </c>
      <c r="I26" s="446">
        <v>141.92170600055404671611528985</v>
      </c>
      <c r="J26" s="444">
        <v>0</v>
      </c>
      <c r="K26" s="445">
        <v>0</v>
      </c>
      <c r="L26" s="446">
        <v>96.23548092331935005417239632</v>
      </c>
      <c r="M26" s="444">
        <v>165.20900102284350494374360723</v>
      </c>
      <c r="N26" s="445">
        <v>177.88107891306527624586383236</v>
      </c>
      <c r="O26" s="446">
        <v>147.50848958230861549963602023</v>
      </c>
      <c r="P26" s="184"/>
      <c r="Q26" s="274">
        <v>-36.019318152038167721228610020</v>
      </c>
      <c r="R26" s="275">
        <v>-39.082052203693768725316232930</v>
      </c>
      <c r="S26" s="276">
        <v>-30.385025943657047250403897840</v>
      </c>
      <c r="T26" s="274">
        <v>25.333546803287437293200981960</v>
      </c>
      <c r="U26" s="275">
        <v>-23.660025759639532830097220550</v>
      </c>
      <c r="V26" s="276">
        <v>-32.830068621745770183266451140</v>
      </c>
      <c r="W26" s="274">
        <v>0</v>
      </c>
      <c r="X26" s="275">
        <v>0</v>
      </c>
      <c r="Y26" s="276">
        <v>-24.055173536777309061174139150</v>
      </c>
      <c r="Z26" s="274">
        <v>-34.081338107849556950305522910</v>
      </c>
      <c r="AA26" s="275">
        <v>-38.411044588650983527390009660</v>
      </c>
      <c r="AB26" s="276">
        <v>-30.171552624511970030498361300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50" t="s">
        <v>61</v>
      </c>
      <c r="C28" s="1050"/>
      <c r="D28" s="1050"/>
      <c r="E28" s="1050"/>
      <c r="F28" s="1050"/>
      <c r="G28" s="1050"/>
      <c r="H28" s="1050"/>
      <c r="I28" s="1050"/>
      <c r="J28" s="1050"/>
      <c r="K28" s="1050"/>
      <c r="L28" s="1050"/>
      <c r="M28" s="1050"/>
      <c r="N28" s="1050"/>
      <c r="O28" s="1050"/>
      <c r="P28" s="412"/>
      <c r="Q28" s="1051"/>
      <c r="R28" s="1051"/>
      <c r="S28" s="1051"/>
      <c r="T28" s="1051"/>
      <c r="U28" s="1051"/>
      <c r="V28" s="1051"/>
      <c r="W28" s="1051"/>
      <c r="X28" s="1051"/>
      <c r="Y28" s="1051"/>
      <c r="Z28" s="1051"/>
      <c r="AA28" s="1051"/>
      <c r="AB28" s="1051"/>
      <c r="AC28" s="9"/>
    </row>
    <row r="29" ht="18" customHeight="1">
      <c r="A29" s="58"/>
      <c r="B29" s="285">
        <v>2018</v>
      </c>
      <c r="C29" s="286"/>
      <c r="D29" s="455">
        <v>181.23607263773468759618344106</v>
      </c>
      <c r="E29" s="456">
        <v>212.6689723503527341150090924</v>
      </c>
      <c r="F29" s="457">
        <v>185.43657238057626168479148082</v>
      </c>
      <c r="G29" s="455">
        <v>173.47232704402515723270440252</v>
      </c>
      <c r="H29" s="456">
        <v>240.26623322727322895370877402</v>
      </c>
      <c r="I29" s="457">
        <v>198.13545898701218322349925181</v>
      </c>
      <c r="J29" s="455">
        <v>152.16666666666666666666666667</v>
      </c>
      <c r="K29" s="456">
        <v>161.25335710757899836034074758</v>
      </c>
      <c r="L29" s="457">
        <v>122.5700521251882764714766336</v>
      </c>
      <c r="M29" s="455">
        <v>180.11384928716904276985743381</v>
      </c>
      <c r="N29" s="456">
        <v>214.48230550186028143252062938</v>
      </c>
      <c r="O29" s="457">
        <v>183.43499411012894283133064502</v>
      </c>
      <c r="P29" s="5"/>
      <c r="Q29" s="428">
        <v>-20.152882582147939757282075070</v>
      </c>
      <c r="R29" s="429">
        <v>4.11897592880246691685779300</v>
      </c>
      <c r="S29" s="430">
        <v>3.8781405924272657800200336800</v>
      </c>
      <c r="T29" s="428">
        <v>-38.514916399713093204059180430</v>
      </c>
      <c r="U29" s="429">
        <v>5.1658471567824515667812159300</v>
      </c>
      <c r="V29" s="430">
        <v>1.7107195433298517275896437500</v>
      </c>
      <c r="W29" s="428">
        <v>-73.073803730738037307380373070</v>
      </c>
      <c r="X29" s="429">
        <v>6.0952754860602084545570629700</v>
      </c>
      <c r="Y29" s="430">
        <v>-8.187645338774698704564964350</v>
      </c>
      <c r="Z29" s="428">
        <v>-22.012809132085917965566863110</v>
      </c>
      <c r="AA29" s="429">
        <v>4.7984509636226924224414441300</v>
      </c>
      <c r="AB29" s="430">
        <v>2.5506730993053996793586976600</v>
      </c>
    </row>
    <row r="30" ht="18" customHeight="1">
      <c r="A30" s="58"/>
      <c r="B30" s="287">
        <v>2019</v>
      </c>
      <c r="C30" s="288"/>
      <c r="D30" s="277">
        <v>193.27037213092489474399022138</v>
      </c>
      <c r="E30" s="94">
        <v>206.4777438990594408041620392</v>
      </c>
      <c r="F30" s="278">
        <v>184.43020124128623645291449146</v>
      </c>
      <c r="G30" s="277">
        <v>208.14428020565552699228791774</v>
      </c>
      <c r="H30" s="94">
        <v>240.86687239247982224825686512</v>
      </c>
      <c r="I30" s="278">
        <v>193.62842695479473661796269632</v>
      </c>
      <c r="J30" s="277">
        <v>0</v>
      </c>
      <c r="K30" s="94">
        <v>225.3499758489823506128805721</v>
      </c>
      <c r="L30" s="278">
        <v>123.18686490172815656644426551</v>
      </c>
      <c r="M30" s="277">
        <v>194.69180690332882938213978627</v>
      </c>
      <c r="N30" s="94">
        <v>209.84412766832981842497813898</v>
      </c>
      <c r="O30" s="278">
        <v>181.07925068981587649151877853</v>
      </c>
      <c r="P30" s="5"/>
      <c r="Q30" s="272">
        <v>6.6401237447056537003892814400</v>
      </c>
      <c r="R30" s="92">
        <v>-2.911204386267409590846714300</v>
      </c>
      <c r="S30" s="273">
        <v>-0.5427036999069545886266989500</v>
      </c>
      <c r="T30" s="272">
        <v>19.987022571520039416048012730</v>
      </c>
      <c r="U30" s="92">
        <v>0.249989004754752704435468500</v>
      </c>
      <c r="V30" s="273">
        <v>-2.2747225838626307706498499800</v>
      </c>
      <c r="W30" s="272">
        <v>-100</v>
      </c>
      <c r="X30" s="92">
        <v>39.749013534423200649454428200</v>
      </c>
      <c r="Y30" s="273">
        <v>0.5032328581453906482941415800</v>
      </c>
      <c r="Z30" s="272">
        <v>8.093746079968039254002769300</v>
      </c>
      <c r="AA30" s="92">
        <v>-2.1624990568232373085480349700</v>
      </c>
      <c r="AB30" s="273">
        <v>-1.2842388289874219387051951800</v>
      </c>
    </row>
    <row r="31" ht="18" customHeight="1">
      <c r="A31" s="58"/>
      <c r="B31" s="426">
        <v>2020</v>
      </c>
      <c r="C31" s="427"/>
      <c r="D31" s="458">
        <v>191.36636818106905455144756359</v>
      </c>
      <c r="E31" s="459">
        <v>206.68192658671673983592636599</v>
      </c>
      <c r="F31" s="460">
        <v>178.48533164111280773607847463</v>
      </c>
      <c r="G31" s="458">
        <v>362.10180722891566265060240964</v>
      </c>
      <c r="H31" s="459">
        <v>346.51587373716982369598193767</v>
      </c>
      <c r="I31" s="460">
        <v>249.65779728599754623846638273</v>
      </c>
      <c r="J31" s="458">
        <v>0</v>
      </c>
      <c r="K31" s="459">
        <v>0</v>
      </c>
      <c r="L31" s="460">
        <v>108.51605275344645694945881356</v>
      </c>
      <c r="M31" s="458">
        <v>205.63515078286260887076473846</v>
      </c>
      <c r="N31" s="459">
        <v>218.77122114399527526419462987</v>
      </c>
      <c r="O31" s="460">
        <v>184.41489775093437710379937967</v>
      </c>
      <c r="P31" s="93"/>
      <c r="Q31" s="431">
        <v>-0.9851504547039589682434917900</v>
      </c>
      <c r="R31" s="432">
        <v>0.0988884728211276897766750700</v>
      </c>
      <c r="S31" s="433">
        <v>-3.2233709881365244364974021600</v>
      </c>
      <c r="T31" s="431">
        <v>73.9667344551305748664481700</v>
      </c>
      <c r="U31" s="432">
        <v>43.861989112616758914018295750</v>
      </c>
      <c r="V31" s="433">
        <v>28.936541608264807867376108920</v>
      </c>
      <c r="W31" s="431">
        <v>0</v>
      </c>
      <c r="X31" s="432">
        <v>-100</v>
      </c>
      <c r="Y31" s="433">
        <v>-11.909396476633513708124759560</v>
      </c>
      <c r="Z31" s="431">
        <v>5.6208548544456858809412660900</v>
      </c>
      <c r="AA31" s="432">
        <v>4.2541545359683445195782308700</v>
      </c>
      <c r="AB31" s="433">
        <v>1.8420923702806671567535338300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52" t="s">
        <v>44</v>
      </c>
      <c r="C33" s="1052"/>
      <c r="D33" s="1052"/>
      <c r="E33" s="1052"/>
      <c r="F33" s="1052"/>
      <c r="G33" s="1052"/>
      <c r="H33" s="1052"/>
      <c r="I33" s="1052"/>
      <c r="J33" s="1052"/>
      <c r="K33" s="1052"/>
      <c r="L33" s="1052"/>
      <c r="M33" s="1052"/>
      <c r="N33" s="1052"/>
      <c r="O33" s="1052"/>
      <c r="P33" s="412"/>
      <c r="Q33" s="1051"/>
      <c r="R33" s="1051"/>
      <c r="S33" s="1051"/>
      <c r="T33" s="1051"/>
      <c r="U33" s="1051"/>
      <c r="V33" s="1051"/>
      <c r="W33" s="1051"/>
      <c r="X33" s="1051"/>
      <c r="Y33" s="1051"/>
      <c r="Z33" s="1051"/>
      <c r="AA33" s="1051"/>
      <c r="AB33" s="1051"/>
      <c r="AC33" s="9"/>
    </row>
    <row r="34" ht="18" customHeight="1">
      <c r="A34" s="58"/>
      <c r="B34" s="285">
        <v>2018</v>
      </c>
      <c r="C34" s="286"/>
      <c r="D34" s="455">
        <v>206.40073831009023789991796555</v>
      </c>
      <c r="E34" s="456">
        <v>216.18504602566183101335120114</v>
      </c>
      <c r="F34" s="457">
        <v>187.28458108461412900366930453</v>
      </c>
      <c r="G34" s="455">
        <v>191.31220657276995305164319249</v>
      </c>
      <c r="H34" s="456">
        <v>239.71978623720002823924686077</v>
      </c>
      <c r="I34" s="457">
        <v>194.4558375354504924841801759</v>
      </c>
      <c r="J34" s="455">
        <v>0</v>
      </c>
      <c r="K34" s="456">
        <v>156.00001573675237816626484146</v>
      </c>
      <c r="L34" s="457">
        <v>121.32530945736628011968891121</v>
      </c>
      <c r="M34" s="455">
        <v>204.15642458100558659217877095</v>
      </c>
      <c r="N34" s="456">
        <v>218.71700651788292562188028547</v>
      </c>
      <c r="O34" s="457">
        <v>184.01929874197546114947658688</v>
      </c>
      <c r="P34" s="5"/>
      <c r="Q34" s="428">
        <v>-17.214204416664304694898621360</v>
      </c>
      <c r="R34" s="429">
        <v>0.3927303880440381526643230100</v>
      </c>
      <c r="S34" s="430">
        <v>-1.347432624426599203837660100</v>
      </c>
      <c r="T34" s="428">
        <v>-28.174681271784527819994723850</v>
      </c>
      <c r="U34" s="429">
        <v>5.8459509074947668287800960700</v>
      </c>
      <c r="V34" s="430">
        <v>8.968431474447957349129884700</v>
      </c>
      <c r="W34" s="428">
        <v>-100</v>
      </c>
      <c r="X34" s="429">
        <v>3.6126489872750020049889339600</v>
      </c>
      <c r="Y34" s="430">
        <v>-9.020140824628807417470809950</v>
      </c>
      <c r="Z34" s="428">
        <v>-19.315697869764938667618091930</v>
      </c>
      <c r="AA34" s="429">
        <v>2.3105853362537710314706105900</v>
      </c>
      <c r="AB34" s="430">
        <v>0.2167059970600827209162807300</v>
      </c>
    </row>
    <row r="35" ht="18" customHeight="1">
      <c r="A35" s="58"/>
      <c r="B35" s="287">
        <v>2019</v>
      </c>
      <c r="C35" s="288"/>
      <c r="D35" s="277">
        <v>195.07964085820895522388059701</v>
      </c>
      <c r="E35" s="94">
        <v>208.21600008742800472569849338</v>
      </c>
      <c r="F35" s="278">
        <v>183.92379410005574987334923598</v>
      </c>
      <c r="G35" s="277">
        <v>158.93894389438943894389438944</v>
      </c>
      <c r="H35" s="94">
        <v>212.83172110357183838293404532</v>
      </c>
      <c r="I35" s="278">
        <v>187.05487848657526734788898446</v>
      </c>
      <c r="J35" s="277">
        <v>0</v>
      </c>
      <c r="K35" s="94">
        <v>0</v>
      </c>
      <c r="L35" s="278">
        <v>123.51293519333029735151709674</v>
      </c>
      <c r="M35" s="277">
        <v>192.69440209104770202570246134</v>
      </c>
      <c r="N35" s="94">
        <v>208.67974042277476310034826274</v>
      </c>
      <c r="O35" s="278">
        <v>179.68032641029558465368334966</v>
      </c>
      <c r="P35" s="5"/>
      <c r="Q35" s="272">
        <v>-5.4850082148799330619089843100</v>
      </c>
      <c r="R35" s="92">
        <v>-3.6862151590669578425625285200</v>
      </c>
      <c r="S35" s="273">
        <v>-1.7944814063684155174464886900</v>
      </c>
      <c r="T35" s="272">
        <v>-16.921692169216921692169216920</v>
      </c>
      <c r="U35" s="92">
        <v>-11.216456328316074951820745440</v>
      </c>
      <c r="V35" s="273">
        <v>-3.8059845066497347423742243200</v>
      </c>
      <c r="W35" s="272">
        <v>0</v>
      </c>
      <c r="X35" s="92">
        <v>-100</v>
      </c>
      <c r="Y35" s="273">
        <v>1.803107484949584263044895600</v>
      </c>
      <c r="Z35" s="272">
        <v>-5.6143334766376459539165373800</v>
      </c>
      <c r="AA35" s="92">
        <v>-4.5891566709456985217997879200</v>
      </c>
      <c r="AB35" s="273">
        <v>-2.3578898307637889970577981200</v>
      </c>
    </row>
    <row r="36" ht="18" customHeight="1">
      <c r="A36" s="58"/>
      <c r="B36" s="426">
        <v>2020</v>
      </c>
      <c r="C36" s="427"/>
      <c r="D36" s="458">
        <v>138.57017291066282420749279539</v>
      </c>
      <c r="E36" s="459">
        <v>146.41194408142251792008237299</v>
      </c>
      <c r="F36" s="460">
        <v>132.90130179144105170962185703</v>
      </c>
      <c r="G36" s="458">
        <v>191.67298578199052132701421801</v>
      </c>
      <c r="H36" s="459">
        <v>197.06885245901639344262295083</v>
      </c>
      <c r="I36" s="460">
        <v>113.91280139932097731294231952</v>
      </c>
      <c r="J36" s="458">
        <v>0</v>
      </c>
      <c r="K36" s="459">
        <v>0</v>
      </c>
      <c r="L36" s="460">
        <v>94.15748361873684813492025249</v>
      </c>
      <c r="M36" s="458">
        <v>140.13704377010208362466787862</v>
      </c>
      <c r="N36" s="459">
        <v>147.01651275629989043668805761</v>
      </c>
      <c r="O36" s="460">
        <v>128.33034559796788088844002724</v>
      </c>
      <c r="P36" s="93"/>
      <c r="Q36" s="431">
        <v>-28.967383628012359786356736160</v>
      </c>
      <c r="R36" s="432">
        <v>-29.682664146873691643569263110</v>
      </c>
      <c r="S36" s="433">
        <v>-27.741104710387894576923399150</v>
      </c>
      <c r="T36" s="431">
        <v>20.595356358572480376434706350</v>
      </c>
      <c r="U36" s="432">
        <v>-7.406259068348484701591923500</v>
      </c>
      <c r="V36" s="433">
        <v>-39.101935046566358480059796730</v>
      </c>
      <c r="W36" s="431">
        <v>0</v>
      </c>
      <c r="X36" s="432">
        <v>0</v>
      </c>
      <c r="Y36" s="433">
        <v>-23.767107087726828297004740220</v>
      </c>
      <c r="Z36" s="431">
        <v>-27.274979319903842615145905690</v>
      </c>
      <c r="AA36" s="432">
        <v>-29.549216201605505100453356730</v>
      </c>
      <c r="AB36" s="433">
        <v>-28.578521554480756934906488100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2" t="s">
        <v>45</v>
      </c>
      <c r="C38" s="1052"/>
      <c r="D38" s="1052"/>
      <c r="E38" s="1052"/>
      <c r="F38" s="1052"/>
      <c r="G38" s="1052"/>
      <c r="H38" s="1052"/>
      <c r="I38" s="1052"/>
      <c r="J38" s="1052"/>
      <c r="K38" s="1052"/>
      <c r="L38" s="1052"/>
      <c r="M38" s="1052"/>
      <c r="N38" s="1052"/>
      <c r="O38" s="1052"/>
      <c r="P38" s="412"/>
      <c r="Q38" s="1051"/>
      <c r="R38" s="1051"/>
      <c r="S38" s="1051"/>
      <c r="T38" s="1051"/>
      <c r="U38" s="1051"/>
      <c r="V38" s="1051"/>
      <c r="W38" s="1051"/>
      <c r="X38" s="1051"/>
      <c r="Y38" s="1051"/>
      <c r="Z38" s="1051"/>
      <c r="AA38" s="1051"/>
      <c r="AB38" s="1051"/>
      <c r="AC38" s="9"/>
    </row>
    <row r="39" ht="18" customHeight="1">
      <c r="A39" s="58"/>
      <c r="B39" s="285">
        <v>2018</v>
      </c>
      <c r="C39" s="286"/>
      <c r="D39" s="455">
        <v>181.23607263773468759618344106</v>
      </c>
      <c r="E39" s="456">
        <v>212.6689723503527341150090924</v>
      </c>
      <c r="F39" s="457">
        <v>185.43657238057626168479148082</v>
      </c>
      <c r="G39" s="455">
        <v>173.47232704402515723270440252</v>
      </c>
      <c r="H39" s="456">
        <v>240.26623322727322895370877402</v>
      </c>
      <c r="I39" s="457">
        <v>198.13545898701218322349925181</v>
      </c>
      <c r="J39" s="455">
        <v>152.16666666666666666666666667</v>
      </c>
      <c r="K39" s="456">
        <v>161.25335710757899836034074758</v>
      </c>
      <c r="L39" s="457">
        <v>122.5700521251882764714766336</v>
      </c>
      <c r="M39" s="455">
        <v>180.11384928716904276985743381</v>
      </c>
      <c r="N39" s="456">
        <v>214.48230550186028143252062938</v>
      </c>
      <c r="O39" s="457">
        <v>183.43499411012894283133064502</v>
      </c>
      <c r="P39" s="5"/>
      <c r="Q39" s="428">
        <v>-20.152882582147939757282075070</v>
      </c>
      <c r="R39" s="429">
        <v>4.11897592880246691685779300</v>
      </c>
      <c r="S39" s="430">
        <v>3.8781405924272657800200336800</v>
      </c>
      <c r="T39" s="428">
        <v>-38.514916399713093204059180430</v>
      </c>
      <c r="U39" s="429">
        <v>5.1658471567824515667812159300</v>
      </c>
      <c r="V39" s="430">
        <v>1.7107195433298517275896437500</v>
      </c>
      <c r="W39" s="428">
        <v>-73.073803730738037307380373070</v>
      </c>
      <c r="X39" s="429">
        <v>6.0952754860602084545570629700</v>
      </c>
      <c r="Y39" s="430">
        <v>-8.187645338774698704564964350</v>
      </c>
      <c r="Z39" s="428">
        <v>-22.012809132085917965566863110</v>
      </c>
      <c r="AA39" s="429">
        <v>4.7984509636226924224414441300</v>
      </c>
      <c r="AB39" s="430">
        <v>2.5506730993053996793586976600</v>
      </c>
    </row>
    <row r="40" ht="18" customHeight="1">
      <c r="A40" s="58"/>
      <c r="B40" s="287">
        <v>2019</v>
      </c>
      <c r="C40" s="288"/>
      <c r="D40" s="277">
        <v>193.27037213092489474399022138</v>
      </c>
      <c r="E40" s="94">
        <v>206.4777438990594408041620392</v>
      </c>
      <c r="F40" s="278">
        <v>184.43020124128623645291449146</v>
      </c>
      <c r="G40" s="277">
        <v>208.14428020565552699228791774</v>
      </c>
      <c r="H40" s="94">
        <v>240.86687239247982224825686512</v>
      </c>
      <c r="I40" s="278">
        <v>193.62842695479473661796269632</v>
      </c>
      <c r="J40" s="277">
        <v>0</v>
      </c>
      <c r="K40" s="94">
        <v>225.3499758489823506128805721</v>
      </c>
      <c r="L40" s="278">
        <v>123.18686490172815656644426551</v>
      </c>
      <c r="M40" s="277">
        <v>194.69180690332882938213978627</v>
      </c>
      <c r="N40" s="94">
        <v>209.84412766832981842497813898</v>
      </c>
      <c r="O40" s="278">
        <v>181.07925068981587649151877853</v>
      </c>
      <c r="P40" s="5"/>
      <c r="Q40" s="272">
        <v>6.6401237447056537003892814400</v>
      </c>
      <c r="R40" s="92">
        <v>-2.911204386267409590846714300</v>
      </c>
      <c r="S40" s="273">
        <v>-0.5427036999069545886266989500</v>
      </c>
      <c r="T40" s="272">
        <v>19.987022571520039416048012730</v>
      </c>
      <c r="U40" s="92">
        <v>0.249989004754752704435468500</v>
      </c>
      <c r="V40" s="273">
        <v>-2.2747225838626307706498499800</v>
      </c>
      <c r="W40" s="272">
        <v>-100</v>
      </c>
      <c r="X40" s="92">
        <v>39.749013534423200649454428200</v>
      </c>
      <c r="Y40" s="273">
        <v>0.5032328581453906482941415800</v>
      </c>
      <c r="Z40" s="272">
        <v>8.093746079968039254002769300</v>
      </c>
      <c r="AA40" s="92">
        <v>-2.1624990568232373085480349700</v>
      </c>
      <c r="AB40" s="273">
        <v>-1.2842388289874219387051951800</v>
      </c>
    </row>
    <row r="41" ht="18" customHeight="1">
      <c r="A41" s="58"/>
      <c r="B41" s="426">
        <v>2020</v>
      </c>
      <c r="C41" s="427"/>
      <c r="D41" s="458">
        <v>191.36636818106905455144756359</v>
      </c>
      <c r="E41" s="459">
        <v>206.68192658671673983592636599</v>
      </c>
      <c r="F41" s="460">
        <v>178.48533164111280773607847463</v>
      </c>
      <c r="G41" s="458">
        <v>362.10180722891566265060240964</v>
      </c>
      <c r="H41" s="459">
        <v>346.51587373716982369598193767</v>
      </c>
      <c r="I41" s="460">
        <v>249.65779728599754623846638273</v>
      </c>
      <c r="J41" s="458">
        <v>0</v>
      </c>
      <c r="K41" s="459">
        <v>0</v>
      </c>
      <c r="L41" s="460">
        <v>108.51605275344645694945881356</v>
      </c>
      <c r="M41" s="458">
        <v>205.63515078286260887076473846</v>
      </c>
      <c r="N41" s="459">
        <v>218.77122114399527526419462987</v>
      </c>
      <c r="O41" s="460">
        <v>184.41489775093437710379937967</v>
      </c>
      <c r="P41" s="93"/>
      <c r="Q41" s="431">
        <v>-0.9851504547039589682434917900</v>
      </c>
      <c r="R41" s="432">
        <v>0.0988884728211276897766750700</v>
      </c>
      <c r="S41" s="433">
        <v>-3.2233709881365244364974021600</v>
      </c>
      <c r="T41" s="431">
        <v>73.9667344551305748664481700</v>
      </c>
      <c r="U41" s="432">
        <v>43.861989112616758914018295750</v>
      </c>
      <c r="V41" s="433">
        <v>28.936541608264807867376108920</v>
      </c>
      <c r="W41" s="431">
        <v>0</v>
      </c>
      <c r="X41" s="432">
        <v>-100</v>
      </c>
      <c r="Y41" s="433">
        <v>-11.909396476633513708124759560</v>
      </c>
      <c r="Z41" s="431">
        <v>5.6208548544456858809412660900</v>
      </c>
      <c r="AA41" s="432">
        <v>4.2541545359683445195782308700</v>
      </c>
      <c r="AB41" s="433">
        <v>1.8420923702806671567535338300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49" t="s">
        <v>129</v>
      </c>
      <c r="C43" s="1049"/>
      <c r="D43" s="1049"/>
      <c r="E43" s="1049"/>
      <c r="F43" s="1049"/>
      <c r="G43" s="1049"/>
      <c r="H43" s="1049"/>
      <c r="I43" s="1049"/>
      <c r="J43" s="1049"/>
      <c r="K43" s="1049"/>
      <c r="L43" s="1049"/>
      <c r="M43" s="1049"/>
      <c r="N43" s="1049"/>
      <c r="O43" s="1049"/>
      <c r="P43" s="1049"/>
      <c r="Q43" s="1049"/>
      <c r="R43" s="1049"/>
      <c r="S43" s="1049"/>
      <c r="T43" s="1049"/>
      <c r="U43" s="1049"/>
      <c r="V43" s="1049"/>
      <c r="W43" s="1049"/>
      <c r="X43" s="1049"/>
      <c r="Y43" s="1049"/>
      <c r="Z43" s="1049"/>
      <c r="AA43" s="1049"/>
      <c r="AB43" s="1049"/>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10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7" t="s">
        <v>186</v>
      </c>
      <c r="Z1" s="5"/>
      <c r="AB1" s="686"/>
      <c r="AD1" s="236"/>
    </row>
    <row r="2" ht="15" customHeight="1">
      <c r="A2" s="11"/>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row>
    <row r="3" ht="17.1" customHeight="1">
      <c r="A3" s="11"/>
      <c r="B3" s="1014" t="s">
        <v>212</v>
      </c>
      <c r="C3" s="1014"/>
      <c r="D3" s="1014"/>
      <c r="E3" s="1014"/>
      <c r="F3" s="1014"/>
      <c r="G3" s="1014"/>
      <c r="H3" s="1014"/>
      <c r="I3" s="1014"/>
      <c r="J3" s="1014"/>
      <c r="K3" s="1014"/>
      <c r="L3" s="1014"/>
      <c r="M3" s="1014"/>
      <c r="N3" s="1014"/>
      <c r="O3" s="1014"/>
      <c r="P3" s="1014"/>
      <c r="Q3" s="1014"/>
      <c r="R3" s="1048" t="s">
        <v>298</v>
      </c>
      <c r="S3" s="1048"/>
      <c r="T3" s="1048"/>
      <c r="U3" s="1048"/>
      <c r="V3" s="1048"/>
      <c r="W3" s="1048"/>
      <c r="X3" s="1048"/>
      <c r="Y3" s="1048"/>
      <c r="Z3" s="1048"/>
      <c r="AA3" s="1048"/>
      <c r="AB3" s="1048"/>
    </row>
    <row r="4" ht="19.5" customHeight="1">
      <c r="A4" s="4"/>
      <c r="B4" s="1014" t="s">
        <v>213</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row>
    <row r="5" ht="12.75" customHeight="1"/>
    <row r="6" ht="15.75" customHeight="1">
      <c r="D6" s="975" t="s">
        <v>10</v>
      </c>
      <c r="E6" s="975"/>
      <c r="F6" s="975"/>
      <c r="G6" s="975"/>
      <c r="H6" s="975"/>
      <c r="I6" s="975"/>
      <c r="J6" s="975"/>
      <c r="K6" s="975"/>
      <c r="L6" s="975"/>
      <c r="M6" s="975"/>
      <c r="N6" s="975"/>
      <c r="O6" s="975"/>
      <c r="Q6" s="975" t="s">
        <v>72</v>
      </c>
      <c r="R6" s="975"/>
      <c r="S6" s="975"/>
      <c r="T6" s="975"/>
      <c r="U6" s="975"/>
      <c r="V6" s="975"/>
      <c r="W6" s="975"/>
      <c r="X6" s="975"/>
      <c r="Y6" s="975"/>
      <c r="Z6" s="975"/>
      <c r="AA6" s="975"/>
      <c r="AB6" s="975"/>
    </row>
    <row r="7" ht="15.75" customHeight="1">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958" t="s">
        <v>42</v>
      </c>
      <c r="C8" s="958"/>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18" customHeight="1">
      <c r="A9" s="57"/>
      <c r="B9" s="285">
        <v>2019</v>
      </c>
      <c r="C9" s="286" t="s">
        <v>221</v>
      </c>
      <c r="D9" s="435">
        <v>93.39907135874877810361681329</v>
      </c>
      <c r="E9" s="436">
        <v>125.1605044273338479290794537</v>
      </c>
      <c r="F9" s="437">
        <v>85.0341948711171387706096992</v>
      </c>
      <c r="G9" s="435">
        <v>2.8005865102639296187683284457</v>
      </c>
      <c r="H9" s="436">
        <v>9.096977296504401649162967436</v>
      </c>
      <c r="I9" s="437">
        <v>17.904637081313568597436372657</v>
      </c>
      <c r="J9" s="435">
        <v>0</v>
      </c>
      <c r="K9" s="436">
        <v>0</v>
      </c>
      <c r="L9" s="437">
        <v>7.8978292544990245346366119354</v>
      </c>
      <c r="M9" s="435">
        <v>96.19965786901270772238514174</v>
      </c>
      <c r="N9" s="436">
        <v>134.25748172383824957824242114</v>
      </c>
      <c r="O9" s="437">
        <v>110.8366612069297319026826838</v>
      </c>
      <c r="P9" s="5"/>
      <c r="Q9" s="416">
        <v>51.037189380827670784482974110</v>
      </c>
      <c r="R9" s="417">
        <v>-6.8052017821168539747882333800</v>
      </c>
      <c r="S9" s="418">
        <v>-0.4219265820106627377994332600</v>
      </c>
      <c r="T9" s="416">
        <v>54.796758183074700006282590930</v>
      </c>
      <c r="U9" s="417">
        <v>-15.226279782511969272450749130</v>
      </c>
      <c r="V9" s="418">
        <v>19.311345950991254434951272870</v>
      </c>
      <c r="W9" s="416">
        <v>0</v>
      </c>
      <c r="X9" s="417">
        <v>-100</v>
      </c>
      <c r="Y9" s="418">
        <v>36.700087608337624675564133100</v>
      </c>
      <c r="Z9" s="416">
        <v>51.144056158357195182365007180</v>
      </c>
      <c r="AA9" s="417">
        <v>-9.219980096365668270226230150</v>
      </c>
      <c r="AB9" s="418">
        <v>4.3869718684962254802885789100</v>
      </c>
    </row>
    <row r="10" ht="18" customHeight="1">
      <c r="A10" s="58"/>
      <c r="B10" s="287"/>
      <c r="C10" s="288" t="s">
        <v>224</v>
      </c>
      <c r="D10" s="277">
        <v>92.54887585532746823069403715</v>
      </c>
      <c r="E10" s="94">
        <v>114.3833012652065087283563649</v>
      </c>
      <c r="F10" s="278">
        <v>84.79657115712781572010521739</v>
      </c>
      <c r="G10" s="277">
        <v>0.2729716520039100684261974585</v>
      </c>
      <c r="H10" s="94">
        <v>2.8361021395274005809836483892</v>
      </c>
      <c r="I10" s="278">
        <v>9.88007700956726324784210162</v>
      </c>
      <c r="J10" s="277">
        <v>0</v>
      </c>
      <c r="K10" s="94">
        <v>0</v>
      </c>
      <c r="L10" s="278">
        <v>7.8463703978360180115209339807</v>
      </c>
      <c r="M10" s="277">
        <v>92.8218475073313782991202346</v>
      </c>
      <c r="N10" s="94">
        <v>117.21940340473390930934001329</v>
      </c>
      <c r="O10" s="278">
        <v>102.52301856453109697946825298</v>
      </c>
      <c r="P10" s="5"/>
      <c r="Q10" s="272">
        <v>41.631506366078566572990905410</v>
      </c>
      <c r="R10" s="92">
        <v>-1.8850483729150349663046261800</v>
      </c>
      <c r="S10" s="273">
        <v>5.0083160607205169005009604800</v>
      </c>
      <c r="T10" s="272">
        <v>14.185526816279954355268162820</v>
      </c>
      <c r="U10" s="92">
        <v>-60.070415876476639437325317070</v>
      </c>
      <c r="V10" s="273">
        <v>-10.819216507155429073913820100</v>
      </c>
      <c r="W10" s="272">
        <v>0</v>
      </c>
      <c r="X10" s="92">
        <v>-100</v>
      </c>
      <c r="Y10" s="273">
        <v>41.597849001346271228585401110</v>
      </c>
      <c r="Z10" s="272">
        <v>41.531463065473817752004353590</v>
      </c>
      <c r="AA10" s="92">
        <v>-7.8128518940629085026708005500</v>
      </c>
      <c r="AB10" s="273">
        <v>5.2897640176465606048859348200</v>
      </c>
    </row>
    <row r="11" ht="18" customHeight="1">
      <c r="A11" s="58"/>
      <c r="B11" s="289"/>
      <c r="C11" s="290" t="s">
        <v>226</v>
      </c>
      <c r="D11" s="440">
        <v>65.45959595959595959595959596</v>
      </c>
      <c r="E11" s="95">
        <v>84.0516808698539860905092644</v>
      </c>
      <c r="F11" s="441">
        <v>65.92562431460103401642411202</v>
      </c>
      <c r="G11" s="440">
        <v>0.6146464646464646464646464646</v>
      </c>
      <c r="H11" s="95">
        <v>5.5707354006161671054759442647</v>
      </c>
      <c r="I11" s="441">
        <v>15.748375002379204549519473368</v>
      </c>
      <c r="J11" s="440">
        <v>0</v>
      </c>
      <c r="K11" s="95">
        <v>0</v>
      </c>
      <c r="L11" s="441">
        <v>6.9800066046247815409988336334</v>
      </c>
      <c r="M11" s="440">
        <v>66.074242424242424242424242424</v>
      </c>
      <c r="N11" s="95">
        <v>89.62241627047015319598520866</v>
      </c>
      <c r="O11" s="441">
        <v>88.65400592160502010694241902</v>
      </c>
      <c r="P11" s="5"/>
      <c r="Q11" s="421">
        <v>43.59150482478978097337779600</v>
      </c>
      <c r="R11" s="91">
        <v>-8.839462568556228195656250530</v>
      </c>
      <c r="S11" s="422">
        <v>-2.2085823088662509284111786300</v>
      </c>
      <c r="T11" s="421">
        <v>-89.67112242732866539359219181</v>
      </c>
      <c r="U11" s="91">
        <v>-23.174890930818052470916393970</v>
      </c>
      <c r="V11" s="422">
        <v>8.770607590945173017870247900</v>
      </c>
      <c r="W11" s="421">
        <v>0</v>
      </c>
      <c r="X11" s="91">
        <v>-100</v>
      </c>
      <c r="Y11" s="422">
        <v>38.321430319476922957242120750</v>
      </c>
      <c r="Z11" s="421">
        <v>28.204575409988681519518254110</v>
      </c>
      <c r="AA11" s="91">
        <v>-12.951499369937607930204700310</v>
      </c>
      <c r="AB11" s="422">
        <v>1.9723346020919805148959438500</v>
      </c>
    </row>
    <row r="12" ht="18" customHeight="1">
      <c r="A12" s="58"/>
      <c r="B12" s="287"/>
      <c r="C12" s="288" t="s">
        <v>228</v>
      </c>
      <c r="D12" s="277">
        <v>89.48411534701857282502443793</v>
      </c>
      <c r="E12" s="94">
        <v>109.16616169476860734259038014</v>
      </c>
      <c r="F12" s="278">
        <v>81.20036600403172428627777212</v>
      </c>
      <c r="G12" s="277">
        <v>6.4437927663734115347018572825</v>
      </c>
      <c r="H12" s="94">
        <v>11.746947042003541320565900204</v>
      </c>
      <c r="I12" s="278">
        <v>24.655655321225174763047085555</v>
      </c>
      <c r="J12" s="277">
        <v>0</v>
      </c>
      <c r="K12" s="94">
        <v>0</v>
      </c>
      <c r="L12" s="278">
        <v>7.3042169644626871510831258047</v>
      </c>
      <c r="M12" s="277">
        <v>95.92790811339198435972629521</v>
      </c>
      <c r="N12" s="94">
        <v>120.91310873677214866315628035</v>
      </c>
      <c r="O12" s="278">
        <v>113.16023828971958620040798348</v>
      </c>
      <c r="P12" s="5"/>
      <c r="Q12" s="272">
        <v>62.004477400630021590627543980</v>
      </c>
      <c r="R12" s="92">
        <v>-3.1350229824422503838763271100</v>
      </c>
      <c r="S12" s="273">
        <v>2.5037475770687182869607730600</v>
      </c>
      <c r="T12" s="272">
        <v>-59.558902470820999677919050330</v>
      </c>
      <c r="U12" s="92">
        <v>-38.327296760990308037023654790</v>
      </c>
      <c r="V12" s="273">
        <v>-2.0821512011132444146665726500</v>
      </c>
      <c r="W12" s="272">
        <v>0</v>
      </c>
      <c r="X12" s="92">
        <v>-100</v>
      </c>
      <c r="Y12" s="273">
        <v>43.414673292527151236543856580</v>
      </c>
      <c r="Z12" s="272">
        <v>34.788222164992703236329298650</v>
      </c>
      <c r="AA12" s="92">
        <v>-8.234050770094738576447781270</v>
      </c>
      <c r="AB12" s="273">
        <v>3.3521334673517378400293322400</v>
      </c>
    </row>
    <row r="13" ht="18" customHeight="1">
      <c r="A13" s="58"/>
      <c r="B13" s="289"/>
      <c r="C13" s="290" t="s">
        <v>229</v>
      </c>
      <c r="D13" s="440">
        <v>117.41944444444444444444444444</v>
      </c>
      <c r="E13" s="95">
        <v>139.47606469494264300221134672</v>
      </c>
      <c r="F13" s="441">
        <v>100.05279876723276933801982409</v>
      </c>
      <c r="G13" s="440">
        <v>9.68989898989898989898989899</v>
      </c>
      <c r="H13" s="95">
        <v>21.472371121222174747392456762</v>
      </c>
      <c r="I13" s="441">
        <v>31.995318053109164745933978184</v>
      </c>
      <c r="J13" s="440">
        <v>0</v>
      </c>
      <c r="K13" s="95">
        <v>0</v>
      </c>
      <c r="L13" s="441">
        <v>7.7130008498666452155345881254</v>
      </c>
      <c r="M13" s="440">
        <v>127.10934343434343434343434343</v>
      </c>
      <c r="N13" s="95">
        <v>160.94843581616481774960380349</v>
      </c>
      <c r="O13" s="441">
        <v>139.7611176702085792994883904</v>
      </c>
      <c r="P13" s="5"/>
      <c r="Q13" s="421">
        <v>73.087030970815961882072662290</v>
      </c>
      <c r="R13" s="91">
        <v>1.4098667990392800614036313600</v>
      </c>
      <c r="S13" s="422">
        <v>8.393062597526658128340030680</v>
      </c>
      <c r="T13" s="421">
        <v>-9.829632240629773234637527900</v>
      </c>
      <c r="U13" s="91">
        <v>-5.0159274173473416281435730600</v>
      </c>
      <c r="V13" s="422">
        <v>6.471308159601509414625529400</v>
      </c>
      <c r="W13" s="421">
        <v>0</v>
      </c>
      <c r="X13" s="91">
        <v>0</v>
      </c>
      <c r="Y13" s="422">
        <v>31.814932463467315979206243940</v>
      </c>
      <c r="Z13" s="421">
        <v>61.748421407798968492424364140</v>
      </c>
      <c r="AA13" s="91">
        <v>0.5027831062886520823754229900</v>
      </c>
      <c r="AB13" s="422">
        <v>9.011594252419533965955621270</v>
      </c>
    </row>
    <row r="14" ht="18" customHeight="1">
      <c r="A14" s="58"/>
      <c r="B14" s="287"/>
      <c r="C14" s="288" t="s">
        <v>230</v>
      </c>
      <c r="D14" s="277">
        <v>205.73142717497556207233626588</v>
      </c>
      <c r="E14" s="94">
        <v>228.74714106116474503775931944</v>
      </c>
      <c r="F14" s="278">
        <v>147.4001794650903511586374725</v>
      </c>
      <c r="G14" s="277">
        <v>7.716764418377321603128054741</v>
      </c>
      <c r="H14" s="94">
        <v>21.461938740481387573047899007</v>
      </c>
      <c r="I14" s="278">
        <v>20.082250255132025521901401792</v>
      </c>
      <c r="J14" s="277">
        <v>0</v>
      </c>
      <c r="K14" s="94">
        <v>0</v>
      </c>
      <c r="L14" s="278">
        <v>8.316108658961163793324180213</v>
      </c>
      <c r="M14" s="277">
        <v>213.44819159335288367546432063</v>
      </c>
      <c r="N14" s="94">
        <v>250.20907980164613261080721844</v>
      </c>
      <c r="O14" s="278">
        <v>175.79853837918354047386305451</v>
      </c>
      <c r="P14" s="5"/>
      <c r="Q14" s="272">
        <v>64.506024473078441257967819970</v>
      </c>
      <c r="R14" s="92">
        <v>-1.5260120298516516628083649400</v>
      </c>
      <c r="S14" s="273">
        <v>4.8315117660323662764217026700</v>
      </c>
      <c r="T14" s="272">
        <v>-42.838782086093914050903298210</v>
      </c>
      <c r="U14" s="92">
        <v>-6.9259517627078094493219671500</v>
      </c>
      <c r="V14" s="273">
        <v>-11.729156424777869977320819130</v>
      </c>
      <c r="W14" s="272">
        <v>0</v>
      </c>
      <c r="X14" s="92">
        <v>0</v>
      </c>
      <c r="Y14" s="273">
        <v>7.970937310596752037061641870</v>
      </c>
      <c r="Z14" s="272">
        <v>54.047351972175777970609607260</v>
      </c>
      <c r="AA14" s="92">
        <v>-2.0136435867300200776601475200</v>
      </c>
      <c r="AB14" s="273">
        <v>2.770320202094985078893292800</v>
      </c>
    </row>
    <row r="15" ht="18" customHeight="1">
      <c r="A15" s="58"/>
      <c r="B15" s="289">
        <v>2020</v>
      </c>
      <c r="C15" s="290" t="s">
        <v>232</v>
      </c>
      <c r="D15" s="440">
        <v>185.78836754643206256109481916</v>
      </c>
      <c r="E15" s="95">
        <v>205.18882509485502435684631669</v>
      </c>
      <c r="F15" s="441">
        <v>123.74106887162868068701176113</v>
      </c>
      <c r="G15" s="440">
        <v>85.0256598240469208211143695</v>
      </c>
      <c r="H15" s="95">
        <v>66.778736890728534765897919299</v>
      </c>
      <c r="I15" s="441">
        <v>81.53318584215343403369159547</v>
      </c>
      <c r="J15" s="440">
        <v>0</v>
      </c>
      <c r="K15" s="95">
        <v>0</v>
      </c>
      <c r="L15" s="441">
        <v>9.319157413354352591717034994</v>
      </c>
      <c r="M15" s="440">
        <v>270.81402737047898338220918866</v>
      </c>
      <c r="N15" s="95">
        <v>271.96756198558355912274423598</v>
      </c>
      <c r="O15" s="441">
        <v>214.5934121271364673124203916</v>
      </c>
      <c r="P15" s="5"/>
      <c r="Q15" s="421">
        <v>47.686539619635953921168677280</v>
      </c>
      <c r="R15" s="91">
        <v>18.832048403602074137826368270</v>
      </c>
      <c r="S15" s="422">
        <v>7.0267666795402515512068489300</v>
      </c>
      <c r="T15" s="421">
        <v>172.41230817413091136861885374</v>
      </c>
      <c r="U15" s="91">
        <v>48.604336799790878975249650290</v>
      </c>
      <c r="V15" s="422">
        <v>53.483729554344748261197775290</v>
      </c>
      <c r="W15" s="421">
        <v>0</v>
      </c>
      <c r="X15" s="91">
        <v>0</v>
      </c>
      <c r="Y15" s="422">
        <v>-2.1997621795799942565775053300</v>
      </c>
      <c r="Z15" s="421">
        <v>72.480661177605877134274463420</v>
      </c>
      <c r="AA15" s="91">
        <v>24.980177268930649145815564090</v>
      </c>
      <c r="AB15" s="422">
        <v>20.377248932619638731102544050</v>
      </c>
    </row>
    <row r="16" ht="18" customHeight="1">
      <c r="A16" s="58"/>
      <c r="B16" s="287"/>
      <c r="C16" s="288" t="s">
        <v>233</v>
      </c>
      <c r="D16" s="277">
        <v>237.97596656217345872518286311</v>
      </c>
      <c r="E16" s="94">
        <v>251.51249407434747391372003482</v>
      </c>
      <c r="F16" s="278">
        <v>150.85562882042164157050046024</v>
      </c>
      <c r="G16" s="277">
        <v>55.120950888192267502612330199</v>
      </c>
      <c r="H16" s="94">
        <v>60.280290230805701796581074525</v>
      </c>
      <c r="I16" s="278">
        <v>85.68712013316944085952883155</v>
      </c>
      <c r="J16" s="277">
        <v>0</v>
      </c>
      <c r="K16" s="94">
        <v>0</v>
      </c>
      <c r="L16" s="278">
        <v>8.633273107001518387989326469</v>
      </c>
      <c r="M16" s="277">
        <v>293.09691745036572622779519331</v>
      </c>
      <c r="N16" s="94">
        <v>311.79278430515317571030110935</v>
      </c>
      <c r="O16" s="278">
        <v>245.17602206059260081801861825</v>
      </c>
      <c r="P16" s="5"/>
      <c r="Q16" s="272">
        <v>74.580830233061757847823367060</v>
      </c>
      <c r="R16" s="92">
        <v>13.030257650127328473161051910</v>
      </c>
      <c r="S16" s="273">
        <v>1.4083124098603031541023514100</v>
      </c>
      <c r="T16" s="272">
        <v>9.826486656401716823085392600</v>
      </c>
      <c r="U16" s="92">
        <v>42.554157319284662918778744640</v>
      </c>
      <c r="V16" s="273">
        <v>56.146131696188926709333968410</v>
      </c>
      <c r="W16" s="272">
        <v>0</v>
      </c>
      <c r="X16" s="92">
        <v>0</v>
      </c>
      <c r="Y16" s="273">
        <v>-6.3730135400935271419133843600</v>
      </c>
      <c r="Z16" s="272">
        <v>57.154928166901692289537093480</v>
      </c>
      <c r="AA16" s="92">
        <v>17.744859969418666619164793570</v>
      </c>
      <c r="AB16" s="273">
        <v>15.183024155098502890456118730</v>
      </c>
    </row>
    <row r="17" ht="18" customHeight="1">
      <c r="A17" s="58"/>
      <c r="B17" s="289"/>
      <c r="C17" s="290" t="s">
        <v>234</v>
      </c>
      <c r="D17" s="440">
        <v>88.20527859237536656891495601</v>
      </c>
      <c r="E17" s="95">
        <v>102.05544543022551928705879281</v>
      </c>
      <c r="F17" s="441">
        <v>54.884037867761757098064590065</v>
      </c>
      <c r="G17" s="440">
        <v>0.4198435972629521016617790811</v>
      </c>
      <c r="H17" s="95">
        <v>8.992687589558745321090074827</v>
      </c>
      <c r="I17" s="441">
        <v>16.107156528009712944182028268</v>
      </c>
      <c r="J17" s="440">
        <v>0</v>
      </c>
      <c r="K17" s="95">
        <v>0</v>
      </c>
      <c r="L17" s="441">
        <v>6.0851567946300945929852560953</v>
      </c>
      <c r="M17" s="440">
        <v>88.62512218963831867057673509</v>
      </c>
      <c r="N17" s="95">
        <v>111.04813301978426460814886764</v>
      </c>
      <c r="O17" s="441">
        <v>77.076351190401564635231874428</v>
      </c>
      <c r="P17" s="5"/>
      <c r="Q17" s="421">
        <v>-48.202628214051487967532644590</v>
      </c>
      <c r="R17" s="91">
        <v>-56.156125478358534850841680090</v>
      </c>
      <c r="S17" s="422">
        <v>-64.329236896528550632146956810</v>
      </c>
      <c r="T17" s="421">
        <v>-98.23794871794871794871794872</v>
      </c>
      <c r="U17" s="91">
        <v>-73.034121207347992144721991120</v>
      </c>
      <c r="V17" s="422">
        <v>-61.128684858401661963351683300</v>
      </c>
      <c r="W17" s="421">
        <v>0</v>
      </c>
      <c r="X17" s="91">
        <v>-100</v>
      </c>
      <c r="Y17" s="422">
        <v>-36.484018063484640282538790090</v>
      </c>
      <c r="Z17" s="421">
        <v>-54.344265494011881816339197030</v>
      </c>
      <c r="AA17" s="91">
        <v>-58.300302370207929806571706590</v>
      </c>
      <c r="AB17" s="422">
        <v>-62.379840739161081681495079910</v>
      </c>
    </row>
    <row r="18" ht="18" customHeight="1">
      <c r="A18" s="58"/>
      <c r="B18" s="287"/>
      <c r="C18" s="288" t="s">
        <v>235</v>
      </c>
      <c r="D18" s="277"/>
      <c r="E18" s="94"/>
      <c r="F18" s="278">
        <v>3.2577837320763388276126368261</v>
      </c>
      <c r="G18" s="277"/>
      <c r="H18" s="94"/>
      <c r="I18" s="278">
        <v>1.3548672671295149028272826552</v>
      </c>
      <c r="J18" s="277"/>
      <c r="K18" s="94"/>
      <c r="L18" s="278">
        <v>5.5102321069486278887257145539</v>
      </c>
      <c r="M18" s="277"/>
      <c r="N18" s="94"/>
      <c r="O18" s="278">
        <v>10.122883106154481619165634036</v>
      </c>
      <c r="P18" s="5"/>
      <c r="Q18" s="272"/>
      <c r="R18" s="92"/>
      <c r="S18" s="273">
        <v>-97.31125112468255461591362175</v>
      </c>
      <c r="T18" s="272"/>
      <c r="U18" s="92"/>
      <c r="V18" s="273">
        <v>-95.82533025203366278059580030</v>
      </c>
      <c r="W18" s="272"/>
      <c r="X18" s="92"/>
      <c r="Y18" s="273">
        <v>-31.169720943784550940082166980</v>
      </c>
      <c r="Z18" s="272"/>
      <c r="AA18" s="92"/>
      <c r="AB18" s="273">
        <v>-93.73675311214510840963913748</v>
      </c>
    </row>
    <row r="19" ht="18" customHeight="1">
      <c r="A19" s="58"/>
      <c r="B19" s="289"/>
      <c r="C19" s="290" t="s">
        <v>236</v>
      </c>
      <c r="D19" s="440"/>
      <c r="E19" s="95"/>
      <c r="F19" s="441">
        <v>11.964072691175196724668823374</v>
      </c>
      <c r="G19" s="440"/>
      <c r="H19" s="95"/>
      <c r="I19" s="441">
        <v>1.228412083825633931712139472</v>
      </c>
      <c r="J19" s="440"/>
      <c r="K19" s="95"/>
      <c r="L19" s="441">
        <v>9.964944608251718232136503309</v>
      </c>
      <c r="M19" s="440"/>
      <c r="N19" s="95"/>
      <c r="O19" s="441">
        <v>23.157429383252548888517466154</v>
      </c>
      <c r="P19" s="5"/>
      <c r="Q19" s="421"/>
      <c r="R19" s="91"/>
      <c r="S19" s="422">
        <v>-87.75969062668109098071278303</v>
      </c>
      <c r="T19" s="421"/>
      <c r="U19" s="91"/>
      <c r="V19" s="422">
        <v>-95.50040280936898696378447035</v>
      </c>
      <c r="W19" s="421"/>
      <c r="X19" s="91"/>
      <c r="Y19" s="422">
        <v>32.015465027111262017253697970</v>
      </c>
      <c r="Z19" s="421"/>
      <c r="AA19" s="91"/>
      <c r="AB19" s="422">
        <v>-82.53482520200177354969303373</v>
      </c>
    </row>
    <row r="20" ht="18" customHeight="1">
      <c r="A20" s="58"/>
      <c r="B20" s="287"/>
      <c r="C20" s="288" t="s">
        <v>237</v>
      </c>
      <c r="D20" s="277">
        <v>22.693181818181818181818181818</v>
      </c>
      <c r="E20" s="94">
        <v>21.074673629242819843342036554</v>
      </c>
      <c r="F20" s="278">
        <v>25.75052220339135577519599766</v>
      </c>
      <c r="G20" s="277">
        <v>0</v>
      </c>
      <c r="H20" s="94">
        <v>0</v>
      </c>
      <c r="I20" s="278">
        <v>0.4120348551246433351670865583</v>
      </c>
      <c r="J20" s="277">
        <v>0</v>
      </c>
      <c r="K20" s="94">
        <v>0</v>
      </c>
      <c r="L20" s="278">
        <v>3.1076221648494174180139486411</v>
      </c>
      <c r="M20" s="277">
        <v>22.693181818181818181818181818</v>
      </c>
      <c r="N20" s="94">
        <v>21.074673629242819843342036554</v>
      </c>
      <c r="O20" s="278">
        <v>29.270179223365416528377032858</v>
      </c>
      <c r="P20" s="5"/>
      <c r="Q20" s="272">
        <v>-68.030949839914621131270010670</v>
      </c>
      <c r="R20" s="92">
        <v>-82.30169172461872475691069902</v>
      </c>
      <c r="S20" s="273">
        <v>-67.709049841985835907918424150</v>
      </c>
      <c r="T20" s="272">
        <v>-100</v>
      </c>
      <c r="U20" s="92">
        <v>-100</v>
      </c>
      <c r="V20" s="273">
        <v>-98.11369591832067614190102463</v>
      </c>
      <c r="W20" s="272">
        <v>0</v>
      </c>
      <c r="X20" s="92">
        <v>0</v>
      </c>
      <c r="Y20" s="273">
        <v>-58.239283099463624887834514560</v>
      </c>
      <c r="Z20" s="272">
        <v>-73.055427293279523144178125320</v>
      </c>
      <c r="AA20" s="92">
        <v>-84.42672953093300771012996800</v>
      </c>
      <c r="AB20" s="273">
        <v>-73.154092038631395670881774400</v>
      </c>
    </row>
    <row r="21" ht="18" customHeight="1">
      <c r="A21" s="58"/>
      <c r="B21" s="289"/>
      <c r="C21" s="290" t="s">
        <v>221</v>
      </c>
      <c r="D21" s="440">
        <v>17.989736070381231671554252199</v>
      </c>
      <c r="E21" s="95">
        <v>23.703950138970774025098964036</v>
      </c>
      <c r="F21" s="441">
        <v>21.167266206501388182233965025</v>
      </c>
      <c r="G21" s="440">
        <v>0</v>
      </c>
      <c r="H21" s="95">
        <v>0</v>
      </c>
      <c r="I21" s="441">
        <v>3.5234919313237913870741248949</v>
      </c>
      <c r="J21" s="440">
        <v>0</v>
      </c>
      <c r="K21" s="95">
        <v>0</v>
      </c>
      <c r="L21" s="441">
        <v>2.7334273055205814940733333262</v>
      </c>
      <c r="M21" s="440">
        <v>17.989736070381231671554252199</v>
      </c>
      <c r="N21" s="95">
        <v>23.703950138970774025098964036</v>
      </c>
      <c r="O21" s="441">
        <v>27.424185443345761063381423245</v>
      </c>
      <c r="P21" s="5"/>
      <c r="Q21" s="421">
        <v>-80.73884910345405022122562397</v>
      </c>
      <c r="R21" s="91">
        <v>-81.06115803269800520057031884</v>
      </c>
      <c r="S21" s="422">
        <v>-75.107348004430746583773102860</v>
      </c>
      <c r="T21" s="421">
        <v>-100</v>
      </c>
      <c r="U21" s="91">
        <v>-100</v>
      </c>
      <c r="V21" s="422">
        <v>-80.32078552990535452074738750</v>
      </c>
      <c r="W21" s="421">
        <v>0</v>
      </c>
      <c r="X21" s="91">
        <v>0</v>
      </c>
      <c r="Y21" s="422">
        <v>-65.390144336641924787415040630</v>
      </c>
      <c r="Z21" s="421">
        <v>-81.29958414729873567569078037</v>
      </c>
      <c r="AA21" s="91">
        <v>-82.34441028193217593802413121</v>
      </c>
      <c r="AB21" s="422">
        <v>-75.257116964083409611044788940</v>
      </c>
    </row>
    <row r="22" ht="18" customHeight="1">
      <c r="A22" s="58"/>
      <c r="B22" s="287"/>
      <c r="C22" s="288" t="s">
        <v>224</v>
      </c>
      <c r="D22" s="277">
        <v>28.15615835777126099706744868</v>
      </c>
      <c r="E22" s="94">
        <v>33.405120862461046070917207109</v>
      </c>
      <c r="F22" s="278">
        <v>22.472732009746391967952004756</v>
      </c>
      <c r="G22" s="277">
        <v>0</v>
      </c>
      <c r="H22" s="94">
        <v>0</v>
      </c>
      <c r="I22" s="278">
        <v>7.2039198819562304666639953684</v>
      </c>
      <c r="J22" s="277">
        <v>0</v>
      </c>
      <c r="K22" s="94">
        <v>0</v>
      </c>
      <c r="L22" s="278">
        <v>2.8965165605202228466951785392</v>
      </c>
      <c r="M22" s="277">
        <v>28.15615835777126099706744868</v>
      </c>
      <c r="N22" s="94">
        <v>33.405120862461046070917207109</v>
      </c>
      <c r="O22" s="278">
        <v>32.573168452222845281311178664</v>
      </c>
      <c r="P22" s="5"/>
      <c r="Q22" s="272">
        <v>-69.576985028121781838345963930</v>
      </c>
      <c r="R22" s="92">
        <v>-70.795456598154396571554685240</v>
      </c>
      <c r="S22" s="273">
        <v>-73.498065189328846002065085440</v>
      </c>
      <c r="T22" s="272">
        <v>-100</v>
      </c>
      <c r="U22" s="92">
        <v>-100</v>
      </c>
      <c r="V22" s="273">
        <v>-27.086399478664039143542980680</v>
      </c>
      <c r="W22" s="272">
        <v>0</v>
      </c>
      <c r="X22" s="92">
        <v>0</v>
      </c>
      <c r="Y22" s="273">
        <v>-63.084631317952249922392985330</v>
      </c>
      <c r="Z22" s="272">
        <v>-69.666453411684793340125899420</v>
      </c>
      <c r="AA22" s="92">
        <v>-71.502055212548557289745200840</v>
      </c>
      <c r="AB22" s="273">
        <v>-68.228434054816377407646239090</v>
      </c>
    </row>
    <row r="23" ht="18" customHeight="1">
      <c r="A23" s="58"/>
      <c r="B23" s="289"/>
      <c r="C23" s="290" t="s">
        <v>226</v>
      </c>
      <c r="D23" s="440">
        <v>53.261868686868686868686868687</v>
      </c>
      <c r="E23" s="95">
        <v>52.513526570048309178743961355</v>
      </c>
      <c r="F23" s="441">
        <v>31.233739112729436608519449221</v>
      </c>
      <c r="G23" s="440">
        <v>0</v>
      </c>
      <c r="H23" s="95">
        <v>0.1481711525189786059351276743</v>
      </c>
      <c r="I23" s="441">
        <v>1.0973335494548338048213433788</v>
      </c>
      <c r="J23" s="440">
        <v>0</v>
      </c>
      <c r="K23" s="95">
        <v>0</v>
      </c>
      <c r="L23" s="441">
        <v>2.3372255994808713981871122477</v>
      </c>
      <c r="M23" s="440">
        <v>53.261868686868686868686868687</v>
      </c>
      <c r="N23" s="95">
        <v>52.661697722567287784679089029</v>
      </c>
      <c r="O23" s="441">
        <v>34.668298261665141811527904849</v>
      </c>
      <c r="P23" s="5"/>
      <c r="Q23" s="421">
        <v>-18.633978859655890749170588690</v>
      </c>
      <c r="R23" s="91">
        <v>-37.522336226255251023418964360</v>
      </c>
      <c r="S23" s="422">
        <v>-52.622763246533457318956306480</v>
      </c>
      <c r="T23" s="421">
        <v>-100</v>
      </c>
      <c r="U23" s="91">
        <v>-97.34018685391896889839981386</v>
      </c>
      <c r="V23" s="422">
        <v>-93.03208394968336206659091918</v>
      </c>
      <c r="W23" s="421">
        <v>0</v>
      </c>
      <c r="X23" s="91">
        <v>0</v>
      </c>
      <c r="Y23" s="422">
        <v>-66.515424241399959142995546870</v>
      </c>
      <c r="Z23" s="421">
        <v>-19.390874972291652334762701890</v>
      </c>
      <c r="AA23" s="91">
        <v>-41.240484340836855185736553500</v>
      </c>
      <c r="AB23" s="422">
        <v>-60.894831653381088414655375790</v>
      </c>
    </row>
    <row r="24" ht="18" customHeight="1">
      <c r="A24" s="59"/>
      <c r="B24" s="287"/>
      <c r="C24" s="288" t="s">
        <v>228</v>
      </c>
      <c r="D24" s="277">
        <v>61.154936461388074291300097752</v>
      </c>
      <c r="E24" s="94">
        <v>59.893608495291524744540172314</v>
      </c>
      <c r="F24" s="278">
        <v>37.004697904400147036615612297</v>
      </c>
      <c r="G24" s="277">
        <v>1.9393939393939393939393939394</v>
      </c>
      <c r="H24" s="94">
        <v>0.0097508849262004942229346156</v>
      </c>
      <c r="I24" s="278">
        <v>3.0317907313948635976123278604</v>
      </c>
      <c r="J24" s="277">
        <v>0</v>
      </c>
      <c r="K24" s="94">
        <v>0</v>
      </c>
      <c r="L24" s="278">
        <v>3.3371660645617941425870310796</v>
      </c>
      <c r="M24" s="277">
        <v>63.094330400782013685239491691</v>
      </c>
      <c r="N24" s="94">
        <v>59.903359380217725238763106927</v>
      </c>
      <c r="O24" s="278">
        <v>43.373654700356804776814971237</v>
      </c>
      <c r="P24" s="93"/>
      <c r="Q24" s="272">
        <v>-31.658332627830318787226663100</v>
      </c>
      <c r="R24" s="92">
        <v>-45.135372018707048793977488070</v>
      </c>
      <c r="S24" s="273">
        <v>-54.427917353768077458166996600</v>
      </c>
      <c r="T24" s="272">
        <v>-69.902912621359223300970873790</v>
      </c>
      <c r="U24" s="92">
        <v>-99.91699217770085904631890286</v>
      </c>
      <c r="V24" s="273">
        <v>-87.70346724962161913599921197</v>
      </c>
      <c r="W24" s="272">
        <v>0</v>
      </c>
      <c r="X24" s="92">
        <v>0</v>
      </c>
      <c r="Y24" s="273">
        <v>-54.311788918673190437364518050</v>
      </c>
      <c r="Z24" s="272">
        <v>-34.227346721455557055767991300</v>
      </c>
      <c r="AA24" s="92">
        <v>-50.457514486185823444798509800</v>
      </c>
      <c r="AB24" s="273">
        <v>-61.670587340662018555374390370</v>
      </c>
    </row>
    <row r="25" ht="18" customHeight="1">
      <c r="A25" s="60"/>
      <c r="B25" s="289"/>
      <c r="C25" s="290" t="s">
        <v>229</v>
      </c>
      <c r="D25" s="440">
        <v>64.3</v>
      </c>
      <c r="E25" s="95">
        <v>74.172256728778467908902691511</v>
      </c>
      <c r="F25" s="441">
        <v>39.652194812976444593276869952</v>
      </c>
      <c r="G25" s="440">
        <v>1.2</v>
      </c>
      <c r="H25" s="95">
        <v>0.7906832298136645962732919254</v>
      </c>
      <c r="I25" s="441">
        <v>2.6759787332749780116522049955</v>
      </c>
      <c r="J25" s="440">
        <v>0</v>
      </c>
      <c r="K25" s="95">
        <v>0</v>
      </c>
      <c r="L25" s="441">
        <v>3.5223247134157685455977929291</v>
      </c>
      <c r="M25" s="440">
        <v>65.500000000</v>
      </c>
      <c r="N25" s="95">
        <v>74.962939958592132505175983435</v>
      </c>
      <c r="O25" s="441">
        <v>45.850498259667191150526867878</v>
      </c>
      <c r="P25" s="93"/>
      <c r="Q25" s="421">
        <v>-45.239052778500626907335998670</v>
      </c>
      <c r="R25" s="91">
        <v>-46.820799044620643107528355880</v>
      </c>
      <c r="S25" s="422">
        <v>-60.368730009017484630830496240</v>
      </c>
      <c r="T25" s="421">
        <v>-87.61596997810903784009173356</v>
      </c>
      <c r="U25" s="91">
        <v>-96.31767155406421595096286843</v>
      </c>
      <c r="V25" s="422">
        <v>-91.63634276479730718155956444</v>
      </c>
      <c r="W25" s="421">
        <v>0</v>
      </c>
      <c r="X25" s="91">
        <v>0</v>
      </c>
      <c r="Y25" s="422">
        <v>-54.332628999040390747951977450</v>
      </c>
      <c r="Z25" s="421">
        <v>-48.469563109785776582239501900</v>
      </c>
      <c r="AA25" s="91">
        <v>-53.424250705850446347572190470</v>
      </c>
      <c r="AB25" s="422">
        <v>-67.193666576236414888650513670</v>
      </c>
    </row>
    <row r="26" ht="18" customHeight="1">
      <c r="A26" s="60"/>
      <c r="B26" s="291"/>
      <c r="C26" s="292" t="s">
        <v>230</v>
      </c>
      <c r="D26" s="444">
        <v>111.63318670576735092864125122</v>
      </c>
      <c r="E26" s="445">
        <v>115.24110064783276564482735591</v>
      </c>
      <c r="F26" s="446">
        <v>63.773285818156781835908533354</v>
      </c>
      <c r="G26" s="444">
        <v>6.7827468230694037145650048876</v>
      </c>
      <c r="H26" s="445">
        <v>3.239364188873305282842449743</v>
      </c>
      <c r="I26" s="446">
        <v>1.3693662512461703939322888238</v>
      </c>
      <c r="J26" s="444">
        <v>0</v>
      </c>
      <c r="K26" s="445">
        <v>0</v>
      </c>
      <c r="L26" s="446">
        <v>4.0468957824434309079261685559</v>
      </c>
      <c r="M26" s="444">
        <v>118.41593352883675464320625611</v>
      </c>
      <c r="N26" s="445">
        <v>118.48046483670607092766980565</v>
      </c>
      <c r="O26" s="446">
        <v>69.189547851846383137766990739</v>
      </c>
      <c r="P26" s="184"/>
      <c r="Q26" s="274">
        <v>-45.738389006156656803503699580</v>
      </c>
      <c r="R26" s="275">
        <v>-49.620747121373453987917861450</v>
      </c>
      <c r="S26" s="276">
        <v>-56.734594184628802927716204010</v>
      </c>
      <c r="T26" s="274">
        <v>-12.103746397694524495677233430</v>
      </c>
      <c r="U26" s="275">
        <v>-84.90646987653899666058842145</v>
      </c>
      <c r="V26" s="276">
        <v>-93.18121110010453929431999806</v>
      </c>
      <c r="W26" s="274">
        <v>0</v>
      </c>
      <c r="X26" s="275">
        <v>0</v>
      </c>
      <c r="Y26" s="276">
        <v>-51.336665399596122555582794640</v>
      </c>
      <c r="Z26" s="274">
        <v>-44.522400192345122104805193320</v>
      </c>
      <c r="AA26" s="275">
        <v>-52.647415940847649206928501590</v>
      </c>
      <c r="AB26" s="276">
        <v>-60.642705855375201262785084730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88" t="s">
        <v>61</v>
      </c>
      <c r="C28" s="988"/>
      <c r="D28" s="988"/>
      <c r="E28" s="988"/>
      <c r="F28" s="988"/>
      <c r="G28" s="988"/>
      <c r="H28" s="988"/>
      <c r="I28" s="988"/>
      <c r="J28" s="988"/>
      <c r="K28" s="988"/>
      <c r="L28" s="988"/>
      <c r="M28" s="988"/>
      <c r="N28" s="988"/>
      <c r="O28" s="988"/>
      <c r="P28" s="412"/>
      <c r="Q28" s="986"/>
      <c r="R28" s="986"/>
      <c r="S28" s="986"/>
      <c r="T28" s="986"/>
      <c r="U28" s="986"/>
      <c r="V28" s="986"/>
      <c r="W28" s="986"/>
      <c r="X28" s="986"/>
      <c r="Y28" s="986"/>
      <c r="Z28" s="986"/>
      <c r="AA28" s="986"/>
      <c r="AB28" s="986"/>
      <c r="AC28" s="9"/>
    </row>
    <row r="29" ht="18" customHeight="1">
      <c r="A29" s="58"/>
      <c r="B29" s="285">
        <v>2018</v>
      </c>
      <c r="C29" s="286"/>
      <c r="D29" s="455">
        <v>63.229013986201712705699175861</v>
      </c>
      <c r="E29" s="456">
        <v>154.32501291237849229377795459</v>
      </c>
      <c r="F29" s="457">
        <v>103.57523441580837737795914346</v>
      </c>
      <c r="G29" s="455">
        <v>7.4043918284072910794341091514</v>
      </c>
      <c r="H29" s="456">
        <v>21.791552204087925144319834055</v>
      </c>
      <c r="I29" s="457">
        <v>30.412236786189285572578059036</v>
      </c>
      <c r="J29" s="455">
        <v>0.5882258194410888298300716759</v>
      </c>
      <c r="K29" s="456">
        <v>3.0981312776025750287411059116</v>
      </c>
      <c r="L29" s="457">
        <v>6.7953464005253724509173767038</v>
      </c>
      <c r="M29" s="455">
        <v>71.221631634050092614963356688</v>
      </c>
      <c r="N29" s="456">
        <v>179.21469639406899246683889456</v>
      </c>
      <c r="O29" s="457">
        <v>140.7828176025230354014545792</v>
      </c>
      <c r="P29" s="5"/>
      <c r="Q29" s="428">
        <v>-53.795614036637581605135984700</v>
      </c>
      <c r="R29" s="429">
        <v>12.201011697286584059673827380</v>
      </c>
      <c r="S29" s="430">
        <v>2.8270800344586992099379558200</v>
      </c>
      <c r="T29" s="428">
        <v>-35.106625448441314702875174180</v>
      </c>
      <c r="U29" s="429">
        <v>29.776870308687327015196800920</v>
      </c>
      <c r="V29" s="430">
        <v>-5.2967224181089331675299243100</v>
      </c>
      <c r="W29" s="428">
        <v>6.6508967475913545259256254700</v>
      </c>
      <c r="X29" s="429">
        <v>-27.259710636156521778414299650</v>
      </c>
      <c r="Y29" s="430">
        <v>-4.7069509107580651919840814600</v>
      </c>
      <c r="Z29" s="428">
        <v>-52.138562415091744216081502640</v>
      </c>
      <c r="AA29" s="429">
        <v>13.002152130817577003492524220</v>
      </c>
      <c r="AB29" s="430">
        <v>0.5794387524331868794437310500</v>
      </c>
    </row>
    <row r="30" ht="18" customHeight="1">
      <c r="A30" s="58"/>
      <c r="B30" s="287">
        <v>2019</v>
      </c>
      <c r="C30" s="288"/>
      <c r="D30" s="277">
        <v>118.14443752594437525944375259</v>
      </c>
      <c r="E30" s="94">
        <v>157.21946876051518196307620786</v>
      </c>
      <c r="F30" s="278">
        <v>106.3953528680748219756716795</v>
      </c>
      <c r="G30" s="277">
        <v>13.444271481942714819427148194</v>
      </c>
      <c r="H30" s="94">
        <v>19.89140052929668592649999164</v>
      </c>
      <c r="I30" s="278">
        <v>28.917125839721189420653430338</v>
      </c>
      <c r="J30" s="277">
        <v>0</v>
      </c>
      <c r="K30" s="94">
        <v>0.0195688492585356881325906321</v>
      </c>
      <c r="L30" s="278">
        <v>8.101305443348572828639993855</v>
      </c>
      <c r="M30" s="277">
        <v>131.58870900788709007887090079</v>
      </c>
      <c r="N30" s="94">
        <v>177.13043813907040357770879014</v>
      </c>
      <c r="O30" s="278">
        <v>143.41378415114458422496510369</v>
      </c>
      <c r="P30" s="5"/>
      <c r="Q30" s="272">
        <v>86.85162092157043399136343684</v>
      </c>
      <c r="R30" s="92">
        <v>1.8755584681402763121714336900</v>
      </c>
      <c r="S30" s="273">
        <v>2.7227729371530327684804566400</v>
      </c>
      <c r="T30" s="272">
        <v>81.57158337249450539969063174</v>
      </c>
      <c r="U30" s="92">
        <v>-8.719671077101086866850370490</v>
      </c>
      <c r="V30" s="273">
        <v>-4.9161492361753920177245795800</v>
      </c>
      <c r="W30" s="272">
        <v>-100</v>
      </c>
      <c r="X30" s="92">
        <v>-99.36836604052238101401376530</v>
      </c>
      <c r="Y30" s="273">
        <v>19.218432230654673164042551590</v>
      </c>
      <c r="Z30" s="272">
        <v>84.75946982514273021582185234</v>
      </c>
      <c r="AA30" s="92">
        <v>-1.1629951655390948283907187400</v>
      </c>
      <c r="AB30" s="273">
        <v>1.8688122552353278293275297100</v>
      </c>
    </row>
    <row r="31" ht="18" customHeight="1">
      <c r="A31" s="58"/>
      <c r="B31" s="426">
        <v>2020</v>
      </c>
      <c r="C31" s="427"/>
      <c r="D31" s="458">
        <v>86.5236462990561351217088922</v>
      </c>
      <c r="E31" s="459">
        <v>103.25209018792924091568215734</v>
      </c>
      <c r="F31" s="460">
        <v>55.194448496649100485088913686</v>
      </c>
      <c r="G31" s="458">
        <v>14.930178837555886736214605067</v>
      </c>
      <c r="H31" s="459">
        <v>16.382407139874710025834815783</v>
      </c>
      <c r="I31" s="460">
        <v>20.128477652413399069733723754</v>
      </c>
      <c r="J31" s="458">
        <v>0</v>
      </c>
      <c r="K31" s="459">
        <v>0</v>
      </c>
      <c r="L31" s="460">
        <v>4.8990438076855091895348678665</v>
      </c>
      <c r="M31" s="458">
        <v>101.45382513661202185792349727</v>
      </c>
      <c r="N31" s="459">
        <v>119.63449732780395094151697313</v>
      </c>
      <c r="O31" s="460">
        <v>80.2219699567480087443575053</v>
      </c>
      <c r="P31" s="93"/>
      <c r="Q31" s="431">
        <v>-26.764519675286746121069652930</v>
      </c>
      <c r="R31" s="432">
        <v>-34.326142301620316805372870650</v>
      </c>
      <c r="S31" s="433">
        <v>-48.123252558701890015579315600</v>
      </c>
      <c r="T31" s="431">
        <v>11.052345659702911323255242750</v>
      </c>
      <c r="U31" s="432">
        <v>-17.640755784158179729574461960</v>
      </c>
      <c r="V31" s="433">
        <v>-30.392537059251971493902548550</v>
      </c>
      <c r="W31" s="431">
        <v>0</v>
      </c>
      <c r="X31" s="432">
        <v>-100</v>
      </c>
      <c r="Y31" s="433">
        <v>-39.527723748426513121142580810</v>
      </c>
      <c r="Z31" s="431">
        <v>-22.900812766138514581284091810</v>
      </c>
      <c r="AA31" s="432">
        <v>-32.459661600410354232027907820</v>
      </c>
      <c r="AB31" s="433">
        <v>-44.062580573007104585390316320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87" t="s">
        <v>44</v>
      </c>
      <c r="C33" s="987"/>
      <c r="D33" s="987"/>
      <c r="E33" s="987"/>
      <c r="F33" s="987"/>
      <c r="G33" s="987"/>
      <c r="H33" s="987"/>
      <c r="I33" s="987"/>
      <c r="J33" s="987"/>
      <c r="K33" s="987"/>
      <c r="L33" s="987"/>
      <c r="M33" s="987"/>
      <c r="N33" s="987"/>
      <c r="O33" s="987"/>
      <c r="P33" s="412"/>
      <c r="Q33" s="986"/>
      <c r="R33" s="986"/>
      <c r="S33" s="986"/>
      <c r="T33" s="986"/>
      <c r="U33" s="986"/>
      <c r="V33" s="986"/>
      <c r="W33" s="986"/>
      <c r="X33" s="986"/>
      <c r="Y33" s="986"/>
      <c r="Z33" s="986"/>
      <c r="AA33" s="986"/>
      <c r="AB33" s="986"/>
      <c r="AC33" s="9"/>
    </row>
    <row r="34" ht="18" customHeight="1">
      <c r="A34" s="58"/>
      <c r="B34" s="285">
        <v>2018</v>
      </c>
      <c r="C34" s="286"/>
      <c r="D34" s="455">
        <v>82.8730237154150197628458498</v>
      </c>
      <c r="E34" s="456">
        <v>161.09606742272626520716873854</v>
      </c>
      <c r="F34" s="457">
        <v>103.57456880567488111610047004</v>
      </c>
      <c r="G34" s="455">
        <v>13.42210144927536231884057971</v>
      </c>
      <c r="H34" s="456">
        <v>21.559584578385264029440981536</v>
      </c>
      <c r="I34" s="457">
        <v>26.002007234743456689000156572</v>
      </c>
      <c r="J34" s="455">
        <v>0</v>
      </c>
      <c r="K34" s="456">
        <v>0.0053744923770671941764716062</v>
      </c>
      <c r="L34" s="457">
        <v>6.1952464192325851630390747711</v>
      </c>
      <c r="M34" s="455">
        <v>96.29512516469038208168642951</v>
      </c>
      <c r="N34" s="456">
        <v>182.66102649348859643078619169</v>
      </c>
      <c r="O34" s="457">
        <v>135.77182245965092296813970137</v>
      </c>
      <c r="P34" s="5"/>
      <c r="Q34" s="428">
        <v>-27.073359722440950587571483920</v>
      </c>
      <c r="R34" s="429">
        <v>12.896150666954274889417332560</v>
      </c>
      <c r="S34" s="430">
        <v>-2.3211462370601184631758174100</v>
      </c>
      <c r="T34" s="428">
        <v>38.158876181004475385380407750</v>
      </c>
      <c r="U34" s="429">
        <v>7.5348724825900326158904225800</v>
      </c>
      <c r="V34" s="430">
        <v>-2.4619714883793518133921515600</v>
      </c>
      <c r="W34" s="428">
        <v>-100</v>
      </c>
      <c r="X34" s="429">
        <v>-99.89549909330582450629854873</v>
      </c>
      <c r="Y34" s="430">
        <v>-13.588902149173258661754965180</v>
      </c>
      <c r="Z34" s="428">
        <v>-23.293847492367481746500691100</v>
      </c>
      <c r="AA34" s="429">
        <v>8.800653614219243850575962770</v>
      </c>
      <c r="AB34" s="430">
        <v>-2.9255804849938546475417299400</v>
      </c>
    </row>
    <row r="35" ht="18" customHeight="1">
      <c r="A35" s="58"/>
      <c r="B35" s="287">
        <v>2019</v>
      </c>
      <c r="C35" s="288"/>
      <c r="D35" s="277">
        <v>137.76375164690382081686429513</v>
      </c>
      <c r="E35" s="94">
        <v>159.34341659002405667236066401</v>
      </c>
      <c r="F35" s="278">
        <v>109.75533364599578206946413879</v>
      </c>
      <c r="G35" s="277">
        <v>7.931241765480895915678524374</v>
      </c>
      <c r="H35" s="94">
        <v>18.191810792322804762215233461</v>
      </c>
      <c r="I35" s="278">
        <v>25.511009651527104389688448491</v>
      </c>
      <c r="J35" s="277">
        <v>0</v>
      </c>
      <c r="K35" s="94">
        <v>0</v>
      </c>
      <c r="L35" s="278">
        <v>7.7801626065805083287518709873</v>
      </c>
      <c r="M35" s="277">
        <v>145.6949934123847167325428195</v>
      </c>
      <c r="N35" s="94">
        <v>177.53522738234686143457589747</v>
      </c>
      <c r="O35" s="278">
        <v>143.04650590410339478790445827</v>
      </c>
      <c r="P35" s="5"/>
      <c r="Q35" s="272">
        <v>66.234735346429387625321687990</v>
      </c>
      <c r="R35" s="92">
        <v>-1.0879538282602156571738341600</v>
      </c>
      <c r="S35" s="273">
        <v>5.9674540879983417591711811500</v>
      </c>
      <c r="T35" s="272">
        <v>-40.909090909090909090909090910</v>
      </c>
      <c r="U35" s="92">
        <v>-15.620773089657989640094721110</v>
      </c>
      <c r="V35" s="273">
        <v>-1.8883064633575263415029563700</v>
      </c>
      <c r="W35" s="272">
        <v>0</v>
      </c>
      <c r="X35" s="92">
        <v>-100</v>
      </c>
      <c r="Y35" s="273">
        <v>25.582778796783505601157451690</v>
      </c>
      <c r="Z35" s="272">
        <v>51.300487084063047285464098080</v>
      </c>
      <c r="AA35" s="92">
        <v>-2.806181049970425283500019100</v>
      </c>
      <c r="AB35" s="273">
        <v>5.358021504509438284959981500</v>
      </c>
    </row>
    <row r="36" ht="18" customHeight="1">
      <c r="A36" s="58"/>
      <c r="B36" s="426">
        <v>2020</v>
      </c>
      <c r="C36" s="427"/>
      <c r="D36" s="458">
        <v>79.189476284584980237154150198</v>
      </c>
      <c r="E36" s="459">
        <v>83.19938788369790260149428392</v>
      </c>
      <c r="F36" s="460">
        <v>47.055476418127735695404072833</v>
      </c>
      <c r="G36" s="458">
        <v>3.3302865612648221343873517787</v>
      </c>
      <c r="H36" s="459">
        <v>1.3526420019803762714915834009</v>
      </c>
      <c r="I36" s="460">
        <v>2.3441324236057582135350180055</v>
      </c>
      <c r="J36" s="458">
        <v>0</v>
      </c>
      <c r="K36" s="459">
        <v>0</v>
      </c>
      <c r="L36" s="460">
        <v>3.6417717662551723171102477585</v>
      </c>
      <c r="M36" s="458">
        <v>82.51976284584980237154150198</v>
      </c>
      <c r="N36" s="459">
        <v>84.55202988567827887298586732</v>
      </c>
      <c r="O36" s="460">
        <v>53.0413806079886662260493386</v>
      </c>
      <c r="P36" s="93"/>
      <c r="Q36" s="431">
        <v>-42.517915389273061674127302820</v>
      </c>
      <c r="R36" s="432">
        <v>-47.786115257110201719746548970</v>
      </c>
      <c r="S36" s="433">
        <v>-57.126934195380247305436444390</v>
      </c>
      <c r="T36" s="431">
        <v>-58.010527736536644621406397620</v>
      </c>
      <c r="U36" s="432">
        <v>-92.56455546167394251101116879</v>
      </c>
      <c r="V36" s="433">
        <v>-90.81129106363911772495387603</v>
      </c>
      <c r="W36" s="431">
        <v>0</v>
      </c>
      <c r="X36" s="432">
        <v>0</v>
      </c>
      <c r="Y36" s="433">
        <v>-53.191572587763913151503052300</v>
      </c>
      <c r="Z36" s="431">
        <v>-43.361291343567020098116790630</v>
      </c>
      <c r="AA36" s="432">
        <v>-52.374505537662282903696707580</v>
      </c>
      <c r="AB36" s="433">
        <v>-62.920184402443950219231017730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87" t="s">
        <v>45</v>
      </c>
      <c r="C38" s="987"/>
      <c r="D38" s="987"/>
      <c r="E38" s="987"/>
      <c r="F38" s="987"/>
      <c r="G38" s="987"/>
      <c r="H38" s="987"/>
      <c r="I38" s="987"/>
      <c r="J38" s="987"/>
      <c r="K38" s="987"/>
      <c r="L38" s="987"/>
      <c r="M38" s="987"/>
      <c r="N38" s="987"/>
      <c r="O38" s="987"/>
      <c r="P38" s="468"/>
      <c r="Q38" s="986"/>
      <c r="R38" s="986"/>
      <c r="S38" s="986"/>
      <c r="T38" s="986"/>
      <c r="U38" s="986"/>
      <c r="V38" s="986"/>
      <c r="W38" s="986"/>
      <c r="X38" s="986"/>
      <c r="Y38" s="986"/>
      <c r="Z38" s="986"/>
      <c r="AA38" s="986"/>
      <c r="AB38" s="986"/>
      <c r="AC38" s="9"/>
    </row>
    <row r="39" ht="18" customHeight="1">
      <c r="A39" s="58"/>
      <c r="B39" s="285">
        <v>2018</v>
      </c>
      <c r="C39" s="286"/>
      <c r="D39" s="455">
        <v>63.229013986201712705699175861</v>
      </c>
      <c r="E39" s="456">
        <v>154.32501291237849229377795459</v>
      </c>
      <c r="F39" s="457">
        <v>103.57523441580837737795914346</v>
      </c>
      <c r="G39" s="455">
        <v>7.4043918284072910794341091514</v>
      </c>
      <c r="H39" s="456">
        <v>21.791552204087925144319834055</v>
      </c>
      <c r="I39" s="457">
        <v>30.412236786189285572578059036</v>
      </c>
      <c r="J39" s="455">
        <v>0.5882258194410888298300716759</v>
      </c>
      <c r="K39" s="456">
        <v>3.0981312776025750287411059116</v>
      </c>
      <c r="L39" s="457">
        <v>6.7953464005253724509173767038</v>
      </c>
      <c r="M39" s="455">
        <v>71.221631634050092614963356688</v>
      </c>
      <c r="N39" s="456">
        <v>179.21469639406899246683889456</v>
      </c>
      <c r="O39" s="457">
        <v>140.7828176025230354014545792</v>
      </c>
      <c r="P39" s="5"/>
      <c r="Q39" s="428">
        <v>-53.795614036637581605135984700</v>
      </c>
      <c r="R39" s="429">
        <v>12.201011697286584059673827380</v>
      </c>
      <c r="S39" s="430">
        <v>2.8270800344586992099379558200</v>
      </c>
      <c r="T39" s="428">
        <v>-35.106625448441314702875174180</v>
      </c>
      <c r="U39" s="429">
        <v>29.776870308687327015196800920</v>
      </c>
      <c r="V39" s="430">
        <v>-5.2967224181089331675299243100</v>
      </c>
      <c r="W39" s="428">
        <v>6.6508967475913545259256254700</v>
      </c>
      <c r="X39" s="429">
        <v>-27.259710636156521778414299650</v>
      </c>
      <c r="Y39" s="430">
        <v>-4.7069509107580651919840814600</v>
      </c>
      <c r="Z39" s="428">
        <v>-52.138562415091744216081502640</v>
      </c>
      <c r="AA39" s="429">
        <v>13.002152130817577003492524220</v>
      </c>
      <c r="AB39" s="430">
        <v>0.5794387524331868794437310500</v>
      </c>
    </row>
    <row r="40" ht="18" customHeight="1">
      <c r="A40" s="58"/>
      <c r="B40" s="287">
        <v>2019</v>
      </c>
      <c r="C40" s="288"/>
      <c r="D40" s="277">
        <v>118.14443752594437525944375259</v>
      </c>
      <c r="E40" s="94">
        <v>157.21946876051518196307620786</v>
      </c>
      <c r="F40" s="278">
        <v>106.3953528680748219756716795</v>
      </c>
      <c r="G40" s="277">
        <v>13.444271481942714819427148194</v>
      </c>
      <c r="H40" s="94">
        <v>19.89140052929668592649999164</v>
      </c>
      <c r="I40" s="278">
        <v>28.917125839721189420653430338</v>
      </c>
      <c r="J40" s="277">
        <v>0</v>
      </c>
      <c r="K40" s="94">
        <v>0.0195688492585356881325906321</v>
      </c>
      <c r="L40" s="278">
        <v>8.101305443348572828639993855</v>
      </c>
      <c r="M40" s="277">
        <v>131.58870900788709007887090079</v>
      </c>
      <c r="N40" s="94">
        <v>177.13043813907040357770879014</v>
      </c>
      <c r="O40" s="278">
        <v>143.41378415114458422496510369</v>
      </c>
      <c r="P40" s="5"/>
      <c r="Q40" s="272">
        <v>86.85162092157043399136343684</v>
      </c>
      <c r="R40" s="92">
        <v>1.8755584681402763121714336900</v>
      </c>
      <c r="S40" s="273">
        <v>2.7227729371530327684804566400</v>
      </c>
      <c r="T40" s="272">
        <v>81.57158337249450539969063174</v>
      </c>
      <c r="U40" s="92">
        <v>-8.719671077101086866850370490</v>
      </c>
      <c r="V40" s="273">
        <v>-4.9161492361753920177245795800</v>
      </c>
      <c r="W40" s="272">
        <v>-100</v>
      </c>
      <c r="X40" s="92">
        <v>-99.36836604052238101401376530</v>
      </c>
      <c r="Y40" s="273">
        <v>19.218432230654673164042551590</v>
      </c>
      <c r="Z40" s="272">
        <v>84.75946982514273021582185234</v>
      </c>
      <c r="AA40" s="92">
        <v>-1.1629951655390948283907187400</v>
      </c>
      <c r="AB40" s="273">
        <v>1.8688122552353278293275297100</v>
      </c>
    </row>
    <row r="41" ht="18" customHeight="1">
      <c r="A41" s="58"/>
      <c r="B41" s="426">
        <v>2020</v>
      </c>
      <c r="C41" s="427"/>
      <c r="D41" s="458">
        <v>86.5236462990561351217088922</v>
      </c>
      <c r="E41" s="459">
        <v>103.25209018792924091568215734</v>
      </c>
      <c r="F41" s="460">
        <v>55.194448496649100485088913686</v>
      </c>
      <c r="G41" s="458">
        <v>14.930178837555886736214605067</v>
      </c>
      <c r="H41" s="459">
        <v>16.382407139874710025834815783</v>
      </c>
      <c r="I41" s="460">
        <v>20.128477652413399069733723754</v>
      </c>
      <c r="J41" s="458">
        <v>0</v>
      </c>
      <c r="K41" s="459">
        <v>0</v>
      </c>
      <c r="L41" s="460">
        <v>4.8990438076855091895348678665</v>
      </c>
      <c r="M41" s="458">
        <v>101.45382513661202185792349727</v>
      </c>
      <c r="N41" s="459">
        <v>119.63449732780395094151697313</v>
      </c>
      <c r="O41" s="460">
        <v>80.2219699567480087443575053</v>
      </c>
      <c r="P41" s="93"/>
      <c r="Q41" s="431">
        <v>-26.764519675286746121069652930</v>
      </c>
      <c r="R41" s="432">
        <v>-34.326142301620316805372870650</v>
      </c>
      <c r="S41" s="433">
        <v>-48.123252558701890015579315600</v>
      </c>
      <c r="T41" s="431">
        <v>11.052345659702911323255242750</v>
      </c>
      <c r="U41" s="432">
        <v>-17.640755784158179729574461960</v>
      </c>
      <c r="V41" s="433">
        <v>-30.392537059251971493902548550</v>
      </c>
      <c r="W41" s="431">
        <v>0</v>
      </c>
      <c r="X41" s="432">
        <v>-100</v>
      </c>
      <c r="Y41" s="433">
        <v>-39.527723748426513121142580810</v>
      </c>
      <c r="Z41" s="431">
        <v>-22.900812766138514581284091810</v>
      </c>
      <c r="AA41" s="432">
        <v>-32.459661600410354232027907820</v>
      </c>
      <c r="AB41" s="433">
        <v>-44.062580573007104585390316320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49" t="s">
        <v>129</v>
      </c>
      <c r="C43" s="1049"/>
      <c r="D43" s="1049"/>
      <c r="E43" s="1049"/>
      <c r="F43" s="1049"/>
      <c r="G43" s="1049"/>
      <c r="H43" s="1049"/>
      <c r="I43" s="1049"/>
      <c r="J43" s="1049"/>
      <c r="K43" s="1049"/>
      <c r="L43" s="1049"/>
      <c r="M43" s="1049"/>
      <c r="N43" s="1049"/>
      <c r="O43" s="1049"/>
      <c r="P43" s="1049"/>
      <c r="Q43" s="1049"/>
      <c r="R43" s="1049"/>
      <c r="S43" s="1049"/>
      <c r="T43" s="1049"/>
      <c r="U43" s="1049"/>
      <c r="V43" s="1049"/>
      <c r="W43" s="1049"/>
      <c r="X43" s="1049"/>
      <c r="Y43" s="1049"/>
      <c r="Z43" s="1049"/>
      <c r="AA43" s="1049"/>
      <c r="AB43" s="1049"/>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10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7" t="s">
        <v>188</v>
      </c>
      <c r="Y1" s="21"/>
      <c r="Z1" s="5"/>
      <c r="AB1" s="686"/>
      <c r="AD1" s="236"/>
    </row>
    <row r="2" ht="15" customHeight="1">
      <c r="A2" s="11"/>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row>
    <row r="3" ht="17.1" customHeight="1">
      <c r="A3" s="11"/>
      <c r="B3" s="1014" t="s">
        <v>212</v>
      </c>
      <c r="C3" s="1014"/>
      <c r="D3" s="1014"/>
      <c r="E3" s="1014"/>
      <c r="F3" s="1014"/>
      <c r="G3" s="1014"/>
      <c r="H3" s="1014"/>
      <c r="I3" s="1014"/>
      <c r="J3" s="1014"/>
      <c r="K3" s="1014"/>
      <c r="L3" s="1014"/>
      <c r="M3" s="1014"/>
      <c r="N3" s="1014"/>
      <c r="O3" s="1014"/>
      <c r="P3" s="1014"/>
      <c r="Q3" s="1014"/>
      <c r="R3" s="1014"/>
      <c r="S3" s="1014"/>
      <c r="T3" s="1014"/>
      <c r="U3" s="1014"/>
      <c r="V3" s="1014"/>
      <c r="W3" s="1014"/>
      <c r="X3" s="1014"/>
      <c r="Y3" s="1014"/>
      <c r="Z3" s="1014"/>
      <c r="AA3" s="1014"/>
      <c r="AB3" s="1014"/>
    </row>
    <row r="4" ht="19.5" customHeight="1">
      <c r="A4" s="4"/>
      <c r="B4" s="1014" t="s">
        <v>213</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row>
    <row r="5" ht="15" customHeight="1"/>
    <row r="6" ht="15.75" customHeight="1">
      <c r="D6" s="975" t="s">
        <v>54</v>
      </c>
      <c r="E6" s="975"/>
      <c r="F6" s="975"/>
      <c r="G6" s="975"/>
      <c r="H6" s="975"/>
      <c r="I6" s="975"/>
      <c r="J6" s="975"/>
      <c r="K6" s="975"/>
      <c r="L6" s="975"/>
      <c r="M6" s="975"/>
      <c r="N6" s="975"/>
      <c r="O6" s="975"/>
      <c r="Q6" s="975" t="s">
        <v>72</v>
      </c>
      <c r="R6" s="975"/>
      <c r="S6" s="975"/>
      <c r="T6" s="975"/>
      <c r="U6" s="975"/>
      <c r="V6" s="975"/>
      <c r="W6" s="975"/>
      <c r="X6" s="975"/>
      <c r="Y6" s="975"/>
      <c r="Z6" s="975"/>
      <c r="AA6" s="975"/>
      <c r="AB6" s="975"/>
    </row>
    <row r="7" ht="15.75" customHeight="1">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958" t="s">
        <v>42</v>
      </c>
      <c r="C8" s="958"/>
      <c r="D8" s="413" t="s">
        <v>53</v>
      </c>
      <c r="E8" s="414" t="s">
        <v>9</v>
      </c>
      <c r="F8" s="415" t="s">
        <v>10</v>
      </c>
      <c r="G8" s="413" t="s">
        <v>53</v>
      </c>
      <c r="H8" s="414" t="s">
        <v>9</v>
      </c>
      <c r="I8" s="415" t="s">
        <v>10</v>
      </c>
      <c r="J8" s="413" t="s">
        <v>53</v>
      </c>
      <c r="K8" s="414" t="s">
        <v>9</v>
      </c>
      <c r="L8" s="415" t="s">
        <v>10</v>
      </c>
      <c r="M8" s="413" t="s">
        <v>53</v>
      </c>
      <c r="N8" s="414" t="s">
        <v>9</v>
      </c>
      <c r="O8" s="415" t="s">
        <v>10</v>
      </c>
      <c r="P8" s="63"/>
      <c r="Q8" s="413" t="s">
        <v>53</v>
      </c>
      <c r="R8" s="414" t="s">
        <v>9</v>
      </c>
      <c r="S8" s="415" t="s">
        <v>10</v>
      </c>
      <c r="T8" s="413" t="s">
        <v>53</v>
      </c>
      <c r="U8" s="414" t="s">
        <v>9</v>
      </c>
      <c r="V8" s="415" t="s">
        <v>10</v>
      </c>
      <c r="W8" s="413" t="s">
        <v>53</v>
      </c>
      <c r="X8" s="414" t="s">
        <v>9</v>
      </c>
      <c r="Y8" s="415" t="s">
        <v>10</v>
      </c>
      <c r="Z8" s="413" t="s">
        <v>53</v>
      </c>
      <c r="AA8" s="414" t="s">
        <v>9</v>
      </c>
      <c r="AB8" s="415" t="s">
        <v>10</v>
      </c>
    </row>
    <row r="9" ht="18.95" customHeight="1">
      <c r="A9" s="57"/>
      <c r="B9" s="285">
        <v>2019</v>
      </c>
      <c r="C9" s="286" t="s">
        <v>221</v>
      </c>
      <c r="D9" s="416">
        <v>77.756352110132328440772825700</v>
      </c>
      <c r="E9" s="417">
        <v>95.97085758847560557432962696</v>
      </c>
      <c r="F9" s="418">
        <v>74.623437949608743391273671340</v>
      </c>
      <c r="G9" s="416">
        <v>35.651419658772599949070537270</v>
      </c>
      <c r="H9" s="417">
        <v>86.35252743788277510456592375</v>
      </c>
      <c r="I9" s="418">
        <v>30.785901942836343005631349870</v>
      </c>
      <c r="J9" s="416">
        <v>0</v>
      </c>
      <c r="K9" s="417">
        <v>0</v>
      </c>
      <c r="L9" s="418">
        <v>0</v>
      </c>
      <c r="M9" s="416">
        <v>75.232971833538405776366116310</v>
      </c>
      <c r="N9" s="417">
        <v>95.24162860358571395607039283</v>
      </c>
      <c r="O9" s="418">
        <v>71.653107621138897838489257400</v>
      </c>
      <c r="P9" s="5"/>
      <c r="Q9" s="416">
        <v>38.827133262688689833160943920</v>
      </c>
      <c r="R9" s="417">
        <v>16.739510322407253874282903860</v>
      </c>
      <c r="S9" s="418">
        <v>62.066115565498537321277674290</v>
      </c>
      <c r="T9" s="416">
        <v>85.05637565447465017048948163</v>
      </c>
      <c r="U9" s="417">
        <v>-1.3274011482168152560713718100</v>
      </c>
      <c r="V9" s="418">
        <v>82.59993519918873069600577155</v>
      </c>
      <c r="W9" s="416">
        <v>0</v>
      </c>
      <c r="X9" s="417">
        <v>0</v>
      </c>
      <c r="Y9" s="418">
        <v>0</v>
      </c>
      <c r="Z9" s="416">
        <v>43.348753580850519861903914660</v>
      </c>
      <c r="AA9" s="417">
        <v>16.146700858530938088343777130</v>
      </c>
      <c r="AB9" s="418">
        <v>66.494848005983109608070214010</v>
      </c>
    </row>
    <row r="10" ht="18.95" customHeight="1">
      <c r="A10" s="58"/>
      <c r="B10" s="287"/>
      <c r="C10" s="288" t="s">
        <v>224</v>
      </c>
      <c r="D10" s="272">
        <v>88.47478367187704237276206219</v>
      </c>
      <c r="E10" s="92">
        <v>91.45111645156444707303732797</v>
      </c>
      <c r="F10" s="273">
        <v>80.91117744603800108466126474</v>
      </c>
      <c r="G10" s="272">
        <v>10.926406926406926406926406810</v>
      </c>
      <c r="H10" s="92">
        <v>88.08831647025249651704127445</v>
      </c>
      <c r="I10" s="273">
        <v>9.624887912160922130260267390</v>
      </c>
      <c r="J10" s="272">
        <v>0</v>
      </c>
      <c r="K10" s="92">
        <v>0</v>
      </c>
      <c r="L10" s="273">
        <v>0</v>
      </c>
      <c r="M10" s="272">
        <v>86.71449235201748334895750422</v>
      </c>
      <c r="N10" s="92">
        <v>91.31855182695262462498979451</v>
      </c>
      <c r="O10" s="273">
        <v>79.186418639955955496178889510</v>
      </c>
      <c r="P10" s="5"/>
      <c r="Q10" s="272">
        <v>44.118587130002506127572088680</v>
      </c>
      <c r="R10" s="92">
        <v>0.1623912740850024245946768200</v>
      </c>
      <c r="S10" s="273">
        <v>44.352623139836221526856675090</v>
      </c>
      <c r="T10" s="272">
        <v>123.37662337662337662337662113</v>
      </c>
      <c r="U10" s="92">
        <v>28.020214717010479338803360890</v>
      </c>
      <c r="V10" s="273">
        <v>185.96723287436107073083348136</v>
      </c>
      <c r="W10" s="272">
        <v>0</v>
      </c>
      <c r="X10" s="92">
        <v>0</v>
      </c>
      <c r="Y10" s="273">
        <v>0</v>
      </c>
      <c r="Z10" s="272">
        <v>52.765466038481550083137101580</v>
      </c>
      <c r="AA10" s="92">
        <v>0.4980018491954818205287695200</v>
      </c>
      <c r="AB10" s="273">
        <v>53.526240884285283968226268250</v>
      </c>
    </row>
    <row r="11" ht="18.95" customHeight="1">
      <c r="A11" s="58"/>
      <c r="B11" s="289"/>
      <c r="C11" s="290" t="s">
        <v>226</v>
      </c>
      <c r="D11" s="421">
        <v>83.95168583693173857108283337</v>
      </c>
      <c r="E11" s="91">
        <v>92.76785093095279889634150438</v>
      </c>
      <c r="F11" s="422">
        <v>77.880174771226648859593807600</v>
      </c>
      <c r="G11" s="421">
        <v>17.121429191629764695667274450</v>
      </c>
      <c r="H11" s="91">
        <v>64.442568684852194574121823890</v>
      </c>
      <c r="I11" s="422">
        <v>11.033488766644344983576145830</v>
      </c>
      <c r="J11" s="421">
        <v>0</v>
      </c>
      <c r="K11" s="91">
        <v>0</v>
      </c>
      <c r="L11" s="422">
        <v>0</v>
      </c>
      <c r="M11" s="421">
        <v>80.24744386612090892246534269</v>
      </c>
      <c r="N11" s="91">
        <v>91.87224653171448049325447383</v>
      </c>
      <c r="O11" s="422">
        <v>73.725129464081791364544102960</v>
      </c>
      <c r="P11" s="5"/>
      <c r="Q11" s="421">
        <v>53.620728814979881676490704120</v>
      </c>
      <c r="R11" s="91">
        <v>2.5349794792299913780093898100</v>
      </c>
      <c r="S11" s="422">
        <v>57.514982766283175986077864620</v>
      </c>
      <c r="T11" s="421">
        <v>-81.22553701518811918272562128</v>
      </c>
      <c r="U11" s="91">
        <v>-28.388557699777511023399260110</v>
      </c>
      <c r="V11" s="422">
        <v>-86.55533627245481109443559718</v>
      </c>
      <c r="W11" s="421">
        <v>0</v>
      </c>
      <c r="X11" s="91">
        <v>0</v>
      </c>
      <c r="Y11" s="422">
        <v>0</v>
      </c>
      <c r="Z11" s="421">
        <v>45.602665723932821877487796160</v>
      </c>
      <c r="AA11" s="91">
        <v>1.1516341796051583769546516700</v>
      </c>
      <c r="AB11" s="422">
        <v>47.279475788825876765925793920</v>
      </c>
    </row>
    <row r="12" ht="18.95" customHeight="1">
      <c r="A12" s="58"/>
      <c r="B12" s="287"/>
      <c r="C12" s="288" t="s">
        <v>228</v>
      </c>
      <c r="D12" s="272">
        <v>85.27209573659591321194994808</v>
      </c>
      <c r="E12" s="92">
        <v>96.12823569088199184493621528</v>
      </c>
      <c r="F12" s="273">
        <v>81.97056116822945396569407340</v>
      </c>
      <c r="G12" s="272">
        <v>74.545225150826967632418048790</v>
      </c>
      <c r="H12" s="92">
        <v>73.586258768327956420795186680</v>
      </c>
      <c r="I12" s="273">
        <v>54.855042278920226546197113850</v>
      </c>
      <c r="J12" s="272">
        <v>0</v>
      </c>
      <c r="K12" s="92">
        <v>0</v>
      </c>
      <c r="L12" s="273">
        <v>0</v>
      </c>
      <c r="M12" s="272">
        <v>84.35647179993264252762831208</v>
      </c>
      <c r="N12" s="92">
        <v>94.04878288989057159378254038</v>
      </c>
      <c r="O12" s="273">
        <v>79.33623501669041619441701242</v>
      </c>
      <c r="P12" s="5"/>
      <c r="Q12" s="272">
        <v>61.196895656026119657852778320</v>
      </c>
      <c r="R12" s="92">
        <v>3.7536929997594433453741788500</v>
      </c>
      <c r="S12" s="273">
        <v>67.247732244095906330070409980</v>
      </c>
      <c r="T12" s="272">
        <v>-29.844409960783326530502156800</v>
      </c>
      <c r="U12" s="92">
        <v>-6.5309847986610339472312387100</v>
      </c>
      <c r="V12" s="273">
        <v>-34.426260881655521979115959830</v>
      </c>
      <c r="W12" s="272">
        <v>0</v>
      </c>
      <c r="X12" s="92">
        <v>0</v>
      </c>
      <c r="Y12" s="273">
        <v>0</v>
      </c>
      <c r="Z12" s="272">
        <v>41.447241321276071712412432830</v>
      </c>
      <c r="AA12" s="92">
        <v>3.8426833557093764476048398200</v>
      </c>
      <c r="AB12" s="273">
        <v>46.882610920638822809423082100</v>
      </c>
    </row>
    <row r="13" ht="18.95" customHeight="1">
      <c r="A13" s="58"/>
      <c r="B13" s="289"/>
      <c r="C13" s="290" t="s">
        <v>229</v>
      </c>
      <c r="D13" s="421">
        <v>87.31733424500867923069252732</v>
      </c>
      <c r="E13" s="91">
        <v>96.41394813164966758973050590</v>
      </c>
      <c r="F13" s="422">
        <v>84.18608934892184087073454063</v>
      </c>
      <c r="G13" s="421">
        <v>56.672508214676889375684556380</v>
      </c>
      <c r="H13" s="91">
        <v>79.62818394581865989133873636</v>
      </c>
      <c r="I13" s="422">
        <v>45.127289087892104053643470940</v>
      </c>
      <c r="J13" s="421">
        <v>0</v>
      </c>
      <c r="K13" s="91">
        <v>0</v>
      </c>
      <c r="L13" s="422">
        <v>0</v>
      </c>
      <c r="M13" s="421">
        <v>83.56936689778844676876033707</v>
      </c>
      <c r="N13" s="91">
        <v>94.50256645737204381201166386</v>
      </c>
      <c r="O13" s="422">
        <v>78.975196490587600829196352350</v>
      </c>
      <c r="P13" s="5"/>
      <c r="Q13" s="421">
        <v>66.240948263036040277937458060</v>
      </c>
      <c r="R13" s="91">
        <v>2.6706493089472290318502355100</v>
      </c>
      <c r="S13" s="422">
        <v>70.680660999010132832181403210</v>
      </c>
      <c r="T13" s="421">
        <v>11.858099062918340026773761800</v>
      </c>
      <c r="U13" s="91">
        <v>-15.131677172869485916116301570</v>
      </c>
      <c r="V13" s="422">
        <v>-5.0679073789910107654463979500</v>
      </c>
      <c r="W13" s="421">
        <v>0</v>
      </c>
      <c r="X13" s="91">
        <v>0</v>
      </c>
      <c r="Y13" s="422">
        <v>0</v>
      </c>
      <c r="Z13" s="421">
        <v>59.810509784241484646206891120</v>
      </c>
      <c r="AA13" s="91">
        <v>0.7062966537477727552361929300</v>
      </c>
      <c r="AB13" s="422">
        <v>60.939246067184839225871187520</v>
      </c>
    </row>
    <row r="14" ht="18.95" customHeight="1">
      <c r="A14" s="58"/>
      <c r="B14" s="287"/>
      <c r="C14" s="288" t="s">
        <v>230</v>
      </c>
      <c r="D14" s="272">
        <v>103.53179059778539622492808449</v>
      </c>
      <c r="E14" s="92">
        <v>86.87028347737464460639005116</v>
      </c>
      <c r="F14" s="273">
        <v>89.93835998149808285407632862</v>
      </c>
      <c r="G14" s="272">
        <v>47.009365687526607066836951940</v>
      </c>
      <c r="H14" s="92">
        <v>76.485991344667581925216669660</v>
      </c>
      <c r="I14" s="273">
        <v>35.955579370944732797326737960</v>
      </c>
      <c r="J14" s="272">
        <v>0</v>
      </c>
      <c r="K14" s="92">
        <v>0</v>
      </c>
      <c r="L14" s="273">
        <v>0</v>
      </c>
      <c r="M14" s="272">
        <v>98.30848613599705302762071322</v>
      </c>
      <c r="N14" s="92">
        <v>86.77575591729048265940902421</v>
      </c>
      <c r="O14" s="273">
        <v>85.30793197535615651451380479</v>
      </c>
      <c r="P14" s="5"/>
      <c r="Q14" s="272">
        <v>85.14960795516282917220179531</v>
      </c>
      <c r="R14" s="92">
        <v>-9.772799184674832265713474270</v>
      </c>
      <c r="S14" s="273">
        <v>67.055308578492027822666103990</v>
      </c>
      <c r="T14" s="272">
        <v>-41.041907986575187858267248740</v>
      </c>
      <c r="U14" s="92">
        <v>4.1668302913547085245103197300</v>
      </c>
      <c r="V14" s="273">
        <v>-38.585224349355021621175426880</v>
      </c>
      <c r="W14" s="272">
        <v>0</v>
      </c>
      <c r="X14" s="92">
        <v>0</v>
      </c>
      <c r="Y14" s="273">
        <v>0</v>
      </c>
      <c r="Z14" s="272">
        <v>70.354410799635785396180307900</v>
      </c>
      <c r="AA14" s="92">
        <v>-7.7141225816609575818712617300</v>
      </c>
      <c r="AB14" s="273">
        <v>57.213062727285608214944554200</v>
      </c>
    </row>
    <row r="15" ht="18.95" customHeight="1">
      <c r="A15" s="58"/>
      <c r="B15" s="289">
        <v>2020</v>
      </c>
      <c r="C15" s="290" t="s">
        <v>232</v>
      </c>
      <c r="D15" s="421">
        <v>92.75265899764897760889744858</v>
      </c>
      <c r="E15" s="91">
        <v>97.61991954336437763324361733</v>
      </c>
      <c r="F15" s="422">
        <v>90.54507108783605214699393093</v>
      </c>
      <c r="G15" s="421">
        <v>106.64718046607810387337946392</v>
      </c>
      <c r="H15" s="91">
        <v>119.38848264353289192566063570</v>
      </c>
      <c r="I15" s="422">
        <v>127.32445054056085775934160891</v>
      </c>
      <c r="J15" s="421">
        <v>0</v>
      </c>
      <c r="K15" s="91">
        <v>0</v>
      </c>
      <c r="L15" s="422">
        <v>0</v>
      </c>
      <c r="M15" s="421">
        <v>95.72972157748898273023793213</v>
      </c>
      <c r="N15" s="91">
        <v>104.01770126174185933602972179</v>
      </c>
      <c r="O15" s="422">
        <v>99.57585580916972655840463483</v>
      </c>
      <c r="P15" s="5"/>
      <c r="Q15" s="421">
        <v>21.365273718551703092212682810</v>
      </c>
      <c r="R15" s="91">
        <v>2.4030499266044259747052521500</v>
      </c>
      <c r="S15" s="422">
        <v>24.281741839568620480268892740</v>
      </c>
      <c r="T15" s="421">
        <v>28.996397418688217575614998830</v>
      </c>
      <c r="U15" s="91">
        <v>42.107716394639830666982985650</v>
      </c>
      <c r="V15" s="422">
        <v>83.31383460305194749743664084</v>
      </c>
      <c r="W15" s="421">
        <v>0</v>
      </c>
      <c r="X15" s="91">
        <v>0</v>
      </c>
      <c r="Y15" s="422">
        <v>0</v>
      </c>
      <c r="Z15" s="421">
        <v>23.366111940819118750436011950</v>
      </c>
      <c r="AA15" s="91">
        <v>11.867361371146778435616320870</v>
      </c>
      <c r="AB15" s="422">
        <v>38.006414254369580079195286650</v>
      </c>
    </row>
    <row r="16" ht="18.95" customHeight="1">
      <c r="A16" s="58"/>
      <c r="B16" s="287"/>
      <c r="C16" s="288" t="s">
        <v>233</v>
      </c>
      <c r="D16" s="272">
        <v>93.01408607395620036949659584</v>
      </c>
      <c r="E16" s="92">
        <v>101.72432398379560973484262536</v>
      </c>
      <c r="F16" s="273">
        <v>94.61795026843771937296265451</v>
      </c>
      <c r="G16" s="272">
        <v>100.08812125484670476232438696</v>
      </c>
      <c r="H16" s="92">
        <v>91.36057601815335473895977475</v>
      </c>
      <c r="I16" s="273">
        <v>91.44108410417572909083151074</v>
      </c>
      <c r="J16" s="272">
        <v>0</v>
      </c>
      <c r="K16" s="92">
        <v>0</v>
      </c>
      <c r="L16" s="273">
        <v>0</v>
      </c>
      <c r="M16" s="272">
        <v>94.19454827077911437234657192</v>
      </c>
      <c r="N16" s="92">
        <v>99.79744505730046902181233853</v>
      </c>
      <c r="O16" s="273">
        <v>94.00375255750315568936352156</v>
      </c>
      <c r="P16" s="5"/>
      <c r="Q16" s="272">
        <v>37.220840293605940869594175910</v>
      </c>
      <c r="R16" s="92">
        <v>12.559398193212676263416102580</v>
      </c>
      <c r="S16" s="273">
        <v>54.454952030152337457475254150</v>
      </c>
      <c r="T16" s="272">
        <v>-19.240646558235531860329609400</v>
      </c>
      <c r="U16" s="92">
        <v>-4.6030762642038497001791964800</v>
      </c>
      <c r="V16" s="273">
        <v>-22.958061187637886855910314030</v>
      </c>
      <c r="W16" s="272">
        <v>0</v>
      </c>
      <c r="X16" s="92">
        <v>0</v>
      </c>
      <c r="Y16" s="273">
        <v>0</v>
      </c>
      <c r="Z16" s="272">
        <v>23.575161947723400512063065060</v>
      </c>
      <c r="AA16" s="92">
        <v>8.007734982879022951487112430</v>
      </c>
      <c r="AB16" s="273">
        <v>33.470733421160653843325363540</v>
      </c>
    </row>
    <row r="17" ht="18.95" customHeight="1">
      <c r="A17" s="58"/>
      <c r="B17" s="289"/>
      <c r="C17" s="290" t="s">
        <v>234</v>
      </c>
      <c r="D17" s="421">
        <v>97.79265360197884837763533745</v>
      </c>
      <c r="E17" s="91">
        <v>88.37962664481860201328480574</v>
      </c>
      <c r="F17" s="422">
        <v>86.42878213948965662323539739</v>
      </c>
      <c r="G17" s="421">
        <v>3.7404562052449376393038363600</v>
      </c>
      <c r="H17" s="91">
        <v>124.81691784596289289948881548</v>
      </c>
      <c r="I17" s="422">
        <v>4.6687221487647949814801443200</v>
      </c>
      <c r="J17" s="421">
        <v>0</v>
      </c>
      <c r="K17" s="91">
        <v>0</v>
      </c>
      <c r="L17" s="422">
        <v>0</v>
      </c>
      <c r="M17" s="421">
        <v>90.76595488380826858553971848</v>
      </c>
      <c r="N17" s="91">
        <v>87.92707065634656386466064799</v>
      </c>
      <c r="O17" s="422">
        <v>79.80784528259374102381922616</v>
      </c>
      <c r="P17" s="5"/>
      <c r="Q17" s="421">
        <v>24.766412743835768521375550030</v>
      </c>
      <c r="R17" s="91">
        <v>-5.3106556544145736456081001500</v>
      </c>
      <c r="S17" s="422">
        <v>18.140498190645029078114197980</v>
      </c>
      <c r="T17" s="421">
        <v>-95.58400124503929655279744782</v>
      </c>
      <c r="U17" s="91">
        <v>47.970459830952723630063697470</v>
      </c>
      <c r="V17" s="422">
        <v>-93.46562633615549990972989274</v>
      </c>
      <c r="W17" s="421">
        <v>0</v>
      </c>
      <c r="X17" s="91">
        <v>0</v>
      </c>
      <c r="Y17" s="422">
        <v>0</v>
      </c>
      <c r="Z17" s="421">
        <v>14.873370955184034913126956560</v>
      </c>
      <c r="AA17" s="91">
        <v>-4.6889920056411319817684438300</v>
      </c>
      <c r="AB17" s="422">
        <v>9.486967774484973463284837500</v>
      </c>
    </row>
    <row r="18" ht="18.95" customHeight="1">
      <c r="A18" s="58"/>
      <c r="B18" s="287"/>
      <c r="C18" s="288" t="s">
        <v>235</v>
      </c>
      <c r="D18" s="272"/>
      <c r="E18" s="92"/>
      <c r="F18" s="273"/>
      <c r="G18" s="272"/>
      <c r="H18" s="92"/>
      <c r="I18" s="273"/>
      <c r="J18" s="272"/>
      <c r="K18" s="92"/>
      <c r="L18" s="273"/>
      <c r="M18" s="272"/>
      <c r="N18" s="92"/>
      <c r="O18" s="273"/>
      <c r="P18" s="5"/>
      <c r="Q18" s="272"/>
      <c r="R18" s="92"/>
      <c r="S18" s="273"/>
      <c r="T18" s="272"/>
      <c r="U18" s="92"/>
      <c r="V18" s="273"/>
      <c r="W18" s="272"/>
      <c r="X18" s="92"/>
      <c r="Y18" s="273"/>
      <c r="Z18" s="272"/>
      <c r="AA18" s="92"/>
      <c r="AB18" s="273"/>
    </row>
    <row r="19" ht="18.95" customHeight="1">
      <c r="A19" s="58"/>
      <c r="B19" s="289"/>
      <c r="C19" s="290" t="s">
        <v>236</v>
      </c>
      <c r="D19" s="421"/>
      <c r="E19" s="91"/>
      <c r="F19" s="422"/>
      <c r="G19" s="421"/>
      <c r="H19" s="91"/>
      <c r="I19" s="422"/>
      <c r="J19" s="421"/>
      <c r="K19" s="91"/>
      <c r="L19" s="422"/>
      <c r="M19" s="421"/>
      <c r="N19" s="91"/>
      <c r="O19" s="422"/>
      <c r="P19" s="5"/>
      <c r="Q19" s="421"/>
      <c r="R19" s="91"/>
      <c r="S19" s="422"/>
      <c r="T19" s="421"/>
      <c r="U19" s="91"/>
      <c r="V19" s="422"/>
      <c r="W19" s="421"/>
      <c r="X19" s="91"/>
      <c r="Y19" s="422"/>
      <c r="Z19" s="421"/>
      <c r="AA19" s="91"/>
      <c r="AB19" s="422"/>
    </row>
    <row r="20" ht="18.95" customHeight="1">
      <c r="A20" s="58"/>
      <c r="B20" s="287"/>
      <c r="C20" s="288" t="s">
        <v>237</v>
      </c>
      <c r="D20" s="272">
        <v>99.72656193335944413014781612</v>
      </c>
      <c r="E20" s="92">
        <v>107.97511816595233109353735321</v>
      </c>
      <c r="F20" s="273">
        <v>107.67987309038649541152142866</v>
      </c>
      <c r="G20" s="272">
        <v>0</v>
      </c>
      <c r="H20" s="92">
        <v>0</v>
      </c>
      <c r="I20" s="273">
        <v>0</v>
      </c>
      <c r="J20" s="272">
        <v>0</v>
      </c>
      <c r="K20" s="92">
        <v>0</v>
      </c>
      <c r="L20" s="273">
        <v>0</v>
      </c>
      <c r="M20" s="272">
        <v>99.72656193335944413014781612</v>
      </c>
      <c r="N20" s="92">
        <v>107.97511816595233109353735321</v>
      </c>
      <c r="O20" s="273">
        <v>107.67987309038649541152142866</v>
      </c>
      <c r="P20" s="5"/>
      <c r="Q20" s="272">
        <v>64.056384786581297401080720730</v>
      </c>
      <c r="R20" s="92">
        <v>10.104442048541654874869584650</v>
      </c>
      <c r="S20" s="273">
        <v>80.63336711427391248311077350</v>
      </c>
      <c r="T20" s="272">
        <v>-100</v>
      </c>
      <c r="U20" s="92">
        <v>-100</v>
      </c>
      <c r="V20" s="273">
        <v>-100</v>
      </c>
      <c r="W20" s="272">
        <v>0</v>
      </c>
      <c r="X20" s="92">
        <v>0</v>
      </c>
      <c r="Y20" s="273">
        <v>0</v>
      </c>
      <c r="Z20" s="272">
        <v>48.593634789461041096399019610</v>
      </c>
      <c r="AA20" s="92">
        <v>16.437069982040373584785247560</v>
      </c>
      <c r="AB20" s="273">
        <v>73.018074528662243359167110750</v>
      </c>
    </row>
    <row r="21" ht="18.95" customHeight="1">
      <c r="A21" s="58"/>
      <c r="B21" s="289"/>
      <c r="C21" s="290" t="s">
        <v>221</v>
      </c>
      <c r="D21" s="421">
        <v>69.028500719579281496724905480</v>
      </c>
      <c r="E21" s="91">
        <v>109.94503608055438721499612943</v>
      </c>
      <c r="F21" s="422">
        <v>75.893410022007185848471820110</v>
      </c>
      <c r="G21" s="421">
        <v>0</v>
      </c>
      <c r="H21" s="91">
        <v>0</v>
      </c>
      <c r="I21" s="422">
        <v>0</v>
      </c>
      <c r="J21" s="421">
        <v>0</v>
      </c>
      <c r="K21" s="91">
        <v>0</v>
      </c>
      <c r="L21" s="422">
        <v>0</v>
      </c>
      <c r="M21" s="421">
        <v>69.028500719579281496724905480</v>
      </c>
      <c r="N21" s="91">
        <v>109.94503608055438721499612943</v>
      </c>
      <c r="O21" s="422">
        <v>75.893410022007185848471820110</v>
      </c>
      <c r="P21" s="5"/>
      <c r="Q21" s="421">
        <v>-11.224615293411806102856283080</v>
      </c>
      <c r="R21" s="91">
        <v>14.560856121553333010820857830</v>
      </c>
      <c r="S21" s="422">
        <v>1.7018407450699623275440801200</v>
      </c>
      <c r="T21" s="421">
        <v>-100</v>
      </c>
      <c r="U21" s="91">
        <v>-100</v>
      </c>
      <c r="V21" s="422">
        <v>-100</v>
      </c>
      <c r="W21" s="421">
        <v>0</v>
      </c>
      <c r="X21" s="91">
        <v>0</v>
      </c>
      <c r="Y21" s="422">
        <v>0</v>
      </c>
      <c r="Z21" s="421">
        <v>-8.247010536400488730293048300</v>
      </c>
      <c r="AA21" s="91">
        <v>15.438005095615417222793475200</v>
      </c>
      <c r="AB21" s="422">
        <v>5.9178206523694806895062841400</v>
      </c>
    </row>
    <row r="22" ht="18.95" customHeight="1">
      <c r="A22" s="58"/>
      <c r="B22" s="287"/>
      <c r="C22" s="288" t="s">
        <v>224</v>
      </c>
      <c r="D22" s="272">
        <v>78.919399618254381398577129950</v>
      </c>
      <c r="E22" s="92">
        <v>106.80130984177251037359790810</v>
      </c>
      <c r="F22" s="273">
        <v>84.28695251155849362188443271</v>
      </c>
      <c r="G22" s="272">
        <v>0</v>
      </c>
      <c r="H22" s="92">
        <v>0</v>
      </c>
      <c r="I22" s="273">
        <v>0</v>
      </c>
      <c r="J22" s="272">
        <v>0</v>
      </c>
      <c r="K22" s="92">
        <v>0</v>
      </c>
      <c r="L22" s="273">
        <v>0</v>
      </c>
      <c r="M22" s="272">
        <v>78.919399618254381398577129950</v>
      </c>
      <c r="N22" s="92">
        <v>106.80130984177251037359790810</v>
      </c>
      <c r="O22" s="273">
        <v>84.28695251155849362188443271</v>
      </c>
      <c r="P22" s="5"/>
      <c r="Q22" s="272">
        <v>-10.800121409802298891581110870</v>
      </c>
      <c r="R22" s="92">
        <v>16.785135038059416437832122940</v>
      </c>
      <c r="S22" s="273">
        <v>4.172198665347435261047496400</v>
      </c>
      <c r="T22" s="272">
        <v>-100</v>
      </c>
      <c r="U22" s="92">
        <v>-100</v>
      </c>
      <c r="V22" s="273">
        <v>-100</v>
      </c>
      <c r="W22" s="272">
        <v>0</v>
      </c>
      <c r="X22" s="92">
        <v>0</v>
      </c>
      <c r="Y22" s="273">
        <v>0</v>
      </c>
      <c r="Z22" s="272">
        <v>-8.989377118324031523714721960</v>
      </c>
      <c r="AA22" s="92">
        <v>16.954668799566045582701426500</v>
      </c>
      <c r="AB22" s="273">
        <v>6.4411725636862002024258743400</v>
      </c>
    </row>
    <row r="23" ht="18.95" customHeight="1">
      <c r="A23" s="58"/>
      <c r="B23" s="289"/>
      <c r="C23" s="290" t="s">
        <v>226</v>
      </c>
      <c r="D23" s="421">
        <v>112.24718600576163464108580084</v>
      </c>
      <c r="E23" s="91">
        <v>90.35865397011409100097336082</v>
      </c>
      <c r="F23" s="422">
        <v>101.42504639413648364643277387</v>
      </c>
      <c r="G23" s="421">
        <v>0</v>
      </c>
      <c r="H23" s="91">
        <v>0</v>
      </c>
      <c r="I23" s="422">
        <v>0</v>
      </c>
      <c r="J23" s="421">
        <v>0</v>
      </c>
      <c r="K23" s="91">
        <v>0</v>
      </c>
      <c r="L23" s="422">
        <v>0</v>
      </c>
      <c r="M23" s="421">
        <v>111.95458988714120678930063094</v>
      </c>
      <c r="N23" s="91">
        <v>90.33990723273465878143069031</v>
      </c>
      <c r="O23" s="422">
        <v>101.13967264683190393612007413</v>
      </c>
      <c r="P23" s="5"/>
      <c r="Q23" s="421">
        <v>33.704505021842261074236461120</v>
      </c>
      <c r="R23" s="91">
        <v>-2.5970171095500266807900611400</v>
      </c>
      <c r="S23" s="422">
        <v>30.232176150185842916107673420</v>
      </c>
      <c r="T23" s="421">
        <v>-100</v>
      </c>
      <c r="U23" s="91">
        <v>-100</v>
      </c>
      <c r="V23" s="422">
        <v>-100</v>
      </c>
      <c r="W23" s="421">
        <v>0</v>
      </c>
      <c r="X23" s="91">
        <v>0</v>
      </c>
      <c r="Y23" s="422">
        <v>0</v>
      </c>
      <c r="Z23" s="421">
        <v>39.511720864178839925282282040</v>
      </c>
      <c r="AA23" s="91">
        <v>-1.6679022847785214080632649700</v>
      </c>
      <c r="AB23" s="422">
        <v>37.184801684351367902638698040</v>
      </c>
    </row>
    <row r="24" ht="18.95" customHeight="1">
      <c r="A24" s="59"/>
      <c r="B24" s="287"/>
      <c r="C24" s="288" t="s">
        <v>228</v>
      </c>
      <c r="D24" s="272">
        <v>110.56132445141065830721003135</v>
      </c>
      <c r="E24" s="92">
        <v>92.35231943198098492327706600</v>
      </c>
      <c r="F24" s="273">
        <v>102.10594752559566946929832430</v>
      </c>
      <c r="G24" s="272">
        <v>22686.363636363636363636361479</v>
      </c>
      <c r="H24" s="92">
        <v>87.67123287671232876712328767</v>
      </c>
      <c r="I24" s="273">
        <v>19889.414694894146948941469574</v>
      </c>
      <c r="J24" s="272">
        <v>0</v>
      </c>
      <c r="K24" s="92">
        <v>0</v>
      </c>
      <c r="L24" s="273">
        <v>0</v>
      </c>
      <c r="M24" s="272">
        <v>113.80450823418787791722714867</v>
      </c>
      <c r="N24" s="92">
        <v>92.55069638917754184378111780</v>
      </c>
      <c r="O24" s="273">
        <v>105.32686489301977861323988626</v>
      </c>
      <c r="P24" s="93"/>
      <c r="Q24" s="272">
        <v>29.657097666430941689720641570</v>
      </c>
      <c r="R24" s="92">
        <v>-3.9279991271692113271618822100</v>
      </c>
      <c r="S24" s="273">
        <v>24.564168001780602432369590100</v>
      </c>
      <c r="T24" s="272">
        <v>30333.020479128521533088175824</v>
      </c>
      <c r="U24" s="92">
        <v>19.140766692227386771950252450</v>
      </c>
      <c r="V24" s="273">
        <v>36158.133926436293057440018349</v>
      </c>
      <c r="W24" s="272">
        <v>0</v>
      </c>
      <c r="X24" s="92">
        <v>0</v>
      </c>
      <c r="Y24" s="273">
        <v>0</v>
      </c>
      <c r="Z24" s="272">
        <v>34.909042312837400150879623310</v>
      </c>
      <c r="AA24" s="92">
        <v>-1.5928823900538334928512513700</v>
      </c>
      <c r="AB24" s="273">
        <v>32.760099935245938244893255350</v>
      </c>
    </row>
    <row r="25" ht="18.95" customHeight="1">
      <c r="A25" s="60"/>
      <c r="B25" s="289"/>
      <c r="C25" s="290" t="s">
        <v>229</v>
      </c>
      <c r="D25" s="421">
        <v>86.05600127517135115031082303</v>
      </c>
      <c r="E25" s="91">
        <v>100.73683875110934606733836343</v>
      </c>
      <c r="F25" s="422">
        <v>86.69009524022196666033964919</v>
      </c>
      <c r="G25" s="421">
        <v>223.91451831750339213025780301</v>
      </c>
      <c r="H25" s="91">
        <v>67.779204107830551989730423620</v>
      </c>
      <c r="I25" s="422">
        <v>151.76747839748625294579732916</v>
      </c>
      <c r="J25" s="421">
        <v>0</v>
      </c>
      <c r="K25" s="91">
        <v>0</v>
      </c>
      <c r="L25" s="422">
        <v>0</v>
      </c>
      <c r="M25" s="421">
        <v>87.12727483604310326648531242</v>
      </c>
      <c r="N25" s="91">
        <v>100.28605759982840932360373250</v>
      </c>
      <c r="O25" s="422">
        <v>87.37650902723498982243814059</v>
      </c>
      <c r="P25" s="93"/>
      <c r="Q25" s="421">
        <v>-1.4445390262351368758362324800</v>
      </c>
      <c r="R25" s="91">
        <v>4.4836776246907053208809781900</v>
      </c>
      <c r="S25" s="422">
        <v>2.9743701253563386154006955500</v>
      </c>
      <c r="T25" s="421">
        <v>295.10253802303853158928022544</v>
      </c>
      <c r="U25" s="91">
        <v>-14.880384369999571466547387600</v>
      </c>
      <c r="V25" s="422">
        <v>236.30976170958669208213900572</v>
      </c>
      <c r="W25" s="421">
        <v>0</v>
      </c>
      <c r="X25" s="91">
        <v>0</v>
      </c>
      <c r="Y25" s="422">
        <v>0</v>
      </c>
      <c r="Z25" s="421">
        <v>4.2574307671927712610499848800</v>
      </c>
      <c r="AA25" s="91">
        <v>6.1199302402704234420448190200</v>
      </c>
      <c r="AB25" s="422">
        <v>10.637912800443202201417149110</v>
      </c>
    </row>
    <row r="26" ht="18.95" customHeight="1">
      <c r="A26" s="60"/>
      <c r="B26" s="291"/>
      <c r="C26" s="292" t="s">
        <v>230</v>
      </c>
      <c r="D26" s="274">
        <v>106.17226600433256144020318219</v>
      </c>
      <c r="E26" s="275">
        <v>91.23780708753905134813296802</v>
      </c>
      <c r="F26" s="276">
        <v>96.86924723750174849997800380</v>
      </c>
      <c r="G26" s="274">
        <v>166.74338319907940161104718144</v>
      </c>
      <c r="H26" s="275">
        <v>125.57327496351886595789034813</v>
      </c>
      <c r="I26" s="276">
        <v>209.38512706805389732219000511</v>
      </c>
      <c r="J26" s="274">
        <v>0</v>
      </c>
      <c r="K26" s="275">
        <v>0</v>
      </c>
      <c r="L26" s="276">
        <v>0</v>
      </c>
      <c r="M26" s="274">
        <v>107.61168792102312607677091785</v>
      </c>
      <c r="N26" s="275">
        <v>92.87609566590558074168521195</v>
      </c>
      <c r="O26" s="276">
        <v>99.94553422122519894345049587</v>
      </c>
      <c r="P26" s="184"/>
      <c r="Q26" s="274">
        <v>2.5504005980204175887191837800</v>
      </c>
      <c r="R26" s="275">
        <v>5.0276382617099756171049128700</v>
      </c>
      <c r="S26" s="276">
        <v>7.7062637760233477514909588200</v>
      </c>
      <c r="T26" s="274">
        <v>254.70247419935477870441460613</v>
      </c>
      <c r="U26" s="275">
        <v>64.178136095079233828701271280</v>
      </c>
      <c r="V26" s="276">
        <v>482.34391082362999454402617546</v>
      </c>
      <c r="W26" s="274">
        <v>0</v>
      </c>
      <c r="X26" s="275">
        <v>0</v>
      </c>
      <c r="Y26" s="276">
        <v>0</v>
      </c>
      <c r="Z26" s="274">
        <v>9.463274383206652951680494640</v>
      </c>
      <c r="AA26" s="275">
        <v>7.0300047336142840017081042800</v>
      </c>
      <c r="AB26" s="276">
        <v>17.158547753915272593636401660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88" t="s">
        <v>61</v>
      </c>
      <c r="C28" s="988"/>
      <c r="D28" s="988"/>
      <c r="E28" s="988"/>
      <c r="F28" s="988"/>
      <c r="G28" s="988"/>
      <c r="H28" s="988"/>
      <c r="I28" s="988"/>
      <c r="J28" s="988"/>
      <c r="K28" s="988"/>
      <c r="L28" s="988"/>
      <c r="M28" s="988"/>
      <c r="N28" s="988"/>
      <c r="O28" s="988"/>
      <c r="P28" s="412"/>
      <c r="Q28" s="986"/>
      <c r="R28" s="986"/>
      <c r="S28" s="986"/>
      <c r="T28" s="986"/>
      <c r="U28" s="986"/>
      <c r="V28" s="986"/>
      <c r="W28" s="986"/>
      <c r="X28" s="986"/>
      <c r="Y28" s="986"/>
      <c r="Z28" s="986"/>
      <c r="AA28" s="986"/>
      <c r="AB28" s="986"/>
      <c r="AC28" s="9"/>
    </row>
    <row r="29" ht="18.95" customHeight="1">
      <c r="A29" s="58"/>
      <c r="B29" s="285">
        <v>2018</v>
      </c>
      <c r="C29" s="286"/>
      <c r="D29" s="428">
        <v>48.077245475023262342044516100</v>
      </c>
      <c r="E29" s="429">
        <v>85.21979987713712591759476841</v>
      </c>
      <c r="F29" s="430">
        <v>40.971332380254788551098954770</v>
      </c>
      <c r="G29" s="428">
        <v>47.061282935735747906189973260</v>
      </c>
      <c r="H29" s="429">
        <v>72.200044389897179201945543170</v>
      </c>
      <c r="I29" s="430">
        <v>33.978267170056316374678466850</v>
      </c>
      <c r="J29" s="428">
        <v>20.120256127807284436454669110</v>
      </c>
      <c r="K29" s="429">
        <v>94.36496045483864711493702648</v>
      </c>
      <c r="L29" s="430">
        <v>18.986471738417593603325541390</v>
      </c>
      <c r="M29" s="428">
        <v>47.324132261077347731649800660</v>
      </c>
      <c r="N29" s="429">
        <v>83.97608784823830197025714280</v>
      </c>
      <c r="O29" s="430">
        <v>39.740954880978796581943915360</v>
      </c>
      <c r="P29" s="5"/>
      <c r="Q29" s="428">
        <v>-46.302127932453748786529648770</v>
      </c>
      <c r="R29" s="429">
        <v>-23.311656971681829985325312570</v>
      </c>
      <c r="S29" s="430">
        <v>-58.819991669932684479421937730</v>
      </c>
      <c r="T29" s="428">
        <v>-14.472058613512346189806671900</v>
      </c>
      <c r="U29" s="429">
        <v>-41.535122606273271671036708640</v>
      </c>
      <c r="V29" s="430">
        <v>-49.996193931011533151553452700</v>
      </c>
      <c r="W29" s="428">
        <v>477.71085093017054815734718972</v>
      </c>
      <c r="X29" s="429">
        <v>-74.620739570255624914889751020</v>
      </c>
      <c r="Y29" s="430">
        <v>46.618741388460287989012606250</v>
      </c>
      <c r="Z29" s="428">
        <v>-43.084492775116072203453569380</v>
      </c>
      <c r="AA29" s="429">
        <v>-25.583641598877497132063711400</v>
      </c>
      <c r="AB29" s="430">
        <v>-57.645552157713604106024977740</v>
      </c>
    </row>
    <row r="30" ht="18.95" customHeight="1">
      <c r="A30" s="58"/>
      <c r="B30" s="287">
        <v>2019</v>
      </c>
      <c r="C30" s="288"/>
      <c r="D30" s="272">
        <v>80.28139638962470689676026963</v>
      </c>
      <c r="E30" s="92">
        <v>93.60348891908116735609285488</v>
      </c>
      <c r="F30" s="273">
        <v>75.146187973645990872679110780</v>
      </c>
      <c r="G30" s="272">
        <v>78.214001210846636714144600630</v>
      </c>
      <c r="H30" s="92">
        <v>86.41465641920879724868737427</v>
      </c>
      <c r="I30" s="273">
        <v>67.588360418068929560161725140</v>
      </c>
      <c r="J30" s="272">
        <v>0</v>
      </c>
      <c r="K30" s="92">
        <v>0</v>
      </c>
      <c r="L30" s="273">
        <v>0</v>
      </c>
      <c r="M30" s="272">
        <v>80.07087489264332019334334030</v>
      </c>
      <c r="N30" s="92">
        <v>92.77924956329963870739255331</v>
      </c>
      <c r="O30" s="273">
        <v>74.289156844162977704157416760</v>
      </c>
      <c r="P30" s="5"/>
      <c r="Q30" s="272">
        <v>66.984184714434001097588362660</v>
      </c>
      <c r="R30" s="92">
        <v>9.837724395071277302444469110</v>
      </c>
      <c r="S30" s="273">
        <v>83.41162858999675773211371886</v>
      </c>
      <c r="T30" s="272">
        <v>66.196066770324336532479720440</v>
      </c>
      <c r="U30" s="92">
        <v>19.687816191011432169659533940</v>
      </c>
      <c r="V30" s="273">
        <v>98.91644291275642185985524645</v>
      </c>
      <c r="W30" s="272">
        <v>-100</v>
      </c>
      <c r="X30" s="92">
        <v>-100</v>
      </c>
      <c r="Y30" s="273">
        <v>-100</v>
      </c>
      <c r="Z30" s="272">
        <v>69.196710149716083298173264880</v>
      </c>
      <c r="AA30" s="92">
        <v>10.482938584815265908631220910</v>
      </c>
      <c r="AB30" s="273">
        <v>86.93349736223871785706726584</v>
      </c>
    </row>
    <row r="31" ht="18.95" customHeight="1">
      <c r="A31" s="58"/>
      <c r="B31" s="426">
        <v>2020</v>
      </c>
      <c r="C31" s="427"/>
      <c r="D31" s="431">
        <v>90.50505729171972268712687179</v>
      </c>
      <c r="E31" s="432">
        <v>92.58979309000112526189790477</v>
      </c>
      <c r="F31" s="433">
        <v>83.79844528239026735765793926</v>
      </c>
      <c r="G31" s="431">
        <v>87.21270097683413142006745793</v>
      </c>
      <c r="H31" s="432">
        <v>104.49789884764923480125281435</v>
      </c>
      <c r="I31" s="433">
        <v>91.13544004907492676016729733</v>
      </c>
      <c r="J31" s="431">
        <v>0</v>
      </c>
      <c r="K31" s="432">
        <v>0</v>
      </c>
      <c r="L31" s="433">
        <v>0</v>
      </c>
      <c r="M31" s="431">
        <v>90.22041778829969047291190865</v>
      </c>
      <c r="N31" s="432">
        <v>93.99552176358402212842975133</v>
      </c>
      <c r="O31" s="433">
        <v>84.80315243739766603037299256</v>
      </c>
      <c r="P31" s="184"/>
      <c r="Q31" s="431">
        <v>12.734782106276724852722838870</v>
      </c>
      <c r="R31" s="432">
        <v>-1.082967997011700231904732900</v>
      </c>
      <c r="S31" s="433">
        <v>11.513900494564875163364375430</v>
      </c>
      <c r="T31" s="431">
        <v>11.505228765536629186787896570</v>
      </c>
      <c r="U31" s="432">
        <v>20.92612894358598626771039600</v>
      </c>
      <c r="V31" s="433">
        <v>34.838956715853356684656011370</v>
      </c>
      <c r="W31" s="431">
        <v>0</v>
      </c>
      <c r="X31" s="432">
        <v>0</v>
      </c>
      <c r="Y31" s="433">
        <v>0</v>
      </c>
      <c r="Z31" s="431">
        <v>12.675698759710793231980584920</v>
      </c>
      <c r="AA31" s="432">
        <v>1.3109312761304117463727023900</v>
      </c>
      <c r="AB31" s="433">
        <v>14.152799735350328454096493880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87" t="s">
        <v>44</v>
      </c>
      <c r="C33" s="987"/>
      <c r="D33" s="987"/>
      <c r="E33" s="987"/>
      <c r="F33" s="987"/>
      <c r="G33" s="987"/>
      <c r="H33" s="987"/>
      <c r="I33" s="987"/>
      <c r="J33" s="987"/>
      <c r="K33" s="987"/>
      <c r="L33" s="987"/>
      <c r="M33" s="987"/>
      <c r="N33" s="987"/>
      <c r="O33" s="987"/>
      <c r="P33" s="412"/>
      <c r="Q33" s="986"/>
      <c r="R33" s="986"/>
      <c r="S33" s="986"/>
      <c r="T33" s="986"/>
      <c r="U33" s="986"/>
      <c r="V33" s="986"/>
      <c r="W33" s="986"/>
      <c r="X33" s="986"/>
      <c r="Y33" s="986"/>
      <c r="Z33" s="986"/>
      <c r="AA33" s="986"/>
      <c r="AB33" s="986"/>
      <c r="AC33" s="9"/>
    </row>
    <row r="34" ht="18.95" customHeight="1">
      <c r="A34" s="58"/>
      <c r="B34" s="285">
        <v>2018</v>
      </c>
      <c r="C34" s="286"/>
      <c r="D34" s="428">
        <v>53.881868688036190752388537820</v>
      </c>
      <c r="E34" s="429">
        <v>95.47410521891039325501360560</v>
      </c>
      <c r="F34" s="430">
        <v>51.443232005130805835065787870</v>
      </c>
      <c r="G34" s="428">
        <v>78.008392679911546029148021060</v>
      </c>
      <c r="H34" s="429">
        <v>79.80659818521141163522457482</v>
      </c>
      <c r="I34" s="430">
        <v>62.255844496798879571480492700</v>
      </c>
      <c r="J34" s="428">
        <v>0</v>
      </c>
      <c r="K34" s="429">
        <v>0</v>
      </c>
      <c r="L34" s="430">
        <v>0</v>
      </c>
      <c r="M34" s="428">
        <v>56.477818071811718938487636150</v>
      </c>
      <c r="N34" s="429">
        <v>93.34272987332293962952524208</v>
      </c>
      <c r="O34" s="430">
        <v>52.717937161117979222355546230</v>
      </c>
      <c r="P34" s="5"/>
      <c r="Q34" s="428">
        <v>-21.665421504285365324822601980</v>
      </c>
      <c r="R34" s="429">
        <v>-17.538057523341537002182623050</v>
      </c>
      <c r="S34" s="430">
        <v>-35.403784941530927615151175720</v>
      </c>
      <c r="T34" s="428">
        <v>89.33292943181688455170102784</v>
      </c>
      <c r="U34" s="429">
        <v>-32.141647259621674513896958050</v>
      </c>
      <c r="V34" s="430">
        <v>28.478207107533874035597901620</v>
      </c>
      <c r="W34" s="428">
        <v>-100</v>
      </c>
      <c r="X34" s="429">
        <v>-100</v>
      </c>
      <c r="Y34" s="430">
        <v>-100</v>
      </c>
      <c r="Z34" s="428">
        <v>-10.601502950274959617850284820</v>
      </c>
      <c r="AA34" s="429">
        <v>-21.137874575677393812645093210</v>
      </c>
      <c r="AB34" s="430">
        <v>-29.498445129186493923809735940</v>
      </c>
    </row>
    <row r="35" ht="18.95" customHeight="1">
      <c r="A35" s="58"/>
      <c r="B35" s="287">
        <v>2019</v>
      </c>
      <c r="C35" s="288"/>
      <c r="D35" s="272">
        <v>92.27902306730020231123188850</v>
      </c>
      <c r="E35" s="92">
        <v>93.69099434063510405741932908</v>
      </c>
      <c r="F35" s="273">
        <v>86.45713427957759475787216006</v>
      </c>
      <c r="G35" s="272">
        <v>58.380968084716573229269722580</v>
      </c>
      <c r="H35" s="92">
        <v>74.678221399639874250046454360</v>
      </c>
      <c r="I35" s="273">
        <v>43.597868601557737219501947370</v>
      </c>
      <c r="J35" s="272">
        <v>0</v>
      </c>
      <c r="K35" s="92">
        <v>0</v>
      </c>
      <c r="L35" s="273">
        <v>0</v>
      </c>
      <c r="M35" s="272">
        <v>88.87329396663647898765741157</v>
      </c>
      <c r="N35" s="92">
        <v>92.33977467130179403698265720</v>
      </c>
      <c r="O35" s="273">
        <v>82.06539939175577691655249229</v>
      </c>
      <c r="P35" s="5"/>
      <c r="Q35" s="272">
        <v>71.261734817652361004632344890</v>
      </c>
      <c r="R35" s="92">
        <v>-1.8676382189566846716135920200</v>
      </c>
      <c r="S35" s="273">
        <v>68.063185203749638134790504220</v>
      </c>
      <c r="T35" s="272">
        <v>-25.160657617612162292578526390</v>
      </c>
      <c r="U35" s="92">
        <v>-6.4260059972357686089232410900</v>
      </c>
      <c r="V35" s="273">
        <v>-29.969838247396215091918314990</v>
      </c>
      <c r="W35" s="272">
        <v>0</v>
      </c>
      <c r="X35" s="92">
        <v>0</v>
      </c>
      <c r="Y35" s="273">
        <v>0</v>
      </c>
      <c r="Z35" s="272">
        <v>57.359644902771939715299624950</v>
      </c>
      <c r="AA35" s="92">
        <v>-1.0744866829824601622611505700</v>
      </c>
      <c r="AB35" s="273">
        <v>55.668836473903167551580318220</v>
      </c>
    </row>
    <row r="36" ht="18.95" customHeight="1">
      <c r="A36" s="58"/>
      <c r="B36" s="426">
        <v>2020</v>
      </c>
      <c r="C36" s="427"/>
      <c r="D36" s="431">
        <v>100.56667422712331824842220471</v>
      </c>
      <c r="E36" s="432">
        <v>94.64403589477731893292704277</v>
      </c>
      <c r="F36" s="433">
        <v>95.18035925370236420566305382</v>
      </c>
      <c r="G36" s="431">
        <v>253.13710879284649776453054990</v>
      </c>
      <c r="H36" s="432">
        <v>97.26193834809687719152719610</v>
      </c>
      <c r="I36" s="433">
        <v>246.20605869025327981172655581</v>
      </c>
      <c r="J36" s="431">
        <v>0</v>
      </c>
      <c r="K36" s="432">
        <v>0</v>
      </c>
      <c r="L36" s="433">
        <v>0</v>
      </c>
      <c r="M36" s="431">
        <v>102.38753752899159066008338194</v>
      </c>
      <c r="N36" s="432">
        <v>95.32061476821894575287604143</v>
      </c>
      <c r="O36" s="433">
        <v>97.59643021867567361310763897</v>
      </c>
      <c r="P36" s="184"/>
      <c r="Q36" s="431">
        <v>8.981078130594026971406852870</v>
      </c>
      <c r="R36" s="432">
        <v>1.0172178882819982284184598600</v>
      </c>
      <c r="S36" s="433">
        <v>10.089653152181010124059160740</v>
      </c>
      <c r="T36" s="431">
        <v>333.59525732002157634380776965</v>
      </c>
      <c r="U36" s="432">
        <v>30.241369605738775536196195630</v>
      </c>
      <c r="V36" s="433">
        <v>464.72040167912341459887318947</v>
      </c>
      <c r="W36" s="431">
        <v>0</v>
      </c>
      <c r="X36" s="432">
        <v>0</v>
      </c>
      <c r="Y36" s="433">
        <v>0</v>
      </c>
      <c r="Z36" s="431">
        <v>15.206191825666361232609750980</v>
      </c>
      <c r="AA36" s="432">
        <v>3.2281214758514725570037967400</v>
      </c>
      <c r="AB36" s="433">
        <v>18.925187645501340708775401510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87" t="s">
        <v>45</v>
      </c>
      <c r="C38" s="987"/>
      <c r="D38" s="987"/>
      <c r="E38" s="987"/>
      <c r="F38" s="987"/>
      <c r="G38" s="987"/>
      <c r="H38" s="987"/>
      <c r="I38" s="987"/>
      <c r="J38" s="987"/>
      <c r="K38" s="987"/>
      <c r="L38" s="987"/>
      <c r="M38" s="987"/>
      <c r="N38" s="987"/>
      <c r="O38" s="987"/>
      <c r="P38" s="412"/>
      <c r="Q38" s="986"/>
      <c r="R38" s="986"/>
      <c r="S38" s="986"/>
      <c r="T38" s="986"/>
      <c r="U38" s="986"/>
      <c r="V38" s="986"/>
      <c r="W38" s="986"/>
      <c r="X38" s="986"/>
      <c r="Y38" s="986"/>
      <c r="Z38" s="986"/>
      <c r="AA38" s="986"/>
      <c r="AB38" s="986"/>
      <c r="AC38" s="9"/>
    </row>
    <row r="39" ht="18.95" customHeight="1">
      <c r="A39" s="58"/>
      <c r="B39" s="285">
        <v>2018</v>
      </c>
      <c r="C39" s="286"/>
      <c r="D39" s="428">
        <v>48.077245475023262342044516100</v>
      </c>
      <c r="E39" s="429">
        <v>85.21979987713712591759476841</v>
      </c>
      <c r="F39" s="430">
        <v>40.971332380254788551098954770</v>
      </c>
      <c r="G39" s="428">
        <v>47.061282935735747906189973260</v>
      </c>
      <c r="H39" s="429">
        <v>72.200044389897179201945543170</v>
      </c>
      <c r="I39" s="430">
        <v>33.978267170056316374678466850</v>
      </c>
      <c r="J39" s="428">
        <v>20.120256127807284436454669110</v>
      </c>
      <c r="K39" s="429">
        <v>94.36496045483864711493702648</v>
      </c>
      <c r="L39" s="430">
        <v>18.986471738417593603325541390</v>
      </c>
      <c r="M39" s="428">
        <v>47.324132261077347731649800660</v>
      </c>
      <c r="N39" s="429">
        <v>83.97608784823830197025714280</v>
      </c>
      <c r="O39" s="430">
        <v>39.740954880978796581943915360</v>
      </c>
      <c r="P39" s="5"/>
      <c r="Q39" s="428">
        <v>-46.302127932453748786529648770</v>
      </c>
      <c r="R39" s="429">
        <v>-23.311656971681829985325312570</v>
      </c>
      <c r="S39" s="430">
        <v>-58.819991669932684479421937730</v>
      </c>
      <c r="T39" s="428">
        <v>-14.472058613512346189806671900</v>
      </c>
      <c r="U39" s="429">
        <v>-41.535122606273271671036708640</v>
      </c>
      <c r="V39" s="430">
        <v>-49.996193931011533151553452700</v>
      </c>
      <c r="W39" s="428">
        <v>477.71085093017054815734718972</v>
      </c>
      <c r="X39" s="429">
        <v>-74.620739570255624914889751020</v>
      </c>
      <c r="Y39" s="430">
        <v>46.618741388460287989012606250</v>
      </c>
      <c r="Z39" s="428">
        <v>-43.084492775116072203453569380</v>
      </c>
      <c r="AA39" s="429">
        <v>-25.583641598877497132063711400</v>
      </c>
      <c r="AB39" s="430">
        <v>-57.645552157713604106024977740</v>
      </c>
    </row>
    <row r="40" ht="18.95" customHeight="1">
      <c r="A40" s="58"/>
      <c r="B40" s="287">
        <v>2019</v>
      </c>
      <c r="C40" s="288"/>
      <c r="D40" s="272">
        <v>80.28139638962470689676026963</v>
      </c>
      <c r="E40" s="92">
        <v>93.60348891908116735609285488</v>
      </c>
      <c r="F40" s="273">
        <v>75.146187973645990872679110780</v>
      </c>
      <c r="G40" s="272">
        <v>78.214001210846636714144600630</v>
      </c>
      <c r="H40" s="92">
        <v>86.41465641920879724868737427</v>
      </c>
      <c r="I40" s="273">
        <v>67.588360418068929560161725140</v>
      </c>
      <c r="J40" s="272">
        <v>0</v>
      </c>
      <c r="K40" s="92">
        <v>0</v>
      </c>
      <c r="L40" s="273">
        <v>0</v>
      </c>
      <c r="M40" s="272">
        <v>80.07087489264332019334334030</v>
      </c>
      <c r="N40" s="92">
        <v>92.77924956329963870739255331</v>
      </c>
      <c r="O40" s="273">
        <v>74.289156844162977704157416760</v>
      </c>
      <c r="P40" s="5"/>
      <c r="Q40" s="272">
        <v>66.984184714434001097588362660</v>
      </c>
      <c r="R40" s="92">
        <v>9.837724395071277302444469110</v>
      </c>
      <c r="S40" s="273">
        <v>83.41162858999675773211371886</v>
      </c>
      <c r="T40" s="272">
        <v>66.196066770324336532479720440</v>
      </c>
      <c r="U40" s="92">
        <v>19.687816191011432169659533940</v>
      </c>
      <c r="V40" s="273">
        <v>98.91644291275642185985524645</v>
      </c>
      <c r="W40" s="272">
        <v>-100</v>
      </c>
      <c r="X40" s="92">
        <v>-100</v>
      </c>
      <c r="Y40" s="273">
        <v>-100</v>
      </c>
      <c r="Z40" s="272">
        <v>69.196710149716083298173264880</v>
      </c>
      <c r="AA40" s="92">
        <v>10.482938584815265908631220910</v>
      </c>
      <c r="AB40" s="273">
        <v>86.93349736223871785706726584</v>
      </c>
    </row>
    <row r="41" ht="18.95" customHeight="1">
      <c r="A41" s="58"/>
      <c r="B41" s="426">
        <v>2020</v>
      </c>
      <c r="C41" s="427"/>
      <c r="D41" s="431">
        <v>90.50505729171972268712687179</v>
      </c>
      <c r="E41" s="432">
        <v>92.58979309000112526189790477</v>
      </c>
      <c r="F41" s="433">
        <v>83.79844528239026735765793926</v>
      </c>
      <c r="G41" s="431">
        <v>87.21270097683413142006745793</v>
      </c>
      <c r="H41" s="432">
        <v>104.49789884764923480125281435</v>
      </c>
      <c r="I41" s="433">
        <v>91.13544004907492676016729733</v>
      </c>
      <c r="J41" s="431">
        <v>0</v>
      </c>
      <c r="K41" s="432">
        <v>0</v>
      </c>
      <c r="L41" s="433">
        <v>0</v>
      </c>
      <c r="M41" s="431">
        <v>90.22041778829969047291190865</v>
      </c>
      <c r="N41" s="432">
        <v>93.99552176358402212842975133</v>
      </c>
      <c r="O41" s="433">
        <v>84.80315243739766603037299256</v>
      </c>
      <c r="P41" s="184"/>
      <c r="Q41" s="431">
        <v>12.734782106276724852722838870</v>
      </c>
      <c r="R41" s="432">
        <v>-1.082967997011700231904732900</v>
      </c>
      <c r="S41" s="433">
        <v>11.513900494564875163364375430</v>
      </c>
      <c r="T41" s="431">
        <v>11.505228765536629186787896570</v>
      </c>
      <c r="U41" s="432">
        <v>20.92612894358598626771039600</v>
      </c>
      <c r="V41" s="433">
        <v>34.838956715853356684656011370</v>
      </c>
      <c r="W41" s="431">
        <v>0</v>
      </c>
      <c r="X41" s="432">
        <v>0</v>
      </c>
      <c r="Y41" s="433">
        <v>0</v>
      </c>
      <c r="Z41" s="431">
        <v>12.675698759710793231980584920</v>
      </c>
      <c r="AA41" s="432">
        <v>1.3109312761304117463727023900</v>
      </c>
      <c r="AB41" s="433">
        <v>14.152799735350328454096493880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49" t="s">
        <v>129</v>
      </c>
      <c r="C43" s="1049"/>
      <c r="D43" s="1049"/>
      <c r="E43" s="1049"/>
      <c r="F43" s="1049"/>
      <c r="G43" s="1049"/>
      <c r="H43" s="1049"/>
      <c r="I43" s="1049"/>
      <c r="J43" s="1049"/>
      <c r="K43" s="1049"/>
      <c r="L43" s="1049"/>
      <c r="M43" s="1049"/>
      <c r="N43" s="1049"/>
      <c r="O43" s="1049"/>
      <c r="P43" s="1049"/>
      <c r="Q43" s="1049"/>
      <c r="R43" s="1049"/>
      <c r="S43" s="1049"/>
      <c r="T43" s="1049"/>
      <c r="U43" s="1049"/>
      <c r="V43" s="1049"/>
      <c r="W43" s="1049"/>
      <c r="X43" s="1049"/>
      <c r="Y43" s="1049"/>
      <c r="Z43" s="1049"/>
      <c r="AA43" s="1049"/>
      <c r="AB43" s="1049"/>
      <c r="AP43" s="236"/>
    </row>
    <row r="44" ht="12" customHeight="1">
      <c r="Z44" s="55"/>
      <c r="AA44" s="233"/>
      <c r="AB44" s="233"/>
      <c r="AP44" s="236"/>
    </row>
    <row r="45" ht="12" customHeight="1">
      <c r="AP45" s="236"/>
    </row>
    <row r="46" s="467" customFormat="1">
      <c r="A46"/>
    </row>
    <row r="47" s="467" customFormat="1"/>
    <row r="48" s="467" customFormat="1"/>
    <row r="49" s="467" customFormat="1"/>
    <row r="50" s="467" customFormat="1"/>
    <row r="51" s="467" customFormat="1"/>
    <row r="52" s="467" customFormat="1"/>
    <row r="53" s="467" customFormat="1"/>
    <row r="54" s="467" customFormat="1"/>
    <row r="55" s="467" customFormat="1"/>
    <row r="56" s="467" customFormat="1"/>
    <row r="57" s="467" customFormat="1"/>
    <row r="58" s="467" customFormat="1"/>
    <row r="59" s="467" customFormat="1"/>
    <row r="60" s="467" customFormat="1"/>
    <row r="61" s="467" customFormat="1"/>
    <row r="62" s="467" customFormat="1"/>
    <row r="63" s="467" customFormat="1"/>
    <row r="64" s="467" customFormat="1"/>
    <row r="65" s="467" customFormat="1"/>
    <row r="66" s="467" customFormat="1"/>
    <row r="67" s="467" customFormat="1"/>
    <row r="68" s="467" customFormat="1"/>
    <row r="69" s="467" customFormat="1"/>
    <row r="70" s="467" customFormat="1"/>
    <row r="71" s="467" customFormat="1"/>
    <row r="72" s="467" customFormat="1"/>
    <row r="73" s="467" customFormat="1"/>
    <row r="74" s="467" customFormat="1"/>
    <row r="75" s="467" customFormat="1"/>
    <row r="76" s="467" customFormat="1"/>
    <row r="77" s="467" customFormat="1"/>
    <row r="78" s="467" customFormat="1"/>
    <row r="79" s="467" customFormat="1"/>
    <row r="80" s="467" customFormat="1"/>
    <row r="81" s="467"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7" t="s">
        <v>190</v>
      </c>
      <c r="Z1" s="5"/>
      <c r="AB1" s="686"/>
      <c r="AD1" s="236"/>
    </row>
    <row r="2" ht="15" customHeight="1">
      <c r="A2" s="11"/>
      <c r="B2" s="1014" t="s">
        <v>211</v>
      </c>
      <c r="C2" s="1014"/>
      <c r="D2" s="1014"/>
      <c r="E2" s="1014"/>
      <c r="F2" s="1014"/>
      <c r="G2" s="1014"/>
      <c r="H2" s="1014"/>
      <c r="I2" s="1014"/>
      <c r="J2" s="1014"/>
      <c r="K2" s="1014"/>
      <c r="L2" s="1014"/>
      <c r="M2" s="1014"/>
      <c r="N2" s="1014"/>
      <c r="O2" s="1014"/>
      <c r="P2" s="1014"/>
      <c r="Q2" s="1014"/>
      <c r="R2" s="1014"/>
      <c r="S2" s="1014"/>
      <c r="T2" s="1014"/>
      <c r="U2" s="1014"/>
      <c r="V2" s="1014"/>
      <c r="W2" s="1014"/>
      <c r="X2" s="1014"/>
      <c r="Y2" s="1014"/>
      <c r="Z2" s="1014"/>
      <c r="AA2" s="1014"/>
      <c r="AB2" s="1014"/>
    </row>
    <row r="3" ht="17.1" customHeight="1">
      <c r="A3" s="11"/>
      <c r="B3" s="1014" t="s">
        <v>212</v>
      </c>
      <c r="C3" s="1014"/>
      <c r="D3" s="1014"/>
      <c r="E3" s="1014"/>
      <c r="F3" s="1014"/>
      <c r="G3" s="1014"/>
      <c r="H3" s="1014"/>
      <c r="I3" s="1014"/>
      <c r="J3" s="1014"/>
      <c r="K3" s="1014"/>
      <c r="L3" s="1014"/>
      <c r="M3" s="1014"/>
      <c r="N3" s="1014"/>
      <c r="O3" s="1014"/>
      <c r="P3" s="1014"/>
      <c r="Q3" s="1014"/>
      <c r="R3" s="1014"/>
      <c r="S3" s="1014"/>
      <c r="T3" s="1014"/>
      <c r="U3" s="1014"/>
      <c r="V3" s="1014"/>
      <c r="W3" s="1014"/>
      <c r="X3" s="1014"/>
      <c r="Y3" s="1014"/>
      <c r="Z3" s="1014"/>
      <c r="AA3" s="1014"/>
      <c r="AB3" s="1014"/>
    </row>
    <row r="4" ht="19.5" customHeight="1">
      <c r="A4" s="4"/>
      <c r="B4" s="1014" t="s">
        <v>213</v>
      </c>
      <c r="C4" s="1014"/>
      <c r="D4" s="1014"/>
      <c r="E4" s="1014"/>
      <c r="F4" s="1014"/>
      <c r="G4" s="1014"/>
      <c r="H4" s="1014"/>
      <c r="I4" s="1014"/>
      <c r="J4" s="1014"/>
      <c r="K4" s="1014"/>
      <c r="L4" s="1014"/>
      <c r="M4" s="1014"/>
      <c r="N4" s="1014"/>
      <c r="O4" s="1014"/>
      <c r="P4" s="1014"/>
      <c r="Q4" s="1014"/>
      <c r="R4" s="1014"/>
      <c r="S4" s="1014"/>
      <c r="T4" s="1014"/>
      <c r="U4" s="1014"/>
      <c r="V4" s="1014"/>
      <c r="W4" s="1014"/>
      <c r="X4" s="1014"/>
      <c r="Y4" s="1014"/>
      <c r="Z4" s="1014"/>
      <c r="AA4" s="1014"/>
      <c r="AB4" s="1014"/>
    </row>
    <row r="5" ht="15" customHeight="1"/>
    <row r="6" ht="15.75" customHeight="1">
      <c r="D6" s="975" t="s">
        <v>80</v>
      </c>
      <c r="E6" s="975"/>
      <c r="F6" s="975"/>
      <c r="G6" s="975"/>
      <c r="H6" s="975"/>
      <c r="I6" s="975"/>
      <c r="J6" s="975"/>
      <c r="K6" s="975"/>
      <c r="L6" s="975"/>
      <c r="M6" s="975"/>
      <c r="N6" s="975"/>
      <c r="O6" s="975"/>
      <c r="Q6" s="975" t="s">
        <v>72</v>
      </c>
      <c r="R6" s="975"/>
      <c r="S6" s="975"/>
      <c r="T6" s="975"/>
      <c r="U6" s="975"/>
      <c r="V6" s="975"/>
      <c r="W6" s="975"/>
      <c r="X6" s="975"/>
      <c r="Y6" s="975"/>
      <c r="Z6" s="975"/>
      <c r="AA6" s="975"/>
      <c r="AB6" s="975"/>
    </row>
    <row r="7" ht="15.75" customHeight="1">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958" t="s">
        <v>42</v>
      </c>
      <c r="C8" s="958"/>
      <c r="D8" s="413" t="s">
        <v>53</v>
      </c>
      <c r="E8" s="414" t="s">
        <v>9</v>
      </c>
      <c r="F8" s="415" t="s">
        <v>10</v>
      </c>
      <c r="G8" s="413" t="s">
        <v>53</v>
      </c>
      <c r="H8" s="414" t="s">
        <v>9</v>
      </c>
      <c r="I8" s="415" t="s">
        <v>10</v>
      </c>
      <c r="J8" s="413" t="s">
        <v>53</v>
      </c>
      <c r="K8" s="414" t="s">
        <v>9</v>
      </c>
      <c r="L8" s="415" t="s">
        <v>10</v>
      </c>
      <c r="M8" s="413" t="s">
        <v>53</v>
      </c>
      <c r="N8" s="414" t="s">
        <v>9</v>
      </c>
      <c r="O8" s="415" t="s">
        <v>10</v>
      </c>
      <c r="P8" s="63"/>
      <c r="Q8" s="413" t="s">
        <v>53</v>
      </c>
      <c r="R8" s="414" t="s">
        <v>9</v>
      </c>
      <c r="S8" s="415" t="s">
        <v>10</v>
      </c>
      <c r="T8" s="413" t="s">
        <v>53</v>
      </c>
      <c r="U8" s="414" t="s">
        <v>9</v>
      </c>
      <c r="V8" s="415" t="s">
        <v>10</v>
      </c>
      <c r="W8" s="413" t="s">
        <v>53</v>
      </c>
      <c r="X8" s="414" t="s">
        <v>9</v>
      </c>
      <c r="Y8" s="415" t="s">
        <v>10</v>
      </c>
      <c r="Z8" s="413" t="s">
        <v>53</v>
      </c>
      <c r="AA8" s="414" t="s">
        <v>9</v>
      </c>
      <c r="AB8" s="415" t="s">
        <v>10</v>
      </c>
    </row>
    <row r="9" ht="18.95" customHeight="1">
      <c r="A9" s="57"/>
      <c r="B9" s="285">
        <v>2019</v>
      </c>
      <c r="C9" s="286" t="s">
        <v>221</v>
      </c>
      <c r="D9" s="416" t="s">
        <v>317</v>
      </c>
      <c r="E9" s="417" t="s">
        <v>321</v>
      </c>
      <c r="F9" s="418" t="s">
        <v>317</v>
      </c>
      <c r="G9" s="416" t="s">
        <v>317</v>
      </c>
      <c r="H9" s="417" t="s">
        <v>322</v>
      </c>
      <c r="I9" s="418" t="s">
        <v>322</v>
      </c>
      <c r="J9" s="416" t="s">
        <v>268</v>
      </c>
      <c r="K9" s="417" t="s">
        <v>268</v>
      </c>
      <c r="L9" s="418" t="s">
        <v>268</v>
      </c>
      <c r="M9" s="416" t="s">
        <v>317</v>
      </c>
      <c r="N9" s="417" t="s">
        <v>318</v>
      </c>
      <c r="O9" s="418" t="s">
        <v>317</v>
      </c>
      <c r="P9" s="5"/>
      <c r="Q9" s="416" t="s">
        <v>324</v>
      </c>
      <c r="R9" s="417" t="s">
        <v>324</v>
      </c>
      <c r="S9" s="418" t="s">
        <v>324</v>
      </c>
      <c r="T9" s="416" t="s">
        <v>324</v>
      </c>
      <c r="U9" s="417" t="s">
        <v>320</v>
      </c>
      <c r="V9" s="418" t="s">
        <v>318</v>
      </c>
      <c r="W9" s="416"/>
      <c r="X9" s="417"/>
      <c r="Y9" s="418"/>
      <c r="Z9" s="416" t="s">
        <v>324</v>
      </c>
      <c r="AA9" s="417" t="s">
        <v>324</v>
      </c>
      <c r="AB9" s="418" t="s">
        <v>324</v>
      </c>
    </row>
    <row r="10" ht="18.95" customHeight="1">
      <c r="A10" s="58"/>
      <c r="B10" s="287"/>
      <c r="C10" s="288" t="s">
        <v>224</v>
      </c>
      <c r="D10" s="272" t="s">
        <v>317</v>
      </c>
      <c r="E10" s="92" t="s">
        <v>317</v>
      </c>
      <c r="F10" s="273" t="s">
        <v>317</v>
      </c>
      <c r="G10" s="272" t="s">
        <v>317</v>
      </c>
      <c r="H10" s="92" t="s">
        <v>320</v>
      </c>
      <c r="I10" s="273" t="s">
        <v>317</v>
      </c>
      <c r="J10" s="272" t="s">
        <v>268</v>
      </c>
      <c r="K10" s="92" t="s">
        <v>268</v>
      </c>
      <c r="L10" s="273" t="s">
        <v>268</v>
      </c>
      <c r="M10" s="272" t="s">
        <v>317</v>
      </c>
      <c r="N10" s="92" t="s">
        <v>317</v>
      </c>
      <c r="O10" s="273" t="s">
        <v>317</v>
      </c>
      <c r="P10" s="5"/>
      <c r="Q10" s="272" t="s">
        <v>324</v>
      </c>
      <c r="R10" s="92" t="s">
        <v>320</v>
      </c>
      <c r="S10" s="273" t="s">
        <v>324</v>
      </c>
      <c r="T10" s="272" t="s">
        <v>318</v>
      </c>
      <c r="U10" s="92" t="s">
        <v>324</v>
      </c>
      <c r="V10" s="273" t="s">
        <v>318</v>
      </c>
      <c r="W10" s="272"/>
      <c r="X10" s="92"/>
      <c r="Y10" s="273"/>
      <c r="Z10" s="272" t="s">
        <v>324</v>
      </c>
      <c r="AA10" s="92" t="s">
        <v>318</v>
      </c>
      <c r="AB10" s="273" t="s">
        <v>324</v>
      </c>
    </row>
    <row r="11" ht="18.95" customHeight="1">
      <c r="A11" s="58"/>
      <c r="B11" s="289"/>
      <c r="C11" s="290" t="s">
        <v>226</v>
      </c>
      <c r="D11" s="421" t="s">
        <v>319</v>
      </c>
      <c r="E11" s="91" t="s">
        <v>318</v>
      </c>
      <c r="F11" s="422" t="s">
        <v>319</v>
      </c>
      <c r="G11" s="421" t="s">
        <v>317</v>
      </c>
      <c r="H11" s="91" t="s">
        <v>319</v>
      </c>
      <c r="I11" s="422" t="s">
        <v>319</v>
      </c>
      <c r="J11" s="421" t="s">
        <v>268</v>
      </c>
      <c r="K11" s="91" t="s">
        <v>268</v>
      </c>
      <c r="L11" s="422" t="s">
        <v>268</v>
      </c>
      <c r="M11" s="421" t="s">
        <v>319</v>
      </c>
      <c r="N11" s="91" t="s">
        <v>318</v>
      </c>
      <c r="O11" s="422" t="s">
        <v>319</v>
      </c>
      <c r="P11" s="5"/>
      <c r="Q11" s="421" t="s">
        <v>324</v>
      </c>
      <c r="R11" s="91" t="s">
        <v>321</v>
      </c>
      <c r="S11" s="422" t="s">
        <v>324</v>
      </c>
      <c r="T11" s="421" t="s">
        <v>317</v>
      </c>
      <c r="U11" s="91" t="s">
        <v>319</v>
      </c>
      <c r="V11" s="422" t="s">
        <v>319</v>
      </c>
      <c r="W11" s="421"/>
      <c r="X11" s="91"/>
      <c r="Y11" s="422"/>
      <c r="Z11" s="421" t="s">
        <v>324</v>
      </c>
      <c r="AA11" s="91" t="s">
        <v>318</v>
      </c>
      <c r="AB11" s="422" t="s">
        <v>324</v>
      </c>
    </row>
    <row r="12" ht="18.95" customHeight="1">
      <c r="A12" s="58"/>
      <c r="B12" s="287"/>
      <c r="C12" s="288" t="s">
        <v>228</v>
      </c>
      <c r="D12" s="272" t="s">
        <v>317</v>
      </c>
      <c r="E12" s="92" t="s">
        <v>321</v>
      </c>
      <c r="F12" s="273" t="s">
        <v>317</v>
      </c>
      <c r="G12" s="272" t="s">
        <v>318</v>
      </c>
      <c r="H12" s="92" t="s">
        <v>317</v>
      </c>
      <c r="I12" s="273" t="s">
        <v>318</v>
      </c>
      <c r="J12" s="272" t="s">
        <v>268</v>
      </c>
      <c r="K12" s="92" t="s">
        <v>268</v>
      </c>
      <c r="L12" s="273" t="s">
        <v>268</v>
      </c>
      <c r="M12" s="272" t="s">
        <v>319</v>
      </c>
      <c r="N12" s="92" t="s">
        <v>320</v>
      </c>
      <c r="O12" s="273" t="s">
        <v>319</v>
      </c>
      <c r="P12" s="5"/>
      <c r="Q12" s="272" t="s">
        <v>324</v>
      </c>
      <c r="R12" s="92" t="s">
        <v>318</v>
      </c>
      <c r="S12" s="273" t="s">
        <v>324</v>
      </c>
      <c r="T12" s="272" t="s">
        <v>318</v>
      </c>
      <c r="U12" s="92" t="s">
        <v>317</v>
      </c>
      <c r="V12" s="273" t="s">
        <v>318</v>
      </c>
      <c r="W12" s="272"/>
      <c r="X12" s="92"/>
      <c r="Y12" s="273"/>
      <c r="Z12" s="272" t="s">
        <v>324</v>
      </c>
      <c r="AA12" s="92" t="s">
        <v>321</v>
      </c>
      <c r="AB12" s="273" t="s">
        <v>324</v>
      </c>
    </row>
    <row r="13" ht="18.95" customHeight="1">
      <c r="A13" s="58"/>
      <c r="B13" s="289"/>
      <c r="C13" s="290" t="s">
        <v>229</v>
      </c>
      <c r="D13" s="421" t="s">
        <v>319</v>
      </c>
      <c r="E13" s="91" t="s">
        <v>321</v>
      </c>
      <c r="F13" s="422" t="s">
        <v>317</v>
      </c>
      <c r="G13" s="421" t="s">
        <v>322</v>
      </c>
      <c r="H13" s="91" t="s">
        <v>317</v>
      </c>
      <c r="I13" s="422" t="s">
        <v>317</v>
      </c>
      <c r="J13" s="421" t="s">
        <v>268</v>
      </c>
      <c r="K13" s="91" t="s">
        <v>268</v>
      </c>
      <c r="L13" s="422" t="s">
        <v>268</v>
      </c>
      <c r="M13" s="421" t="s">
        <v>319</v>
      </c>
      <c r="N13" s="91" t="s">
        <v>321</v>
      </c>
      <c r="O13" s="422" t="s">
        <v>317</v>
      </c>
      <c r="P13" s="5"/>
      <c r="Q13" s="421" t="s">
        <v>324</v>
      </c>
      <c r="R13" s="91" t="s">
        <v>318</v>
      </c>
      <c r="S13" s="422" t="s">
        <v>324</v>
      </c>
      <c r="T13" s="421" t="s">
        <v>320</v>
      </c>
      <c r="U13" s="91" t="s">
        <v>319</v>
      </c>
      <c r="V13" s="422" t="s">
        <v>322</v>
      </c>
      <c r="W13" s="421"/>
      <c r="X13" s="91"/>
      <c r="Y13" s="422"/>
      <c r="Z13" s="421" t="s">
        <v>324</v>
      </c>
      <c r="AA13" s="91" t="s">
        <v>320</v>
      </c>
      <c r="AB13" s="422" t="s">
        <v>324</v>
      </c>
    </row>
    <row r="14" ht="18.95" customHeight="1">
      <c r="A14" s="58"/>
      <c r="B14" s="287"/>
      <c r="C14" s="288" t="s">
        <v>230</v>
      </c>
      <c r="D14" s="272" t="s">
        <v>318</v>
      </c>
      <c r="E14" s="92" t="s">
        <v>320</v>
      </c>
      <c r="F14" s="273" t="s">
        <v>320</v>
      </c>
      <c r="G14" s="272" t="s">
        <v>317</v>
      </c>
      <c r="H14" s="92" t="s">
        <v>322</v>
      </c>
      <c r="I14" s="273" t="s">
        <v>317</v>
      </c>
      <c r="J14" s="272" t="s">
        <v>268</v>
      </c>
      <c r="K14" s="92" t="s">
        <v>268</v>
      </c>
      <c r="L14" s="273" t="s">
        <v>268</v>
      </c>
      <c r="M14" s="272" t="s">
        <v>322</v>
      </c>
      <c r="N14" s="92" t="s">
        <v>320</v>
      </c>
      <c r="O14" s="273" t="s">
        <v>320</v>
      </c>
      <c r="P14" s="5"/>
      <c r="Q14" s="272" t="s">
        <v>324</v>
      </c>
      <c r="R14" s="92" t="s">
        <v>317</v>
      </c>
      <c r="S14" s="273" t="s">
        <v>324</v>
      </c>
      <c r="T14" s="272" t="s">
        <v>322</v>
      </c>
      <c r="U14" s="92" t="s">
        <v>322</v>
      </c>
      <c r="V14" s="273" t="s">
        <v>317</v>
      </c>
      <c r="W14" s="272"/>
      <c r="X14" s="92"/>
      <c r="Y14" s="273"/>
      <c r="Z14" s="272" t="s">
        <v>324</v>
      </c>
      <c r="AA14" s="92" t="s">
        <v>322</v>
      </c>
      <c r="AB14" s="273" t="s">
        <v>324</v>
      </c>
    </row>
    <row r="15" ht="18.95" customHeight="1">
      <c r="A15" s="58"/>
      <c r="B15" s="289">
        <v>2020</v>
      </c>
      <c r="C15" s="290" t="s">
        <v>232</v>
      </c>
      <c r="D15" s="421" t="s">
        <v>319</v>
      </c>
      <c r="E15" s="91" t="s">
        <v>318</v>
      </c>
      <c r="F15" s="422" t="s">
        <v>322</v>
      </c>
      <c r="G15" s="421" t="s">
        <v>318</v>
      </c>
      <c r="H15" s="91" t="s">
        <v>324</v>
      </c>
      <c r="I15" s="422" t="s">
        <v>321</v>
      </c>
      <c r="J15" s="421" t="s">
        <v>268</v>
      </c>
      <c r="K15" s="91" t="s">
        <v>268</v>
      </c>
      <c r="L15" s="422" t="s">
        <v>268</v>
      </c>
      <c r="M15" s="421" t="s">
        <v>317</v>
      </c>
      <c r="N15" s="91" t="s">
        <v>321</v>
      </c>
      <c r="O15" s="422" t="s">
        <v>318</v>
      </c>
      <c r="P15" s="5"/>
      <c r="Q15" s="421" t="s">
        <v>324</v>
      </c>
      <c r="R15" s="91" t="s">
        <v>321</v>
      </c>
      <c r="S15" s="422" t="s">
        <v>324</v>
      </c>
      <c r="T15" s="421" t="s">
        <v>320</v>
      </c>
      <c r="U15" s="91" t="s">
        <v>324</v>
      </c>
      <c r="V15" s="422" t="s">
        <v>320</v>
      </c>
      <c r="W15" s="421"/>
      <c r="X15" s="91"/>
      <c r="Y15" s="422"/>
      <c r="Z15" s="421" t="s">
        <v>324</v>
      </c>
      <c r="AA15" s="91" t="s">
        <v>324</v>
      </c>
      <c r="AB15" s="422" t="s">
        <v>324</v>
      </c>
    </row>
    <row r="16" ht="18.95" customHeight="1">
      <c r="A16" s="58"/>
      <c r="B16" s="287"/>
      <c r="C16" s="288" t="s">
        <v>233</v>
      </c>
      <c r="D16" s="272" t="s">
        <v>317</v>
      </c>
      <c r="E16" s="92" t="s">
        <v>318</v>
      </c>
      <c r="F16" s="273" t="s">
        <v>320</v>
      </c>
      <c r="G16" s="272" t="s">
        <v>318</v>
      </c>
      <c r="H16" s="92" t="s">
        <v>322</v>
      </c>
      <c r="I16" s="273" t="s">
        <v>322</v>
      </c>
      <c r="J16" s="272" t="s">
        <v>268</v>
      </c>
      <c r="K16" s="92" t="s">
        <v>268</v>
      </c>
      <c r="L16" s="273" t="s">
        <v>268</v>
      </c>
      <c r="M16" s="272" t="s">
        <v>317</v>
      </c>
      <c r="N16" s="92" t="s">
        <v>318</v>
      </c>
      <c r="O16" s="273" t="s">
        <v>320</v>
      </c>
      <c r="P16" s="5"/>
      <c r="Q16" s="272" t="s">
        <v>324</v>
      </c>
      <c r="R16" s="92" t="s">
        <v>324</v>
      </c>
      <c r="S16" s="273" t="s">
        <v>324</v>
      </c>
      <c r="T16" s="272" t="s">
        <v>322</v>
      </c>
      <c r="U16" s="92" t="s">
        <v>322</v>
      </c>
      <c r="V16" s="273" t="s">
        <v>322</v>
      </c>
      <c r="W16" s="272"/>
      <c r="X16" s="92"/>
      <c r="Y16" s="273"/>
      <c r="Z16" s="272" t="s">
        <v>324</v>
      </c>
      <c r="AA16" s="92" t="s">
        <v>324</v>
      </c>
      <c r="AB16" s="273" t="s">
        <v>324</v>
      </c>
    </row>
    <row r="17" ht="18.95" customHeight="1">
      <c r="A17" s="58"/>
      <c r="B17" s="289"/>
      <c r="C17" s="290" t="s">
        <v>234</v>
      </c>
      <c r="D17" s="421" t="s">
        <v>320</v>
      </c>
      <c r="E17" s="91" t="s">
        <v>322</v>
      </c>
      <c r="F17" s="422" t="s">
        <v>317</v>
      </c>
      <c r="G17" s="421" t="s">
        <v>322</v>
      </c>
      <c r="H17" s="91" t="s">
        <v>321</v>
      </c>
      <c r="I17" s="422" t="s">
        <v>322</v>
      </c>
      <c r="J17" s="421" t="s">
        <v>268</v>
      </c>
      <c r="K17" s="91" t="s">
        <v>268</v>
      </c>
      <c r="L17" s="422" t="s">
        <v>268</v>
      </c>
      <c r="M17" s="421" t="s">
        <v>322</v>
      </c>
      <c r="N17" s="91" t="s">
        <v>317</v>
      </c>
      <c r="O17" s="422" t="s">
        <v>319</v>
      </c>
      <c r="P17" s="5"/>
      <c r="Q17" s="421" t="s">
        <v>321</v>
      </c>
      <c r="R17" s="91" t="s">
        <v>317</v>
      </c>
      <c r="S17" s="422" t="s">
        <v>318</v>
      </c>
      <c r="T17" s="421" t="s">
        <v>322</v>
      </c>
      <c r="U17" s="91" t="s">
        <v>321</v>
      </c>
      <c r="V17" s="422" t="s">
        <v>322</v>
      </c>
      <c r="W17" s="421"/>
      <c r="X17" s="91"/>
      <c r="Y17" s="422"/>
      <c r="Z17" s="421" t="s">
        <v>324</v>
      </c>
      <c r="AA17" s="91" t="s">
        <v>317</v>
      </c>
      <c r="AB17" s="422" t="s">
        <v>321</v>
      </c>
    </row>
    <row r="18" ht="18.95" customHeight="1">
      <c r="A18" s="58"/>
      <c r="B18" s="287"/>
      <c r="C18" s="288" t="s">
        <v>235</v>
      </c>
      <c r="D18" s="272"/>
      <c r="E18" s="92"/>
      <c r="F18" s="273"/>
      <c r="G18" s="272"/>
      <c r="H18" s="92"/>
      <c r="I18" s="273"/>
      <c r="J18" s="272"/>
      <c r="K18" s="92"/>
      <c r="L18" s="273"/>
      <c r="M18" s="272"/>
      <c r="N18" s="92"/>
      <c r="O18" s="273"/>
      <c r="P18" s="5"/>
      <c r="Q18" s="272"/>
      <c r="R18" s="92"/>
      <c r="S18" s="273"/>
      <c r="T18" s="272"/>
      <c r="U18" s="92"/>
      <c r="V18" s="273"/>
      <c r="W18" s="272"/>
      <c r="X18" s="92"/>
      <c r="Y18" s="273"/>
      <c r="Z18" s="272"/>
      <c r="AA18" s="92"/>
      <c r="AB18" s="273"/>
    </row>
    <row r="19" ht="18.95" customHeight="1">
      <c r="A19" s="58"/>
      <c r="B19" s="289"/>
      <c r="C19" s="290" t="s">
        <v>236</v>
      </c>
      <c r="D19" s="421"/>
      <c r="E19" s="91"/>
      <c r="F19" s="422"/>
      <c r="G19" s="421"/>
      <c r="H19" s="91"/>
      <c r="I19" s="422"/>
      <c r="J19" s="421"/>
      <c r="K19" s="91"/>
      <c r="L19" s="422"/>
      <c r="M19" s="421"/>
      <c r="N19" s="91"/>
      <c r="O19" s="422"/>
      <c r="P19" s="5"/>
      <c r="Q19" s="421"/>
      <c r="R19" s="91"/>
      <c r="S19" s="422"/>
      <c r="T19" s="421"/>
      <c r="U19" s="91"/>
      <c r="V19" s="422"/>
      <c r="W19" s="421"/>
      <c r="X19" s="91"/>
      <c r="Y19" s="422"/>
      <c r="Z19" s="421"/>
      <c r="AA19" s="91"/>
      <c r="AB19" s="422"/>
    </row>
    <row r="20" ht="18.95" customHeight="1">
      <c r="A20" s="58"/>
      <c r="B20" s="287"/>
      <c r="C20" s="288" t="s">
        <v>237</v>
      </c>
      <c r="D20" s="272" t="s">
        <v>240</v>
      </c>
      <c r="E20" s="92" t="s">
        <v>240</v>
      </c>
      <c r="F20" s="273" t="s">
        <v>240</v>
      </c>
      <c r="G20" s="272" t="s">
        <v>268</v>
      </c>
      <c r="H20" s="92" t="s">
        <v>268</v>
      </c>
      <c r="I20" s="273" t="s">
        <v>268</v>
      </c>
      <c r="J20" s="272" t="s">
        <v>268</v>
      </c>
      <c r="K20" s="92" t="s">
        <v>268</v>
      </c>
      <c r="L20" s="273" t="s">
        <v>268</v>
      </c>
      <c r="M20" s="272" t="s">
        <v>240</v>
      </c>
      <c r="N20" s="92" t="s">
        <v>240</v>
      </c>
      <c r="O20" s="273" t="s">
        <v>240</v>
      </c>
      <c r="P20" s="5"/>
      <c r="Q20" s="272" t="s">
        <v>238</v>
      </c>
      <c r="R20" s="92" t="s">
        <v>240</v>
      </c>
      <c r="S20" s="273" t="s">
        <v>238</v>
      </c>
      <c r="T20" s="272"/>
      <c r="U20" s="92"/>
      <c r="V20" s="273"/>
      <c r="W20" s="272"/>
      <c r="X20" s="92"/>
      <c r="Y20" s="273"/>
      <c r="Z20" s="272" t="s">
        <v>238</v>
      </c>
      <c r="AA20" s="92" t="s">
        <v>240</v>
      </c>
      <c r="AB20" s="273" t="s">
        <v>238</v>
      </c>
    </row>
    <row r="21" ht="18.95" customHeight="1">
      <c r="A21" s="58"/>
      <c r="B21" s="289"/>
      <c r="C21" s="290" t="s">
        <v>221</v>
      </c>
      <c r="D21" s="421" t="s">
        <v>323</v>
      </c>
      <c r="E21" s="91" t="s">
        <v>240</v>
      </c>
      <c r="F21" s="422" t="s">
        <v>239</v>
      </c>
      <c r="G21" s="421" t="s">
        <v>268</v>
      </c>
      <c r="H21" s="91" t="s">
        <v>268</v>
      </c>
      <c r="I21" s="422" t="s">
        <v>268</v>
      </c>
      <c r="J21" s="421" t="s">
        <v>268</v>
      </c>
      <c r="K21" s="91" t="s">
        <v>268</v>
      </c>
      <c r="L21" s="422" t="s">
        <v>268</v>
      </c>
      <c r="M21" s="421" t="s">
        <v>323</v>
      </c>
      <c r="N21" s="91" t="s">
        <v>240</v>
      </c>
      <c r="O21" s="422" t="s">
        <v>239</v>
      </c>
      <c r="P21" s="5"/>
      <c r="Q21" s="421" t="s">
        <v>240</v>
      </c>
      <c r="R21" s="91" t="s">
        <v>240</v>
      </c>
      <c r="S21" s="422" t="s">
        <v>239</v>
      </c>
      <c r="T21" s="421"/>
      <c r="U21" s="91"/>
      <c r="V21" s="422"/>
      <c r="W21" s="421"/>
      <c r="X21" s="91"/>
      <c r="Y21" s="422"/>
      <c r="Z21" s="421" t="s">
        <v>240</v>
      </c>
      <c r="AA21" s="91" t="s">
        <v>240</v>
      </c>
      <c r="AB21" s="422" t="s">
        <v>240</v>
      </c>
    </row>
    <row r="22" ht="18.95" customHeight="1">
      <c r="A22" s="58"/>
      <c r="B22" s="287"/>
      <c r="C22" s="288" t="s">
        <v>224</v>
      </c>
      <c r="D22" s="272" t="s">
        <v>239</v>
      </c>
      <c r="E22" s="92" t="s">
        <v>238</v>
      </c>
      <c r="F22" s="273" t="s">
        <v>239</v>
      </c>
      <c r="G22" s="272" t="s">
        <v>268</v>
      </c>
      <c r="H22" s="92" t="s">
        <v>268</v>
      </c>
      <c r="I22" s="273" t="s">
        <v>268</v>
      </c>
      <c r="J22" s="272" t="s">
        <v>268</v>
      </c>
      <c r="K22" s="92" t="s">
        <v>268</v>
      </c>
      <c r="L22" s="273" t="s">
        <v>268</v>
      </c>
      <c r="M22" s="272" t="s">
        <v>239</v>
      </c>
      <c r="N22" s="92" t="s">
        <v>238</v>
      </c>
      <c r="O22" s="273" t="s">
        <v>239</v>
      </c>
      <c r="P22" s="5"/>
      <c r="Q22" s="272" t="s">
        <v>240</v>
      </c>
      <c r="R22" s="92" t="s">
        <v>238</v>
      </c>
      <c r="S22" s="273" t="s">
        <v>240</v>
      </c>
      <c r="T22" s="272"/>
      <c r="U22" s="92"/>
      <c r="V22" s="273"/>
      <c r="W22" s="272"/>
      <c r="X22" s="92"/>
      <c r="Y22" s="273"/>
      <c r="Z22" s="272" t="s">
        <v>240</v>
      </c>
      <c r="AA22" s="92" t="s">
        <v>238</v>
      </c>
      <c r="AB22" s="273" t="s">
        <v>240</v>
      </c>
    </row>
    <row r="23" ht="18.95" customHeight="1">
      <c r="A23" s="58"/>
      <c r="B23" s="289"/>
      <c r="C23" s="290" t="s">
        <v>226</v>
      </c>
      <c r="D23" s="421" t="s">
        <v>309</v>
      </c>
      <c r="E23" s="91" t="s">
        <v>307</v>
      </c>
      <c r="F23" s="422" t="s">
        <v>309</v>
      </c>
      <c r="G23" s="421" t="s">
        <v>268</v>
      </c>
      <c r="H23" s="91" t="s">
        <v>268</v>
      </c>
      <c r="I23" s="422" t="s">
        <v>268</v>
      </c>
      <c r="J23" s="421" t="s">
        <v>268</v>
      </c>
      <c r="K23" s="91" t="s">
        <v>268</v>
      </c>
      <c r="L23" s="422" t="s">
        <v>268</v>
      </c>
      <c r="M23" s="421" t="s">
        <v>309</v>
      </c>
      <c r="N23" s="91" t="s">
        <v>307</v>
      </c>
      <c r="O23" s="422" t="s">
        <v>309</v>
      </c>
      <c r="P23" s="5"/>
      <c r="Q23" s="421" t="s">
        <v>308</v>
      </c>
      <c r="R23" s="91" t="s">
        <v>307</v>
      </c>
      <c r="S23" s="422" t="s">
        <v>308</v>
      </c>
      <c r="T23" s="421"/>
      <c r="U23" s="91"/>
      <c r="V23" s="422"/>
      <c r="W23" s="421"/>
      <c r="X23" s="91"/>
      <c r="Y23" s="422"/>
      <c r="Z23" s="421" t="s">
        <v>308</v>
      </c>
      <c r="AA23" s="91" t="s">
        <v>307</v>
      </c>
      <c r="AB23" s="422" t="s">
        <v>308</v>
      </c>
    </row>
    <row r="24" ht="18.95" customHeight="1">
      <c r="A24" s="59"/>
      <c r="B24" s="287"/>
      <c r="C24" s="288" t="s">
        <v>228</v>
      </c>
      <c r="D24" s="272" t="s">
        <v>309</v>
      </c>
      <c r="E24" s="92" t="s">
        <v>307</v>
      </c>
      <c r="F24" s="273" t="s">
        <v>309</v>
      </c>
      <c r="G24" s="272" t="s">
        <v>308</v>
      </c>
      <c r="H24" s="92" t="s">
        <v>307</v>
      </c>
      <c r="I24" s="273" t="s">
        <v>308</v>
      </c>
      <c r="J24" s="272" t="s">
        <v>268</v>
      </c>
      <c r="K24" s="92" t="s">
        <v>268</v>
      </c>
      <c r="L24" s="273" t="s">
        <v>268</v>
      </c>
      <c r="M24" s="272" t="s">
        <v>309</v>
      </c>
      <c r="N24" s="92" t="s">
        <v>307</v>
      </c>
      <c r="O24" s="273" t="s">
        <v>307</v>
      </c>
      <c r="P24" s="93"/>
      <c r="Q24" s="272" t="s">
        <v>308</v>
      </c>
      <c r="R24" s="92" t="s">
        <v>307</v>
      </c>
      <c r="S24" s="273" t="s">
        <v>307</v>
      </c>
      <c r="T24" s="272" t="s">
        <v>308</v>
      </c>
      <c r="U24" s="92" t="s">
        <v>308</v>
      </c>
      <c r="V24" s="273" t="s">
        <v>308</v>
      </c>
      <c r="W24" s="272"/>
      <c r="X24" s="92"/>
      <c r="Y24" s="273"/>
      <c r="Z24" s="272" t="s">
        <v>308</v>
      </c>
      <c r="AA24" s="92" t="s">
        <v>307</v>
      </c>
      <c r="AB24" s="273" t="s">
        <v>307</v>
      </c>
    </row>
    <row r="25" ht="18.95" customHeight="1">
      <c r="A25" s="60"/>
      <c r="B25" s="289"/>
      <c r="C25" s="290" t="s">
        <v>229</v>
      </c>
      <c r="D25" s="421" t="s">
        <v>310</v>
      </c>
      <c r="E25" s="91" t="s">
        <v>307</v>
      </c>
      <c r="F25" s="422" t="s">
        <v>309</v>
      </c>
      <c r="G25" s="421" t="s">
        <v>307</v>
      </c>
      <c r="H25" s="91" t="s">
        <v>309</v>
      </c>
      <c r="I25" s="422" t="s">
        <v>307</v>
      </c>
      <c r="J25" s="421" t="s">
        <v>268</v>
      </c>
      <c r="K25" s="91" t="s">
        <v>268</v>
      </c>
      <c r="L25" s="422" t="s">
        <v>268</v>
      </c>
      <c r="M25" s="421" t="s">
        <v>310</v>
      </c>
      <c r="N25" s="91" t="s">
        <v>307</v>
      </c>
      <c r="O25" s="422" t="s">
        <v>309</v>
      </c>
      <c r="P25" s="93"/>
      <c r="Q25" s="421" t="s">
        <v>309</v>
      </c>
      <c r="R25" s="91" t="s">
        <v>307</v>
      </c>
      <c r="S25" s="422" t="s">
        <v>308</v>
      </c>
      <c r="T25" s="421" t="s">
        <v>308</v>
      </c>
      <c r="U25" s="91" t="s">
        <v>307</v>
      </c>
      <c r="V25" s="422" t="s">
        <v>308</v>
      </c>
      <c r="W25" s="421"/>
      <c r="X25" s="91"/>
      <c r="Y25" s="422"/>
      <c r="Z25" s="421" t="s">
        <v>307</v>
      </c>
      <c r="AA25" s="91" t="s">
        <v>307</v>
      </c>
      <c r="AB25" s="422" t="s">
        <v>308</v>
      </c>
    </row>
    <row r="26" ht="18.95" customHeight="1">
      <c r="A26" s="60"/>
      <c r="B26" s="291"/>
      <c r="C26" s="292" t="s">
        <v>230</v>
      </c>
      <c r="D26" s="274" t="s">
        <v>307</v>
      </c>
      <c r="E26" s="275" t="s">
        <v>309</v>
      </c>
      <c r="F26" s="276" t="s">
        <v>307</v>
      </c>
      <c r="G26" s="274" t="s">
        <v>307</v>
      </c>
      <c r="H26" s="275" t="s">
        <v>308</v>
      </c>
      <c r="I26" s="276" t="s">
        <v>307</v>
      </c>
      <c r="J26" s="274" t="s">
        <v>268</v>
      </c>
      <c r="K26" s="275" t="s">
        <v>268</v>
      </c>
      <c r="L26" s="276" t="s">
        <v>268</v>
      </c>
      <c r="M26" s="274" t="s">
        <v>308</v>
      </c>
      <c r="N26" s="275" t="s">
        <v>307</v>
      </c>
      <c r="O26" s="276" t="s">
        <v>307</v>
      </c>
      <c r="P26" s="184"/>
      <c r="Q26" s="274" t="s">
        <v>307</v>
      </c>
      <c r="R26" s="275" t="s">
        <v>307</v>
      </c>
      <c r="S26" s="276" t="s">
        <v>308</v>
      </c>
      <c r="T26" s="274" t="s">
        <v>307</v>
      </c>
      <c r="U26" s="275" t="s">
        <v>308</v>
      </c>
      <c r="V26" s="276" t="s">
        <v>308</v>
      </c>
      <c r="W26" s="274"/>
      <c r="X26" s="275"/>
      <c r="Y26" s="276"/>
      <c r="Z26" s="274" t="s">
        <v>308</v>
      </c>
      <c r="AA26" s="275" t="s">
        <v>307</v>
      </c>
      <c r="AB26" s="276" t="s">
        <v>308</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88" t="s">
        <v>61</v>
      </c>
      <c r="C28" s="988"/>
      <c r="D28" s="988"/>
      <c r="E28" s="988"/>
      <c r="F28" s="988"/>
      <c r="G28" s="988"/>
      <c r="H28" s="988"/>
      <c r="I28" s="988"/>
      <c r="J28" s="988"/>
      <c r="K28" s="988"/>
      <c r="L28" s="988"/>
      <c r="M28" s="988"/>
      <c r="N28" s="988"/>
      <c r="O28" s="988"/>
      <c r="P28" s="412"/>
      <c r="Q28" s="986"/>
      <c r="R28" s="986"/>
      <c r="S28" s="986"/>
      <c r="T28" s="986"/>
      <c r="U28" s="986"/>
      <c r="V28" s="986"/>
      <c r="W28" s="986"/>
      <c r="X28" s="986"/>
      <c r="Y28" s="986"/>
      <c r="Z28" s="986"/>
      <c r="AA28" s="986"/>
      <c r="AB28" s="986"/>
      <c r="AC28" s="9"/>
    </row>
    <row r="29" ht="18.95" customHeight="1">
      <c r="A29" s="58"/>
      <c r="B29" s="285">
        <v>2018</v>
      </c>
      <c r="C29" s="286"/>
      <c r="D29" s="428" t="s">
        <v>319</v>
      </c>
      <c r="E29" s="429" t="s">
        <v>319</v>
      </c>
      <c r="F29" s="430" t="s">
        <v>319</v>
      </c>
      <c r="G29" s="428" t="s">
        <v>322</v>
      </c>
      <c r="H29" s="429" t="s">
        <v>319</v>
      </c>
      <c r="I29" s="430" t="s">
        <v>322</v>
      </c>
      <c r="J29" s="428" t="s">
        <v>321</v>
      </c>
      <c r="K29" s="429" t="s">
        <v>318</v>
      </c>
      <c r="L29" s="430" t="s">
        <v>318</v>
      </c>
      <c r="M29" s="428" t="s">
        <v>319</v>
      </c>
      <c r="N29" s="429" t="s">
        <v>319</v>
      </c>
      <c r="O29" s="430" t="s">
        <v>319</v>
      </c>
      <c r="P29" s="5"/>
      <c r="Q29" s="428" t="s">
        <v>319</v>
      </c>
      <c r="R29" s="429" t="s">
        <v>319</v>
      </c>
      <c r="S29" s="430" t="s">
        <v>319</v>
      </c>
      <c r="T29" s="428" t="s">
        <v>320</v>
      </c>
      <c r="U29" s="429" t="s">
        <v>319</v>
      </c>
      <c r="V29" s="430" t="s">
        <v>319</v>
      </c>
      <c r="W29" s="428" t="s">
        <v>324</v>
      </c>
      <c r="X29" s="429" t="s">
        <v>317</v>
      </c>
      <c r="Y29" s="430" t="s">
        <v>324</v>
      </c>
      <c r="Z29" s="428" t="s">
        <v>319</v>
      </c>
      <c r="AA29" s="429" t="s">
        <v>319</v>
      </c>
      <c r="AB29" s="430" t="s">
        <v>319</v>
      </c>
    </row>
    <row r="30" ht="18.95" customHeight="1">
      <c r="A30" s="58"/>
      <c r="B30" s="287">
        <v>2019</v>
      </c>
      <c r="C30" s="288"/>
      <c r="D30" s="272" t="s">
        <v>319</v>
      </c>
      <c r="E30" s="92" t="s">
        <v>318</v>
      </c>
      <c r="F30" s="273" t="s">
        <v>319</v>
      </c>
      <c r="G30" s="272" t="s">
        <v>320</v>
      </c>
      <c r="H30" s="92" t="s">
        <v>322</v>
      </c>
      <c r="I30" s="273" t="s">
        <v>320</v>
      </c>
      <c r="J30" s="272" t="s">
        <v>268</v>
      </c>
      <c r="K30" s="92" t="s">
        <v>268</v>
      </c>
      <c r="L30" s="273" t="s">
        <v>268</v>
      </c>
      <c r="M30" s="272" t="s">
        <v>319</v>
      </c>
      <c r="N30" s="92" t="s">
        <v>318</v>
      </c>
      <c r="O30" s="273" t="s">
        <v>319</v>
      </c>
      <c r="P30" s="5"/>
      <c r="Q30" s="272" t="s">
        <v>324</v>
      </c>
      <c r="R30" s="92" t="s">
        <v>324</v>
      </c>
      <c r="S30" s="273" t="s">
        <v>324</v>
      </c>
      <c r="T30" s="272" t="s">
        <v>324</v>
      </c>
      <c r="U30" s="92" t="s">
        <v>324</v>
      </c>
      <c r="V30" s="273" t="s">
        <v>324</v>
      </c>
      <c r="W30" s="272"/>
      <c r="X30" s="92"/>
      <c r="Y30" s="273"/>
      <c r="Z30" s="272" t="s">
        <v>324</v>
      </c>
      <c r="AA30" s="92" t="s">
        <v>324</v>
      </c>
      <c r="AB30" s="273" t="s">
        <v>324</v>
      </c>
    </row>
    <row r="31" ht="18.95" customHeight="1">
      <c r="A31" s="58"/>
      <c r="B31" s="426">
        <v>2020</v>
      </c>
      <c r="C31" s="427"/>
      <c r="D31" s="431" t="s">
        <v>225</v>
      </c>
      <c r="E31" s="432" t="s">
        <v>223</v>
      </c>
      <c r="F31" s="433" t="s">
        <v>225</v>
      </c>
      <c r="G31" s="431" t="s">
        <v>225</v>
      </c>
      <c r="H31" s="432" t="s">
        <v>231</v>
      </c>
      <c r="I31" s="433" t="s">
        <v>225</v>
      </c>
      <c r="J31" s="431" t="s">
        <v>268</v>
      </c>
      <c r="K31" s="432" t="s">
        <v>268</v>
      </c>
      <c r="L31" s="433" t="s">
        <v>268</v>
      </c>
      <c r="M31" s="431" t="s">
        <v>222</v>
      </c>
      <c r="N31" s="432" t="s">
        <v>225</v>
      </c>
      <c r="O31" s="433" t="s">
        <v>225</v>
      </c>
      <c r="P31" s="184"/>
      <c r="Q31" s="431" t="s">
        <v>223</v>
      </c>
      <c r="R31" s="432" t="s">
        <v>223</v>
      </c>
      <c r="S31" s="433" t="s">
        <v>223</v>
      </c>
      <c r="T31" s="431" t="s">
        <v>225</v>
      </c>
      <c r="U31" s="432" t="s">
        <v>231</v>
      </c>
      <c r="V31" s="433" t="s">
        <v>223</v>
      </c>
      <c r="W31" s="431"/>
      <c r="X31" s="432"/>
      <c r="Y31" s="433"/>
      <c r="Z31" s="431" t="s">
        <v>223</v>
      </c>
      <c r="AA31" s="432" t="s">
        <v>231</v>
      </c>
      <c r="AB31" s="433" t="s">
        <v>223</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87" t="s">
        <v>44</v>
      </c>
      <c r="C33" s="987"/>
      <c r="D33" s="987"/>
      <c r="E33" s="987"/>
      <c r="F33" s="987"/>
      <c r="G33" s="987"/>
      <c r="H33" s="987"/>
      <c r="I33" s="987"/>
      <c r="J33" s="987"/>
      <c r="K33" s="987"/>
      <c r="L33" s="987"/>
      <c r="M33" s="987"/>
      <c r="N33" s="987"/>
      <c r="O33" s="987"/>
      <c r="P33" s="412"/>
      <c r="Q33" s="986"/>
      <c r="R33" s="986"/>
      <c r="S33" s="986"/>
      <c r="T33" s="986"/>
      <c r="U33" s="986"/>
      <c r="V33" s="986"/>
      <c r="W33" s="986"/>
      <c r="X33" s="986"/>
      <c r="Y33" s="986"/>
      <c r="Z33" s="986"/>
      <c r="AA33" s="986"/>
      <c r="AB33" s="986"/>
      <c r="AC33" s="9"/>
    </row>
    <row r="34" ht="18.95" customHeight="1">
      <c r="A34" s="58"/>
      <c r="B34" s="285">
        <v>2018</v>
      </c>
      <c r="C34" s="286"/>
      <c r="D34" s="428" t="s">
        <v>319</v>
      </c>
      <c r="E34" s="429" t="s">
        <v>318</v>
      </c>
      <c r="F34" s="430" t="s">
        <v>319</v>
      </c>
      <c r="G34" s="428" t="s">
        <v>318</v>
      </c>
      <c r="H34" s="429" t="s">
        <v>322</v>
      </c>
      <c r="I34" s="430" t="s">
        <v>320</v>
      </c>
      <c r="J34" s="428" t="s">
        <v>268</v>
      </c>
      <c r="K34" s="429" t="s">
        <v>268</v>
      </c>
      <c r="L34" s="430" t="s">
        <v>268</v>
      </c>
      <c r="M34" s="428" t="s">
        <v>319</v>
      </c>
      <c r="N34" s="429" t="s">
        <v>318</v>
      </c>
      <c r="O34" s="430" t="s">
        <v>319</v>
      </c>
      <c r="P34" s="5"/>
      <c r="Q34" s="428" t="s">
        <v>319</v>
      </c>
      <c r="R34" s="429" t="s">
        <v>319</v>
      </c>
      <c r="S34" s="430" t="s">
        <v>319</v>
      </c>
      <c r="T34" s="428" t="s">
        <v>324</v>
      </c>
      <c r="U34" s="429" t="s">
        <v>319</v>
      </c>
      <c r="V34" s="430" t="s">
        <v>321</v>
      </c>
      <c r="W34" s="428"/>
      <c r="X34" s="429"/>
      <c r="Y34" s="430"/>
      <c r="Z34" s="428" t="s">
        <v>317</v>
      </c>
      <c r="AA34" s="429" t="s">
        <v>319</v>
      </c>
      <c r="AB34" s="430" t="s">
        <v>319</v>
      </c>
    </row>
    <row r="35" ht="18.95" customHeight="1">
      <c r="A35" s="58"/>
      <c r="B35" s="287">
        <v>2019</v>
      </c>
      <c r="C35" s="288"/>
      <c r="D35" s="272" t="s">
        <v>317</v>
      </c>
      <c r="E35" s="92" t="s">
        <v>318</v>
      </c>
      <c r="F35" s="273" t="s">
        <v>320</v>
      </c>
      <c r="G35" s="272" t="s">
        <v>318</v>
      </c>
      <c r="H35" s="92" t="s">
        <v>317</v>
      </c>
      <c r="I35" s="273" t="s">
        <v>322</v>
      </c>
      <c r="J35" s="272" t="s">
        <v>268</v>
      </c>
      <c r="K35" s="92" t="s">
        <v>268</v>
      </c>
      <c r="L35" s="273" t="s">
        <v>268</v>
      </c>
      <c r="M35" s="272" t="s">
        <v>319</v>
      </c>
      <c r="N35" s="92" t="s">
        <v>318</v>
      </c>
      <c r="O35" s="273" t="s">
        <v>320</v>
      </c>
      <c r="P35" s="5"/>
      <c r="Q35" s="272" t="s">
        <v>324</v>
      </c>
      <c r="R35" s="92" t="s">
        <v>320</v>
      </c>
      <c r="S35" s="273" t="s">
        <v>324</v>
      </c>
      <c r="T35" s="272" t="s">
        <v>322</v>
      </c>
      <c r="U35" s="92" t="s">
        <v>317</v>
      </c>
      <c r="V35" s="273" t="s">
        <v>322</v>
      </c>
      <c r="W35" s="272"/>
      <c r="X35" s="92"/>
      <c r="Y35" s="273"/>
      <c r="Z35" s="272" t="s">
        <v>324</v>
      </c>
      <c r="AA35" s="92" t="s">
        <v>320</v>
      </c>
      <c r="AB35" s="273" t="s">
        <v>324</v>
      </c>
    </row>
    <row r="36" ht="18.95" customHeight="1">
      <c r="A36" s="58"/>
      <c r="B36" s="426">
        <v>2020</v>
      </c>
      <c r="C36" s="427"/>
      <c r="D36" s="431" t="s">
        <v>309</v>
      </c>
      <c r="E36" s="432" t="s">
        <v>307</v>
      </c>
      <c r="F36" s="433" t="s">
        <v>307</v>
      </c>
      <c r="G36" s="431" t="s">
        <v>307</v>
      </c>
      <c r="H36" s="432" t="s">
        <v>307</v>
      </c>
      <c r="I36" s="433" t="s">
        <v>307</v>
      </c>
      <c r="J36" s="431" t="s">
        <v>268</v>
      </c>
      <c r="K36" s="432" t="s">
        <v>268</v>
      </c>
      <c r="L36" s="433" t="s">
        <v>268</v>
      </c>
      <c r="M36" s="431" t="s">
        <v>309</v>
      </c>
      <c r="N36" s="432" t="s">
        <v>307</v>
      </c>
      <c r="O36" s="433" t="s">
        <v>307</v>
      </c>
      <c r="P36" s="184"/>
      <c r="Q36" s="431" t="s">
        <v>308</v>
      </c>
      <c r="R36" s="432" t="s">
        <v>307</v>
      </c>
      <c r="S36" s="433" t="s">
        <v>308</v>
      </c>
      <c r="T36" s="431" t="s">
        <v>307</v>
      </c>
      <c r="U36" s="432" t="s">
        <v>308</v>
      </c>
      <c r="V36" s="433" t="s">
        <v>308</v>
      </c>
      <c r="W36" s="431"/>
      <c r="X36" s="432"/>
      <c r="Y36" s="433"/>
      <c r="Z36" s="431" t="s">
        <v>308</v>
      </c>
      <c r="AA36" s="432" t="s">
        <v>307</v>
      </c>
      <c r="AB36" s="433" t="s">
        <v>308</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87" t="s">
        <v>45</v>
      </c>
      <c r="C38" s="987"/>
      <c r="D38" s="987"/>
      <c r="E38" s="987"/>
      <c r="F38" s="987"/>
      <c r="G38" s="987"/>
      <c r="H38" s="987"/>
      <c r="I38" s="987"/>
      <c r="J38" s="987"/>
      <c r="K38" s="987"/>
      <c r="L38" s="987"/>
      <c r="M38" s="987"/>
      <c r="N38" s="987"/>
      <c r="O38" s="987"/>
      <c r="P38" s="412"/>
      <c r="Q38" s="986"/>
      <c r="R38" s="986"/>
      <c r="S38" s="986"/>
      <c r="T38" s="986"/>
      <c r="U38" s="986"/>
      <c r="V38" s="986"/>
      <c r="W38" s="986"/>
      <c r="X38" s="986"/>
      <c r="Y38" s="986"/>
      <c r="Z38" s="986"/>
      <c r="AA38" s="986"/>
      <c r="AB38" s="986"/>
      <c r="AC38" s="9"/>
    </row>
    <row r="39" ht="18.95" customHeight="1">
      <c r="A39" s="58"/>
      <c r="B39" s="285">
        <v>2018</v>
      </c>
      <c r="C39" s="286"/>
      <c r="D39" s="428" t="s">
        <v>319</v>
      </c>
      <c r="E39" s="429" t="s">
        <v>319</v>
      </c>
      <c r="F39" s="430" t="s">
        <v>319</v>
      </c>
      <c r="G39" s="428" t="s">
        <v>322</v>
      </c>
      <c r="H39" s="429" t="s">
        <v>319</v>
      </c>
      <c r="I39" s="430" t="s">
        <v>322</v>
      </c>
      <c r="J39" s="428" t="s">
        <v>321</v>
      </c>
      <c r="K39" s="429" t="s">
        <v>318</v>
      </c>
      <c r="L39" s="430" t="s">
        <v>318</v>
      </c>
      <c r="M39" s="428" t="s">
        <v>319</v>
      </c>
      <c r="N39" s="429" t="s">
        <v>319</v>
      </c>
      <c r="O39" s="430" t="s">
        <v>319</v>
      </c>
      <c r="P39" s="5"/>
      <c r="Q39" s="428" t="s">
        <v>319</v>
      </c>
      <c r="R39" s="429" t="s">
        <v>319</v>
      </c>
      <c r="S39" s="430" t="s">
        <v>319</v>
      </c>
      <c r="T39" s="428" t="s">
        <v>320</v>
      </c>
      <c r="U39" s="429" t="s">
        <v>319</v>
      </c>
      <c r="V39" s="430" t="s">
        <v>319</v>
      </c>
      <c r="W39" s="428" t="s">
        <v>324</v>
      </c>
      <c r="X39" s="429" t="s">
        <v>317</v>
      </c>
      <c r="Y39" s="430" t="s">
        <v>324</v>
      </c>
      <c r="Z39" s="428" t="s">
        <v>319</v>
      </c>
      <c r="AA39" s="429" t="s">
        <v>319</v>
      </c>
      <c r="AB39" s="430" t="s">
        <v>319</v>
      </c>
    </row>
    <row r="40" ht="18.95" customHeight="1">
      <c r="A40" s="58"/>
      <c r="B40" s="287">
        <v>2019</v>
      </c>
      <c r="C40" s="288"/>
      <c r="D40" s="272" t="s">
        <v>319</v>
      </c>
      <c r="E40" s="92" t="s">
        <v>318</v>
      </c>
      <c r="F40" s="273" t="s">
        <v>319</v>
      </c>
      <c r="G40" s="272" t="s">
        <v>320</v>
      </c>
      <c r="H40" s="92" t="s">
        <v>322</v>
      </c>
      <c r="I40" s="273" t="s">
        <v>320</v>
      </c>
      <c r="J40" s="272" t="s">
        <v>268</v>
      </c>
      <c r="K40" s="92" t="s">
        <v>268</v>
      </c>
      <c r="L40" s="273" t="s">
        <v>268</v>
      </c>
      <c r="M40" s="272" t="s">
        <v>319</v>
      </c>
      <c r="N40" s="92" t="s">
        <v>318</v>
      </c>
      <c r="O40" s="273" t="s">
        <v>319</v>
      </c>
      <c r="P40" s="5"/>
      <c r="Q40" s="272" t="s">
        <v>324</v>
      </c>
      <c r="R40" s="92" t="s">
        <v>324</v>
      </c>
      <c r="S40" s="273" t="s">
        <v>324</v>
      </c>
      <c r="T40" s="272" t="s">
        <v>324</v>
      </c>
      <c r="U40" s="92" t="s">
        <v>324</v>
      </c>
      <c r="V40" s="273" t="s">
        <v>324</v>
      </c>
      <c r="W40" s="272"/>
      <c r="X40" s="92"/>
      <c r="Y40" s="273"/>
      <c r="Z40" s="272" t="s">
        <v>324</v>
      </c>
      <c r="AA40" s="92" t="s">
        <v>324</v>
      </c>
      <c r="AB40" s="273" t="s">
        <v>324</v>
      </c>
    </row>
    <row r="41" ht="18.95" customHeight="1">
      <c r="A41" s="58"/>
      <c r="B41" s="426">
        <v>2020</v>
      </c>
      <c r="C41" s="427"/>
      <c r="D41" s="431" t="s">
        <v>225</v>
      </c>
      <c r="E41" s="432" t="s">
        <v>223</v>
      </c>
      <c r="F41" s="433" t="s">
        <v>225</v>
      </c>
      <c r="G41" s="431" t="s">
        <v>225</v>
      </c>
      <c r="H41" s="432" t="s">
        <v>231</v>
      </c>
      <c r="I41" s="433" t="s">
        <v>225</v>
      </c>
      <c r="J41" s="431" t="s">
        <v>268</v>
      </c>
      <c r="K41" s="432" t="s">
        <v>268</v>
      </c>
      <c r="L41" s="433" t="s">
        <v>268</v>
      </c>
      <c r="M41" s="431" t="s">
        <v>222</v>
      </c>
      <c r="N41" s="432" t="s">
        <v>225</v>
      </c>
      <c r="O41" s="433" t="s">
        <v>225</v>
      </c>
      <c r="P41" s="184"/>
      <c r="Q41" s="431" t="s">
        <v>223</v>
      </c>
      <c r="R41" s="432" t="s">
        <v>223</v>
      </c>
      <c r="S41" s="433" t="s">
        <v>223</v>
      </c>
      <c r="T41" s="431" t="s">
        <v>225</v>
      </c>
      <c r="U41" s="432" t="s">
        <v>231</v>
      </c>
      <c r="V41" s="433" t="s">
        <v>223</v>
      </c>
      <c r="W41" s="431"/>
      <c r="X41" s="432"/>
      <c r="Y41" s="433"/>
      <c r="Z41" s="431" t="s">
        <v>223</v>
      </c>
      <c r="AA41" s="432" t="s">
        <v>231</v>
      </c>
      <c r="AB41" s="433" t="s">
        <v>223</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49" t="s">
        <v>129</v>
      </c>
      <c r="C43" s="1049"/>
      <c r="D43" s="1049"/>
      <c r="E43" s="1049"/>
      <c r="F43" s="1049"/>
      <c r="G43" s="1049"/>
      <c r="H43" s="1049"/>
      <c r="I43" s="1049"/>
      <c r="J43" s="1049"/>
      <c r="K43" s="1049"/>
      <c r="L43" s="1049"/>
      <c r="M43" s="1049"/>
      <c r="N43" s="1049"/>
      <c r="O43" s="1049"/>
      <c r="P43" s="1049"/>
      <c r="Q43" s="1049"/>
      <c r="R43" s="1049"/>
      <c r="S43" s="1049"/>
      <c r="T43" s="1049"/>
      <c r="U43" s="1049"/>
      <c r="V43" s="1049"/>
      <c r="W43" s="1049"/>
      <c r="X43" s="1049"/>
      <c r="Y43" s="1049"/>
      <c r="Z43" s="1049"/>
      <c r="AA43" s="1049"/>
      <c r="AB43" s="1049"/>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1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9"/>
      <c r="B1" s="657" t="s">
        <v>192</v>
      </c>
      <c r="Y1" s="5"/>
      <c r="AB1" s="686"/>
      <c r="AD1" s="236"/>
    </row>
    <row r="2" ht="15" customHeight="1">
      <c r="A2" s="11"/>
      <c r="B2" s="11" t="s">
        <v>211</v>
      </c>
    </row>
    <row r="3" ht="17.1" customHeight="1">
      <c r="A3" s="11"/>
      <c r="B3" s="11" t="s">
        <v>212</v>
      </c>
      <c r="R3" s="1053" t="s">
        <v>298</v>
      </c>
      <c r="S3" s="1053"/>
      <c r="T3" s="1053"/>
      <c r="U3" s="1053"/>
      <c r="V3" s="1053"/>
      <c r="W3" s="1053"/>
      <c r="X3" s="1053"/>
      <c r="Y3" s="1053"/>
      <c r="Z3" s="1053"/>
      <c r="AA3" s="1053"/>
      <c r="AB3" s="1053"/>
    </row>
    <row r="4" ht="19.5" customHeight="1">
      <c r="A4" s="4"/>
      <c r="B4" s="211" t="s">
        <v>213</v>
      </c>
      <c r="C4" s="5"/>
      <c r="D4" s="5"/>
      <c r="E4" s="5"/>
      <c r="F4" s="5"/>
      <c r="G4" s="5"/>
      <c r="H4" s="212"/>
      <c r="I4" s="212"/>
      <c r="J4" s="212"/>
      <c r="K4" s="212"/>
      <c r="L4" s="212"/>
      <c r="M4" s="212"/>
      <c r="N4" s="212"/>
      <c r="O4" s="212"/>
      <c r="P4" s="212"/>
      <c r="Q4" s="212"/>
      <c r="R4" s="212"/>
      <c r="S4" s="212"/>
      <c r="T4" s="212"/>
      <c r="U4" s="4"/>
      <c r="V4" s="4"/>
    </row>
    <row r="5" ht="12.75" customHeight="1"/>
    <row r="6" ht="15.75">
      <c r="D6" s="993" t="s">
        <v>42</v>
      </c>
      <c r="E6" s="993"/>
      <c r="F6" s="993"/>
      <c r="G6" s="993"/>
      <c r="H6" s="993"/>
      <c r="I6" s="993"/>
      <c r="J6" s="993"/>
      <c r="K6" s="993"/>
      <c r="L6" s="993"/>
      <c r="M6" s="993"/>
      <c r="N6" s="993"/>
      <c r="O6" s="993"/>
      <c r="Q6" s="975" t="s">
        <v>72</v>
      </c>
      <c r="R6" s="975"/>
      <c r="S6" s="975"/>
      <c r="T6" s="975"/>
      <c r="U6" s="975"/>
      <c r="V6" s="975"/>
      <c r="W6" s="975"/>
      <c r="X6" s="975"/>
      <c r="Y6" s="975"/>
      <c r="Z6" s="975"/>
      <c r="AA6" s="975"/>
      <c r="AB6" s="975"/>
    </row>
    <row r="7" ht="15.75">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1054"/>
      <c r="C8" s="1054"/>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88" t="s">
        <v>22</v>
      </c>
      <c r="C10" s="988"/>
      <c r="D10" s="988"/>
      <c r="E10" s="988"/>
      <c r="F10" s="988"/>
      <c r="G10" s="988"/>
      <c r="H10" s="988"/>
      <c r="I10" s="988"/>
      <c r="J10" s="988"/>
      <c r="K10" s="988"/>
      <c r="L10" s="988"/>
      <c r="M10" s="988"/>
      <c r="N10" s="988"/>
      <c r="O10" s="988"/>
      <c r="P10" s="412"/>
      <c r="Q10" s="986"/>
      <c r="R10" s="986"/>
      <c r="S10" s="986"/>
      <c r="T10" s="986"/>
      <c r="U10" s="986"/>
      <c r="V10" s="986"/>
      <c r="W10" s="986"/>
      <c r="X10" s="986"/>
      <c r="Y10" s="986"/>
      <c r="Z10" s="986"/>
      <c r="AA10" s="986"/>
      <c r="AB10" s="986"/>
      <c r="AC10" s="9"/>
    </row>
    <row r="11" ht="18" customHeight="1">
      <c r="A11" s="58"/>
      <c r="B11" s="1055" t="s">
        <v>43</v>
      </c>
      <c r="C11" s="1055"/>
      <c r="D11" s="428">
        <v>75.000000000000000000000000070</v>
      </c>
      <c r="E11" s="429">
        <v>69.810434486720797713772841980</v>
      </c>
      <c r="F11" s="430">
        <v>41.621042639211488434337611620</v>
      </c>
      <c r="G11" s="428">
        <v>2.4621212121212121212121212200</v>
      </c>
      <c r="H11" s="429">
        <v>2.7568532979582913131422719400</v>
      </c>
      <c r="I11" s="430">
        <v>0.6439371327858607991749769500</v>
      </c>
      <c r="J11" s="428">
        <v>0</v>
      </c>
      <c r="K11" s="429">
        <v>0</v>
      </c>
      <c r="L11" s="430">
        <v>4.2407470165287628307175514200</v>
      </c>
      <c r="M11" s="428">
        <v>77.462121212121212121212121290</v>
      </c>
      <c r="N11" s="429">
        <v>72.567287784679089026915113920</v>
      </c>
      <c r="O11" s="430">
        <v>46.505726788526112064230139990</v>
      </c>
      <c r="P11" s="5"/>
      <c r="Q11" s="428">
        <v>-5.7683951629432260709161713500</v>
      </c>
      <c r="R11" s="429">
        <v>-8.252872433607014746757675400</v>
      </c>
      <c r="S11" s="430">
        <v>-35.367433919429171787461847930</v>
      </c>
      <c r="T11" s="428">
        <v>-9.774031563845050215208034280</v>
      </c>
      <c r="U11" s="429">
        <v>-62.278713052838167458304920680</v>
      </c>
      <c r="V11" s="430">
        <v>-91.05665893809992916950800004</v>
      </c>
      <c r="W11" s="428">
        <v>0</v>
      </c>
      <c r="X11" s="429">
        <v>0</v>
      </c>
      <c r="Y11" s="430">
        <v>-33.420939233536159612425790010</v>
      </c>
      <c r="Z11" s="428">
        <v>-5.9011786900449439983512607300</v>
      </c>
      <c r="AA11" s="429">
        <v>-12.987330655623816054391703740</v>
      </c>
      <c r="AB11" s="430">
        <v>-40.351327003153400838606613650</v>
      </c>
    </row>
    <row r="12" ht="18" customHeight="1">
      <c r="A12" s="58"/>
      <c r="B12" s="1056" t="s">
        <v>46</v>
      </c>
      <c r="C12" s="1056"/>
      <c r="D12" s="421">
        <v>65.340909090909090909090909140</v>
      </c>
      <c r="E12" s="91">
        <v>60.543278084714548802946593030</v>
      </c>
      <c r="F12" s="422">
        <v>37.286498862473461027463094600</v>
      </c>
      <c r="G12" s="421">
        <v>2.6515151515151515151515151500</v>
      </c>
      <c r="H12" s="91">
        <v>1.2062043169417658968463676600</v>
      </c>
      <c r="I12" s="422">
        <v>0.4712814143676831579798012300</v>
      </c>
      <c r="J12" s="421">
        <v>0</v>
      </c>
      <c r="K12" s="91">
        <v>0</v>
      </c>
      <c r="L12" s="422">
        <v>3.9471245616694261564644096800</v>
      </c>
      <c r="M12" s="421">
        <v>67.992424242424242424242424290</v>
      </c>
      <c r="N12" s="91">
        <v>61.749482401656314699792960690</v>
      </c>
      <c r="O12" s="422">
        <v>41.704904838510570341907305510</v>
      </c>
      <c r="P12" s="5"/>
      <c r="Q12" s="421">
        <v>-18.215842360455081278126097470</v>
      </c>
      <c r="R12" s="91">
        <v>-19.058762819629014152597376020</v>
      </c>
      <c r="S12" s="422">
        <v>-41.113581844665784780606176960</v>
      </c>
      <c r="T12" s="421">
        <v>-39.689803591747885024489190290</v>
      </c>
      <c r="U12" s="91">
        <v>-83.82837355146765414041649718</v>
      </c>
      <c r="V12" s="422">
        <v>-93.93936825802977557562021851</v>
      </c>
      <c r="W12" s="421">
        <v>0</v>
      </c>
      <c r="X12" s="91">
        <v>0</v>
      </c>
      <c r="Y12" s="422">
        <v>-37.012956407781119151789828320</v>
      </c>
      <c r="Z12" s="421">
        <v>-19.335887100936180754105467410</v>
      </c>
      <c r="AA12" s="91">
        <v>-24.931779870579737354957545970</v>
      </c>
      <c r="AB12" s="422">
        <v>-46.091247398448862343521952790</v>
      </c>
    </row>
    <row r="13" ht="18" customHeight="1">
      <c r="A13" s="58"/>
      <c r="B13" s="1056" t="s">
        <v>47</v>
      </c>
      <c r="C13" s="1056"/>
      <c r="D13" s="421">
        <v>59.545454545454545454545454600</v>
      </c>
      <c r="E13" s="91">
        <v>56.410149279714497105801453660</v>
      </c>
      <c r="F13" s="422">
        <v>35.487994523418291035555131130</v>
      </c>
      <c r="G13" s="421">
        <v>2.8787878787878787878787878800</v>
      </c>
      <c r="H13" s="91">
        <v>1.5194573455443020660411964700</v>
      </c>
      <c r="I13" s="422">
        <v>0.740458372629891976069728600</v>
      </c>
      <c r="J13" s="421">
        <v>0</v>
      </c>
      <c r="K13" s="91">
        <v>0</v>
      </c>
      <c r="L13" s="422">
        <v>4.2444079189263570999039180400</v>
      </c>
      <c r="M13" s="421">
        <v>62.424242424242424242424242490</v>
      </c>
      <c r="N13" s="91">
        <v>57.929606625258799171842650130</v>
      </c>
      <c r="O13" s="422">
        <v>40.472860814974540111528777770</v>
      </c>
      <c r="P13" s="184"/>
      <c r="Q13" s="421">
        <v>-23.136113115476728613262879490</v>
      </c>
      <c r="R13" s="91">
        <v>-26.992735298975146454061947540</v>
      </c>
      <c r="S13" s="422">
        <v>-45.905975587511399021546765580</v>
      </c>
      <c r="T13" s="421">
        <v>-45.745439639270342283254765340</v>
      </c>
      <c r="U13" s="91">
        <v>-80.62684412356149808124621779</v>
      </c>
      <c r="V13" s="422">
        <v>-92.12978501436208236702370898</v>
      </c>
      <c r="W13" s="421">
        <v>0</v>
      </c>
      <c r="X13" s="91">
        <v>0</v>
      </c>
      <c r="Y13" s="422">
        <v>-34.158155561770461368993664150</v>
      </c>
      <c r="Z13" s="421">
        <v>-24.585428918284011540826461900</v>
      </c>
      <c r="AA13" s="91">
        <v>-31.935280913567159246681401030</v>
      </c>
      <c r="AB13" s="422">
        <v>-50.315059234216593840616029540</v>
      </c>
    </row>
    <row r="14" ht="18" customHeight="1">
      <c r="A14" s="58"/>
      <c r="B14" s="1056" t="s">
        <v>48</v>
      </c>
      <c r="C14" s="1056"/>
      <c r="D14" s="421">
        <v>58.787878787878787878787878850</v>
      </c>
      <c r="E14" s="91">
        <v>56.913553273614449056878595880</v>
      </c>
      <c r="F14" s="422">
        <v>39.266344546254586954357936350</v>
      </c>
      <c r="G14" s="421">
        <v>2.7272727272727272727272727300</v>
      </c>
      <c r="H14" s="91">
        <v>1.4301320265925902805955242100</v>
      </c>
      <c r="I14" s="422">
        <v>0.7825061773346934356545618600</v>
      </c>
      <c r="J14" s="421">
        <v>0</v>
      </c>
      <c r="K14" s="91">
        <v>0</v>
      </c>
      <c r="L14" s="422">
        <v>4.1215731074329973699461467100</v>
      </c>
      <c r="M14" s="421">
        <v>61.515151515151515151515151580</v>
      </c>
      <c r="N14" s="91">
        <v>58.343685300207039337474120090</v>
      </c>
      <c r="O14" s="422">
        <v>44.170423831022277759958644920</v>
      </c>
      <c r="P14" s="5"/>
      <c r="Q14" s="421">
        <v>-23.402008608321377331420373010</v>
      </c>
      <c r="R14" s="91">
        <v>-23.970562324705795541878825370</v>
      </c>
      <c r="S14" s="422">
        <v>-37.071616372926585687796916480</v>
      </c>
      <c r="T14" s="421">
        <v>-4.0550932568149210903873744300</v>
      </c>
      <c r="U14" s="91">
        <v>-82.47609494959512288991780564</v>
      </c>
      <c r="V14" s="422">
        <v>-93.68735520352237713503373919</v>
      </c>
      <c r="W14" s="421">
        <v>0</v>
      </c>
      <c r="X14" s="91">
        <v>0</v>
      </c>
      <c r="Y14" s="422">
        <v>-36.959491421188975157756099530</v>
      </c>
      <c r="Z14" s="421">
        <v>-22.711047345767575322812051630</v>
      </c>
      <c r="AA14" s="91">
        <v>-29.721893453934521970123156860</v>
      </c>
      <c r="AB14" s="422">
        <v>-45.691406771729605986337658200</v>
      </c>
    </row>
    <row r="15" ht="18" customHeight="1">
      <c r="A15" s="58"/>
      <c r="B15" s="1056" t="s">
        <v>49</v>
      </c>
      <c r="C15" s="1056"/>
      <c r="D15" s="421">
        <v>67.121212121212121212121212160</v>
      </c>
      <c r="E15" s="91">
        <v>63.318602219063882505289555120</v>
      </c>
      <c r="F15" s="422">
        <v>44.327218936912757427642646690</v>
      </c>
      <c r="G15" s="421">
        <v>3.3333333333333333333333333400</v>
      </c>
      <c r="H15" s="91">
        <v>1.8159733502942955485406726800</v>
      </c>
      <c r="I15" s="422">
        <v>1.2657272316873745825680064300</v>
      </c>
      <c r="J15" s="421">
        <v>0</v>
      </c>
      <c r="K15" s="91">
        <v>0</v>
      </c>
      <c r="L15" s="422">
        <v>4.2697786213377418664097609400</v>
      </c>
      <c r="M15" s="421">
        <v>70.454545454545454545454545500</v>
      </c>
      <c r="N15" s="91">
        <v>65.134575569358178053830227800</v>
      </c>
      <c r="O15" s="422">
        <v>49.862724789937873876620414070</v>
      </c>
      <c r="P15" s="184"/>
      <c r="Q15" s="421">
        <v>-23.664522831840894473853460630</v>
      </c>
      <c r="R15" s="91">
        <v>-19.651712811665578695413653500</v>
      </c>
      <c r="S15" s="422">
        <v>-32.641735070584874804239362180</v>
      </c>
      <c r="T15" s="421">
        <v>251.79799139167862266857962742</v>
      </c>
      <c r="U15" s="91">
        <v>-84.10078016532594032710747324</v>
      </c>
      <c r="V15" s="422">
        <v>-90.36684492704846016468733596</v>
      </c>
      <c r="W15" s="421">
        <v>0</v>
      </c>
      <c r="X15" s="91">
        <v>0</v>
      </c>
      <c r="Y15" s="422">
        <v>-37.363022087829551062202913880</v>
      </c>
      <c r="Z15" s="421">
        <v>-20.727822253764993438219845620</v>
      </c>
      <c r="AA15" s="91">
        <v>-27.810282852666618399985982870</v>
      </c>
      <c r="AB15" s="422">
        <v>-41.860625101121448809907745440</v>
      </c>
    </row>
    <row r="16" ht="18" customHeight="1">
      <c r="A16" s="58"/>
      <c r="B16" s="1057" t="s">
        <v>78</v>
      </c>
      <c r="C16" s="1057"/>
      <c r="D16" s="431">
        <v>64.723320158102766798418972380</v>
      </c>
      <c r="E16" s="432">
        <v>61.070711919465457800292424480</v>
      </c>
      <c r="F16" s="433">
        <v>39.610345914768172823260060690</v>
      </c>
      <c r="G16" s="431">
        <v>2.8326745718050065876152832700</v>
      </c>
      <c r="H16" s="432">
        <v>1.7252193074676594919931097900</v>
      </c>
      <c r="I16" s="433">
        <v>0.8001883955162598173948085700</v>
      </c>
      <c r="J16" s="431">
        <v>0</v>
      </c>
      <c r="K16" s="432">
        <v>0</v>
      </c>
      <c r="L16" s="433">
        <v>4.170881937012097288262042300</v>
      </c>
      <c r="M16" s="431">
        <v>67.555994729907773386034255650</v>
      </c>
      <c r="N16" s="432">
        <v>62.795931226933117292285534270</v>
      </c>
      <c r="O16" s="433">
        <v>44.581416247296529928916911570</v>
      </c>
      <c r="P16" s="5"/>
      <c r="Q16" s="431">
        <v>-19.248671467945329608094842550</v>
      </c>
      <c r="R16" s="432">
        <v>-19.983807198752281337354211560</v>
      </c>
      <c r="S16" s="433">
        <v>-38.419520305513028726987018170</v>
      </c>
      <c r="T16" s="431">
        <v>-15.734661152839902101443159700</v>
      </c>
      <c r="U16" s="432">
        <v>-79.26668684392260527807754941</v>
      </c>
      <c r="V16" s="433">
        <v>-91.78612028587060955896783193</v>
      </c>
      <c r="W16" s="431">
        <v>0</v>
      </c>
      <c r="X16" s="432">
        <v>0</v>
      </c>
      <c r="Y16" s="433">
        <v>-35.544086651662944801656769480</v>
      </c>
      <c r="Z16" s="630">
        <v>-19.107223538923722028900496990</v>
      </c>
      <c r="AA16" s="214">
        <v>-25.811665825994428614515950820</v>
      </c>
      <c r="AB16" s="631">
        <v>-44.643911213412446801322861140</v>
      </c>
    </row>
    <row r="17" ht="6" customHeight="1">
      <c r="A17" s="58"/>
      <c r="B17" s="632"/>
      <c r="C17" s="632"/>
      <c r="D17" s="91"/>
      <c r="E17" s="91"/>
      <c r="F17" s="91"/>
      <c r="G17" s="91"/>
      <c r="H17" s="91"/>
      <c r="I17" s="91"/>
      <c r="J17" s="91"/>
      <c r="K17" s="91"/>
      <c r="L17" s="91"/>
      <c r="M17" s="91"/>
      <c r="N17" s="91"/>
      <c r="O17" s="91"/>
      <c r="P17" s="5"/>
      <c r="Q17" s="91"/>
      <c r="R17" s="91"/>
      <c r="S17" s="91"/>
      <c r="T17" s="91"/>
      <c r="U17" s="91"/>
      <c r="V17" s="91"/>
      <c r="W17" s="91"/>
      <c r="X17" s="91"/>
      <c r="Y17" s="91"/>
      <c r="Z17" s="633"/>
      <c r="AA17" s="633"/>
      <c r="AB17" s="633"/>
      <c r="AC17" s="4"/>
    </row>
    <row r="18" ht="18" customHeight="1">
      <c r="A18" s="58"/>
      <c r="B18" s="1058" t="s">
        <v>50</v>
      </c>
      <c r="C18" s="1058"/>
      <c r="D18" s="480">
        <v>77.840909090909090909090909130</v>
      </c>
      <c r="E18" s="481">
        <v>68.314647714388142681458710080</v>
      </c>
      <c r="F18" s="482">
        <v>44.978054442252343320931243700</v>
      </c>
      <c r="G18" s="480">
        <v>2.0833333333333333333333333300</v>
      </c>
      <c r="H18" s="481">
        <v>2.3892860330238656001147889600</v>
      </c>
      <c r="I18" s="482">
        <v>1.6234899627159479134291498800</v>
      </c>
      <c r="J18" s="480">
        <v>0</v>
      </c>
      <c r="K18" s="481">
        <v>0</v>
      </c>
      <c r="L18" s="482">
        <v>4.411660518445736306864359900</v>
      </c>
      <c r="M18" s="480">
        <v>79.92424242424242424242424246</v>
      </c>
      <c r="N18" s="481">
        <v>70.703933747412008281573499030</v>
      </c>
      <c r="O18" s="482">
        <v>51.013204923414027541224753490</v>
      </c>
      <c r="P18" s="184"/>
      <c r="Q18" s="480">
        <v>-8.311577679852428776388604260</v>
      </c>
      <c r="R18" s="481">
        <v>-16.586859680441166543079115040</v>
      </c>
      <c r="S18" s="482">
        <v>-38.288734499140609026971939420</v>
      </c>
      <c r="T18" s="480">
        <v>-35.331251582412017891805215780</v>
      </c>
      <c r="U18" s="481">
        <v>-74.027171468961898165583916740</v>
      </c>
      <c r="V18" s="482">
        <v>-85.53990718826659003817330747</v>
      </c>
      <c r="W18" s="480">
        <v>0</v>
      </c>
      <c r="X18" s="481">
        <v>0</v>
      </c>
      <c r="Y18" s="482">
        <v>-33.348524464236247198287253310</v>
      </c>
      <c r="Z18" s="480">
        <v>-9.299393714999768593511362100</v>
      </c>
      <c r="AA18" s="481">
        <v>-22.387224649043521266798274550</v>
      </c>
      <c r="AB18" s="482">
        <v>-43.775364767638068105831746460</v>
      </c>
    </row>
    <row r="19" ht="18" customHeight="1">
      <c r="A19" s="58"/>
      <c r="B19" s="1059" t="s">
        <v>51</v>
      </c>
      <c r="C19" s="1059"/>
      <c r="D19" s="272">
        <v>85.03787878787878787878787891</v>
      </c>
      <c r="E19" s="92">
        <v>82.07229565925218099131142615</v>
      </c>
      <c r="F19" s="273">
        <v>50.568339062232253855667843970</v>
      </c>
      <c r="G19" s="272">
        <v>2.0833333333333333333333333400</v>
      </c>
      <c r="H19" s="92">
        <v>2.3479941958202827768045159400</v>
      </c>
      <c r="I19" s="273">
        <v>1.2807070401231782925241128600</v>
      </c>
      <c r="J19" s="272">
        <v>0</v>
      </c>
      <c r="K19" s="92">
        <v>0</v>
      </c>
      <c r="L19" s="273">
        <v>4.3119850401885242592195021800</v>
      </c>
      <c r="M19" s="272">
        <v>87.12121212121212121212121225</v>
      </c>
      <c r="N19" s="92">
        <v>84.42028985507246376811594209</v>
      </c>
      <c r="O19" s="273">
        <v>56.16103114254395640741145900</v>
      </c>
      <c r="P19" s="5"/>
      <c r="Q19" s="272">
        <v>-1.8069312370302233077678954900</v>
      </c>
      <c r="R19" s="92">
        <v>-3.6885765874488264304177054700</v>
      </c>
      <c r="S19" s="273">
        <v>-32.480291380443213590070789400</v>
      </c>
      <c r="T19" s="272">
        <v>-59.282639885222381635581061590</v>
      </c>
      <c r="U19" s="92">
        <v>-71.974571505917862422801259930</v>
      </c>
      <c r="V19" s="273">
        <v>-86.38299936240088064061154857</v>
      </c>
      <c r="W19" s="272">
        <v>0</v>
      </c>
      <c r="X19" s="92">
        <v>0</v>
      </c>
      <c r="Y19" s="273">
        <v>-37.038250488433916740442593520</v>
      </c>
      <c r="Z19" s="272">
        <v>-5.0132207690574718095260679800</v>
      </c>
      <c r="AA19" s="92">
        <v>-9.801235316410127498836803710</v>
      </c>
      <c r="AB19" s="273">
        <v>-38.384774084947707939795863850</v>
      </c>
    </row>
    <row r="20" ht="18" customHeight="1">
      <c r="A20" s="58"/>
      <c r="B20" s="1060" t="s">
        <v>79</v>
      </c>
      <c r="C20" s="1060"/>
      <c r="D20" s="274">
        <v>81.43939393939393939393939402</v>
      </c>
      <c r="E20" s="275">
        <v>75.193471686820161836385068120</v>
      </c>
      <c r="F20" s="276">
        <v>47.773196752242298588299543830</v>
      </c>
      <c r="G20" s="274">
        <v>2.0833333333333333333333333300</v>
      </c>
      <c r="H20" s="275">
        <v>2.3686401144220741884596524500</v>
      </c>
      <c r="I20" s="276">
        <v>1.4520985014195631029766313700</v>
      </c>
      <c r="J20" s="274">
        <v>0</v>
      </c>
      <c r="K20" s="275">
        <v>0</v>
      </c>
      <c r="L20" s="276">
        <v>4.3618227793171302830419310400</v>
      </c>
      <c r="M20" s="274">
        <v>83.52272727272727272727272735</v>
      </c>
      <c r="N20" s="275">
        <v>77.562111801242236024844720560</v>
      </c>
      <c r="O20" s="276">
        <v>53.587118032978991974318106240</v>
      </c>
      <c r="P20" s="184"/>
      <c r="Q20" s="274">
        <v>-5.0269109125930388325657712100</v>
      </c>
      <c r="R20" s="275">
        <v>-10.009734866806723397129455770</v>
      </c>
      <c r="S20" s="276">
        <v>-35.345020947983472282119499460</v>
      </c>
      <c r="T20" s="274">
        <v>-50.028694404591104734576757650</v>
      </c>
      <c r="U20" s="275">
        <v>-73.048813263586612588443644210</v>
      </c>
      <c r="V20" s="276">
        <v>-85.92422424833550029068496291</v>
      </c>
      <c r="W20" s="274">
        <v>0</v>
      </c>
      <c r="X20" s="275">
        <v>0</v>
      </c>
      <c r="Y20" s="276">
        <v>-35.224836580637142088073597410</v>
      </c>
      <c r="Z20" s="274">
        <v>-7.1134003474169744486758696300</v>
      </c>
      <c r="AA20" s="275">
        <v>-16.009207751549909970702851960</v>
      </c>
      <c r="AB20" s="276">
        <v>-41.073891015225782669844773190</v>
      </c>
    </row>
    <row r="21" ht="6" customHeight="1">
      <c r="A21" s="58"/>
      <c r="B21" s="632"/>
      <c r="C21" s="632"/>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7" t="s">
        <v>12</v>
      </c>
      <c r="C22" s="997"/>
      <c r="D22" s="469">
        <v>69.037145650048875855327468230</v>
      </c>
      <c r="E22" s="470">
        <v>65.023709343484939557870834170</v>
      </c>
      <c r="F22" s="471">
        <v>41.735392500403479119568238240</v>
      </c>
      <c r="G22" s="469">
        <v>2.6392961876832844574780058700</v>
      </c>
      <c r="H22" s="470">
        <v>1.5828491284311761170106191100</v>
      </c>
      <c r="I22" s="471">
        <v>0.9648744295962906046524514300</v>
      </c>
      <c r="J22" s="469">
        <v>0</v>
      </c>
      <c r="K22" s="470">
        <v>0</v>
      </c>
      <c r="L22" s="471">
        <v>4.2052013910212665389933043600</v>
      </c>
      <c r="M22" s="469">
        <v>71.676441837732160312805474100</v>
      </c>
      <c r="N22" s="470">
        <v>66.606558471916115674881453280</v>
      </c>
      <c r="O22" s="471">
        <v>46.905468321021036263213994030</v>
      </c>
      <c r="P22" s="184"/>
      <c r="Q22" s="469">
        <v>-15.190633443410387271089762830</v>
      </c>
      <c r="R22" s="470">
        <v>-17.299819345389538186507712140</v>
      </c>
      <c r="S22" s="471">
        <v>-37.850431747120533008478983050</v>
      </c>
      <c r="T22" s="469">
        <v>-29.870129870129870129870129830</v>
      </c>
      <c r="U22" s="470">
        <v>-80.22853652538809960099315428</v>
      </c>
      <c r="V22" s="471">
        <v>-89.84845040037811717691573804</v>
      </c>
      <c r="W22" s="469">
        <v>0</v>
      </c>
      <c r="X22" s="470">
        <v>0</v>
      </c>
      <c r="Y22" s="471">
        <v>-35.922778592469685608831475990</v>
      </c>
      <c r="Z22" s="469">
        <v>-15.839311334289813486370157820</v>
      </c>
      <c r="AA22" s="470">
        <v>-23.115136889581544983101846590</v>
      </c>
      <c r="AB22" s="471">
        <v>-43.637162755475441788311416240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0" t="s">
        <v>9</v>
      </c>
      <c r="C24" s="1050"/>
      <c r="D24" s="1050"/>
      <c r="E24" s="1050"/>
      <c r="F24" s="1050"/>
      <c r="G24" s="1050"/>
      <c r="H24" s="1050"/>
      <c r="I24" s="1050"/>
      <c r="J24" s="1050"/>
      <c r="K24" s="1050"/>
      <c r="L24" s="1050"/>
      <c r="M24" s="1050"/>
      <c r="N24" s="1050"/>
      <c r="O24" s="1050"/>
      <c r="P24" s="412"/>
      <c r="Q24" s="1051"/>
      <c r="R24" s="1051"/>
      <c r="S24" s="1051"/>
      <c r="T24" s="1051"/>
      <c r="U24" s="1051"/>
      <c r="V24" s="1051"/>
      <c r="W24" s="1051"/>
      <c r="X24" s="1051"/>
      <c r="Y24" s="1051"/>
      <c r="Z24" s="1051"/>
      <c r="AA24" s="1051"/>
      <c r="AB24" s="1051"/>
      <c r="AC24" s="9"/>
    </row>
    <row r="25" ht="18" customHeight="1">
      <c r="A25" s="58"/>
      <c r="B25" s="1055" t="s">
        <v>43</v>
      </c>
      <c r="C25" s="1055"/>
      <c r="D25" s="455">
        <v>140.33219331741315115043794238</v>
      </c>
      <c r="E25" s="456">
        <v>151.10941628771619494249690494</v>
      </c>
      <c r="F25" s="457">
        <v>140.00249482009185059027115233</v>
      </c>
      <c r="G25" s="455">
        <v>251.91098778223611168092106751</v>
      </c>
      <c r="H25" s="456">
        <v>180.5689705492976155586078257</v>
      </c>
      <c r="I25" s="457">
        <v>142.49433957035694449888842971</v>
      </c>
      <c r="J25" s="455">
        <v>0</v>
      </c>
      <c r="K25" s="456">
        <v>0</v>
      </c>
      <c r="L25" s="457">
        <v>96.94976640352320362988628296</v>
      </c>
      <c r="M25" s="455">
        <v>143.87870756690630148514767496</v>
      </c>
      <c r="N25" s="456">
        <v>152.22859369949165325425546286</v>
      </c>
      <c r="O25" s="457">
        <v>136.11112163405226475072983034</v>
      </c>
      <c r="P25" s="5"/>
      <c r="Q25" s="428">
        <v>-33.492020939858917717157772250</v>
      </c>
      <c r="R25" s="429">
        <v>-42.340476661536208435689821640</v>
      </c>
      <c r="S25" s="430">
        <v>-29.915451222045066518011140510</v>
      </c>
      <c r="T25" s="428">
        <v>47.565076916834237107611927710</v>
      </c>
      <c r="U25" s="429">
        <v>-19.205980263167153019752332140</v>
      </c>
      <c r="V25" s="430">
        <v>-31.714434438899427504927316950</v>
      </c>
      <c r="W25" s="428">
        <v>0</v>
      </c>
      <c r="X25" s="429">
        <v>0</v>
      </c>
      <c r="Y25" s="430">
        <v>-21.756615749053000000195894660</v>
      </c>
      <c r="Z25" s="428">
        <v>-31.376859160711133174707322230</v>
      </c>
      <c r="AA25" s="429">
        <v>-41.154302268590761155415458830</v>
      </c>
      <c r="AB25" s="430">
        <v>-29.979786450192002601707695770</v>
      </c>
    </row>
    <row r="26" ht="18" customHeight="1">
      <c r="A26" s="58"/>
      <c r="B26" s="1056" t="s">
        <v>46</v>
      </c>
      <c r="C26" s="1056"/>
      <c r="D26" s="440">
        <v>150.79218328346251756282079873</v>
      </c>
      <c r="E26" s="95">
        <v>165.09964526449238664347535172</v>
      </c>
      <c r="F26" s="441">
        <v>147.03437407014254154881787563</v>
      </c>
      <c r="G26" s="440">
        <v>249.4548172736951136389376815</v>
      </c>
      <c r="H26" s="95">
        <v>159.30666725891435255972589513</v>
      </c>
      <c r="I26" s="441">
        <v>131.46351846847177676960909391</v>
      </c>
      <c r="J26" s="440">
        <v>0</v>
      </c>
      <c r="K26" s="95">
        <v>0</v>
      </c>
      <c r="L26" s="441">
        <v>96.08099906327571180415454838</v>
      </c>
      <c r="M26" s="440">
        <v>154.63975118280306448500920085</v>
      </c>
      <c r="N26" s="95">
        <v>164.98648617705541245349394449</v>
      </c>
      <c r="O26" s="441">
        <v>142.0359794293295391158969013</v>
      </c>
      <c r="P26" s="5"/>
      <c r="Q26" s="421">
        <v>-31.942301083486871395353795320</v>
      </c>
      <c r="R26" s="91">
        <v>-35.119776359337793780440233120</v>
      </c>
      <c r="S26" s="422">
        <v>-26.924683042390587424002739310</v>
      </c>
      <c r="T26" s="421">
        <v>31.711481042229036798178401400</v>
      </c>
      <c r="U26" s="91">
        <v>-32.404460604987145764458737890</v>
      </c>
      <c r="V26" s="422">
        <v>-36.793761365095676386392758650</v>
      </c>
      <c r="W26" s="421">
        <v>0</v>
      </c>
      <c r="X26" s="91">
        <v>0</v>
      </c>
      <c r="Y26" s="422">
        <v>-21.655664432419004744330753900</v>
      </c>
      <c r="Z26" s="421">
        <v>-29.673165156180401770917929270</v>
      </c>
      <c r="AA26" s="91">
        <v>-34.727162935703156311118236940</v>
      </c>
      <c r="AB26" s="422">
        <v>-27.357224058659596118284696160</v>
      </c>
    </row>
    <row r="27" ht="18" customHeight="1">
      <c r="A27" s="58"/>
      <c r="B27" s="1056" t="s">
        <v>47</v>
      </c>
      <c r="C27" s="1056"/>
      <c r="D27" s="440">
        <v>146.99172713733643673295326326</v>
      </c>
      <c r="E27" s="95">
        <v>173.13037587973849960243054928</v>
      </c>
      <c r="F27" s="441">
        <v>148.78345688817501904101489093</v>
      </c>
      <c r="G27" s="440">
        <v>259.01287553555037904573487213</v>
      </c>
      <c r="H27" s="95">
        <v>163.40090039438520172652522876</v>
      </c>
      <c r="I27" s="441">
        <v>134.82410207582834601990319408</v>
      </c>
      <c r="J27" s="440">
        <v>0</v>
      </c>
      <c r="K27" s="95">
        <v>0</v>
      </c>
      <c r="L27" s="441">
        <v>93.26003596496249239975190183</v>
      </c>
      <c r="M27" s="440">
        <v>152.15775097123465251922231805</v>
      </c>
      <c r="N27" s="95">
        <v>172.87517782375744473470040856</v>
      </c>
      <c r="O27" s="441">
        <v>142.70530072016179798137780103</v>
      </c>
      <c r="P27" s="93"/>
      <c r="Q27" s="421">
        <v>-42.926803106853312663378362060</v>
      </c>
      <c r="R27" s="91">
        <v>-41.701198163795699435638809540</v>
      </c>
      <c r="S27" s="422">
        <v>-33.206162371975650123663247040</v>
      </c>
      <c r="T27" s="421">
        <v>7.8293193759095375901429703100</v>
      </c>
      <c r="U27" s="91">
        <v>-41.486984120242473554280736650</v>
      </c>
      <c r="V27" s="422">
        <v>-33.761142546550843817320972380</v>
      </c>
      <c r="W27" s="421">
        <v>0</v>
      </c>
      <c r="X27" s="91">
        <v>0</v>
      </c>
      <c r="Y27" s="422">
        <v>-26.499823891277754789120731180</v>
      </c>
      <c r="Z27" s="421">
        <v>-40.664839290530697830015380260</v>
      </c>
      <c r="AA27" s="91">
        <v>-41.465357049080349448479470390</v>
      </c>
      <c r="AB27" s="422">
        <v>-32.984993824193767347547412090</v>
      </c>
    </row>
    <row r="28" ht="18" customHeight="1">
      <c r="A28" s="58"/>
      <c r="B28" s="1056" t="s">
        <v>48</v>
      </c>
      <c r="C28" s="1056"/>
      <c r="D28" s="440">
        <v>164.91535120938398507550676998</v>
      </c>
      <c r="E28" s="95">
        <v>196.71029467760931821225195477</v>
      </c>
      <c r="F28" s="441">
        <v>162.02951988522069121021069788</v>
      </c>
      <c r="G28" s="440">
        <v>261.65038611818687475017463489</v>
      </c>
      <c r="H28" s="95">
        <v>165.26752071287328761921515394</v>
      </c>
      <c r="I28" s="441">
        <v>133.57698046259175439580427987</v>
      </c>
      <c r="J28" s="440">
        <v>0</v>
      </c>
      <c r="K28" s="95">
        <v>0</v>
      </c>
      <c r="L28" s="441">
        <v>99.13870037104066856242221285</v>
      </c>
      <c r="M28" s="440">
        <v>169.20409659942943338620633048</v>
      </c>
      <c r="N28" s="95">
        <v>195.93956314393088082208628636</v>
      </c>
      <c r="O28" s="441">
        <v>155.65707937276526937276750208</v>
      </c>
      <c r="P28" s="5"/>
      <c r="Q28" s="421">
        <v>-25.938550934652519496703301780</v>
      </c>
      <c r="R28" s="91">
        <v>-19.299381473667188766023601360</v>
      </c>
      <c r="S28" s="422">
        <v>-21.101184741366636619927040810</v>
      </c>
      <c r="T28" s="421">
        <v>4.2156262045028134449947240800</v>
      </c>
      <c r="U28" s="91">
        <v>-49.404285087615226343907189060</v>
      </c>
      <c r="V28" s="422">
        <v>-36.881849615015218013869392950</v>
      </c>
      <c r="W28" s="421">
        <v>0</v>
      </c>
      <c r="X28" s="91">
        <v>0</v>
      </c>
      <c r="Y28" s="422">
        <v>-24.194711697078620444886793530</v>
      </c>
      <c r="Z28" s="421">
        <v>-24.356995926914996599357906510</v>
      </c>
      <c r="AA28" s="91">
        <v>-22.215827232494751919404538880</v>
      </c>
      <c r="AB28" s="422">
        <v>-22.297076439391839454822362300</v>
      </c>
    </row>
    <row r="29" ht="18" customHeight="1">
      <c r="A29" s="58"/>
      <c r="B29" s="1056" t="s">
        <v>49</v>
      </c>
      <c r="C29" s="1056"/>
      <c r="D29" s="440">
        <v>204.00561363533285627544797905</v>
      </c>
      <c r="E29" s="95">
        <v>217.92798911221745577741751716</v>
      </c>
      <c r="F29" s="441">
        <v>181.25417885527232421005266952</v>
      </c>
      <c r="G29" s="440">
        <v>260.43082923373769863905093936</v>
      </c>
      <c r="H29" s="95">
        <v>194.13881055876267591946043909</v>
      </c>
      <c r="I29" s="441">
        <v>147.44835275978099160589952827</v>
      </c>
      <c r="J29" s="440">
        <v>0</v>
      </c>
      <c r="K29" s="95">
        <v>0</v>
      </c>
      <c r="L29" s="441">
        <v>95.63634435973205890217213931</v>
      </c>
      <c r="M29" s="440">
        <v>206.67519372816061225824209759</v>
      </c>
      <c r="N29" s="95">
        <v>217.2647390042549856616553488</v>
      </c>
      <c r="O29" s="441">
        <v>173.06453106258997981328037796</v>
      </c>
      <c r="P29" s="93"/>
      <c r="Q29" s="421">
        <v>-23.415785003940193476812492110</v>
      </c>
      <c r="R29" s="91">
        <v>-26.358075379606766091357668480</v>
      </c>
      <c r="S29" s="422">
        <v>-19.562519905250182208937355040</v>
      </c>
      <c r="T29" s="421">
        <v>-34.746369106507100054845329090</v>
      </c>
      <c r="U29" s="91">
        <v>-32.555789668678055356010494040</v>
      </c>
      <c r="V29" s="422">
        <v>-32.606457758456848421528218280</v>
      </c>
      <c r="W29" s="421">
        <v>0</v>
      </c>
      <c r="X29" s="91">
        <v>0</v>
      </c>
      <c r="Y29" s="422">
        <v>-23.363258077296842939022776980</v>
      </c>
      <c r="Z29" s="421">
        <v>-22.823567990437102153447259900</v>
      </c>
      <c r="AA29" s="91">
        <v>-26.327614850990515219145839190</v>
      </c>
      <c r="AB29" s="422">
        <v>-20.003757692258405348199813560</v>
      </c>
    </row>
    <row r="30" ht="18" customHeight="1">
      <c r="A30" s="58"/>
      <c r="B30" s="1057" t="s">
        <v>78</v>
      </c>
      <c r="C30" s="1057"/>
      <c r="D30" s="458">
        <v>162.70953875885844152168820086</v>
      </c>
      <c r="E30" s="459">
        <v>182.24219256421952827656011251</v>
      </c>
      <c r="F30" s="460">
        <v>157.64647564370245432574074492</v>
      </c>
      <c r="G30" s="458">
        <v>257.29814083076571349102707073</v>
      </c>
      <c r="H30" s="459">
        <v>175.04426378745177689118913088</v>
      </c>
      <c r="I30" s="460">
        <v>139.62929483302632680670525287</v>
      </c>
      <c r="J30" s="458">
        <v>0</v>
      </c>
      <c r="K30" s="459">
        <v>0</v>
      </c>
      <c r="L30" s="460">
        <v>96.16845956820999621709100066</v>
      </c>
      <c r="M30" s="458">
        <v>166.6757112494406089470237166</v>
      </c>
      <c r="N30" s="459">
        <v>182.04444080774695722870323214</v>
      </c>
      <c r="O30" s="460">
        <v>151.5714177255131493309981772</v>
      </c>
      <c r="P30" s="5"/>
      <c r="Q30" s="431">
        <v>-30.932470256024210655528544630</v>
      </c>
      <c r="R30" s="432">
        <v>-32.773664623519066379365751270</v>
      </c>
      <c r="S30" s="433">
        <v>-25.166907242116417281117244270</v>
      </c>
      <c r="T30" s="431">
        <v>15.441186858575216905806554770</v>
      </c>
      <c r="U30" s="432">
        <v>-35.229027225944271846743097590</v>
      </c>
      <c r="V30" s="433">
        <v>-33.669207850077811839656810200</v>
      </c>
      <c r="W30" s="431">
        <v>0</v>
      </c>
      <c r="X30" s="432">
        <v>0</v>
      </c>
      <c r="Y30" s="433">
        <v>-23.466261526824264098084442370</v>
      </c>
      <c r="Z30" s="431">
        <v>-29.095057133076800886484220060</v>
      </c>
      <c r="AA30" s="432">
        <v>-32.826237718606230937226574590</v>
      </c>
      <c r="AB30" s="433">
        <v>-25.632651530391985420867555370</v>
      </c>
    </row>
    <row r="31" ht="6" customHeight="1">
      <c r="A31" s="58"/>
      <c r="B31" s="632"/>
      <c r="C31" s="632"/>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58" t="s">
        <v>50</v>
      </c>
      <c r="C32" s="1058"/>
      <c r="D32" s="494">
        <v>160.05652300148805602797318279</v>
      </c>
      <c r="E32" s="495">
        <v>162.70315958666629226119435426</v>
      </c>
      <c r="F32" s="496">
        <v>138.3610725570676154496443902</v>
      </c>
      <c r="G32" s="494">
        <v>250.3619257001449140521701824</v>
      </c>
      <c r="H32" s="495">
        <v>240.49654165696875138514261022</v>
      </c>
      <c r="I32" s="496">
        <v>148.44199640321109323261404346</v>
      </c>
      <c r="J32" s="494">
        <v>0</v>
      </c>
      <c r="K32" s="495">
        <v>0</v>
      </c>
      <c r="L32" s="496">
        <v>94.36337825283391025870160534</v>
      </c>
      <c r="M32" s="494">
        <v>162.41045529932034379637642212</v>
      </c>
      <c r="N32" s="495">
        <v>165.33201814362128402772790977</v>
      </c>
      <c r="O32" s="496">
        <v>134.87694305663041790082866906</v>
      </c>
      <c r="P32" s="93"/>
      <c r="Q32" s="480">
        <v>-47.006152146425109883252665490</v>
      </c>
      <c r="R32" s="481">
        <v>-52.558512591402179449176924080</v>
      </c>
      <c r="S32" s="482">
        <v>-42.706827731787426755520962070</v>
      </c>
      <c r="T32" s="480">
        <v>7.3688536629753519696021538400</v>
      </c>
      <c r="U32" s="481">
        <v>-7.5512262003895785426428805400</v>
      </c>
      <c r="V32" s="482">
        <v>-37.204241513971647286742247600</v>
      </c>
      <c r="W32" s="480">
        <v>0</v>
      </c>
      <c r="X32" s="481">
        <v>0</v>
      </c>
      <c r="Y32" s="482">
        <v>-24.912502392383345935896875260</v>
      </c>
      <c r="Z32" s="480">
        <v>-45.774872431385509641120387510</v>
      </c>
      <c r="AA32" s="481">
        <v>-50.587082166193938873405252470</v>
      </c>
      <c r="AB32" s="482">
        <v>-41.967158213085086579075267290</v>
      </c>
    </row>
    <row r="33" ht="18" customHeight="1">
      <c r="A33" s="58"/>
      <c r="B33" s="1059" t="s">
        <v>51</v>
      </c>
      <c r="C33" s="1059"/>
      <c r="D33" s="277">
        <v>159.02883495862469783521051639</v>
      </c>
      <c r="E33" s="94">
        <v>168.98474242318806790092381571</v>
      </c>
      <c r="F33" s="278">
        <v>144.20576796859417064190748594</v>
      </c>
      <c r="G33" s="277">
        <v>251.35974496923969450672593241</v>
      </c>
      <c r="H33" s="94">
        <v>226.48347480262192496755268055</v>
      </c>
      <c r="I33" s="278">
        <v>139.91758384420411204403693571</v>
      </c>
      <c r="J33" s="277">
        <v>0</v>
      </c>
      <c r="K33" s="94">
        <v>0</v>
      </c>
      <c r="L33" s="278">
        <v>96.39671033255863010464485949</v>
      </c>
      <c r="M33" s="277">
        <v>161.23674802409592601648588503</v>
      </c>
      <c r="N33" s="94">
        <v>170.58396329918488803843649839</v>
      </c>
      <c r="O33" s="278">
        <v>140.43725010836529535217915988</v>
      </c>
      <c r="P33" s="5"/>
      <c r="Q33" s="272">
        <v>-45.346457117300633064313345780</v>
      </c>
      <c r="R33" s="92">
        <v>-51.218926921976217303900414600</v>
      </c>
      <c r="S33" s="273">
        <v>-38.653117435325603633688351370</v>
      </c>
      <c r="T33" s="272">
        <v>35.346481601394358630184867620</v>
      </c>
      <c r="U33" s="92">
        <v>-5.7054204337663895623697595900</v>
      </c>
      <c r="V33" s="273">
        <v>-41.996617249283637639299521620</v>
      </c>
      <c r="W33" s="272">
        <v>0</v>
      </c>
      <c r="X33" s="92">
        <v>0</v>
      </c>
      <c r="Y33" s="273">
        <v>-26.672004651998637872826533490</v>
      </c>
      <c r="Z33" s="272">
        <v>-43.446397046314727393154086590</v>
      </c>
      <c r="AA33" s="92">
        <v>-49.367424226559135274763941760</v>
      </c>
      <c r="AB33" s="273">
        <v>-38.382231986659291931067243870</v>
      </c>
    </row>
    <row r="34" ht="18" customHeight="1">
      <c r="A34" s="58"/>
      <c r="B34" s="1060" t="s">
        <v>79</v>
      </c>
      <c r="C34" s="1060"/>
      <c r="D34" s="444">
        <v>159.51997424422567483198430231</v>
      </c>
      <c r="E34" s="445">
        <v>166.1312758326772020350226653</v>
      </c>
      <c r="F34" s="446">
        <v>141.45440270219418769842973605</v>
      </c>
      <c r="G34" s="444">
        <v>250.86083533469230427944805742</v>
      </c>
      <c r="H34" s="445">
        <v>233.55107969351723316674382074</v>
      </c>
      <c r="I34" s="446">
        <v>144.68285913856891720897419207</v>
      </c>
      <c r="J34" s="444">
        <v>0</v>
      </c>
      <c r="K34" s="445">
        <v>0</v>
      </c>
      <c r="L34" s="446">
        <v>95.36842797093376480517988276</v>
      </c>
      <c r="M34" s="634">
        <v>161.79831771813754087262398782</v>
      </c>
      <c r="N34" s="635">
        <v>168.19018382554462007759968422</v>
      </c>
      <c r="O34" s="636">
        <v>137.7906337807929680897118546</v>
      </c>
      <c r="P34" s="93"/>
      <c r="Q34" s="274">
        <v>-46.189454961322512256187758900</v>
      </c>
      <c r="R34" s="275">
        <v>-51.806799201635054955026857890</v>
      </c>
      <c r="S34" s="276">
        <v>-40.624670726418311775180033550</v>
      </c>
      <c r="T34" s="274">
        <v>22.938491709088674617253965730</v>
      </c>
      <c r="U34" s="275">
        <v>-6.8143149546242870992241007400</v>
      </c>
      <c r="V34" s="276">
        <v>-39.359814173403681893779816810</v>
      </c>
      <c r="W34" s="274">
        <v>0</v>
      </c>
      <c r="X34" s="275">
        <v>0</v>
      </c>
      <c r="Y34" s="276">
        <v>-25.849548645096894191969809610</v>
      </c>
      <c r="Z34" s="274">
        <v>-44.620651830130648816473525630</v>
      </c>
      <c r="AA34" s="275">
        <v>-49.908327035585987992957332830</v>
      </c>
      <c r="AB34" s="276">
        <v>-40.132851044372050820461030510</v>
      </c>
    </row>
    <row r="35" ht="6" customHeight="1">
      <c r="A35" s="58"/>
      <c r="B35" s="632"/>
      <c r="C35" s="632"/>
      <c r="D35" s="95"/>
      <c r="E35" s="95"/>
      <c r="F35" s="95"/>
      <c r="G35" s="95"/>
      <c r="H35" s="95"/>
      <c r="I35" s="95"/>
      <c r="J35" s="95"/>
      <c r="K35" s="95"/>
      <c r="L35" s="95"/>
      <c r="M35" s="637"/>
      <c r="N35" s="637"/>
      <c r="O35" s="637"/>
      <c r="P35" s="93"/>
      <c r="Q35" s="91"/>
      <c r="R35" s="91"/>
      <c r="S35" s="91"/>
      <c r="T35" s="91"/>
      <c r="U35" s="91"/>
      <c r="V35" s="91"/>
      <c r="W35" s="91"/>
      <c r="X35" s="91"/>
      <c r="Y35" s="91"/>
      <c r="Z35" s="91"/>
      <c r="AA35" s="91"/>
      <c r="AB35" s="91"/>
    </row>
    <row r="36" ht="18" customHeight="1">
      <c r="A36" s="58"/>
      <c r="B36" s="997" t="s">
        <v>12</v>
      </c>
      <c r="C36" s="997"/>
      <c r="D36" s="483">
        <v>161.70017699115044247787610619</v>
      </c>
      <c r="E36" s="484">
        <v>177.22935497124075595727198029</v>
      </c>
      <c r="F36" s="485">
        <v>152.80384823873466678040346646</v>
      </c>
      <c r="G36" s="483">
        <v>256.99074074074074074074074074</v>
      </c>
      <c r="H36" s="484">
        <v>204.65400843881856540084388187</v>
      </c>
      <c r="I36" s="485">
        <v>141.92170600055404671611528985</v>
      </c>
      <c r="J36" s="483">
        <v>0</v>
      </c>
      <c r="K36" s="484">
        <v>0</v>
      </c>
      <c r="L36" s="485">
        <v>96.23548092331935005417239632</v>
      </c>
      <c r="M36" s="483">
        <v>165.20900102284350494374360723</v>
      </c>
      <c r="N36" s="484">
        <v>177.88107891306527624586383236</v>
      </c>
      <c r="O36" s="485">
        <v>147.50848958230861549963602023</v>
      </c>
      <c r="P36" s="93"/>
      <c r="Q36" s="469">
        <v>-36.019318152038167721228610020</v>
      </c>
      <c r="R36" s="470">
        <v>-39.082052203693768725316232930</v>
      </c>
      <c r="S36" s="471">
        <v>-30.385025943657047250403897840</v>
      </c>
      <c r="T36" s="469">
        <v>25.333546803287437293200981960</v>
      </c>
      <c r="U36" s="470">
        <v>-23.660025759639532830097220550</v>
      </c>
      <c r="V36" s="471">
        <v>-32.830068621745770183266451140</v>
      </c>
      <c r="W36" s="469">
        <v>0</v>
      </c>
      <c r="X36" s="470">
        <v>0</v>
      </c>
      <c r="Y36" s="471">
        <v>-24.055173536777309061174139150</v>
      </c>
      <c r="Z36" s="469">
        <v>-34.081338107849556950305522910</v>
      </c>
      <c r="AA36" s="470">
        <v>-38.411044588650983527390009660</v>
      </c>
      <c r="AB36" s="471">
        <v>-30.171552624511970030498361300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0" t="s">
        <v>10</v>
      </c>
      <c r="C38" s="1050"/>
      <c r="D38" s="1050"/>
      <c r="E38" s="1050"/>
      <c r="F38" s="1050"/>
      <c r="G38" s="1050"/>
      <c r="H38" s="1050"/>
      <c r="I38" s="1050"/>
      <c r="J38" s="1050"/>
      <c r="K38" s="1050"/>
      <c r="L38" s="1050"/>
      <c r="M38" s="1050"/>
      <c r="N38" s="1050"/>
      <c r="O38" s="1050"/>
      <c r="P38" s="412"/>
      <c r="Q38" s="1051"/>
      <c r="R38" s="1051"/>
      <c r="S38" s="1051"/>
      <c r="T38" s="1051"/>
      <c r="U38" s="1051"/>
      <c r="V38" s="1051"/>
      <c r="W38" s="1051"/>
      <c r="X38" s="1051"/>
      <c r="Y38" s="1051"/>
      <c r="Z38" s="1051"/>
      <c r="AA38" s="1051"/>
      <c r="AB38" s="1051"/>
      <c r="AC38" s="9"/>
    </row>
    <row r="39" ht="18" customHeight="1">
      <c r="A39" s="58"/>
      <c r="B39" s="1055" t="s">
        <v>43</v>
      </c>
      <c r="C39" s="1055"/>
      <c r="D39" s="455">
        <v>105.24914498805986336282845689</v>
      </c>
      <c r="E39" s="456">
        <v>105.49014006080232075384119203</v>
      </c>
      <c r="F39" s="457">
        <v>58.270498065030284557469537554</v>
      </c>
      <c r="G39" s="455">
        <v>6.2023538658505103254772232653</v>
      </c>
      <c r="H39" s="456">
        <v>4.9780216196776470838742112261</v>
      </c>
      <c r="I39" s="457">
        <v>0.917573964611504786295686425</v>
      </c>
      <c r="J39" s="455">
        <v>0</v>
      </c>
      <c r="K39" s="456">
        <v>0</v>
      </c>
      <c r="L39" s="457">
        <v>4.111394326289015106011329168</v>
      </c>
      <c r="M39" s="455">
        <v>111.45149885391037368830568015</v>
      </c>
      <c r="N39" s="456">
        <v>110.46816168047996783771540325</v>
      </c>
      <c r="O39" s="457">
        <v>63.299466355930804449776553146</v>
      </c>
      <c r="P39" s="5"/>
      <c r="Q39" s="428">
        <v>-37.328463986935389575670401180</v>
      </c>
      <c r="R39" s="429">
        <v>-47.099043568485489784962014550</v>
      </c>
      <c r="S39" s="430">
        <v>-54.702557698818382767578876050</v>
      </c>
      <c r="T39" s="428">
        <v>33.142019721770632512266070420</v>
      </c>
      <c r="U39" s="429">
        <v>-69.523455978922716525153612120</v>
      </c>
      <c r="V39" s="430">
        <v>-93.89298897582339899949013551</v>
      </c>
      <c r="W39" s="428">
        <v>0</v>
      </c>
      <c r="X39" s="429">
        <v>0</v>
      </c>
      <c r="Y39" s="430">
        <v>-47.906289653824198522915633830</v>
      </c>
      <c r="Z39" s="428">
        <v>-35.426433324358776914631366570</v>
      </c>
      <c r="AA39" s="429">
        <v>-48.796787609577801705147700180</v>
      </c>
      <c r="AB39" s="430">
        <v>-58.233871787981353505317902980</v>
      </c>
    </row>
    <row r="40" ht="18" customHeight="1">
      <c r="A40" s="58"/>
      <c r="B40" s="1056" t="s">
        <v>46</v>
      </c>
      <c r="C40" s="1056"/>
      <c r="D40" s="440">
        <v>98.52898339544425863479768106</v>
      </c>
      <c r="E40" s="95">
        <v>99.95673734935888049547425765</v>
      </c>
      <c r="F40" s="441">
        <v>54.823970215108672294574281196</v>
      </c>
      <c r="G40" s="440">
        <v>6.6143322761964613464869839833</v>
      </c>
      <c r="H40" s="95">
        <v>1.9215638976530796789658437305</v>
      </c>
      <c r="I40" s="441">
        <v>0.6195631292157341500469735037</v>
      </c>
      <c r="J40" s="440">
        <v>0</v>
      </c>
      <c r="K40" s="95">
        <v>0</v>
      </c>
      <c r="L40" s="441">
        <v>3.7924367131239268908912524619</v>
      </c>
      <c r="M40" s="440">
        <v>105.14331567164071998128466505</v>
      </c>
      <c r="N40" s="95">
        <v>101.87830124701196017444010138</v>
      </c>
      <c r="O40" s="441">
        <v>59.235970057448333335512507159</v>
      </c>
      <c r="P40" s="5"/>
      <c r="Q40" s="421">
        <v>-44.339584232272048756772694730</v>
      </c>
      <c r="R40" s="91">
        <v>-47.485144299856476293735389280</v>
      </c>
      <c r="S40" s="422">
        <v>-56.968563288006268387966490030</v>
      </c>
      <c r="T40" s="421">
        <v>-20.564547091213918117637470860</v>
      </c>
      <c r="U40" s="91">
        <v>-89.06870187316800001621303457</v>
      </c>
      <c r="V40" s="422">
        <v>-96.16930263838754109312474984</v>
      </c>
      <c r="W40" s="421">
        <v>0</v>
      </c>
      <c r="X40" s="91">
        <v>0</v>
      </c>
      <c r="Y40" s="422">
        <v>-50.653219204013517152189215580</v>
      </c>
      <c r="Z40" s="421">
        <v>-43.271482543243206904946214760</v>
      </c>
      <c r="AA40" s="91">
        <v>-51.000842987855826762090528990</v>
      </c>
      <c r="AB40" s="422">
        <v>-60.839185634883691095228193990</v>
      </c>
    </row>
    <row r="41" ht="18" customHeight="1">
      <c r="A41" s="58"/>
      <c r="B41" s="1056" t="s">
        <v>47</v>
      </c>
      <c r="C41" s="1056"/>
      <c r="D41" s="440">
        <v>87.52689206814124187280398866</v>
      </c>
      <c r="E41" s="95">
        <v>97.66310348229130866548980396</v>
      </c>
      <c r="F41" s="441">
        <v>52.800265032227964854481840988</v>
      </c>
      <c r="G41" s="440">
        <v>7.4564312654173593967711554231</v>
      </c>
      <c r="H41" s="95">
        <v>2.4828069837280143920033106126</v>
      </c>
      <c r="I41" s="441">
        <v>0.9983163521435429772372051308</v>
      </c>
      <c r="J41" s="440">
        <v>0</v>
      </c>
      <c r="K41" s="95">
        <v>0</v>
      </c>
      <c r="L41" s="441">
        <v>3.9583363516904366976795954276</v>
      </c>
      <c r="M41" s="440">
        <v>94.98332333355860126957514409</v>
      </c>
      <c r="N41" s="95">
        <v>100.14591046601932305749311458</v>
      </c>
      <c r="O41" s="441">
        <v>57.756917736061944529398641547</v>
      </c>
      <c r="P41" s="93"/>
      <c r="Q41" s="421">
        <v>-56.131322498670480188548016050</v>
      </c>
      <c r="R41" s="91">
        <v>-57.437639425916388516335493600</v>
      </c>
      <c r="S41" s="422">
        <v>-63.868525167458511080393113400</v>
      </c>
      <c r="T41" s="421">
        <v>-41.497676832633199679418804200</v>
      </c>
      <c r="U41" s="91">
        <v>-88.66418222560936097347544251</v>
      </c>
      <c r="V41" s="422">
        <v>-94.78685951438330575917715883</v>
      </c>
      <c r="W41" s="421">
        <v>0</v>
      </c>
      <c r="X41" s="91">
        <v>0</v>
      </c>
      <c r="Y41" s="422">
        <v>-51.606128384670346260724759740</v>
      </c>
      <c r="Z41" s="421">
        <v>-55.252643050306856314230401670</v>
      </c>
      <c r="AA41" s="91">
        <v>-60.158559707210077209033589020</v>
      </c>
      <c r="AB41" s="422">
        <v>-66.703633877364581859358029150</v>
      </c>
    </row>
    <row r="42" ht="18" customHeight="1">
      <c r="A42" s="58"/>
      <c r="B42" s="1056" t="s">
        <v>48</v>
      </c>
      <c r="C42" s="1056"/>
      <c r="D42" s="440">
        <v>96.95023677157725183226761639</v>
      </c>
      <c r="E42" s="95">
        <v>111.95481835602514747397178474</v>
      </c>
      <c r="F42" s="441">
        <v>63.623069544772846362920639962</v>
      </c>
      <c r="G42" s="440">
        <v>7.135919621405096584095671866</v>
      </c>
      <c r="H42" s="95">
        <v>2.3635437432703436557671707475</v>
      </c>
      <c r="I42" s="441">
        <v>1.0452481236169370375937087253</v>
      </c>
      <c r="J42" s="440">
        <v>0</v>
      </c>
      <c r="K42" s="95">
        <v>0</v>
      </c>
      <c r="L42" s="441">
        <v>4.0860740135513893767071943192</v>
      </c>
      <c r="M42" s="440">
        <v>104.08615639298234841636328825</v>
      </c>
      <c r="N42" s="95">
        <v>114.31836209929549112973895549</v>
      </c>
      <c r="O42" s="441">
        <v>68.75439168194117277722154301</v>
      </c>
      <c r="P42" s="5"/>
      <c r="Q42" s="421">
        <v>-43.270417620372689137813389350</v>
      </c>
      <c r="R42" s="91">
        <v>-38.643773533944867002352681860</v>
      </c>
      <c r="S42" s="422">
        <v>-50.350250856831261832216246980</v>
      </c>
      <c r="T42" s="421">
        <v>-0.010414626263424028763282900</v>
      </c>
      <c r="U42" s="91">
        <v>-91.13365495918015110548619297</v>
      </c>
      <c r="V42" s="422">
        <v>-96.01557536408933747637810348</v>
      </c>
      <c r="W42" s="421">
        <v>0</v>
      </c>
      <c r="X42" s="91">
        <v>0</v>
      </c>
      <c r="Y42" s="422">
        <v>-52.211960724204417377091618760</v>
      </c>
      <c r="Z42" s="421">
        <v>-41.536314395714227156471307980</v>
      </c>
      <c r="AA42" s="91">
        <v>-45.334756186477013343893339510</v>
      </c>
      <c r="AB42" s="422">
        <v>-57.800635316995435992797779730</v>
      </c>
    </row>
    <row r="43" ht="18" customHeight="1">
      <c r="A43" s="58"/>
      <c r="B43" s="1056" t="s">
        <v>49</v>
      </c>
      <c r="C43" s="1056"/>
      <c r="D43" s="440">
        <v>136.93104066735220504549008299</v>
      </c>
      <c r="E43" s="95">
        <v>137.98895654996981821315726515</v>
      </c>
      <c r="F43" s="441">
        <v>80.34493669347999271201996504</v>
      </c>
      <c r="G43" s="440">
        <v>8.681027641124589954635031319</v>
      </c>
      <c r="H43" s="95">
        <v>3.5255090623254581619085170212</v>
      </c>
      <c r="I43" s="441">
        <v>1.8662939535550105260036407185</v>
      </c>
      <c r="J43" s="440">
        <v>0</v>
      </c>
      <c r="K43" s="95">
        <v>0</v>
      </c>
      <c r="L43" s="441">
        <v>4.0834601857007827582946985017</v>
      </c>
      <c r="M43" s="440">
        <v>145.6120683084767950001251143</v>
      </c>
      <c r="N43" s="95">
        <v>141.51446561229527637506578218</v>
      </c>
      <c r="O43" s="441">
        <v>86.29469083273578599631830426</v>
      </c>
      <c r="P43" s="93"/>
      <c r="Q43" s="421">
        <v>-41.539074047268884573652547420</v>
      </c>
      <c r="R43" s="91">
        <v>-40.829974914989691319125448960</v>
      </c>
      <c r="S43" s="422">
        <v>-45.818709055232861265842993660</v>
      </c>
      <c r="T43" s="421">
        <v>129.56096279344789445956599400</v>
      </c>
      <c r="U43" s="91">
        <v>-89.27689673366317003922406336</v>
      </c>
      <c r="V43" s="422">
        <v>-93.50787556671704700179324710</v>
      </c>
      <c r="W43" s="421">
        <v>0</v>
      </c>
      <c r="X43" s="91">
        <v>0</v>
      </c>
      <c r="Y43" s="422">
        <v>-51.997060889269352885819486710</v>
      </c>
      <c r="Z43" s="421">
        <v>-38.820561639177090222042033260</v>
      </c>
      <c r="AA43" s="91">
        <v>-46.816113545236008288121111540</v>
      </c>
      <c r="AB43" s="422">
        <v>-53.490684779686819469482624490</v>
      </c>
    </row>
    <row r="44" ht="18" customHeight="1">
      <c r="A44" s="58"/>
      <c r="B44" s="1057" t="s">
        <v>78</v>
      </c>
      <c r="C44" s="1057"/>
      <c r="D44" s="458">
        <v>105.31101569866826007579621704</v>
      </c>
      <c r="E44" s="459">
        <v>111.2966044166120076852328725</v>
      </c>
      <c r="F44" s="460">
        <v>62.444314324911297698055978489</v>
      </c>
      <c r="G44" s="458">
        <v>7.2884190090401354941463531309</v>
      </c>
      <c r="H44" s="459">
        <v>3.0198974354757386130328352919</v>
      </c>
      <c r="I44" s="460">
        <v>1.1172974139950612369366701128</v>
      </c>
      <c r="J44" s="458">
        <v>0</v>
      </c>
      <c r="K44" s="459">
        <v>0</v>
      </c>
      <c r="L44" s="460">
        <v>4.0110729092332527022181638167</v>
      </c>
      <c r="M44" s="458">
        <v>112.59943470770839556994257016</v>
      </c>
      <c r="N44" s="459">
        <v>114.31650185208774629826570778</v>
      </c>
      <c r="O44" s="460">
        <v>67.572684648139611637210812418</v>
      </c>
      <c r="P44" s="5"/>
      <c r="Q44" s="431">
        <v>-44.227052147467532378715363140</v>
      </c>
      <c r="R44" s="432">
        <v>-46.208045871941614766168078490</v>
      </c>
      <c r="S44" s="433">
        <v>-53.917422509474900095200660300</v>
      </c>
      <c r="T44" s="431">
        <v>-2.7230927244383398837272236400</v>
      </c>
      <c r="U44" s="432">
        <v>-86.57083138051739624576424418</v>
      </c>
      <c r="V44" s="433">
        <v>-94.55166851937621121540974587</v>
      </c>
      <c r="W44" s="431">
        <v>0</v>
      </c>
      <c r="X44" s="432">
        <v>0</v>
      </c>
      <c r="Y44" s="433">
        <v>-50.669479847486948499289730120</v>
      </c>
      <c r="Z44" s="431">
        <v>-42.643023066805966980725595690</v>
      </c>
      <c r="AA44" s="432">
        <v>-50.164904761427481873654988050</v>
      </c>
      <c r="AB44" s="433">
        <v>-58.833144552932827488699063560</v>
      </c>
    </row>
    <row r="45" ht="6" customHeight="1">
      <c r="A45" s="58"/>
      <c r="B45" s="632"/>
      <c r="C45" s="632"/>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58" t="s">
        <v>50</v>
      </c>
      <c r="C46" s="1058"/>
      <c r="D46" s="494">
        <v>124.58945256365831633995639803</v>
      </c>
      <c r="E46" s="495">
        <v>111.1500902918098164814582987</v>
      </c>
      <c r="F46" s="496">
        <v>62.232118541602138521058849008</v>
      </c>
      <c r="G46" s="494">
        <v>5.215873452086352376086878801</v>
      </c>
      <c r="H46" s="495">
        <v>5.746150279715377090941455426</v>
      </c>
      <c r="I46" s="496">
        <v>2.4099409120613005202033138468</v>
      </c>
      <c r="J46" s="494">
        <v>0</v>
      </c>
      <c r="K46" s="495">
        <v>0</v>
      </c>
      <c r="L46" s="496">
        <v>4.162991902251883672255318799</v>
      </c>
      <c r="M46" s="494">
        <v>129.80532601574466871604327683</v>
      </c>
      <c r="N46" s="495">
        <v>116.89624057152519357239975412</v>
      </c>
      <c r="O46" s="496">
        <v>68.805051355915322713517481652</v>
      </c>
      <c r="P46" s="93"/>
      <c r="Q46" s="480">
        <v>-51.410776976317795862564481040</v>
      </c>
      <c r="R46" s="481">
        <v>-60.427565538180464169465975410</v>
      </c>
      <c r="S46" s="482">
        <v>-64.643658347698594470083141810</v>
      </c>
      <c r="T46" s="480">
        <v>-30.565906145842270908745593380</v>
      </c>
      <c r="U46" s="481">
        <v>-75.988438501979907010161377200</v>
      </c>
      <c r="V46" s="482">
        <v>-90.91967504108834138154732970</v>
      </c>
      <c r="W46" s="480">
        <v>0</v>
      </c>
      <c r="X46" s="481">
        <v>0</v>
      </c>
      <c r="Y46" s="482">
        <v>-49.953074901642192653164558750</v>
      </c>
      <c r="Z46" s="480">
        <v>-50.817480536451852389669653180</v>
      </c>
      <c r="AA46" s="481">
        <v>-61.649263087295391372597541800</v>
      </c>
      <c r="AB46" s="482">
        <v>-67.371246390333379859357409370</v>
      </c>
    </row>
    <row r="47" ht="18" customHeight="1">
      <c r="A47" s="58"/>
      <c r="B47" s="1059" t="s">
        <v>51</v>
      </c>
      <c r="C47" s="1059"/>
      <c r="D47" s="277">
        <v>135.23474790989107827274530675</v>
      </c>
      <c r="E47" s="94">
        <v>138.68965742058465945986372498</v>
      </c>
      <c r="F47" s="278">
        <v>72.922461693654613341169124025</v>
      </c>
      <c r="G47" s="277">
        <v>5.2366613535258269688901236</v>
      </c>
      <c r="H47" s="94">
        <v>5.3178188428576554421496958721</v>
      </c>
      <c r="I47" s="278">
        <v>1.7919343466629727856377535478</v>
      </c>
      <c r="J47" s="277">
        <v>0</v>
      </c>
      <c r="K47" s="94">
        <v>0</v>
      </c>
      <c r="L47" s="278">
        <v>4.1566117287737935634076481617</v>
      </c>
      <c r="M47" s="277">
        <v>140.47140926341690524163543035</v>
      </c>
      <c r="N47" s="94">
        <v>144.00747626344231490201342084</v>
      </c>
      <c r="O47" s="278">
        <v>78.871007769091379690214525732</v>
      </c>
      <c r="P47" s="5"/>
      <c r="Q47" s="272">
        <v>-46.334009055791836302747014600</v>
      </c>
      <c r="R47" s="92">
        <v>-53.018254162638505143736047750</v>
      </c>
      <c r="S47" s="273">
        <v>-58.578763645150162242333911550</v>
      </c>
      <c r="T47" s="272">
        <v>-44.890485683679025854739647850</v>
      </c>
      <c r="U47" s="92">
        <v>-73.57354002986981285472197400</v>
      </c>
      <c r="V47" s="273">
        <v>-92.10167900100589532012046424</v>
      </c>
      <c r="W47" s="272">
        <v>0</v>
      </c>
      <c r="X47" s="92">
        <v>0</v>
      </c>
      <c r="Y47" s="273">
        <v>-53.831411247138552126386951220</v>
      </c>
      <c r="Z47" s="272">
        <v>-46.281554015239177309344424390</v>
      </c>
      <c r="AA47" s="92">
        <v>-54.330042124873739573205827110</v>
      </c>
      <c r="AB47" s="273">
        <v>-62.034073034767294184320467320</v>
      </c>
    </row>
    <row r="48" ht="18" customHeight="1">
      <c r="A48" s="58"/>
      <c r="B48" s="1060" t="s">
        <v>79</v>
      </c>
      <c r="C48" s="1060"/>
      <c r="D48" s="444">
        <v>129.91210023677469730635085238</v>
      </c>
      <c r="E48" s="445">
        <v>124.91987385619723797066101184</v>
      </c>
      <c r="F48" s="446">
        <v>67.577290117628375931113986513</v>
      </c>
      <c r="G48" s="444">
        <v>5.2262674028060896724885012002</v>
      </c>
      <c r="H48" s="445">
        <v>5.5319845612865162665455756491</v>
      </c>
      <c r="I48" s="446">
        <v>2.1009376293621366529205336971</v>
      </c>
      <c r="J48" s="444">
        <v>0</v>
      </c>
      <c r="K48" s="445">
        <v>0</v>
      </c>
      <c r="L48" s="446">
        <v>4.1598018155128386178314834803</v>
      </c>
      <c r="M48" s="444">
        <v>135.13836763958078697883935359</v>
      </c>
      <c r="N48" s="445">
        <v>130.45185841748375423720658748</v>
      </c>
      <c r="O48" s="446">
        <v>73.838029562503351201866003691</v>
      </c>
      <c r="P48" s="93"/>
      <c r="Q48" s="274">
        <v>-48.894463121997582936163570550</v>
      </c>
      <c r="R48" s="275">
        <v>-56.630810825379167043781263560</v>
      </c>
      <c r="S48" s="276">
        <v>-61.610893296099922321221744200</v>
      </c>
      <c r="T48" s="274">
        <v>-38.566030613664870345495615110</v>
      </c>
      <c r="U48" s="275">
        <v>-74.885352011814747391970508250</v>
      </c>
      <c r="V48" s="276">
        <v>-91.46442342765566268880000618</v>
      </c>
      <c r="W48" s="274">
        <v>0</v>
      </c>
      <c r="X48" s="275">
        <v>0</v>
      </c>
      <c r="Y48" s="276">
        <v>-51.968923958666352764271559380</v>
      </c>
      <c r="Z48" s="274">
        <v>-48.560006575243391124720749490</v>
      </c>
      <c r="AA48" s="275">
        <v>-57.927607026685986579042055670</v>
      </c>
      <c r="AB48" s="276">
        <v>-64.722618560329555022616417550</v>
      </c>
    </row>
    <row r="49" ht="6" customHeight="1">
      <c r="A49" s="58"/>
      <c r="B49" s="632"/>
      <c r="C49" s="632"/>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7" t="s">
        <v>12</v>
      </c>
      <c r="C50" s="997"/>
      <c r="D50" s="483">
        <v>111.63318670576735092864125122</v>
      </c>
      <c r="E50" s="484">
        <v>115.24110064783276564482735591</v>
      </c>
      <c r="F50" s="485">
        <v>63.773285818156781835908533354</v>
      </c>
      <c r="G50" s="483">
        <v>6.7827468230694037145650048876</v>
      </c>
      <c r="H50" s="484">
        <v>3.239364188873305282842449743</v>
      </c>
      <c r="I50" s="485">
        <v>1.3693662512461703939322888238</v>
      </c>
      <c r="J50" s="483">
        <v>0</v>
      </c>
      <c r="K50" s="484">
        <v>0</v>
      </c>
      <c r="L50" s="485">
        <v>4.0468957824434309079261685559</v>
      </c>
      <c r="M50" s="483">
        <v>118.41593352883675464320625611</v>
      </c>
      <c r="N50" s="484">
        <v>118.48046483670607092766980565</v>
      </c>
      <c r="O50" s="485">
        <v>69.189547851846383137766990739</v>
      </c>
      <c r="P50" s="93"/>
      <c r="Q50" s="469">
        <v>-45.738389006156656803503699580</v>
      </c>
      <c r="R50" s="470">
        <v>-49.620747121373453987917861450</v>
      </c>
      <c r="S50" s="471">
        <v>-56.734594184628802927716204010</v>
      </c>
      <c r="T50" s="469">
        <v>-12.103746397694524495677233430</v>
      </c>
      <c r="U50" s="470">
        <v>-84.90646987653899666058842145</v>
      </c>
      <c r="V50" s="471">
        <v>-93.18121110010453929431999806</v>
      </c>
      <c r="W50" s="469">
        <v>0</v>
      </c>
      <c r="X50" s="470">
        <v>0</v>
      </c>
      <c r="Y50" s="471">
        <v>-51.336665399596122555582794640</v>
      </c>
      <c r="Z50" s="469">
        <v>-44.522400192345122104805193320</v>
      </c>
      <c r="AA50" s="470">
        <v>-52.647415940847649206928501590</v>
      </c>
      <c r="AB50" s="471">
        <v>-60.642705855375201262785084730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61" t="s">
        <v>129</v>
      </c>
      <c r="C52" s="1061"/>
      <c r="D52" s="1061"/>
      <c r="E52" s="1061"/>
      <c r="F52" s="1061"/>
      <c r="G52" s="1061"/>
      <c r="H52" s="1061"/>
      <c r="I52" s="1061"/>
      <c r="J52" s="1061"/>
      <c r="K52" s="1061"/>
      <c r="L52" s="1061"/>
      <c r="M52" s="1061"/>
      <c r="N52" s="1061"/>
      <c r="O52" s="1061"/>
      <c r="P52" s="1061"/>
      <c r="Q52" s="1061"/>
      <c r="R52" s="1061"/>
      <c r="S52" s="1061"/>
      <c r="T52" s="1061"/>
      <c r="U52" s="1061"/>
      <c r="V52" s="1061"/>
      <c r="W52" s="1061"/>
      <c r="X52" s="1061"/>
      <c r="Y52" s="1061"/>
      <c r="Z52" s="1061"/>
      <c r="AA52" s="1061"/>
      <c r="AB52" s="1061"/>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9"/>
      <c r="B1" s="657" t="s">
        <v>194</v>
      </c>
      <c r="Y1" s="5"/>
      <c r="AB1" s="686"/>
      <c r="AD1" s="236"/>
    </row>
    <row r="2" ht="15" customHeight="1">
      <c r="A2" s="11"/>
      <c r="B2" s="11" t="s">
        <v>211</v>
      </c>
    </row>
    <row r="3" ht="17.1" customHeight="1">
      <c r="A3" s="11"/>
      <c r="B3" s="11" t="s">
        <v>212</v>
      </c>
      <c r="R3" s="1053" t="s">
        <v>298</v>
      </c>
      <c r="S3" s="1053"/>
      <c r="T3" s="1053"/>
      <c r="U3" s="1053"/>
      <c r="V3" s="1053"/>
      <c r="W3" s="1053"/>
      <c r="X3" s="1053"/>
      <c r="Y3" s="1053"/>
      <c r="Z3" s="1053"/>
      <c r="AA3" s="1053"/>
      <c r="AB3" s="1053"/>
    </row>
    <row r="4" ht="19.5" customHeight="1">
      <c r="A4" s="4"/>
      <c r="B4" s="211" t="s">
        <v>213</v>
      </c>
      <c r="C4" s="5"/>
      <c r="D4" s="5"/>
      <c r="E4" s="5"/>
      <c r="F4" s="5"/>
      <c r="G4" s="5"/>
      <c r="H4" s="212"/>
      <c r="I4" s="212"/>
      <c r="J4" s="212"/>
      <c r="K4" s="212"/>
      <c r="L4" s="212"/>
      <c r="M4" s="212"/>
      <c r="N4" s="212"/>
      <c r="O4" s="212"/>
      <c r="P4" s="212"/>
      <c r="Q4" s="212"/>
      <c r="R4" s="212"/>
      <c r="S4" s="212"/>
      <c r="T4" s="212"/>
      <c r="U4" s="4"/>
      <c r="V4" s="4"/>
    </row>
    <row r="5" ht="12.75" customHeight="1"/>
    <row r="6" ht="15.75">
      <c r="D6" s="993" t="s">
        <v>60</v>
      </c>
      <c r="E6" s="993"/>
      <c r="F6" s="993"/>
      <c r="G6" s="993"/>
      <c r="H6" s="993"/>
      <c r="I6" s="993"/>
      <c r="J6" s="993"/>
      <c r="K6" s="993"/>
      <c r="L6" s="993"/>
      <c r="M6" s="993"/>
      <c r="N6" s="993"/>
      <c r="O6" s="993"/>
      <c r="Q6" s="975" t="s">
        <v>72</v>
      </c>
      <c r="R6" s="975"/>
      <c r="S6" s="975"/>
      <c r="T6" s="975"/>
      <c r="U6" s="975"/>
      <c r="V6" s="975"/>
      <c r="W6" s="975"/>
      <c r="X6" s="975"/>
      <c r="Y6" s="975"/>
      <c r="Z6" s="975"/>
      <c r="AA6" s="975"/>
      <c r="AB6" s="975"/>
    </row>
    <row r="7" ht="15.75">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1054"/>
      <c r="C8" s="1054"/>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88" t="s">
        <v>22</v>
      </c>
      <c r="C10" s="988"/>
      <c r="D10" s="988"/>
      <c r="E10" s="988"/>
      <c r="F10" s="988"/>
      <c r="G10" s="988"/>
      <c r="H10" s="988"/>
      <c r="I10" s="988"/>
      <c r="J10" s="988"/>
      <c r="K10" s="988"/>
      <c r="L10" s="988"/>
      <c r="M10" s="988"/>
      <c r="N10" s="988"/>
      <c r="O10" s="988"/>
      <c r="P10" s="412"/>
      <c r="Q10" s="986"/>
      <c r="R10" s="986"/>
      <c r="S10" s="986"/>
      <c r="T10" s="986"/>
      <c r="U10" s="986"/>
      <c r="V10" s="986"/>
      <c r="W10" s="986"/>
      <c r="X10" s="986"/>
      <c r="Y10" s="986"/>
      <c r="Z10" s="986"/>
      <c r="AA10" s="986"/>
      <c r="AB10" s="986"/>
      <c r="AC10" s="9"/>
    </row>
    <row r="11" ht="18" customHeight="1">
      <c r="A11" s="58"/>
      <c r="B11" s="1055" t="s">
        <v>43</v>
      </c>
      <c r="C11" s="1055"/>
      <c r="D11" s="428">
        <v>45.345187905564496691932316360</v>
      </c>
      <c r="E11" s="429">
        <v>51.871171886165557488557431060</v>
      </c>
      <c r="F11" s="430">
        <v>30.175907856102688221537470980</v>
      </c>
      <c r="G11" s="428">
        <v>3.7187713358245619815498950800</v>
      </c>
      <c r="H11" s="429">
        <v>4.1619480368434174898822168500</v>
      </c>
      <c r="I11" s="430">
        <v>7.4862670973684567766306429500</v>
      </c>
      <c r="J11" s="428">
        <v>0</v>
      </c>
      <c r="K11" s="429">
        <v>0</v>
      </c>
      <c r="L11" s="430">
        <v>4.6769312491268364248892507600</v>
      </c>
      <c r="M11" s="428">
        <v>50.317098822904803950362969820</v>
      </c>
      <c r="N11" s="429">
        <v>56.338246454251341458903083720</v>
      </c>
      <c r="O11" s="430">
        <v>42.339106202597981423057364690</v>
      </c>
      <c r="P11" s="5"/>
      <c r="Q11" s="428">
        <v>-24.685114251246927682546147360</v>
      </c>
      <c r="R11" s="429">
        <v>-32.803023805098701066448588280</v>
      </c>
      <c r="S11" s="430">
        <v>-43.588100415423150095702760360</v>
      </c>
      <c r="T11" s="428">
        <v>-21.673390576028035043406449030</v>
      </c>
      <c r="U11" s="429">
        <v>-33.777782854236669636430361850</v>
      </c>
      <c r="V11" s="430">
        <v>-37.289069139802290794737510200</v>
      </c>
      <c r="W11" s="428">
        <v>0</v>
      </c>
      <c r="X11" s="429">
        <v>-100</v>
      </c>
      <c r="Y11" s="430">
        <v>-30.064782259922224283022105840</v>
      </c>
      <c r="Z11" s="428">
        <v>-22.535742898665066865214441050</v>
      </c>
      <c r="AA11" s="429">
        <v>-32.513825178376982390077954610</v>
      </c>
      <c r="AB11" s="430">
        <v>-41.291376656801285353959080650</v>
      </c>
    </row>
    <row r="12" ht="18" customHeight="1">
      <c r="A12" s="58"/>
      <c r="B12" s="1056" t="s">
        <v>46</v>
      </c>
      <c r="C12" s="1056"/>
      <c r="D12" s="421">
        <v>38.588748820623190176615657660</v>
      </c>
      <c r="E12" s="91">
        <v>42.898251919040076084001431680</v>
      </c>
      <c r="F12" s="422">
        <v>26.164078125885545280723203530</v>
      </c>
      <c r="G12" s="421">
        <v>3.9047322090795292386668965200</v>
      </c>
      <c r="H12" s="91">
        <v>5.2073253028290264817426331900</v>
      </c>
      <c r="I12" s="422">
        <v>7.4955664368855213220267501500</v>
      </c>
      <c r="J12" s="421">
        <v>0</v>
      </c>
      <c r="K12" s="91">
        <v>0</v>
      </c>
      <c r="L12" s="422">
        <v>4.4462238587969655330083441100</v>
      </c>
      <c r="M12" s="421">
        <v>42.922064678779111637021941900</v>
      </c>
      <c r="N12" s="91">
        <v>47.643887502774909368850174330</v>
      </c>
      <c r="O12" s="422">
        <v>38.105868421568032135758297800</v>
      </c>
      <c r="P12" s="5"/>
      <c r="Q12" s="421">
        <v>-33.043998500880132472310859850</v>
      </c>
      <c r="R12" s="91">
        <v>-38.026963440470402394819054430</v>
      </c>
      <c r="S12" s="422">
        <v>-49.656486866385570384793981170</v>
      </c>
      <c r="T12" s="421">
        <v>-49.617582141340714489495306860</v>
      </c>
      <c r="U12" s="91">
        <v>-40.500768253330145516763448020</v>
      </c>
      <c r="V12" s="422">
        <v>-52.200813888145867027209429320</v>
      </c>
      <c r="W12" s="421">
        <v>0</v>
      </c>
      <c r="X12" s="91">
        <v>-100</v>
      </c>
      <c r="Y12" s="422">
        <v>-30.154373815796084631080460560</v>
      </c>
      <c r="Z12" s="421">
        <v>-34.353051131387267767691811530</v>
      </c>
      <c r="AA12" s="91">
        <v>-38.899447925521724440395493410</v>
      </c>
      <c r="AB12" s="422">
        <v>-48.518284288990325014277755460</v>
      </c>
    </row>
    <row r="13" ht="18" customHeight="1">
      <c r="A13" s="58"/>
      <c r="B13" s="1056" t="s">
        <v>47</v>
      </c>
      <c r="C13" s="1056"/>
      <c r="D13" s="421">
        <v>33.579187159192584069913984480</v>
      </c>
      <c r="E13" s="91">
        <v>40.276416505166519869712211030</v>
      </c>
      <c r="F13" s="422">
        <v>25.810135395152739548040965400</v>
      </c>
      <c r="G13" s="421">
        <v>4.2744317277357031322761274100</v>
      </c>
      <c r="H13" s="91">
        <v>6.1152042983596425742593156400</v>
      </c>
      <c r="I13" s="422">
        <v>8.503149710010737010829869980</v>
      </c>
      <c r="J13" s="421">
        <v>0</v>
      </c>
      <c r="K13" s="91">
        <v>0</v>
      </c>
      <c r="L13" s="422">
        <v>4.4112673434584361164400471200</v>
      </c>
      <c r="M13" s="421">
        <v>38.413070008479988698744432120</v>
      </c>
      <c r="N13" s="91">
        <v>46.697757060097819620108529390</v>
      </c>
      <c r="O13" s="422">
        <v>38.724552448621912675310882500</v>
      </c>
      <c r="P13" s="184"/>
      <c r="Q13" s="421">
        <v>-39.310671869912429982997746950</v>
      </c>
      <c r="R13" s="91">
        <v>-41.236419162846243721813894020</v>
      </c>
      <c r="S13" s="422">
        <v>-51.592567218804372304896537750</v>
      </c>
      <c r="T13" s="421">
        <v>-51.933045434799030001380987190</v>
      </c>
      <c r="U13" s="91">
        <v>-34.636673317176877258419943070</v>
      </c>
      <c r="V13" s="422">
        <v>-53.564650302117327433942368540</v>
      </c>
      <c r="W13" s="421">
        <v>0</v>
      </c>
      <c r="X13" s="91">
        <v>0</v>
      </c>
      <c r="Y13" s="422">
        <v>-28.401209952516964917583218970</v>
      </c>
      <c r="Z13" s="421">
        <v>-40.187335979421552163437295040</v>
      </c>
      <c r="AA13" s="91">
        <v>-40.050741179796956327452427840</v>
      </c>
      <c r="AB13" s="422">
        <v>-50.220029322135095503518891940</v>
      </c>
    </row>
    <row r="14" ht="18" customHeight="1">
      <c r="A14" s="58"/>
      <c r="B14" s="1056" t="s">
        <v>48</v>
      </c>
      <c r="C14" s="1056"/>
      <c r="D14" s="421">
        <v>36.656758664682554826722612370</v>
      </c>
      <c r="E14" s="91">
        <v>41.893601871445167987762564940</v>
      </c>
      <c r="F14" s="422">
        <v>28.207760050654217341466774050</v>
      </c>
      <c r="G14" s="421">
        <v>4.2131289897361564322759037400</v>
      </c>
      <c r="H14" s="91">
        <v>5.9785811911820626247655083700</v>
      </c>
      <c r="I14" s="422">
        <v>8.561820982538313070444114060</v>
      </c>
      <c r="J14" s="421">
        <v>0</v>
      </c>
      <c r="K14" s="91">
        <v>0</v>
      </c>
      <c r="L14" s="422">
        <v>4.5715381731539074094882212900</v>
      </c>
      <c r="M14" s="421">
        <v>41.565584815630140396655707910</v>
      </c>
      <c r="N14" s="91">
        <v>48.048517213593271225773257470</v>
      </c>
      <c r="O14" s="422">
        <v>41.341119206346437821399109410</v>
      </c>
      <c r="P14" s="5"/>
      <c r="Q14" s="421">
        <v>-37.184977693169752688915796320</v>
      </c>
      <c r="R14" s="91">
        <v>-41.013844408777777427148253580</v>
      </c>
      <c r="S14" s="422">
        <v>-47.963375990725368322660467040</v>
      </c>
      <c r="T14" s="421">
        <v>-33.952284363316146740877054730</v>
      </c>
      <c r="U14" s="91">
        <v>-35.966790153403074264421515370</v>
      </c>
      <c r="V14" s="422">
        <v>-53.947074498842467472909983570</v>
      </c>
      <c r="W14" s="421">
        <v>0</v>
      </c>
      <c r="X14" s="91">
        <v>0</v>
      </c>
      <c r="Y14" s="422">
        <v>-28.175066463290471498545100580</v>
      </c>
      <c r="Z14" s="421">
        <v>-35.791759599269602175972826380</v>
      </c>
      <c r="AA14" s="91">
        <v>-40.208012856424102161432057590</v>
      </c>
      <c r="AB14" s="422">
        <v>-47.777624021302695909837627780</v>
      </c>
    </row>
    <row r="15" ht="18" customHeight="1">
      <c r="A15" s="58"/>
      <c r="B15" s="1056" t="s">
        <v>49</v>
      </c>
      <c r="C15" s="1056"/>
      <c r="D15" s="421">
        <v>43.973913355082488335992626500</v>
      </c>
      <c r="E15" s="91">
        <v>49.282188273474394878679957590</v>
      </c>
      <c r="F15" s="422">
        <v>30.332627194666318287517343780</v>
      </c>
      <c r="G15" s="421">
        <v>5.1050000567554594902224247100</v>
      </c>
      <c r="H15" s="91">
        <v>4.6423756362335140492499911700</v>
      </c>
      <c r="I15" s="422">
        <v>8.777638529530618808341266690</v>
      </c>
      <c r="J15" s="421">
        <v>0</v>
      </c>
      <c r="K15" s="91">
        <v>0</v>
      </c>
      <c r="L15" s="422">
        <v>4.6028633223864074324859035200</v>
      </c>
      <c r="M15" s="421">
        <v>49.876854078455981184975680320</v>
      </c>
      <c r="N15" s="91">
        <v>54.160629503002987012667725300</v>
      </c>
      <c r="O15" s="422">
        <v>43.713129046583344528344513990</v>
      </c>
      <c r="P15" s="184"/>
      <c r="Q15" s="421">
        <v>-31.328451015852698403463256140</v>
      </c>
      <c r="R15" s="91">
        <v>-36.111986414560364888697642170</v>
      </c>
      <c r="S15" s="422">
        <v>-46.359625531083966910695579460</v>
      </c>
      <c r="T15" s="421">
        <v>-18.093301658610374651915303240</v>
      </c>
      <c r="U15" s="91">
        <v>-52.916091489642143049910054050</v>
      </c>
      <c r="V15" s="422">
        <v>-49.675649956212397454691866220</v>
      </c>
      <c r="W15" s="421">
        <v>0</v>
      </c>
      <c r="X15" s="91">
        <v>0</v>
      </c>
      <c r="Y15" s="422">
        <v>-29.858225162419974379070369650</v>
      </c>
      <c r="Z15" s="421">
        <v>-29.018933178746750359482547080</v>
      </c>
      <c r="AA15" s="91">
        <v>-37.745105822455245044703200060</v>
      </c>
      <c r="AB15" s="422">
        <v>-45.733357756165182118591719890</v>
      </c>
    </row>
    <row r="16" ht="18" customHeight="1">
      <c r="A16" s="58"/>
      <c r="B16" s="1057" t="s">
        <v>78</v>
      </c>
      <c r="C16" s="1057"/>
      <c r="D16" s="431">
        <v>39.690915548613039270330363990</v>
      </c>
      <c r="E16" s="432">
        <v>45.295501678948218068438971990</v>
      </c>
      <c r="F16" s="433">
        <v>28.138751260284660604557185620</v>
      </c>
      <c r="G16" s="431">
        <v>4.2385572711723544324591329400</v>
      </c>
      <c r="H16" s="432">
        <v>5.2160569637554021227272163700</v>
      </c>
      <c r="I16" s="433">
        <v>8.169136970639050365454956410</v>
      </c>
      <c r="J16" s="431">
        <v>0</v>
      </c>
      <c r="K16" s="432">
        <v>0</v>
      </c>
      <c r="L16" s="433">
        <v>4.5416556402952841266280550900</v>
      </c>
      <c r="M16" s="431">
        <v>44.660199503614621555768888870</v>
      </c>
      <c r="N16" s="432">
        <v>50.617483537370708610099312940</v>
      </c>
      <c r="O16" s="433">
        <v>40.849543871218995096640197110</v>
      </c>
      <c r="P16" s="5"/>
      <c r="Q16" s="431">
        <v>-32.838673839412249793721709990</v>
      </c>
      <c r="R16" s="432">
        <v>-37.615732183953511982625293780</v>
      </c>
      <c r="S16" s="433">
        <v>-47.799029132613074344034572350</v>
      </c>
      <c r="T16" s="431">
        <v>-37.747254812426955670567981390</v>
      </c>
      <c r="U16" s="432">
        <v>-40.184416965768388544538950420</v>
      </c>
      <c r="V16" s="433">
        <v>-50.186477182271953717402011490</v>
      </c>
      <c r="W16" s="431">
        <v>0</v>
      </c>
      <c r="X16" s="432">
        <v>-100</v>
      </c>
      <c r="Y16" s="433">
        <v>-29.337805984578817558675754430</v>
      </c>
      <c r="Z16" s="630">
        <v>-32.237034081836137956641274830</v>
      </c>
      <c r="AA16" s="214">
        <v>-37.761989617292429227742924670</v>
      </c>
      <c r="AB16" s="631">
        <v>-46.762912933613031521267924300</v>
      </c>
    </row>
    <row r="17" ht="6" customHeight="1">
      <c r="A17" s="58"/>
      <c r="B17" s="632"/>
      <c r="C17" s="632"/>
      <c r="D17" s="91"/>
      <c r="E17" s="91"/>
      <c r="F17" s="91"/>
      <c r="G17" s="91"/>
      <c r="H17" s="91"/>
      <c r="I17" s="91"/>
      <c r="J17" s="91"/>
      <c r="K17" s="91"/>
      <c r="L17" s="91"/>
      <c r="M17" s="91"/>
      <c r="N17" s="91"/>
      <c r="O17" s="91"/>
      <c r="P17" s="5"/>
      <c r="Q17" s="91"/>
      <c r="R17" s="91"/>
      <c r="S17" s="91"/>
      <c r="T17" s="91"/>
      <c r="U17" s="91"/>
      <c r="V17" s="91"/>
      <c r="W17" s="91"/>
      <c r="X17" s="91"/>
      <c r="Y17" s="91"/>
      <c r="Z17" s="633"/>
      <c r="AA17" s="633"/>
      <c r="AB17" s="633"/>
      <c r="AC17" s="4"/>
    </row>
    <row r="18" ht="18" customHeight="1">
      <c r="A18" s="58"/>
      <c r="B18" s="1058" t="s">
        <v>50</v>
      </c>
      <c r="C18" s="1058"/>
      <c r="D18" s="480">
        <v>51.992488447462726499522687280</v>
      </c>
      <c r="E18" s="481">
        <v>58.662814651081828917452090950</v>
      </c>
      <c r="F18" s="482">
        <v>35.795242922698909057392574800</v>
      </c>
      <c r="G18" s="480">
        <v>3.4227613058459205368097046200</v>
      </c>
      <c r="H18" s="481">
        <v>3.7501571630040960007424774300</v>
      </c>
      <c r="I18" s="482">
        <v>8.349397408817193430184734500</v>
      </c>
      <c r="J18" s="480">
        <v>0</v>
      </c>
      <c r="K18" s="481">
        <v>0</v>
      </c>
      <c r="L18" s="482">
        <v>4.7175970317884813863049657400</v>
      </c>
      <c r="M18" s="480">
        <v>57.760214226031940517556561380</v>
      </c>
      <c r="N18" s="481">
        <v>62.675933563647646793946951360</v>
      </c>
      <c r="O18" s="482">
        <v>48.862237363304583873882275050</v>
      </c>
      <c r="P18" s="184"/>
      <c r="Q18" s="480">
        <v>-21.500164146530700867095984160</v>
      </c>
      <c r="R18" s="481">
        <v>-29.059999083017306297167153770</v>
      </c>
      <c r="S18" s="482">
        <v>-43.255697750024663575088870030</v>
      </c>
      <c r="T18" s="480">
        <v>-32.075273350348703439184147290</v>
      </c>
      <c r="U18" s="481">
        <v>-55.544922846148195081578920290</v>
      </c>
      <c r="V18" s="482">
        <v>-47.194882907841978682319358780</v>
      </c>
      <c r="W18" s="480">
        <v>0</v>
      </c>
      <c r="X18" s="481">
        <v>0</v>
      </c>
      <c r="Y18" s="482">
        <v>-30.910583884981380971564461190</v>
      </c>
      <c r="Z18" s="480">
        <v>-18.957667709744023867610888240</v>
      </c>
      <c r="AA18" s="481">
        <v>-31.223146064480975878059236140</v>
      </c>
      <c r="AB18" s="482">
        <v>-42.998933918997779396337199440</v>
      </c>
    </row>
    <row r="19" ht="18" customHeight="1">
      <c r="A19" s="58"/>
      <c r="B19" s="1059" t="s">
        <v>51</v>
      </c>
      <c r="C19" s="1059"/>
      <c r="D19" s="272">
        <v>59.744757258762844114451860860</v>
      </c>
      <c r="E19" s="92">
        <v>63.316860174092603194087857660</v>
      </c>
      <c r="F19" s="273">
        <v>39.009060736412477322996439870</v>
      </c>
      <c r="G19" s="272">
        <v>2.6306835700663747189255918700</v>
      </c>
      <c r="H19" s="92">
        <v>3.5103410159568826283255262200</v>
      </c>
      <c r="I19" s="273">
        <v>7.8275622263724760817358663100</v>
      </c>
      <c r="J19" s="272">
        <v>0</v>
      </c>
      <c r="K19" s="92">
        <v>0</v>
      </c>
      <c r="L19" s="273">
        <v>4.7777760201548225903633721300</v>
      </c>
      <c r="M19" s="272">
        <v>64.004063830235333711956095940</v>
      </c>
      <c r="N19" s="92">
        <v>67.162975378765687952741087460</v>
      </c>
      <c r="O19" s="273">
        <v>51.614398982939775995095678320</v>
      </c>
      <c r="P19" s="5"/>
      <c r="Q19" s="272">
        <v>-11.370360199328860465799447400</v>
      </c>
      <c r="R19" s="92">
        <v>-26.010093452601422230832200410</v>
      </c>
      <c r="S19" s="273">
        <v>-39.517667184337382225622189210</v>
      </c>
      <c r="T19" s="272">
        <v>-46.733714792268170929322278930</v>
      </c>
      <c r="U19" s="92">
        <v>-53.712517832045918407519096240</v>
      </c>
      <c r="V19" s="273">
        <v>-42.881826949471475398584089470</v>
      </c>
      <c r="W19" s="272">
        <v>0</v>
      </c>
      <c r="X19" s="92">
        <v>0</v>
      </c>
      <c r="Y19" s="273">
        <v>-30.363112365113304880816797130</v>
      </c>
      <c r="Z19" s="272">
        <v>-11.533296251829920740451451380</v>
      </c>
      <c r="AA19" s="92">
        <v>-27.904833704804331132817933260</v>
      </c>
      <c r="AB19" s="273">
        <v>-39.321265230608493727493827720</v>
      </c>
    </row>
    <row r="20" ht="18" customHeight="1">
      <c r="A20" s="58"/>
      <c r="B20" s="1060" t="s">
        <v>79</v>
      </c>
      <c r="C20" s="1060"/>
      <c r="D20" s="274">
        <v>55.913332917599372982188400960</v>
      </c>
      <c r="E20" s="275">
        <v>60.988726504369383410338523790</v>
      </c>
      <c r="F20" s="276">
        <v>37.400709975005907843046763690</v>
      </c>
      <c r="G20" s="274">
        <v>3.0221542466940653908725827900</v>
      </c>
      <c r="H20" s="275">
        <v>3.6303063329533360013163101100</v>
      </c>
      <c r="I20" s="276">
        <v>8.088713934920600827233211960</v>
      </c>
      <c r="J20" s="274">
        <v>0</v>
      </c>
      <c r="K20" s="275">
        <v>0</v>
      </c>
      <c r="L20" s="276">
        <v>4.7476595271331343728908410600</v>
      </c>
      <c r="M20" s="274">
        <v>60.882139028133637114756328640</v>
      </c>
      <c r="N20" s="275">
        <v>64.918380759543192377109279640</v>
      </c>
      <c r="O20" s="276">
        <v>50.237083437059643043170816730</v>
      </c>
      <c r="P20" s="184"/>
      <c r="Q20" s="274">
        <v>-16.323750657991140671778150900</v>
      </c>
      <c r="R20" s="275">
        <v>-27.510253351545587660068920070</v>
      </c>
      <c r="S20" s="276">
        <v>-41.368267057645711461688960360</v>
      </c>
      <c r="T20" s="274">
        <v>-39.422378130301151182683583040</v>
      </c>
      <c r="U20" s="275">
        <v>-54.676736862278107402236748550</v>
      </c>
      <c r="V20" s="276">
        <v>-45.190432549102571215294250710</v>
      </c>
      <c r="W20" s="274">
        <v>0</v>
      </c>
      <c r="X20" s="275">
        <v>0</v>
      </c>
      <c r="Y20" s="276">
        <v>-30.636601617295369216812022480</v>
      </c>
      <c r="Z20" s="274">
        <v>-15.217656399750932810134524950</v>
      </c>
      <c r="AA20" s="275">
        <v>-29.546884536960675883982919350</v>
      </c>
      <c r="AB20" s="276">
        <v>-41.168631615828770583547535880</v>
      </c>
    </row>
    <row r="21" ht="6" customHeight="1">
      <c r="A21" s="58"/>
      <c r="B21" s="632"/>
      <c r="C21" s="632"/>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7" t="s">
        <v>12</v>
      </c>
      <c r="C22" s="997"/>
      <c r="D22" s="469">
        <v>45.213611525086934923000496770</v>
      </c>
      <c r="E22" s="470">
        <v>49.957000059513263315861564200</v>
      </c>
      <c r="F22" s="471">
        <v>30.923800846352271168058437990</v>
      </c>
      <c r="G22" s="469">
        <v>4.1231992051664182811723795300</v>
      </c>
      <c r="H22" s="470">
        <v>4.727750842462318450753926100</v>
      </c>
      <c r="I22" s="471">
        <v>8.062426998566784472012739490</v>
      </c>
      <c r="J22" s="469">
        <v>0</v>
      </c>
      <c r="K22" s="470">
        <v>0</v>
      </c>
      <c r="L22" s="471">
        <v>4.5145798095111012411489580700</v>
      </c>
      <c r="M22" s="469">
        <v>49.336810730253353204172876300</v>
      </c>
      <c r="N22" s="470">
        <v>54.684750901975581766615490290</v>
      </c>
      <c r="O22" s="471">
        <v>43.500807654430156881220135560</v>
      </c>
      <c r="P22" s="184"/>
      <c r="Q22" s="469">
        <v>-26.035861629815003239502786420</v>
      </c>
      <c r="R22" s="470">
        <v>-34.391022017980286020455858140</v>
      </c>
      <c r="S22" s="471">
        <v>-46.395376682381922399645219910</v>
      </c>
      <c r="T22" s="469">
        <v>-36.164608706645876353828648540</v>
      </c>
      <c r="U22" s="470">
        <v>-42.751212656061573397192929010</v>
      </c>
      <c r="V22" s="471">
        <v>-46.014169394872149005292921860</v>
      </c>
      <c r="W22" s="469">
        <v>0</v>
      </c>
      <c r="X22" s="470">
        <v>-100</v>
      </c>
      <c r="Y22" s="471">
        <v>-31.352183056013568867229725470</v>
      </c>
      <c r="Z22" s="469">
        <v>-27.003821981832497316759329930</v>
      </c>
      <c r="AA22" s="470">
        <v>-35.215686415366976417992661670</v>
      </c>
      <c r="AB22" s="471">
        <v>-45.074361567892895416860372960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0" t="s">
        <v>9</v>
      </c>
      <c r="C24" s="1050"/>
      <c r="D24" s="1050"/>
      <c r="E24" s="1050"/>
      <c r="F24" s="1050"/>
      <c r="G24" s="1050"/>
      <c r="H24" s="1050"/>
      <c r="I24" s="1050"/>
      <c r="J24" s="1050"/>
      <c r="K24" s="1050"/>
      <c r="L24" s="1050"/>
      <c r="M24" s="1050"/>
      <c r="N24" s="1050"/>
      <c r="O24" s="1050"/>
      <c r="P24" s="412"/>
      <c r="Q24" s="1051"/>
      <c r="R24" s="1051"/>
      <c r="S24" s="1051"/>
      <c r="T24" s="1051"/>
      <c r="U24" s="1051"/>
      <c r="V24" s="1051"/>
      <c r="W24" s="1051"/>
      <c r="X24" s="1051"/>
      <c r="Y24" s="1051"/>
      <c r="Z24" s="1051"/>
      <c r="AA24" s="1051"/>
      <c r="AB24" s="1051"/>
      <c r="AC24" s="9"/>
    </row>
    <row r="25" ht="18" customHeight="1">
      <c r="A25" s="58"/>
      <c r="B25" s="1055" t="s">
        <v>43</v>
      </c>
      <c r="C25" s="1055"/>
      <c r="D25" s="455">
        <v>177.56501267109552021477454888</v>
      </c>
      <c r="E25" s="456">
        <v>197.46085866613641361696990826</v>
      </c>
      <c r="F25" s="457">
        <v>169.90439743055686817217246696</v>
      </c>
      <c r="G25" s="455">
        <v>490.17062655741700651558313682</v>
      </c>
      <c r="H25" s="456">
        <v>402.82465947958820457759598054</v>
      </c>
      <c r="I25" s="457">
        <v>271.20295889481488151438934201</v>
      </c>
      <c r="J25" s="455">
        <v>0</v>
      </c>
      <c r="K25" s="456">
        <v>0</v>
      </c>
      <c r="L25" s="457">
        <v>111.82654736518736453061960792</v>
      </c>
      <c r="M25" s="455">
        <v>201.2587547643269876538852591</v>
      </c>
      <c r="N25" s="456">
        <v>212.45948790022544509335983303</v>
      </c>
      <c r="O25" s="457">
        <v>181.40019929086953243385409168</v>
      </c>
      <c r="P25" s="5"/>
      <c r="Q25" s="428">
        <v>0.1098020854787925808792149700</v>
      </c>
      <c r="R25" s="429">
        <v>3.0478227615533511255025360100</v>
      </c>
      <c r="S25" s="430">
        <v>-1.3735620279921255259471449200</v>
      </c>
      <c r="T25" s="428">
        <v>139.88608917688298345999457011</v>
      </c>
      <c r="U25" s="429">
        <v>77.264507076637082511324770130</v>
      </c>
      <c r="V25" s="430">
        <v>37.530522979434625961235694760</v>
      </c>
      <c r="W25" s="428">
        <v>0</v>
      </c>
      <c r="X25" s="429">
        <v>-100</v>
      </c>
      <c r="Y25" s="430">
        <v>-8.116846094577301025480066200</v>
      </c>
      <c r="Z25" s="428">
        <v>12.221166044128604312493979770</v>
      </c>
      <c r="AA25" s="429">
        <v>9.347047128178044885418327430</v>
      </c>
      <c r="AB25" s="430">
        <v>5.6449573765265501646137040600</v>
      </c>
    </row>
    <row r="26" ht="18" customHeight="1">
      <c r="A26" s="58"/>
      <c r="B26" s="1056" t="s">
        <v>46</v>
      </c>
      <c r="C26" s="1056"/>
      <c r="D26" s="440">
        <v>169.71469743640299227584724596</v>
      </c>
      <c r="E26" s="95">
        <v>186.14924589223338902211636784</v>
      </c>
      <c r="F26" s="441">
        <v>167.88098140206038717627241033</v>
      </c>
      <c r="G26" s="440">
        <v>235.95307528455047455614105203</v>
      </c>
      <c r="H26" s="95">
        <v>258.83351632720930180450402562</v>
      </c>
      <c r="I26" s="441">
        <v>215.49166252006732927107767609</v>
      </c>
      <c r="J26" s="440">
        <v>0</v>
      </c>
      <c r="K26" s="95">
        <v>0</v>
      </c>
      <c r="L26" s="441">
        <v>110.03601251887462946080488964</v>
      </c>
      <c r="M26" s="440">
        <v>174.77720619306342929545428943</v>
      </c>
      <c r="N26" s="95">
        <v>193.56477316762225590201938593</v>
      </c>
      <c r="O26" s="441">
        <v>170.49678171824438525381491686</v>
      </c>
      <c r="P26" s="5"/>
      <c r="Q26" s="421">
        <v>-1.4792977245166785331973339800</v>
      </c>
      <c r="R26" s="91">
        <v>4.3900873405944929571508469100</v>
      </c>
      <c r="S26" s="422">
        <v>-3.3177238491996408961969056100</v>
      </c>
      <c r="T26" s="421">
        <v>28.772304462014261048933333750</v>
      </c>
      <c r="U26" s="91">
        <v>16.290379113119394237705030560</v>
      </c>
      <c r="V26" s="422">
        <v>11.391240603655159829974996100</v>
      </c>
      <c r="W26" s="421">
        <v>0</v>
      </c>
      <c r="X26" s="91">
        <v>-100</v>
      </c>
      <c r="Y26" s="422">
        <v>-8.174261649612752160282084580</v>
      </c>
      <c r="Z26" s="421">
        <v>0.699411867593999788931054100</v>
      </c>
      <c r="AA26" s="91">
        <v>5.6090792444893526087921976500</v>
      </c>
      <c r="AB26" s="422">
        <v>-1.5673303557268735736323984400</v>
      </c>
    </row>
    <row r="27" ht="18" customHeight="1">
      <c r="A27" s="58"/>
      <c r="B27" s="1056" t="s">
        <v>47</v>
      </c>
      <c r="C27" s="1056"/>
      <c r="D27" s="440">
        <v>169.12377593898961740020575117</v>
      </c>
      <c r="E27" s="95">
        <v>182.47768424803125445423616639</v>
      </c>
      <c r="F27" s="441">
        <v>171.89535041691429527973790488</v>
      </c>
      <c r="G27" s="440">
        <v>247.5945926431999572436501134</v>
      </c>
      <c r="H27" s="95">
        <v>264.54804371801111143361894618</v>
      </c>
      <c r="I27" s="441">
        <v>219.43446728540334834004452497</v>
      </c>
      <c r="J27" s="440">
        <v>0</v>
      </c>
      <c r="K27" s="95">
        <v>0</v>
      </c>
      <c r="L27" s="441">
        <v>109.17641452708921680389809917</v>
      </c>
      <c r="M27" s="440">
        <v>177.05039109812616512288499814</v>
      </c>
      <c r="N27" s="95">
        <v>192.95848951071275219251446225</v>
      </c>
      <c r="O27" s="441">
        <v>175.18944230542494309999515314</v>
      </c>
      <c r="P27" s="93"/>
      <c r="Q27" s="421">
        <v>-5.4206758862660901158535952900</v>
      </c>
      <c r="R27" s="91">
        <v>-0.9104351620889807940834303700</v>
      </c>
      <c r="S27" s="422">
        <v>-5.2619744861998930586853809200</v>
      </c>
      <c r="T27" s="421">
        <v>23.940543639866372122781163840</v>
      </c>
      <c r="U27" s="91">
        <v>19.375372482659245908807336310</v>
      </c>
      <c r="V27" s="422">
        <v>15.763925737594748109735124560</v>
      </c>
      <c r="W27" s="421">
        <v>0</v>
      </c>
      <c r="X27" s="91">
        <v>0</v>
      </c>
      <c r="Y27" s="422">
        <v>-9.374481002145937938988790790</v>
      </c>
      <c r="Z27" s="421">
        <v>-2.5686079697419326664931111300</v>
      </c>
      <c r="AA27" s="91">
        <v>2.2822417650451858261968961500</v>
      </c>
      <c r="AB27" s="422">
        <v>-1.8672748326236480785697805600</v>
      </c>
    </row>
    <row r="28" ht="18" customHeight="1">
      <c r="A28" s="58"/>
      <c r="B28" s="1056" t="s">
        <v>48</v>
      </c>
      <c r="C28" s="1056"/>
      <c r="D28" s="440">
        <v>195.37006443808647749634311251</v>
      </c>
      <c r="E28" s="95">
        <v>193.49185367014971816801750344</v>
      </c>
      <c r="F28" s="441">
        <v>178.07820431548972702898014013</v>
      </c>
      <c r="G28" s="440">
        <v>292.13172953393130183478641474</v>
      </c>
      <c r="H28" s="95">
        <v>273.7888699959616727371938718</v>
      </c>
      <c r="I28" s="441">
        <v>229.52206610299154836609289579</v>
      </c>
      <c r="J28" s="440">
        <v>0</v>
      </c>
      <c r="K28" s="95">
        <v>0</v>
      </c>
      <c r="L28" s="441">
        <v>107.32265510425533105679905857</v>
      </c>
      <c r="M28" s="440">
        <v>203.94021184793049324722075682</v>
      </c>
      <c r="N28" s="95">
        <v>203.41386385299463815442631131</v>
      </c>
      <c r="O28" s="441">
        <v>180.90810934320475611941998387</v>
      </c>
      <c r="P28" s="5"/>
      <c r="Q28" s="421">
        <v>17.131623265488077258138135600</v>
      </c>
      <c r="R28" s="91">
        <v>9.871391374153339935405213900</v>
      </c>
      <c r="S28" s="422">
        <v>-0.965836507479993052030308500</v>
      </c>
      <c r="T28" s="421">
        <v>47.504190808866841289653965710</v>
      </c>
      <c r="U28" s="91">
        <v>18.010151126747341802945139010</v>
      </c>
      <c r="V28" s="422">
        <v>18.862698164592820331306667800</v>
      </c>
      <c r="W28" s="421">
        <v>0</v>
      </c>
      <c r="X28" s="91">
        <v>0</v>
      </c>
      <c r="Y28" s="422">
        <v>-11.597175651101834227034397480</v>
      </c>
      <c r="Z28" s="421">
        <v>20.053054120307851937866955040</v>
      </c>
      <c r="AA28" s="91">
        <v>11.397357193831492934295942980</v>
      </c>
      <c r="AB28" s="422">
        <v>1.4980336592530630111867473900</v>
      </c>
    </row>
    <row r="29" ht="18" customHeight="1">
      <c r="A29" s="58"/>
      <c r="B29" s="1056" t="s">
        <v>49</v>
      </c>
      <c r="C29" s="1056"/>
      <c r="D29" s="440">
        <v>187.64950662864708799318765634</v>
      </c>
      <c r="E29" s="95">
        <v>204.91568937779739083678552513</v>
      </c>
      <c r="F29" s="441">
        <v>182.25114330439711924017241414</v>
      </c>
      <c r="G29" s="440">
        <v>473.88970095305530249400517066</v>
      </c>
      <c r="H29" s="95">
        <v>369.90634952644545414442914223</v>
      </c>
      <c r="I29" s="441">
        <v>266.14376789487401513308673484</v>
      </c>
      <c r="J29" s="440">
        <v>0</v>
      </c>
      <c r="K29" s="95">
        <v>0</v>
      </c>
      <c r="L29" s="441">
        <v>110.80669578294337829142147678</v>
      </c>
      <c r="M29" s="440">
        <v>215.35027997796295386448017629</v>
      </c>
      <c r="N29" s="95">
        <v>218.88066024288237074084062794</v>
      </c>
      <c r="O29" s="441">
        <v>191.57397412782934973253866267</v>
      </c>
      <c r="P29" s="93"/>
      <c r="Q29" s="421">
        <v>3.0972164188525943341460941800</v>
      </c>
      <c r="R29" s="91">
        <v>6.5945325306675265633193554700</v>
      </c>
      <c r="S29" s="422">
        <v>-0.717203169337390583205017500</v>
      </c>
      <c r="T29" s="421">
        <v>129.45085213395983560504505864</v>
      </c>
      <c r="U29" s="91">
        <v>53.921077327579299004962236640</v>
      </c>
      <c r="V29" s="422">
        <v>36.844940770754996991546528320</v>
      </c>
      <c r="W29" s="421">
        <v>0</v>
      </c>
      <c r="X29" s="91">
        <v>0</v>
      </c>
      <c r="Y29" s="422">
        <v>-8.916688323133386526546664880</v>
      </c>
      <c r="Z29" s="421">
        <v>16.919310981717857227377099960</v>
      </c>
      <c r="AA29" s="91">
        <v>10.720290916704889008465414700</v>
      </c>
      <c r="AB29" s="422">
        <v>5.907521746057228404307173600</v>
      </c>
    </row>
    <row r="30" ht="18" customHeight="1">
      <c r="A30" s="58"/>
      <c r="B30" s="1057" t="s">
        <v>78</v>
      </c>
      <c r="C30" s="1057"/>
      <c r="D30" s="458">
        <v>180.15386519390115155986442532</v>
      </c>
      <c r="E30" s="459">
        <v>193.68548378695512897243921497</v>
      </c>
      <c r="F30" s="460">
        <v>174.23742113329884596622629767</v>
      </c>
      <c r="G30" s="458">
        <v>352.74874442836591786907622389</v>
      </c>
      <c r="H30" s="459">
        <v>307.03163892399321871345113467</v>
      </c>
      <c r="I30" s="460">
        <v>240.33358836560807834372685452</v>
      </c>
      <c r="J30" s="458">
        <v>0</v>
      </c>
      <c r="K30" s="459">
        <v>0</v>
      </c>
      <c r="L30" s="460">
        <v>109.83881272963381693663396516</v>
      </c>
      <c r="M30" s="458">
        <v>195.74432040068082358949405396</v>
      </c>
      <c r="N30" s="459">
        <v>205.10578349082813131585066771</v>
      </c>
      <c r="O30" s="460">
        <v>180.29556320341595105674557109</v>
      </c>
      <c r="P30" s="5"/>
      <c r="Q30" s="431">
        <v>2.6082030388172884773116814400</v>
      </c>
      <c r="R30" s="432">
        <v>4.8247709729297040388707145200</v>
      </c>
      <c r="S30" s="433">
        <v>-2.2495232192082238921135902100</v>
      </c>
      <c r="T30" s="431">
        <v>78.547895872481553994727864050</v>
      </c>
      <c r="U30" s="432">
        <v>34.048739804606263268647162800</v>
      </c>
      <c r="V30" s="433">
        <v>24.363590116080025817497616740</v>
      </c>
      <c r="W30" s="431">
        <v>0</v>
      </c>
      <c r="X30" s="432">
        <v>-100</v>
      </c>
      <c r="Y30" s="433">
        <v>-9.242526685641520063409064610</v>
      </c>
      <c r="Z30" s="431">
        <v>10.063734294749888654969314450</v>
      </c>
      <c r="AA30" s="432">
        <v>8.225925028972870842600312290</v>
      </c>
      <c r="AB30" s="433">
        <v>2.0575793308899373668158975500</v>
      </c>
    </row>
    <row r="31" ht="6" customHeight="1">
      <c r="A31" s="58"/>
      <c r="B31" s="632"/>
      <c r="C31" s="632"/>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58" t="s">
        <v>50</v>
      </c>
      <c r="C32" s="1058"/>
      <c r="D32" s="494">
        <v>191.24770678736140617201547084</v>
      </c>
      <c r="E32" s="495">
        <v>229.61506062318641455137125213</v>
      </c>
      <c r="F32" s="496">
        <v>183.94414556354047597822885821</v>
      </c>
      <c r="G32" s="494">
        <v>243.91851428926002510395792376</v>
      </c>
      <c r="H32" s="495">
        <v>491.85105651567138178603423523</v>
      </c>
      <c r="I32" s="496">
        <v>281.13790424063063964357425961</v>
      </c>
      <c r="J32" s="494">
        <v>0</v>
      </c>
      <c r="K32" s="495">
        <v>0</v>
      </c>
      <c r="L32" s="496">
        <v>112.78568180334904894878492786</v>
      </c>
      <c r="M32" s="494">
        <v>228.12048911362302945878163108</v>
      </c>
      <c r="N32" s="495">
        <v>245.1663752521051496230744714</v>
      </c>
      <c r="O32" s="496">
        <v>193.68197962734302300148904429</v>
      </c>
      <c r="P32" s="93"/>
      <c r="Q32" s="480">
        <v>-17.590127993434289465905109760</v>
      </c>
      <c r="R32" s="481">
        <v>-8.791671268783651087328470980</v>
      </c>
      <c r="S32" s="482">
        <v>-6.9499567557164586981267557800</v>
      </c>
      <c r="T32" s="480">
        <v>-2.8653671911207384739264616500</v>
      </c>
      <c r="U32" s="481">
        <v>85.31814057095998909048972826</v>
      </c>
      <c r="V32" s="482">
        <v>43.018692186596114846481811120</v>
      </c>
      <c r="W32" s="480">
        <v>0</v>
      </c>
      <c r="X32" s="481">
        <v>0</v>
      </c>
      <c r="Y32" s="482">
        <v>-10.004924306615731441772110420</v>
      </c>
      <c r="Z32" s="480">
        <v>-2.268467553855963881040221700</v>
      </c>
      <c r="AA32" s="481">
        <v>-3.1010880257574911057530193100</v>
      </c>
      <c r="AB32" s="482">
        <v>1.026152469347339473981299400</v>
      </c>
    </row>
    <row r="33" ht="18" customHeight="1">
      <c r="A33" s="58"/>
      <c r="B33" s="1059" t="s">
        <v>51</v>
      </c>
      <c r="C33" s="1059"/>
      <c r="D33" s="277">
        <v>222.86733267861197936829664728</v>
      </c>
      <c r="E33" s="94">
        <v>232.34796180318481410199807851</v>
      </c>
      <c r="F33" s="278">
        <v>185.23212175393534856469442952</v>
      </c>
      <c r="G33" s="277">
        <v>210.86479825145327493022039062</v>
      </c>
      <c r="H33" s="94">
        <v>495.90511971237852677880293165</v>
      </c>
      <c r="I33" s="278">
        <v>272.33657741000035714323629186</v>
      </c>
      <c r="J33" s="277">
        <v>0</v>
      </c>
      <c r="K33" s="94">
        <v>0</v>
      </c>
      <c r="L33" s="278">
        <v>117.88633967903765902857702772</v>
      </c>
      <c r="M33" s="277">
        <v>219.41952413529581671679389451</v>
      </c>
      <c r="N33" s="94">
        <v>245.96712101178268319418591799</v>
      </c>
      <c r="O33" s="278">
        <v>192.20793647387698972539516132</v>
      </c>
      <c r="P33" s="5"/>
      <c r="Q33" s="272">
        <v>-4.6118702937578193772020532600</v>
      </c>
      <c r="R33" s="92">
        <v>-9.150417378651425107722890880</v>
      </c>
      <c r="S33" s="273">
        <v>-5.1655671774618077057843517100</v>
      </c>
      <c r="T33" s="272">
        <v>-9.453775463810883337905779370</v>
      </c>
      <c r="U33" s="92">
        <v>85.52979690966491200014521614</v>
      </c>
      <c r="V33" s="273">
        <v>36.375659890669811982517610010</v>
      </c>
      <c r="W33" s="272">
        <v>0</v>
      </c>
      <c r="X33" s="92">
        <v>0</v>
      </c>
      <c r="Y33" s="273">
        <v>-5.7617780037013544788160415600</v>
      </c>
      <c r="Z33" s="272">
        <v>-6.0666392182477095645467311300</v>
      </c>
      <c r="AA33" s="92">
        <v>-4.177254816604938945741069500</v>
      </c>
      <c r="AB33" s="273">
        <v>0.9697800244836039707847281800</v>
      </c>
    </row>
    <row r="34" ht="18" customHeight="1">
      <c r="A34" s="58"/>
      <c r="B34" s="1060" t="s">
        <v>79</v>
      </c>
      <c r="C34" s="1060"/>
      <c r="D34" s="444">
        <v>208.33573448211582762429883377</v>
      </c>
      <c r="E34" s="445">
        <v>231.03299574035131660811879904</v>
      </c>
      <c r="F34" s="446">
        <v>184.61522452749089622942192906</v>
      </c>
      <c r="G34" s="444">
        <v>229.36650143869045264688176401</v>
      </c>
      <c r="H34" s="445">
        <v>493.81016810900928781727609723</v>
      </c>
      <c r="I34" s="446">
        <v>276.88314152867196257040361017</v>
      </c>
      <c r="J34" s="444">
        <v>0</v>
      </c>
      <c r="K34" s="445">
        <v>0</v>
      </c>
      <c r="L34" s="446">
        <v>115.34988571269527709866106083</v>
      </c>
      <c r="M34" s="634">
        <v>223.54692183471915457142828247</v>
      </c>
      <c r="N34" s="635">
        <v>245.58039304397429101895864662</v>
      </c>
      <c r="O34" s="636">
        <v>192.92543108620621588980737088</v>
      </c>
      <c r="P34" s="93"/>
      <c r="Q34" s="274">
        <v>-10.532803974353539431436735480</v>
      </c>
      <c r="R34" s="275">
        <v>-8.964463199154160446938666030</v>
      </c>
      <c r="S34" s="276">
        <v>-6.0430284208026895998895385700</v>
      </c>
      <c r="T34" s="274">
        <v>-5.2552941069352045296927742500</v>
      </c>
      <c r="U34" s="275">
        <v>85.43369381629750555213172460</v>
      </c>
      <c r="V34" s="276">
        <v>39.823207145422732743256074670</v>
      </c>
      <c r="W34" s="274">
        <v>0</v>
      </c>
      <c r="X34" s="275">
        <v>0</v>
      </c>
      <c r="Y34" s="276">
        <v>-7.8740113049284845256548766700</v>
      </c>
      <c r="Z34" s="274">
        <v>-4.2640732368454780100564198900</v>
      </c>
      <c r="AA34" s="275">
        <v>-3.6453541544626930472042628600</v>
      </c>
      <c r="AB34" s="276">
        <v>0.9864923987137542868963365700</v>
      </c>
    </row>
    <row r="35" ht="6" customHeight="1">
      <c r="A35" s="58"/>
      <c r="B35" s="632"/>
      <c r="C35" s="632"/>
      <c r="D35" s="95"/>
      <c r="E35" s="95"/>
      <c r="F35" s="95"/>
      <c r="G35" s="95"/>
      <c r="H35" s="95"/>
      <c r="I35" s="95"/>
      <c r="J35" s="95"/>
      <c r="K35" s="95"/>
      <c r="L35" s="95"/>
      <c r="M35" s="637"/>
      <c r="N35" s="637"/>
      <c r="O35" s="637"/>
      <c r="P35" s="93"/>
      <c r="Q35" s="91"/>
      <c r="R35" s="91"/>
      <c r="S35" s="91"/>
      <c r="T35" s="91"/>
      <c r="U35" s="91"/>
      <c r="V35" s="91"/>
      <c r="W35" s="91"/>
      <c r="X35" s="91"/>
      <c r="Y35" s="91"/>
      <c r="Z35" s="91"/>
      <c r="AA35" s="91"/>
      <c r="AB35" s="91"/>
    </row>
    <row r="36" ht="18" customHeight="1">
      <c r="A36" s="58"/>
      <c r="B36" s="997" t="s">
        <v>12</v>
      </c>
      <c r="C36" s="997"/>
      <c r="D36" s="483">
        <v>191.36636818106905455144756359</v>
      </c>
      <c r="E36" s="484">
        <v>206.68192658671673983592636599</v>
      </c>
      <c r="F36" s="485">
        <v>178.48533164111280773607847463</v>
      </c>
      <c r="G36" s="483">
        <v>362.10180722891566265060240964</v>
      </c>
      <c r="H36" s="484">
        <v>346.51587373716982369598193767</v>
      </c>
      <c r="I36" s="485">
        <v>249.65779728599754623846638273</v>
      </c>
      <c r="J36" s="483">
        <v>0</v>
      </c>
      <c r="K36" s="484">
        <v>0</v>
      </c>
      <c r="L36" s="485">
        <v>108.51605275344645694945881356</v>
      </c>
      <c r="M36" s="483">
        <v>205.63515078286260887076473846</v>
      </c>
      <c r="N36" s="484">
        <v>218.77122114399527526419462987</v>
      </c>
      <c r="O36" s="485">
        <v>184.41489775093437710379937967</v>
      </c>
      <c r="P36" s="93"/>
      <c r="Q36" s="469">
        <v>-0.9851504547039589682434917900</v>
      </c>
      <c r="R36" s="470">
        <v>0.0988884728211276897766750700</v>
      </c>
      <c r="S36" s="471">
        <v>-3.2233709881365244364974021600</v>
      </c>
      <c r="T36" s="469">
        <v>73.9667344551305748664481700</v>
      </c>
      <c r="U36" s="470">
        <v>43.861989112616758914018295750</v>
      </c>
      <c r="V36" s="471">
        <v>28.936541608264807867376108920</v>
      </c>
      <c r="W36" s="469">
        <v>0</v>
      </c>
      <c r="X36" s="470">
        <v>-100</v>
      </c>
      <c r="Y36" s="471">
        <v>-11.909396476633513708124759560</v>
      </c>
      <c r="Z36" s="469">
        <v>5.6208548544456858809412660900</v>
      </c>
      <c r="AA36" s="470">
        <v>4.2541545359683445195782308700</v>
      </c>
      <c r="AB36" s="471">
        <v>1.8420923702806671567535338300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0" t="s">
        <v>10</v>
      </c>
      <c r="C38" s="1050"/>
      <c r="D38" s="1050"/>
      <c r="E38" s="1050"/>
      <c r="F38" s="1050"/>
      <c r="G38" s="1050"/>
      <c r="H38" s="1050"/>
      <c r="I38" s="1050"/>
      <c r="J38" s="1050"/>
      <c r="K38" s="1050"/>
      <c r="L38" s="1050"/>
      <c r="M38" s="1050"/>
      <c r="N38" s="1050"/>
      <c r="O38" s="1050"/>
      <c r="P38" s="412"/>
      <c r="Q38" s="1051"/>
      <c r="R38" s="1051"/>
      <c r="S38" s="1051"/>
      <c r="T38" s="1051"/>
      <c r="U38" s="1051"/>
      <c r="V38" s="1051"/>
      <c r="W38" s="1051"/>
      <c r="X38" s="1051"/>
      <c r="Y38" s="1051"/>
      <c r="Z38" s="1051"/>
      <c r="AA38" s="1051"/>
      <c r="AB38" s="1051"/>
      <c r="AC38" s="9"/>
    </row>
    <row r="39" ht="18" customHeight="1">
      <c r="A39" s="58"/>
      <c r="B39" s="1055" t="s">
        <v>43</v>
      </c>
      <c r="C39" s="1055"/>
      <c r="D39" s="455">
        <v>80.51718865024767188598431135</v>
      </c>
      <c r="E39" s="456">
        <v>102.42526140661005722098596468</v>
      </c>
      <c r="F39" s="457">
        <v>51.270194412111343931349550447</v>
      </c>
      <c r="G39" s="455">
        <v>18.228324757048881586033961916</v>
      </c>
      <c r="H39" s="456">
        <v>16.765353007131902732914248323</v>
      </c>
      <c r="I39" s="457">
        <v>20.302977878832226994342027122</v>
      </c>
      <c r="J39" s="455">
        <v>0</v>
      </c>
      <c r="K39" s="456">
        <v>0</v>
      </c>
      <c r="L39" s="457">
        <v>5.2300507385420707938871789103</v>
      </c>
      <c r="M39" s="455">
        <v>101.26756652451404074458013745</v>
      </c>
      <c r="N39" s="456">
        <v>119.69594990866931965478196039</v>
      </c>
      <c r="O39" s="457">
        <v>76.803223029485641719578756472</v>
      </c>
      <c r="P39" s="5"/>
      <c r="Q39" s="428">
        <v>-24.602416936018826862377338310</v>
      </c>
      <c r="R39" s="429">
        <v>-30.754979069554912331989000570</v>
      </c>
      <c r="S39" s="430">
        <v>-44.362952847385945310071231430</v>
      </c>
      <c r="T39" s="428">
        <v>87.89464013201821878300169593</v>
      </c>
      <c r="U39" s="429">
        <v>17.388486798657614150590329260</v>
      </c>
      <c r="V39" s="430">
        <v>-13.753328822698429190573886910</v>
      </c>
      <c r="W39" s="428">
        <v>0</v>
      </c>
      <c r="X39" s="429">
        <v>-100</v>
      </c>
      <c r="Y39" s="430">
        <v>-35.741316249791859023052892780</v>
      </c>
      <c r="Z39" s="428">
        <v>-13.068707413460240970962182890</v>
      </c>
      <c r="AA39" s="429">
        <v>-26.205860612795253316948430980</v>
      </c>
      <c r="AB39" s="430">
        <v>-37.977299892732201364354149170</v>
      </c>
    </row>
    <row r="40" ht="18" customHeight="1">
      <c r="A40" s="58"/>
      <c r="B40" s="1056" t="s">
        <v>46</v>
      </c>
      <c r="C40" s="1056"/>
      <c r="D40" s="440">
        <v>65.490778305414175254987344101</v>
      </c>
      <c r="E40" s="95">
        <v>79.85477244824363980629057317</v>
      </c>
      <c r="F40" s="441">
        <v>43.924511132538462168515139666</v>
      </c>
      <c r="G40" s="440">
        <v>9.213335728949512465240921625</v>
      </c>
      <c r="H40" s="95">
        <v>13.478303187908869477341688031</v>
      </c>
      <c r="I40" s="441">
        <v>16.152320730140783116249624828</v>
      </c>
      <c r="J40" s="440">
        <v>0</v>
      </c>
      <c r="K40" s="95">
        <v>0</v>
      </c>
      <c r="L40" s="441">
        <v>4.8924474418830196218675812061</v>
      </c>
      <c r="M40" s="440">
        <v>75.01798548594981622407168113</v>
      </c>
      <c r="N40" s="95">
        <v>92.22178277298338105234216479</v>
      </c>
      <c r="O40" s="441">
        <v>64.969279304562264906632345706</v>
      </c>
      <c r="P40" s="5"/>
      <c r="Q40" s="421">
        <v>-34.034477107483965839113017850</v>
      </c>
      <c r="R40" s="91">
        <v>-35.306293007888496629122139570</v>
      </c>
      <c r="S40" s="422">
        <v>-51.326745608144449792639944920</v>
      </c>
      <c r="T40" s="421">
        <v>-35.121399479723018969914425450</v>
      </c>
      <c r="U40" s="91">
        <v>-30.808117832404135814774500600</v>
      </c>
      <c r="V40" s="422">
        <v>-46.755893591555640969419443380</v>
      </c>
      <c r="W40" s="421">
        <v>0</v>
      </c>
      <c r="X40" s="91">
        <v>-100</v>
      </c>
      <c r="Y40" s="422">
        <v>-35.863738050903347964344726140</v>
      </c>
      <c r="Z40" s="421">
        <v>-33.893908580286825342466877410</v>
      </c>
      <c r="AA40" s="91">
        <v>-35.472269540843754919129697510</v>
      </c>
      <c r="AB40" s="422">
        <v>-49.325172846977990714071710070</v>
      </c>
    </row>
    <row r="41" ht="18" customHeight="1">
      <c r="A41" s="58"/>
      <c r="B41" s="1056" t="s">
        <v>47</v>
      </c>
      <c r="C41" s="1056"/>
      <c r="D41" s="440">
        <v>56.790389253246838731288633462</v>
      </c>
      <c r="E41" s="95">
        <v>73.495472136719706908628204465</v>
      </c>
      <c r="F41" s="441">
        <v>44.366422680577828774140675873</v>
      </c>
      <c r="G41" s="440">
        <v>10.583261824098908053895355339</v>
      </c>
      <c r="H41" s="95">
        <v>16.177653340670161881086350134</v>
      </c>
      <c r="I41" s="441">
        <v>18.658841268642380389223687104</v>
      </c>
      <c r="J41" s="440">
        <v>0</v>
      </c>
      <c r="K41" s="95">
        <v>0</v>
      </c>
      <c r="L41" s="441">
        <v>4.8160635207922986241713004384</v>
      </c>
      <c r="M41" s="440">
        <v>68.010490682810825653173317224</v>
      </c>
      <c r="N41" s="95">
        <v>90.10728665854697495470676283</v>
      </c>
      <c r="O41" s="441">
        <v>67.841327470012507787535663416</v>
      </c>
      <c r="P41" s="93"/>
      <c r="Q41" s="421">
        <v>-42.600443645396989905124872790</v>
      </c>
      <c r="R41" s="91">
        <v>-41.771423465290273779835040800</v>
      </c>
      <c r="S41" s="422">
        <v>-54.139753981175249537977833520</v>
      </c>
      <c r="T41" s="421">
        <v>-40.425555200762350376187515570</v>
      </c>
      <c r="U41" s="91">
        <v>-21.972285305322497456997871270</v>
      </c>
      <c r="V41" s="422">
        <v>-46.244616259750675704661119140</v>
      </c>
      <c r="W41" s="421">
        <v>0</v>
      </c>
      <c r="X41" s="91">
        <v>0</v>
      </c>
      <c r="Y41" s="422">
        <v>-35.113224923284618619093583380</v>
      </c>
      <c r="Z41" s="421">
        <v>-41.723688834369095667532196150</v>
      </c>
      <c r="AA41" s="91">
        <v>-38.682554157167247639059532920</v>
      </c>
      <c r="AB41" s="422">
        <v>-51.149558186290298490787624640</v>
      </c>
    </row>
    <row r="42" ht="18" customHeight="1">
      <c r="A42" s="58"/>
      <c r="B42" s="1056" t="s">
        <v>48</v>
      </c>
      <c r="C42" s="1056"/>
      <c r="D42" s="440">
        <v>71.616333024104155560246401462</v>
      </c>
      <c r="E42" s="95">
        <v>81.0607068302517882904056999</v>
      </c>
      <c r="F42" s="441">
        <v>50.231872575827105676739278874</v>
      </c>
      <c r="G42" s="440">
        <v>12.307886585211680786629356597</v>
      </c>
      <c r="H42" s="95">
        <v>16.368689885128474228865320907</v>
      </c>
      <c r="I42" s="441">
        <v>19.651268415161387399080602665</v>
      </c>
      <c r="J42" s="440">
        <v>0</v>
      </c>
      <c r="K42" s="95">
        <v>0</v>
      </c>
      <c r="L42" s="441">
        <v>4.9062961465333429249140309588</v>
      </c>
      <c r="M42" s="440">
        <v>84.76894172882733765280043153</v>
      </c>
      <c r="N42" s="95">
        <v>97.7373453882413096530699981</v>
      </c>
      <c r="O42" s="441">
        <v>74.789437137521836000733912504</v>
      </c>
      <c r="P42" s="5"/>
      <c r="Q42" s="421">
        <v>-26.423744717431296517939022640</v>
      </c>
      <c r="R42" s="91">
        <v>-35.191090133801198914039086300</v>
      </c>
      <c r="S42" s="422">
        <v>-48.465964702667041961045652280</v>
      </c>
      <c r="T42" s="421">
        <v>-2.576851502368068174924549900</v>
      </c>
      <c r="U42" s="91">
        <v>-24.434312288723708226422641410</v>
      </c>
      <c r="V42" s="422">
        <v>-45.260250165594326680642497220</v>
      </c>
      <c r="W42" s="421">
        <v>0</v>
      </c>
      <c r="X42" s="91">
        <v>0</v>
      </c>
      <c r="Y42" s="422">
        <v>-36.504730166829824450397811190</v>
      </c>
      <c r="Z42" s="421">
        <v>-22.916046402013764312685433230</v>
      </c>
      <c r="AA42" s="91">
        <v>-33.393306508380953183339730460</v>
      </c>
      <c r="AB42" s="422">
        <v>-46.995315251480124107676455690</v>
      </c>
    </row>
    <row r="43" ht="18" customHeight="1">
      <c r="A43" s="58"/>
      <c r="B43" s="1056" t="s">
        <v>49</v>
      </c>
      <c r="C43" s="1056"/>
      <c r="D43" s="440">
        <v>82.51683145612104103837129265</v>
      </c>
      <c r="E43" s="95">
        <v>100.98693584105408194868629331</v>
      </c>
      <c r="F43" s="441">
        <v>55.281559856539843485443782902</v>
      </c>
      <c r="G43" s="440">
        <v>24.192069502611750445066457874</v>
      </c>
      <c r="H43" s="95">
        <v>17.17244224729648843524255908</v>
      </c>
      <c r="I43" s="441">
        <v>23.361137914685002658009439072</v>
      </c>
      <c r="J43" s="440">
        <v>0</v>
      </c>
      <c r="K43" s="95">
        <v>0</v>
      </c>
      <c r="L43" s="441">
        <v>5.1002807589413867996008868589</v>
      </c>
      <c r="M43" s="440">
        <v>107.40994490215498981437720011</v>
      </c>
      <c r="N43" s="95">
        <v>118.54714344787427873809822448</v>
      </c>
      <c r="O43" s="441">
        <v>83.74297853016623294305410883</v>
      </c>
      <c r="P43" s="93"/>
      <c r="Q43" s="421">
        <v>-29.201544525635286225302144400</v>
      </c>
      <c r="R43" s="91">
        <v>-31.898870575471259346309618350</v>
      </c>
      <c r="S43" s="422">
        <v>-46.744335996819477192215190470</v>
      </c>
      <c r="T43" s="421">
        <v>87.93561729911044244843401217</v>
      </c>
      <c r="U43" s="91">
        <v>-27.527940772925392585934177490</v>
      </c>
      <c r="V43" s="422">
        <v>-31.133672989311438903424131530</v>
      </c>
      <c r="W43" s="421">
        <v>0</v>
      </c>
      <c r="X43" s="91">
        <v>0</v>
      </c>
      <c r="Y43" s="422">
        <v>-36.112548609000984416506240920</v>
      </c>
      <c r="Z43" s="421">
        <v>-17.009425745117958932989399450</v>
      </c>
      <c r="AA43" s="91">
        <v>-31.071200056735673861106768930</v>
      </c>
      <c r="AB43" s="422">
        <v>-42.527544064755561974500800010</v>
      </c>
    </row>
    <row r="44" ht="18" customHeight="1">
      <c r="A44" s="58"/>
      <c r="B44" s="1057" t="s">
        <v>78</v>
      </c>
      <c r="C44" s="1057"/>
      <c r="D44" s="458">
        <v>71.504718491673486452881912921</v>
      </c>
      <c r="E44" s="459">
        <v>87.73081156059923914202961296</v>
      </c>
      <c r="F44" s="460">
        <v>49.028234535033620595249859504</v>
      </c>
      <c r="G44" s="458">
        <v>14.951457555937689094791845948</v>
      </c>
      <c r="H44" s="459">
        <v>16.014945183027290080226794012</v>
      </c>
      <c r="I44" s="460">
        <v>19.633180020038360968045383164</v>
      </c>
      <c r="J44" s="458">
        <v>0</v>
      </c>
      <c r="K44" s="459">
        <v>0</v>
      </c>
      <c r="L44" s="460">
        <v>4.9885006335687887771172359196</v>
      </c>
      <c r="M44" s="458">
        <v>87.41980400793867157270743325</v>
      </c>
      <c r="N44" s="459">
        <v>103.81938619266513807297760823</v>
      </c>
      <c r="O44" s="460">
        <v>73.649915188640770340412478593</v>
      </c>
      <c r="P44" s="5"/>
      <c r="Q44" s="431">
        <v>-31.086970089581809554265508780</v>
      </c>
      <c r="R44" s="432">
        <v>-34.605834138690173613231833150</v>
      </c>
      <c r="S44" s="433">
        <v>-48.973302092927063828496937120</v>
      </c>
      <c r="T44" s="431">
        <v>11.150966655269190854533197310</v>
      </c>
      <c r="U44" s="432">
        <v>-19.817964735834659000489069940</v>
      </c>
      <c r="V44" s="433">
        <v>-38.050114660580695058675813860</v>
      </c>
      <c r="W44" s="431">
        <v>0</v>
      </c>
      <c r="X44" s="432">
        <v>-100</v>
      </c>
      <c r="Y44" s="433">
        <v>-35.868778123113905512811648540</v>
      </c>
      <c r="Z44" s="431">
        <v>-25.417549241590202603377899710</v>
      </c>
      <c r="AA44" s="432">
        <v>-32.642337543686553123509100040</v>
      </c>
      <c r="AB44" s="433">
        <v>-45.667517633767173149227826720</v>
      </c>
    </row>
    <row r="45" ht="6" customHeight="1">
      <c r="A45" s="58"/>
      <c r="B45" s="632"/>
      <c r="C45" s="632"/>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58" t="s">
        <v>50</v>
      </c>
      <c r="C46" s="1058"/>
      <c r="D46" s="494">
        <v>99.43444185745626777915645887</v>
      </c>
      <c r="E46" s="495">
        <v>134.69865742434902341689832661</v>
      </c>
      <c r="F46" s="496">
        <v>65.843253746552201534089042073</v>
      </c>
      <c r="G46" s="494">
        <v>8.34874852488704471554552231</v>
      </c>
      <c r="H46" s="495">
        <v>18.445187627233774764516805174</v>
      </c>
      <c r="I46" s="496">
        <v>23.473320891870177192467893354</v>
      </c>
      <c r="J46" s="494">
        <v>0</v>
      </c>
      <c r="K46" s="495">
        <v>0</v>
      </c>
      <c r="L46" s="496">
        <v>5.3207739770371960992111685371</v>
      </c>
      <c r="M46" s="494">
        <v>131.76288320550053323033880893</v>
      </c>
      <c r="N46" s="495">
        <v>153.66031447341250950581611161</v>
      </c>
      <c r="O46" s="496">
        <v>94.63734861545957482576810397</v>
      </c>
      <c r="P46" s="93"/>
      <c r="Q46" s="480">
        <v>-35.308385747791771033398259400</v>
      </c>
      <c r="R46" s="481">
        <v>-35.296810761710532400508316580</v>
      </c>
      <c r="S46" s="482">
        <v>-47.199402217730990943947241290</v>
      </c>
      <c r="T46" s="480">
        <v>-34.021566182426256485119385670</v>
      </c>
      <c r="U46" s="481">
        <v>-17.616677629096193100952480850</v>
      </c>
      <c r="V46" s="482">
        <v>-24.478812127194866404269604130</v>
      </c>
      <c r="W46" s="480">
        <v>0</v>
      </c>
      <c r="X46" s="481">
        <v>0</v>
      </c>
      <c r="Y46" s="482">
        <v>-37.822927671171764961122886350</v>
      </c>
      <c r="Z46" s="480">
        <v>-20.796086722636615559574747410</v>
      </c>
      <c r="AA46" s="481">
        <v>-33.355976846368076108079904600</v>
      </c>
      <c r="AB46" s="482">
        <v>-42.414016071853266366578400930</v>
      </c>
    </row>
    <row r="47" ht="18" customHeight="1">
      <c r="A47" s="58"/>
      <c r="B47" s="1059" t="s">
        <v>51</v>
      </c>
      <c r="C47" s="1059"/>
      <c r="D47" s="277">
        <v>133.15154691791616668767251399</v>
      </c>
      <c r="E47" s="94">
        <v>147.11543409227661945779174172</v>
      </c>
      <c r="F47" s="278">
        <v>72.257310878338149088915092935</v>
      </c>
      <c r="G47" s="277">
        <v>5.5471856026545895069686552427</v>
      </c>
      <c r="H47" s="94">
        <v>17.407960817493703401073732502</v>
      </c>
      <c r="I47" s="278">
        <v>21.317315061940825714879390458</v>
      </c>
      <c r="J47" s="277">
        <v>0</v>
      </c>
      <c r="K47" s="94">
        <v>0</v>
      </c>
      <c r="L47" s="278">
        <v>5.6323452682233209246123680685</v>
      </c>
      <c r="M47" s="277">
        <v>140.43741228355335820164056803</v>
      </c>
      <c r="N47" s="94">
        <v>165.19883692500240860587014403</v>
      </c>
      <c r="O47" s="278">
        <v>99.20697120850229572840685145</v>
      </c>
      <c r="P47" s="5"/>
      <c r="Q47" s="272">
        <v>-15.457844228760569748955690410</v>
      </c>
      <c r="R47" s="92">
        <v>-32.780478719762530326377432950</v>
      </c>
      <c r="S47" s="273">
        <v>-42.641922716426462398015284940</v>
      </c>
      <c r="T47" s="272">
        <v>-51.769389793720248596317978640</v>
      </c>
      <c r="U47" s="92">
        <v>-14.122928339197431117594222530</v>
      </c>
      <c r="V47" s="273">
        <v>-22.104714584846997074850475370</v>
      </c>
      <c r="W47" s="272">
        <v>0</v>
      </c>
      <c r="X47" s="92">
        <v>0</v>
      </c>
      <c r="Y47" s="273">
        <v>-34.375435239322434864502941670</v>
      </c>
      <c r="Z47" s="272">
        <v>-16.900251996507423212776346420</v>
      </c>
      <c r="AA47" s="92">
        <v>-30.916432511409732726112136330</v>
      </c>
      <c r="AB47" s="273">
        <v>-38.732814981705547662543645070</v>
      </c>
    </row>
    <row r="48" ht="18" customHeight="1">
      <c r="A48" s="58"/>
      <c r="B48" s="1060" t="s">
        <v>79</v>
      </c>
      <c r="C48" s="1060"/>
      <c r="D48" s="444">
        <v>116.48745280731129662985362534</v>
      </c>
      <c r="E48" s="445">
        <v>140.90408190693423201356166989</v>
      </c>
      <c r="F48" s="446">
        <v>69.047404695232841020999820854</v>
      </c>
      <c r="G48" s="444">
        <v>6.9318094637229881062055717343</v>
      </c>
      <c r="H48" s="445">
        <v>17.926821805628878948842456698</v>
      </c>
      <c r="I48" s="446">
        <v>22.39628525227561813296576052</v>
      </c>
      <c r="J48" s="444">
        <v>0</v>
      </c>
      <c r="K48" s="445">
        <v>0</v>
      </c>
      <c r="L48" s="446">
        <v>5.4764198385759595186275297702</v>
      </c>
      <c r="M48" s="444">
        <v>136.10014774452694571598968842</v>
      </c>
      <c r="N48" s="445">
        <v>159.42681462706995452444819107</v>
      </c>
      <c r="O48" s="446">
        <v>96.92010978608441867259311114</v>
      </c>
      <c r="P48" s="93"/>
      <c r="Q48" s="274">
        <v>-25.137205974276227194704494760</v>
      </c>
      <c r="R48" s="275">
        <v>-34.008570013006369873991720520</v>
      </c>
      <c r="S48" s="276">
        <v>-44.911399342961314157711185480</v>
      </c>
      <c r="T48" s="274">
        <v>-42.605910322540926448235447760</v>
      </c>
      <c r="U48" s="275">
        <v>-15.955399005641952058421329960</v>
      </c>
      <c r="V48" s="276">
        <v>-23.363504967621494000830056740</v>
      </c>
      <c r="W48" s="274">
        <v>0</v>
      </c>
      <c r="X48" s="275">
        <v>0</v>
      </c>
      <c r="Y48" s="276">
        <v>-36.098283447432113446063465010</v>
      </c>
      <c r="Z48" s="274">
        <v>-18.832837622779528185067818260</v>
      </c>
      <c r="AA48" s="275">
        <v>-32.115150108440977887085946130</v>
      </c>
      <c r="AB48" s="276">
        <v>-40.588264638659634556169294400</v>
      </c>
    </row>
    <row r="49" ht="6" customHeight="1">
      <c r="A49" s="58"/>
      <c r="B49" s="632"/>
      <c r="C49" s="632"/>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7" t="s">
        <v>12</v>
      </c>
      <c r="C50" s="997"/>
      <c r="D50" s="483">
        <v>86.5236462990561351217088922</v>
      </c>
      <c r="E50" s="484">
        <v>103.25209018792924091568215734</v>
      </c>
      <c r="F50" s="485">
        <v>55.194448496649100485088913686</v>
      </c>
      <c r="G50" s="483">
        <v>14.930178837555886736214605067</v>
      </c>
      <c r="H50" s="484">
        <v>16.382407139874710025834815783</v>
      </c>
      <c r="I50" s="485">
        <v>20.128477652413399069733723754</v>
      </c>
      <c r="J50" s="483">
        <v>0</v>
      </c>
      <c r="K50" s="484">
        <v>0</v>
      </c>
      <c r="L50" s="485">
        <v>4.8990438076855091895348678665</v>
      </c>
      <c r="M50" s="483">
        <v>101.45382513661202185792349727</v>
      </c>
      <c r="N50" s="484">
        <v>119.63449732780395094151697313</v>
      </c>
      <c r="O50" s="485">
        <v>80.2219699567480087443575053</v>
      </c>
      <c r="P50" s="93"/>
      <c r="Q50" s="469">
        <v>-26.764519675286746121069652930</v>
      </c>
      <c r="R50" s="470">
        <v>-34.326142301620316805372870650</v>
      </c>
      <c r="S50" s="471">
        <v>-48.123252558701890015579315600</v>
      </c>
      <c r="T50" s="469">
        <v>11.052345659702911323255242750</v>
      </c>
      <c r="U50" s="470">
        <v>-17.640755784158179729574461960</v>
      </c>
      <c r="V50" s="471">
        <v>-30.392537059251971493902548550</v>
      </c>
      <c r="W50" s="469">
        <v>0</v>
      </c>
      <c r="X50" s="470">
        <v>-100</v>
      </c>
      <c r="Y50" s="471">
        <v>-39.527723748426513121142580810</v>
      </c>
      <c r="Z50" s="469">
        <v>-22.900812766138514581284091810</v>
      </c>
      <c r="AA50" s="470">
        <v>-32.459661600410354232027907820</v>
      </c>
      <c r="AB50" s="471">
        <v>-44.062580573007104585390316320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61" t="s">
        <v>129</v>
      </c>
      <c r="C52" s="1061"/>
      <c r="D52" s="1061"/>
      <c r="E52" s="1061"/>
      <c r="F52" s="1061"/>
      <c r="G52" s="1061"/>
      <c r="H52" s="1061"/>
      <c r="I52" s="1061"/>
      <c r="J52" s="1061"/>
      <c r="K52" s="1061"/>
      <c r="L52" s="1061"/>
      <c r="M52" s="1061"/>
      <c r="N52" s="1061"/>
      <c r="O52" s="1061"/>
      <c r="P52" s="1061"/>
      <c r="Q52" s="1061"/>
      <c r="R52" s="1061"/>
      <c r="S52" s="1061"/>
      <c r="T52" s="1061"/>
      <c r="U52" s="1061"/>
      <c r="V52" s="1061"/>
      <c r="W52" s="1061"/>
      <c r="X52" s="1061"/>
      <c r="Y52" s="1061"/>
      <c r="Z52" s="1061"/>
      <c r="AA52" s="1061"/>
      <c r="AB52" s="1061"/>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1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9"/>
      <c r="B1" s="657" t="s">
        <v>196</v>
      </c>
      <c r="Y1" s="5"/>
      <c r="AB1" s="686"/>
      <c r="AD1" s="236"/>
    </row>
    <row r="2" ht="15" customHeight="1">
      <c r="A2" s="11"/>
      <c r="B2" s="11" t="s">
        <v>211</v>
      </c>
    </row>
    <row r="3" ht="17.1" customHeight="1">
      <c r="A3" s="11"/>
      <c r="B3" s="11" t="s">
        <v>212</v>
      </c>
      <c r="R3" s="1053" t="s">
        <v>298</v>
      </c>
      <c r="S3" s="1053"/>
      <c r="T3" s="1053"/>
      <c r="U3" s="1053"/>
      <c r="V3" s="1053"/>
      <c r="W3" s="1053"/>
      <c r="X3" s="1053"/>
      <c r="Y3" s="1053"/>
      <c r="Z3" s="1053"/>
      <c r="AA3" s="1053"/>
      <c r="AB3" s="1053"/>
    </row>
    <row r="4" ht="19.5" customHeight="1">
      <c r="A4" s="4"/>
      <c r="B4" s="211" t="s">
        <v>213</v>
      </c>
      <c r="C4" s="5"/>
      <c r="D4" s="5"/>
      <c r="E4" s="5"/>
      <c r="F4" s="5"/>
      <c r="G4" s="5"/>
      <c r="H4" s="212"/>
      <c r="I4" s="212"/>
      <c r="J4" s="212"/>
      <c r="K4" s="212"/>
      <c r="L4" s="212"/>
      <c r="M4" s="212"/>
      <c r="N4" s="212"/>
      <c r="O4" s="212"/>
      <c r="P4" s="212"/>
      <c r="Q4" s="212"/>
      <c r="R4" s="212"/>
      <c r="S4" s="212"/>
      <c r="T4" s="212"/>
      <c r="U4" s="4"/>
      <c r="V4" s="4"/>
    </row>
    <row r="5" ht="12.75" customHeight="1"/>
    <row r="6" ht="15.75">
      <c r="D6" s="993" t="s">
        <v>44</v>
      </c>
      <c r="E6" s="993"/>
      <c r="F6" s="993"/>
      <c r="G6" s="993"/>
      <c r="H6" s="993"/>
      <c r="I6" s="993"/>
      <c r="J6" s="993"/>
      <c r="K6" s="993"/>
      <c r="L6" s="993"/>
      <c r="M6" s="993"/>
      <c r="N6" s="993"/>
      <c r="O6" s="993"/>
      <c r="Q6" s="975" t="s">
        <v>72</v>
      </c>
      <c r="R6" s="975"/>
      <c r="S6" s="975"/>
      <c r="T6" s="975"/>
      <c r="U6" s="975"/>
      <c r="V6" s="975"/>
      <c r="W6" s="975"/>
      <c r="X6" s="975"/>
      <c r="Y6" s="975"/>
      <c r="Z6" s="975"/>
      <c r="AA6" s="975"/>
      <c r="AB6" s="975"/>
    </row>
    <row r="7" ht="15.75">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1054"/>
      <c r="C8" s="1054"/>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88" t="s">
        <v>22</v>
      </c>
      <c r="C10" s="988"/>
      <c r="D10" s="988"/>
      <c r="E10" s="988"/>
      <c r="F10" s="988"/>
      <c r="G10" s="988"/>
      <c r="H10" s="988"/>
      <c r="I10" s="988"/>
      <c r="J10" s="988"/>
      <c r="K10" s="988"/>
      <c r="L10" s="988"/>
      <c r="M10" s="988"/>
      <c r="N10" s="988"/>
      <c r="O10" s="988"/>
      <c r="P10" s="412"/>
      <c r="Q10" s="986"/>
      <c r="R10" s="986"/>
      <c r="S10" s="986"/>
      <c r="T10" s="986"/>
      <c r="U10" s="986"/>
      <c r="V10" s="986"/>
      <c r="W10" s="986"/>
      <c r="X10" s="986"/>
      <c r="Y10" s="986"/>
      <c r="Z10" s="986"/>
      <c r="AA10" s="986"/>
      <c r="AB10" s="986"/>
      <c r="AC10" s="9"/>
    </row>
    <row r="11" ht="18" customHeight="1">
      <c r="A11" s="58"/>
      <c r="B11" s="1055" t="s">
        <v>43</v>
      </c>
      <c r="C11" s="1055"/>
      <c r="D11" s="428">
        <v>57.679725577452850180122907450</v>
      </c>
      <c r="E11" s="429">
        <v>59.690111308345077467164406540</v>
      </c>
      <c r="F11" s="430">
        <v>34.560947547279544325920389500</v>
      </c>
      <c r="G11" s="428">
        <v>1.7371265098537825810553083300</v>
      </c>
      <c r="H11" s="429">
        <v>1.2113061148114761241717935400</v>
      </c>
      <c r="I11" s="430">
        <v>2.2385214785086289132760178500</v>
      </c>
      <c r="J11" s="428">
        <v>0</v>
      </c>
      <c r="K11" s="429">
        <v>0</v>
      </c>
      <c r="L11" s="430">
        <v>3.9438085033308599517208939300</v>
      </c>
      <c r="M11" s="428">
        <v>59.416852087306632761178215780</v>
      </c>
      <c r="N11" s="429">
        <v>60.901417423156553591336200080</v>
      </c>
      <c r="O11" s="430">
        <v>40.743277529119033190917301280</v>
      </c>
      <c r="P11" s="5"/>
      <c r="Q11" s="428">
        <v>-14.401373065464702718855071170</v>
      </c>
      <c r="R11" s="429">
        <v>-21.182189849024922006349145080</v>
      </c>
      <c r="S11" s="430">
        <v>-39.202387818071420478437695950</v>
      </c>
      <c r="T11" s="428">
        <v>-51.120059507175122521959787910</v>
      </c>
      <c r="U11" s="429">
        <v>-84.12762428334468000884277773</v>
      </c>
      <c r="V11" s="430">
        <v>-76.021284950373618916885688240</v>
      </c>
      <c r="W11" s="428">
        <v>0</v>
      </c>
      <c r="X11" s="429">
        <v>0</v>
      </c>
      <c r="Y11" s="430">
        <v>-38.411034953454947374047713420</v>
      </c>
      <c r="Z11" s="428">
        <v>-16.240917108701201769042505980</v>
      </c>
      <c r="AA11" s="429">
        <v>-26.944562678810616218491664760</v>
      </c>
      <c r="AB11" s="430">
        <v>-43.868017010689519503948113040</v>
      </c>
    </row>
    <row r="12" ht="18" customHeight="1">
      <c r="A12" s="58"/>
      <c r="B12" s="1056" t="s">
        <v>46</v>
      </c>
      <c r="C12" s="1056"/>
      <c r="D12" s="421">
        <v>44.885304089849544394998940520</v>
      </c>
      <c r="E12" s="91">
        <v>46.387814634487820635706604770</v>
      </c>
      <c r="F12" s="422">
        <v>29.043172585502727644236191700</v>
      </c>
      <c r="G12" s="421">
        <v>1.1072261072261072261072261100</v>
      </c>
      <c r="H12" s="91">
        <v>0.9764153384378044638315382700</v>
      </c>
      <c r="I12" s="422">
        <v>2.0157697434941676804214724400</v>
      </c>
      <c r="J12" s="421">
        <v>0</v>
      </c>
      <c r="K12" s="91">
        <v>0</v>
      </c>
      <c r="L12" s="422">
        <v>3.7113894272418762581277090800</v>
      </c>
      <c r="M12" s="421">
        <v>45.992530197075651621106166630</v>
      </c>
      <c r="N12" s="91">
        <v>47.364229972925625099538143040</v>
      </c>
      <c r="O12" s="422">
        <v>34.770331756238771582785373220</v>
      </c>
      <c r="P12" s="5"/>
      <c r="Q12" s="421">
        <v>-33.334862615747352244703012380</v>
      </c>
      <c r="R12" s="91">
        <v>-34.198473127700442831002098760</v>
      </c>
      <c r="S12" s="422">
        <v>-48.212691543102451091735827270</v>
      </c>
      <c r="T12" s="421">
        <v>-85.79979617024250078649736893</v>
      </c>
      <c r="U12" s="91">
        <v>-88.49318700890100252825602347</v>
      </c>
      <c r="V12" s="422">
        <v>-82.17587857479005273654124778</v>
      </c>
      <c r="W12" s="421">
        <v>0</v>
      </c>
      <c r="X12" s="91">
        <v>0</v>
      </c>
      <c r="Y12" s="422">
        <v>-39.614225671983523521532646670</v>
      </c>
      <c r="Z12" s="421">
        <v>-38.780092659992662545975191380</v>
      </c>
      <c r="AA12" s="91">
        <v>-40.031693579844182767724211150</v>
      </c>
      <c r="AB12" s="422">
        <v>-52.717226440397904387960510220</v>
      </c>
    </row>
    <row r="13" ht="18" customHeight="1">
      <c r="A13" s="58"/>
      <c r="B13" s="1056" t="s">
        <v>47</v>
      </c>
      <c r="C13" s="1056"/>
      <c r="D13" s="421">
        <v>41.805997033269760542487815260</v>
      </c>
      <c r="E13" s="91">
        <v>44.577759188904320563842915380</v>
      </c>
      <c r="F13" s="422">
        <v>28.822151319881749913395804910</v>
      </c>
      <c r="G13" s="421">
        <v>2.0396270396270396270396270400</v>
      </c>
      <c r="H13" s="91">
        <v>0.7638557179279775728030473900</v>
      </c>
      <c r="I13" s="422">
        <v>1.6062884794288384838102126200</v>
      </c>
      <c r="J13" s="421">
        <v>0</v>
      </c>
      <c r="K13" s="91">
        <v>0</v>
      </c>
      <c r="L13" s="422">
        <v>3.9466929283271447560377951400</v>
      </c>
      <c r="M13" s="421">
        <v>43.845624072896800169527442310</v>
      </c>
      <c r="N13" s="91">
        <v>45.341614906832298136645962760</v>
      </c>
      <c r="O13" s="422">
        <v>34.375132727637733153243812670</v>
      </c>
      <c r="P13" s="184"/>
      <c r="Q13" s="421">
        <v>-33.980344719476189044974484060</v>
      </c>
      <c r="R13" s="91">
        <v>-34.731501146318653046422886930</v>
      </c>
      <c r="S13" s="422">
        <v>-48.407393631299990672298318900</v>
      </c>
      <c r="T13" s="421">
        <v>-72.851633862694614509027816740</v>
      </c>
      <c r="U13" s="91">
        <v>-91.19480934328990089731251862</v>
      </c>
      <c r="V13" s="422">
        <v>-88.35448240977745958562549894</v>
      </c>
      <c r="W13" s="421">
        <v>0</v>
      </c>
      <c r="X13" s="91">
        <v>0</v>
      </c>
      <c r="Y13" s="422">
        <v>-35.440250221068218423373092010</v>
      </c>
      <c r="Z13" s="421">
        <v>-38.103020729009173899906340390</v>
      </c>
      <c r="AA13" s="91">
        <v>-41.094974819587116072060890050</v>
      </c>
      <c r="AB13" s="422">
        <v>-54.633054759466054514576457620</v>
      </c>
    </row>
    <row r="14" ht="18" customHeight="1">
      <c r="A14" s="58"/>
      <c r="B14" s="1056" t="s">
        <v>48</v>
      </c>
      <c r="C14" s="1056"/>
      <c r="D14" s="421">
        <v>44.168388429752066115702479370</v>
      </c>
      <c r="E14" s="91">
        <v>46.463804930049194851467082190</v>
      </c>
      <c r="F14" s="422">
        <v>31.515003234901317225589995890</v>
      </c>
      <c r="G14" s="421">
        <v>1.3403263403263403263403263400</v>
      </c>
      <c r="H14" s="91">
        <v>0.55005077945868856945981700</v>
      </c>
      <c r="I14" s="422">
        <v>1.6024486145280846301314541300</v>
      </c>
      <c r="J14" s="421">
        <v>0</v>
      </c>
      <c r="K14" s="91">
        <v>0</v>
      </c>
      <c r="L14" s="422">
        <v>3.8151625583464076219667583900</v>
      </c>
      <c r="M14" s="421">
        <v>45.508714770078406442042805710</v>
      </c>
      <c r="N14" s="91">
        <v>47.013855709507883420926899200</v>
      </c>
      <c r="O14" s="422">
        <v>36.932614407775809477688208410</v>
      </c>
      <c r="P14" s="5"/>
      <c r="Q14" s="421">
        <v>-33.858363031727256231996253400</v>
      </c>
      <c r="R14" s="91">
        <v>-35.286945634153454705289245330</v>
      </c>
      <c r="S14" s="422">
        <v>-42.955950637687477882659460470</v>
      </c>
      <c r="T14" s="421">
        <v>-69.290697610025878429785423990</v>
      </c>
      <c r="U14" s="91">
        <v>-93.60727763720372411266545671</v>
      </c>
      <c r="V14" s="422">
        <v>-90.10544733840179431687139022</v>
      </c>
      <c r="W14" s="421">
        <v>0</v>
      </c>
      <c r="X14" s="91">
        <v>0</v>
      </c>
      <c r="Y14" s="422">
        <v>-39.284642186318569447784440470</v>
      </c>
      <c r="Z14" s="421">
        <v>-36.032104363363446568842104750</v>
      </c>
      <c r="AA14" s="91">
        <v>-41.528013527211910743260863270</v>
      </c>
      <c r="AB14" s="422">
        <v>-52.483413806751594399805392280</v>
      </c>
    </row>
    <row r="15" ht="18" customHeight="1">
      <c r="A15" s="58"/>
      <c r="B15" s="1056" t="s">
        <v>49</v>
      </c>
      <c r="C15" s="1056"/>
      <c r="D15" s="421">
        <v>55.883018496654860291223927630</v>
      </c>
      <c r="E15" s="91">
        <v>54.867557580455379510540413470</v>
      </c>
      <c r="F15" s="422">
        <v>35.799105924074511035682817800</v>
      </c>
      <c r="G15" s="421">
        <v>2.2065623770169224714679260200</v>
      </c>
      <c r="H15" s="91">
        <v>0.6485619108193912673359545300</v>
      </c>
      <c r="I15" s="422">
        <v>2.0093180548634994952018446200</v>
      </c>
      <c r="J15" s="421">
        <v>0</v>
      </c>
      <c r="K15" s="91">
        <v>0</v>
      </c>
      <c r="L15" s="422">
        <v>3.9261980163568481059638313500</v>
      </c>
      <c r="M15" s="421">
        <v>58.089580873671782762691853650</v>
      </c>
      <c r="N15" s="91">
        <v>55.51611949127477077787636800</v>
      </c>
      <c r="O15" s="422">
        <v>41.734621995294858636848493770</v>
      </c>
      <c r="P15" s="184"/>
      <c r="Q15" s="421">
        <v>-25.651374223330540212380948360</v>
      </c>
      <c r="R15" s="91">
        <v>-30.247084690215020838514891340</v>
      </c>
      <c r="S15" s="422">
        <v>-37.984837070358759142027978980</v>
      </c>
      <c r="T15" s="421">
        <v>-33.424874177100953125203735630</v>
      </c>
      <c r="U15" s="91">
        <v>-93.79592601237686776447116226</v>
      </c>
      <c r="V15" s="422">
        <v>-88.71660071320676169919733932</v>
      </c>
      <c r="W15" s="421">
        <v>0</v>
      </c>
      <c r="X15" s="91">
        <v>0</v>
      </c>
      <c r="Y15" s="422">
        <v>-38.323345292196311823161678550</v>
      </c>
      <c r="Z15" s="421">
        <v>-25.979676240191563555028606540</v>
      </c>
      <c r="AA15" s="91">
        <v>-37.701914087197737848540192040</v>
      </c>
      <c r="AB15" s="422">
        <v>-49.041906570008725397895938250</v>
      </c>
    </row>
    <row r="16" ht="18" customHeight="1">
      <c r="A16" s="58"/>
      <c r="B16" s="1057" t="s">
        <v>78</v>
      </c>
      <c r="C16" s="1057"/>
      <c r="D16" s="431">
        <v>48.990525085566407880457467280</v>
      </c>
      <c r="E16" s="432">
        <v>50.465139044387858922483619750</v>
      </c>
      <c r="F16" s="433">
        <v>32.004424589832716946192413980</v>
      </c>
      <c r="G16" s="431">
        <v>1.6940583521162033558727773600</v>
      </c>
      <c r="H16" s="432">
        <v>0.8272883349960422005479380900</v>
      </c>
      <c r="I16" s="433">
        <v>1.8961497474718704575256155900</v>
      </c>
      <c r="J16" s="431">
        <v>0</v>
      </c>
      <c r="K16" s="432">
        <v>0</v>
      </c>
      <c r="L16" s="433">
        <v>3.8694923280810727674815172800</v>
      </c>
      <c r="M16" s="431">
        <v>50.684583437682611236330244640</v>
      </c>
      <c r="N16" s="432">
        <v>51.292427379383901123031557850</v>
      </c>
      <c r="O16" s="433">
        <v>37.770066665385660171199546860</v>
      </c>
      <c r="P16" s="5"/>
      <c r="Q16" s="431">
        <v>-27.875565682309873880924920100</v>
      </c>
      <c r="R16" s="432">
        <v>-30.799721760980961796291192150</v>
      </c>
      <c r="S16" s="433">
        <v>-43.199909130080453339781180050</v>
      </c>
      <c r="T16" s="431">
        <v>-68.287887630919035274463806080</v>
      </c>
      <c r="U16" s="432">
        <v>-90.56534816379993176279718702</v>
      </c>
      <c r="V16" s="433">
        <v>-86.14806111743449738443505917</v>
      </c>
      <c r="W16" s="431">
        <v>0</v>
      </c>
      <c r="X16" s="432">
        <v>0</v>
      </c>
      <c r="Y16" s="433">
        <v>-38.188886387819420678102353430</v>
      </c>
      <c r="Z16" s="630">
        <v>-30.822080394312249984996321620</v>
      </c>
      <c r="AA16" s="214">
        <v>-37.214593218678040880421503700</v>
      </c>
      <c r="AB16" s="631">
        <v>-50.494450855968053050986230430</v>
      </c>
    </row>
    <row r="17" ht="6" customHeight="1">
      <c r="A17" s="58"/>
      <c r="B17" s="632"/>
      <c r="C17" s="632"/>
      <c r="D17" s="91"/>
      <c r="E17" s="91"/>
      <c r="F17" s="91"/>
      <c r="G17" s="91"/>
      <c r="H17" s="91"/>
      <c r="I17" s="91"/>
      <c r="J17" s="91"/>
      <c r="K17" s="91"/>
      <c r="L17" s="91"/>
      <c r="M17" s="91"/>
      <c r="N17" s="91"/>
      <c r="O17" s="91"/>
      <c r="P17" s="5"/>
      <c r="Q17" s="91"/>
      <c r="R17" s="91"/>
      <c r="S17" s="91"/>
      <c r="T17" s="91"/>
      <c r="U17" s="91"/>
      <c r="V17" s="91"/>
      <c r="W17" s="91"/>
      <c r="X17" s="91"/>
      <c r="Y17" s="91"/>
      <c r="Z17" s="633"/>
      <c r="AA17" s="633"/>
      <c r="AB17" s="633"/>
      <c r="AC17" s="4"/>
    </row>
    <row r="18" ht="18" customHeight="1">
      <c r="A18" s="58"/>
      <c r="B18" s="1058" t="s">
        <v>50</v>
      </c>
      <c r="C18" s="1058"/>
      <c r="D18" s="480">
        <v>73.920454545454545454545454600</v>
      </c>
      <c r="E18" s="481">
        <v>68.794981736735856375732809650</v>
      </c>
      <c r="F18" s="482">
        <v>41.874065190583676100130355130</v>
      </c>
      <c r="G18" s="480">
        <v>1.6732888323797414706505615600</v>
      </c>
      <c r="H18" s="481">
        <v>0.754309551685866828599090400</v>
      </c>
      <c r="I18" s="482">
        <v>2.5340073067719654341384214800</v>
      </c>
      <c r="J18" s="480">
        <v>0</v>
      </c>
      <c r="K18" s="481">
        <v>0</v>
      </c>
      <c r="L18" s="482">
        <v>3.8351777451493883895589613200</v>
      </c>
      <c r="M18" s="480">
        <v>75.593743377834286925196016170</v>
      </c>
      <c r="N18" s="481">
        <v>69.549291288421723204331900050</v>
      </c>
      <c r="O18" s="482">
        <v>48.243250242505029923827737920</v>
      </c>
      <c r="P18" s="184"/>
      <c r="Q18" s="480">
        <v>-4.0019249449898838789735967900</v>
      </c>
      <c r="R18" s="481">
        <v>-16.264216182170478240711993700</v>
      </c>
      <c r="S18" s="482">
        <v>-36.333861185560799565661892900</v>
      </c>
      <c r="T18" s="480">
        <v>-52.211844715263751896213420300</v>
      </c>
      <c r="U18" s="481">
        <v>-92.83180726679955162758379033</v>
      </c>
      <c r="V18" s="482">
        <v>-84.67162875773770388290399101</v>
      </c>
      <c r="W18" s="480">
        <v>0</v>
      </c>
      <c r="X18" s="481">
        <v>0</v>
      </c>
      <c r="Y18" s="482">
        <v>-38.351414206641504747047596990</v>
      </c>
      <c r="Z18" s="480">
        <v>-6.0987990183472284437575818200</v>
      </c>
      <c r="AA18" s="481">
        <v>-24.957780631755328425499517960</v>
      </c>
      <c r="AB18" s="482">
        <v>-45.502535709339124685477525320</v>
      </c>
    </row>
    <row r="19" ht="18" customHeight="1">
      <c r="A19" s="58"/>
      <c r="B19" s="1059" t="s">
        <v>51</v>
      </c>
      <c r="C19" s="1059"/>
      <c r="D19" s="272">
        <v>82.13617821572367026912481467</v>
      </c>
      <c r="E19" s="92">
        <v>76.271177904305278036925902740</v>
      </c>
      <c r="F19" s="273">
        <v>45.990323918252976615284539450</v>
      </c>
      <c r="G19" s="272">
        <v>1.6732888323797414706505615600</v>
      </c>
      <c r="H19" s="92">
        <v>0.7793078418326420140376265300</v>
      </c>
      <c r="I19" s="273">
        <v>2.6124189629077114739706001200</v>
      </c>
      <c r="J19" s="272">
        <v>0</v>
      </c>
      <c r="K19" s="92">
        <v>0</v>
      </c>
      <c r="L19" s="273">
        <v>3.9616288809976841141751824400</v>
      </c>
      <c r="M19" s="272">
        <v>83.80946704810341173977537623</v>
      </c>
      <c r="N19" s="92">
        <v>77.050485746137920050963529280</v>
      </c>
      <c r="O19" s="273">
        <v>52.564371762158372203430322010</v>
      </c>
      <c r="P19" s="5"/>
      <c r="Q19" s="272">
        <v>4.7564369752500681442461809700</v>
      </c>
      <c r="R19" s="92">
        <v>-9.981811066881292632417806710</v>
      </c>
      <c r="S19" s="273">
        <v>-32.003328679677946908706128820</v>
      </c>
      <c r="T19" s="272">
        <v>-60.163452926104674455239415840</v>
      </c>
      <c r="U19" s="92">
        <v>-92.13236059864531548643842254</v>
      </c>
      <c r="V19" s="273">
        <v>-80.44744380987581300811330335</v>
      </c>
      <c r="W19" s="272">
        <v>0</v>
      </c>
      <c r="X19" s="92">
        <v>0</v>
      </c>
      <c r="Y19" s="273">
        <v>-39.383399038158876276956154850</v>
      </c>
      <c r="Z19" s="272">
        <v>1.4554095780549064692200104600</v>
      </c>
      <c r="AA19" s="92">
        <v>-18.580426301474799774684438610</v>
      </c>
      <c r="AB19" s="273">
        <v>-39.948874955776746644467384520</v>
      </c>
    </row>
    <row r="20" ht="18" customHeight="1">
      <c r="A20" s="58"/>
      <c r="B20" s="1060" t="s">
        <v>79</v>
      </c>
      <c r="C20" s="1060"/>
      <c r="D20" s="274">
        <v>78.028316380589107861835134630</v>
      </c>
      <c r="E20" s="275">
        <v>72.533079820520567206329356180</v>
      </c>
      <c r="F20" s="276">
        <v>43.932194554418326357707447290</v>
      </c>
      <c r="G20" s="274">
        <v>1.6732888323797414706505615600</v>
      </c>
      <c r="H20" s="275">
        <v>0.7668086967592544213183584700</v>
      </c>
      <c r="I20" s="276">
        <v>2.573213134839838454054510800</v>
      </c>
      <c r="J20" s="274">
        <v>0</v>
      </c>
      <c r="K20" s="275">
        <v>0</v>
      </c>
      <c r="L20" s="276">
        <v>3.8984033130735362518670718800</v>
      </c>
      <c r="M20" s="274">
        <v>79.70160521296884933248569620</v>
      </c>
      <c r="N20" s="275">
        <v>73.299888517279821627647714660</v>
      </c>
      <c r="O20" s="276">
        <v>50.403811002331701063629029970</v>
      </c>
      <c r="P20" s="184"/>
      <c r="Q20" s="274">
        <v>0.4168408394555427640273689200</v>
      </c>
      <c r="R20" s="275">
        <v>-13.074613127266348616035592380</v>
      </c>
      <c r="S20" s="276">
        <v>-34.138328155330879162235944200</v>
      </c>
      <c r="T20" s="274">
        <v>-56.54843791004358160932750800</v>
      </c>
      <c r="U20" s="275">
        <v>-92.49266004604655048620026843</v>
      </c>
      <c r="V20" s="276">
        <v>-82.78355022529928032574789863</v>
      </c>
      <c r="W20" s="274">
        <v>0</v>
      </c>
      <c r="X20" s="275">
        <v>0</v>
      </c>
      <c r="Y20" s="276">
        <v>-38.880128670320981341140845490</v>
      </c>
      <c r="Z20" s="274">
        <v>-2.2729798741807672922107622900</v>
      </c>
      <c r="AA20" s="275">
        <v>-21.735846274697256415352210970</v>
      </c>
      <c r="AB20" s="276">
        <v>-42.741338012943411502104567090</v>
      </c>
    </row>
    <row r="21" ht="6" customHeight="1">
      <c r="A21" s="58"/>
      <c r="B21" s="632"/>
      <c r="C21" s="632"/>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7" t="s">
        <v>12</v>
      </c>
      <c r="C22" s="997"/>
      <c r="D22" s="469">
        <v>57.147562582345191040843214760</v>
      </c>
      <c r="E22" s="470">
        <v>56.825546853902241425870915470</v>
      </c>
      <c r="F22" s="471">
        <v>35.406332205813009846995427460</v>
      </c>
      <c r="G22" s="469">
        <v>1.7374835309617918313570487500</v>
      </c>
      <c r="H22" s="470">
        <v>0.6863804122783328832478170900</v>
      </c>
      <c r="I22" s="471">
        <v>2.0578305465321752238174475600</v>
      </c>
      <c r="J22" s="469">
        <v>0</v>
      </c>
      <c r="K22" s="470">
        <v>0</v>
      </c>
      <c r="L22" s="471">
        <v>3.8677454263767927739359256800</v>
      </c>
      <c r="M22" s="469">
        <v>58.885046113306982872200263500</v>
      </c>
      <c r="N22" s="470">
        <v>57.511927266180574309118732560</v>
      </c>
      <c r="O22" s="471">
        <v>41.331908178721977844748800690</v>
      </c>
      <c r="P22" s="184"/>
      <c r="Q22" s="469">
        <v>-19.076492537313432835820895510</v>
      </c>
      <c r="R22" s="470">
        <v>-25.745359790151422156965326950</v>
      </c>
      <c r="S22" s="471">
        <v>-40.667421453392799925969279100</v>
      </c>
      <c r="T22" s="469">
        <v>-65.181518151815181518151815140</v>
      </c>
      <c r="U22" s="470">
        <v>-91.96981948940310750941106858</v>
      </c>
      <c r="V22" s="471">
        <v>-84.91132855635539961840810162</v>
      </c>
      <c r="W22" s="469">
        <v>0</v>
      </c>
      <c r="X22" s="470">
        <v>0</v>
      </c>
      <c r="Y22" s="471">
        <v>-38.598122642279879934188633600</v>
      </c>
      <c r="Z22" s="469">
        <v>-22.119363972990633848834676550</v>
      </c>
      <c r="AA22" s="470">
        <v>-32.398914682588590350025093900</v>
      </c>
      <c r="AB22" s="471">
        <v>-48.083102724006520820136652180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0" t="s">
        <v>9</v>
      </c>
      <c r="C24" s="1050"/>
      <c r="D24" s="1050"/>
      <c r="E24" s="1050"/>
      <c r="F24" s="1050"/>
      <c r="G24" s="1050"/>
      <c r="H24" s="1050"/>
      <c r="I24" s="1050"/>
      <c r="J24" s="1050"/>
      <c r="K24" s="1050"/>
      <c r="L24" s="1050"/>
      <c r="M24" s="1050"/>
      <c r="N24" s="1050"/>
      <c r="O24" s="1050"/>
      <c r="P24" s="412"/>
      <c r="Q24" s="1051"/>
      <c r="R24" s="1051"/>
      <c r="S24" s="1051"/>
      <c r="T24" s="1051"/>
      <c r="U24" s="1051"/>
      <c r="V24" s="1051"/>
      <c r="W24" s="1051"/>
      <c r="X24" s="1051"/>
      <c r="Y24" s="1051"/>
      <c r="Z24" s="1051"/>
      <c r="AA24" s="1051"/>
      <c r="AB24" s="1051"/>
      <c r="AC24" s="9"/>
    </row>
    <row r="25" ht="18" customHeight="1">
      <c r="A25" s="58"/>
      <c r="B25" s="1055" t="s">
        <v>43</v>
      </c>
      <c r="C25" s="1055"/>
      <c r="D25" s="455">
        <v>124.00081070003831230234967963</v>
      </c>
      <c r="E25" s="456">
        <v>128.14660418728183297310947952</v>
      </c>
      <c r="F25" s="457">
        <v>123.55795529067908977624293094</v>
      </c>
      <c r="G25" s="455">
        <v>182.7737534979162577456334921</v>
      </c>
      <c r="H25" s="456">
        <v>176.63842688129264372691015056</v>
      </c>
      <c r="I25" s="457">
        <v>108.30258645961702108654260015</v>
      </c>
      <c r="J25" s="455">
        <v>0</v>
      </c>
      <c r="K25" s="456">
        <v>0</v>
      </c>
      <c r="L25" s="457">
        <v>94.05573529323433959894916374</v>
      </c>
      <c r="M25" s="455">
        <v>125.71911171077335843802792581</v>
      </c>
      <c r="N25" s="456">
        <v>129.11108816537189098307805961</v>
      </c>
      <c r="O25" s="457">
        <v>119.86408022683814589287412464</v>
      </c>
      <c r="P25" s="5"/>
      <c r="Q25" s="428">
        <v>-28.008068156552410641382362660</v>
      </c>
      <c r="R25" s="429">
        <v>-33.557677237467563489801118560</v>
      </c>
      <c r="S25" s="430">
        <v>-27.596938558038696751830227940</v>
      </c>
      <c r="T25" s="428">
        <v>13.525315147229254370258983170</v>
      </c>
      <c r="U25" s="429">
        <v>-4.0183985275519208660021407800</v>
      </c>
      <c r="V25" s="430">
        <v>-43.170766969823348713891178890</v>
      </c>
      <c r="W25" s="428">
        <v>0</v>
      </c>
      <c r="X25" s="429">
        <v>0</v>
      </c>
      <c r="Y25" s="430">
        <v>-23.03636303525704698110925400</v>
      </c>
      <c r="Z25" s="428">
        <v>-26.770964970724067206522282200</v>
      </c>
      <c r="AA25" s="429">
        <v>-32.775686932101496144022418640</v>
      </c>
      <c r="AB25" s="430">
        <v>-29.049930606350290587612056280</v>
      </c>
    </row>
    <row r="26" ht="18" customHeight="1">
      <c r="A26" s="58"/>
      <c r="B26" s="1056" t="s">
        <v>46</v>
      </c>
      <c r="C26" s="1056"/>
      <c r="D26" s="440">
        <v>134.36817479797423714920710811</v>
      </c>
      <c r="E26" s="95">
        <v>133.35079353108451912781943</v>
      </c>
      <c r="F26" s="441">
        <v>127.01116206435556227812157387</v>
      </c>
      <c r="G26" s="440">
        <v>217.95683352867233237457627596</v>
      </c>
      <c r="H26" s="95">
        <v>163.87758203477206973437033205</v>
      </c>
      <c r="I26" s="441">
        <v>104.00231867945501938271431151</v>
      </c>
      <c r="J26" s="440">
        <v>0</v>
      </c>
      <c r="K26" s="95">
        <v>0</v>
      </c>
      <c r="L26" s="441">
        <v>92.525880682948719333902542</v>
      </c>
      <c r="M26" s="440">
        <v>136.38049168547887651684332009</v>
      </c>
      <c r="N26" s="95">
        <v>133.98010439595629169816873075</v>
      </c>
      <c r="O26" s="441">
        <v>121.99628788182187760121487333</v>
      </c>
      <c r="P26" s="5"/>
      <c r="Q26" s="421">
        <v>-21.569005535713264408124226160</v>
      </c>
      <c r="R26" s="91">
        <v>-27.198231545414241782557511890</v>
      </c>
      <c r="S26" s="422">
        <v>-26.941816977061187386541996180</v>
      </c>
      <c r="T26" s="421">
        <v>49.446604307235418759890751540</v>
      </c>
      <c r="U26" s="91">
        <v>-11.647958597036311129711425960</v>
      </c>
      <c r="V26" s="422">
        <v>-43.452800159686795932286467310</v>
      </c>
      <c r="W26" s="421">
        <v>0</v>
      </c>
      <c r="X26" s="91">
        <v>0</v>
      </c>
      <c r="Y26" s="422">
        <v>-22.952850358116337275939064090</v>
      </c>
      <c r="Z26" s="421">
        <v>-19.146463657273816990377443970</v>
      </c>
      <c r="AA26" s="91">
        <v>-26.953754799564069506651089890</v>
      </c>
      <c r="AB26" s="422">
        <v>-28.617544712104838615439984760</v>
      </c>
    </row>
    <row r="27" ht="18" customHeight="1">
      <c r="A27" s="58"/>
      <c r="B27" s="1056" t="s">
        <v>47</v>
      </c>
      <c r="C27" s="1056"/>
      <c r="D27" s="440">
        <v>127.32323539417498819558940977</v>
      </c>
      <c r="E27" s="95">
        <v>140.27611563162661307156399412</v>
      </c>
      <c r="F27" s="441">
        <v>131.04834645657827546095960553</v>
      </c>
      <c r="G27" s="440">
        <v>189.53569893149081710408484644</v>
      </c>
      <c r="H27" s="95">
        <v>164.18387432401301042921276954</v>
      </c>
      <c r="I27" s="441">
        <v>107.99365235556905170443410545</v>
      </c>
      <c r="J27" s="440">
        <v>0</v>
      </c>
      <c r="K27" s="95">
        <v>0</v>
      </c>
      <c r="L27" s="441">
        <v>91.92262411754928472161732355</v>
      </c>
      <c r="M27" s="440">
        <v>130.21725789962628818831209298</v>
      </c>
      <c r="N27" s="95">
        <v>140.6788820134051729233761118</v>
      </c>
      <c r="O27" s="441">
        <v>125.47892210790025666985754009</v>
      </c>
      <c r="P27" s="93"/>
      <c r="Q27" s="421">
        <v>-33.311133987015969154458512720</v>
      </c>
      <c r="R27" s="91">
        <v>-29.739656204265608915427609770</v>
      </c>
      <c r="S27" s="422">
        <v>-29.125456946149695574426158140</v>
      </c>
      <c r="T27" s="421">
        <v>16.437839257750982157087580860</v>
      </c>
      <c r="U27" s="91">
        <v>-17.010673412056852719266093530</v>
      </c>
      <c r="V27" s="422">
        <v>-40.462466846276022814538260410</v>
      </c>
      <c r="W27" s="421">
        <v>0</v>
      </c>
      <c r="X27" s="91">
        <v>0</v>
      </c>
      <c r="Y27" s="422">
        <v>-24.764932193945742339286115450</v>
      </c>
      <c r="Z27" s="421">
        <v>-30.712082600435161452316928790</v>
      </c>
      <c r="AA27" s="91">
        <v>-29.465673484268242859924911950</v>
      </c>
      <c r="AB27" s="422">
        <v>-29.978965157230637643623028890</v>
      </c>
    </row>
    <row r="28" ht="18" customHeight="1">
      <c r="A28" s="58"/>
      <c r="B28" s="1056" t="s">
        <v>48</v>
      </c>
      <c r="C28" s="1056"/>
      <c r="D28" s="440">
        <v>138.52367913010647127194180056</v>
      </c>
      <c r="E28" s="95">
        <v>149.49502635008215028897335037</v>
      </c>
      <c r="F28" s="441">
        <v>136.99254391615290126116204406</v>
      </c>
      <c r="G28" s="440">
        <v>231.97939103879036753286664917</v>
      </c>
      <c r="H28" s="95">
        <v>165.26752071287328761921515394</v>
      </c>
      <c r="I28" s="441">
        <v>110.37451084621866092022230858</v>
      </c>
      <c r="J28" s="440">
        <v>0</v>
      </c>
      <c r="K28" s="95">
        <v>0</v>
      </c>
      <c r="L28" s="441">
        <v>94.87851968600209771111543357</v>
      </c>
      <c r="M28" s="440">
        <v>141.27614429986593924327130434</v>
      </c>
      <c r="N28" s="95">
        <v>149.67956073228357660563584971</v>
      </c>
      <c r="O28" s="441">
        <v>131.48722343183497334222374347</v>
      </c>
      <c r="P28" s="5"/>
      <c r="Q28" s="421">
        <v>-17.315615938344247722265785300</v>
      </c>
      <c r="R28" s="91">
        <v>-12.900970578963089548750789890</v>
      </c>
      <c r="S28" s="422">
        <v>-22.621363952697994512159384490</v>
      </c>
      <c r="T28" s="421">
        <v>39.314325729200763616134874950</v>
      </c>
      <c r="U28" s="91">
        <v>-24.100027188406054682240650430</v>
      </c>
      <c r="V28" s="422">
        <v>-41.003666702634060797019039470</v>
      </c>
      <c r="W28" s="421">
        <v>0</v>
      </c>
      <c r="X28" s="91">
        <v>0</v>
      </c>
      <c r="Y28" s="422">
        <v>-23.488457809223853928907394340</v>
      </c>
      <c r="Z28" s="421">
        <v>-15.641231237464167520367898150</v>
      </c>
      <c r="AA28" s="91">
        <v>-15.230270716340031302256632320</v>
      </c>
      <c r="AB28" s="422">
        <v>-24.798783236364662859390556080</v>
      </c>
    </row>
    <row r="29" ht="18" customHeight="1">
      <c r="A29" s="58"/>
      <c r="B29" s="1056" t="s">
        <v>49</v>
      </c>
      <c r="C29" s="1056"/>
      <c r="D29" s="440">
        <v>148.26705850323753362050236241</v>
      </c>
      <c r="E29" s="95">
        <v>157.17952796687162017522385048</v>
      </c>
      <c r="F29" s="441">
        <v>145.56019673011887360706588709</v>
      </c>
      <c r="G29" s="440">
        <v>198.64221518749176606980718637</v>
      </c>
      <c r="H29" s="95">
        <v>194.13881055876267591946043909</v>
      </c>
      <c r="I29" s="441">
        <v>122.54542980656429672866541587</v>
      </c>
      <c r="J29" s="440">
        <v>0</v>
      </c>
      <c r="K29" s="95">
        <v>0</v>
      </c>
      <c r="L29" s="441">
        <v>94.77346510669447415151456806</v>
      </c>
      <c r="M29" s="440">
        <v>150.18058454016212880150712416</v>
      </c>
      <c r="N29" s="95">
        <v>157.61130135377194286079833189</v>
      </c>
      <c r="O29" s="441">
        <v>139.6743700490289233823674323</v>
      </c>
      <c r="P29" s="93"/>
      <c r="Q29" s="421">
        <v>-18.806977375621068143051380120</v>
      </c>
      <c r="R29" s="91">
        <v>-19.776048026069458409158462830</v>
      </c>
      <c r="S29" s="422">
        <v>-20.314176858118699694502190070</v>
      </c>
      <c r="T29" s="421">
        <v>13.671606031943464809113082960</v>
      </c>
      <c r="U29" s="91">
        <v>-7.8484318858182075961137384300</v>
      </c>
      <c r="V29" s="422">
        <v>-35.92145119194009522301943900</v>
      </c>
      <c r="W29" s="421">
        <v>0</v>
      </c>
      <c r="X29" s="91">
        <v>0</v>
      </c>
      <c r="Y29" s="422">
        <v>-22.566963547298246545958014780</v>
      </c>
      <c r="Z29" s="421">
        <v>-17.609339542408983159905940500</v>
      </c>
      <c r="AA29" s="91">
        <v>-20.259768432927225776721983270</v>
      </c>
      <c r="AB29" s="422">
        <v>-22.337220831290148701176243340</v>
      </c>
    </row>
    <row r="30" ht="18" customHeight="1">
      <c r="A30" s="58"/>
      <c r="B30" s="1057" t="s">
        <v>78</v>
      </c>
      <c r="C30" s="1057"/>
      <c r="D30" s="458">
        <v>134.88076943881317697254016283</v>
      </c>
      <c r="E30" s="459">
        <v>141.76660364394261545589459591</v>
      </c>
      <c r="F30" s="460">
        <v>133.32230421228915607510796907</v>
      </c>
      <c r="G30" s="458">
        <v>200.95936901244055414246179756</v>
      </c>
      <c r="H30" s="459">
        <v>172.82783779852628384991986983</v>
      </c>
      <c r="I30" s="460">
        <v>110.89040607252939477323475165</v>
      </c>
      <c r="J30" s="458">
        <v>0</v>
      </c>
      <c r="K30" s="459">
        <v>0</v>
      </c>
      <c r="L30" s="460">
        <v>93.65183971228213659411917432</v>
      </c>
      <c r="M30" s="458">
        <v>137.08935035062985684226996171</v>
      </c>
      <c r="N30" s="459">
        <v>142.2675859136371868131472119</v>
      </c>
      <c r="O30" s="460">
        <v>128.13198252808441351791031015</v>
      </c>
      <c r="P30" s="5"/>
      <c r="Q30" s="431">
        <v>-23.840963501846128484329655520</v>
      </c>
      <c r="R30" s="432">
        <v>-24.952251689895965965526272260</v>
      </c>
      <c r="S30" s="433">
        <v>-25.071742352043271923624006040</v>
      </c>
      <c r="T30" s="431">
        <v>25.803568848602428628757916520</v>
      </c>
      <c r="U30" s="432">
        <v>-13.576472337395620816026031010</v>
      </c>
      <c r="V30" s="433">
        <v>-40.664380553231401459098412440</v>
      </c>
      <c r="W30" s="431">
        <v>0</v>
      </c>
      <c r="X30" s="432">
        <v>0</v>
      </c>
      <c r="Y30" s="433">
        <v>-23.352461109970640502674626230</v>
      </c>
      <c r="Z30" s="431">
        <v>-22.036604502567119465434555650</v>
      </c>
      <c r="AA30" s="432">
        <v>-25.158047266081618324501927150</v>
      </c>
      <c r="AB30" s="433">
        <v>-26.767244619334736062514790320</v>
      </c>
    </row>
    <row r="31" ht="6" customHeight="1">
      <c r="A31" s="58"/>
      <c r="B31" s="632"/>
      <c r="C31" s="632"/>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58" t="s">
        <v>50</v>
      </c>
      <c r="C32" s="1058"/>
      <c r="D32" s="494">
        <v>144.20227619927511708983055782</v>
      </c>
      <c r="E32" s="495">
        <v>151.95552097596776553150181997</v>
      </c>
      <c r="F32" s="496">
        <v>130.64256370803502582748467314</v>
      </c>
      <c r="G32" s="494">
        <v>172.11326025777382111821327089</v>
      </c>
      <c r="H32" s="495">
        <v>237.27898854910513471909991484</v>
      </c>
      <c r="I32" s="496">
        <v>124.01578289213657930100266524</v>
      </c>
      <c r="J32" s="494">
        <v>0</v>
      </c>
      <c r="K32" s="495">
        <v>0</v>
      </c>
      <c r="L32" s="496">
        <v>92.45010948742717159019403965</v>
      </c>
      <c r="M32" s="494">
        <v>144.82009370425541999435412923</v>
      </c>
      <c r="N32" s="495">
        <v>152.88091223993440901218359036</v>
      </c>
      <c r="O32" s="496">
        <v>127.25831491371296694427771561</v>
      </c>
      <c r="P32" s="93"/>
      <c r="Q32" s="480">
        <v>-38.589439062117565912276676150</v>
      </c>
      <c r="R32" s="481">
        <v>-39.318335709023288895445759690</v>
      </c>
      <c r="S32" s="482">
        <v>-33.480501349470875697907911280</v>
      </c>
      <c r="T32" s="480">
        <v>-0.9690595742015720586145903500</v>
      </c>
      <c r="U32" s="481">
        <v>2.9088819114172774536851555500</v>
      </c>
      <c r="V32" s="482">
        <v>-36.604529015845960351864625080</v>
      </c>
      <c r="W32" s="480">
        <v>0</v>
      </c>
      <c r="X32" s="481">
        <v>0</v>
      </c>
      <c r="Y32" s="482">
        <v>-25.565264872028220945863523860</v>
      </c>
      <c r="Z32" s="480">
        <v>-37.621298462934052997515377240</v>
      </c>
      <c r="AA32" s="481">
        <v>-38.394542164990450129613376920</v>
      </c>
      <c r="AB32" s="482">
        <v>-33.435062259952029697436945540</v>
      </c>
    </row>
    <row r="33" ht="18" customHeight="1">
      <c r="A33" s="58"/>
      <c r="B33" s="1059" t="s">
        <v>51</v>
      </c>
      <c r="C33" s="1059"/>
      <c r="D33" s="277">
        <v>144.67884455054099651339717079</v>
      </c>
      <c r="E33" s="94">
        <v>157.12417660231228622117795863</v>
      </c>
      <c r="F33" s="278">
        <v>133.52064858871444836378351707</v>
      </c>
      <c r="G33" s="277">
        <v>174.31065013753136438138384925</v>
      </c>
      <c r="H33" s="94">
        <v>221.27330480470066542452978621</v>
      </c>
      <c r="I33" s="278">
        <v>120.34424724024013705097401521</v>
      </c>
      <c r="J33" s="277">
        <v>0</v>
      </c>
      <c r="K33" s="94">
        <v>0</v>
      </c>
      <c r="L33" s="278">
        <v>96.03108305535948551746473663</v>
      </c>
      <c r="M33" s="277">
        <v>145.27045515395290132877046498</v>
      </c>
      <c r="N33" s="94">
        <v>157.77299689423827909508561402</v>
      </c>
      <c r="O33" s="278">
        <v>130.04030591237843569638182619</v>
      </c>
      <c r="P33" s="5"/>
      <c r="Q33" s="272">
        <v>-38.122144680288440028592918810</v>
      </c>
      <c r="R33" s="92">
        <v>-38.185983317978907371086557990</v>
      </c>
      <c r="S33" s="273">
        <v>-30.664680993758535590914355270</v>
      </c>
      <c r="T33" s="272">
        <v>7.976763768491798743931315100</v>
      </c>
      <c r="U33" s="92">
        <v>-3.101685785133940534077550200</v>
      </c>
      <c r="V33" s="273">
        <v>-39.837570316183439907489662190</v>
      </c>
      <c r="W33" s="272">
        <v>0</v>
      </c>
      <c r="X33" s="92">
        <v>0</v>
      </c>
      <c r="Y33" s="273">
        <v>-25.105649934082687568584846980</v>
      </c>
      <c r="Z33" s="272">
        <v>-36.875501499595008279968108900</v>
      </c>
      <c r="AA33" s="92">
        <v>-37.263391004377527057964187800</v>
      </c>
      <c r="AB33" s="273">
        <v>-31.161501276125732333357170320</v>
      </c>
    </row>
    <row r="34" ht="18" customHeight="1">
      <c r="A34" s="58"/>
      <c r="B34" s="1060" t="s">
        <v>79</v>
      </c>
      <c r="C34" s="1060"/>
      <c r="D34" s="444">
        <v>144.45310503198132612936963076</v>
      </c>
      <c r="E34" s="445">
        <v>154.6730358931509834208415504</v>
      </c>
      <c r="F34" s="446">
        <v>132.14902220924551293172844839</v>
      </c>
      <c r="G34" s="444">
        <v>173.21195519765259274979856007</v>
      </c>
      <c r="H34" s="445">
        <v>229.14569864992722104422492162</v>
      </c>
      <c r="I34" s="446">
        <v>122.15204505593845374254664104</v>
      </c>
      <c r="J34" s="444">
        <v>0</v>
      </c>
      <c r="K34" s="445">
        <v>0</v>
      </c>
      <c r="L34" s="446">
        <v>94.26963496613209580460508796</v>
      </c>
      <c r="M34" s="634">
        <v>145.05688035978952612053332888</v>
      </c>
      <c r="N34" s="635">
        <v>155.45211327823121764456599018</v>
      </c>
      <c r="O34" s="636">
        <v>128.70893547379388134573290565</v>
      </c>
      <c r="P34" s="93"/>
      <c r="Q34" s="274">
        <v>-38.349745368664268959239424090</v>
      </c>
      <c r="R34" s="275">
        <v>-38.702200386023109030464527530</v>
      </c>
      <c r="S34" s="276">
        <v>-32.042430926318920883209671700</v>
      </c>
      <c r="T34" s="274">
        <v>3.6859085182896983791807212400</v>
      </c>
      <c r="U34" s="275">
        <v>-0.1533195774045391601488095400</v>
      </c>
      <c r="V34" s="276">
        <v>-38.180126769461848539117964310</v>
      </c>
      <c r="W34" s="274">
        <v>0</v>
      </c>
      <c r="X34" s="275">
        <v>0</v>
      </c>
      <c r="Y34" s="276">
        <v>-25.338100528476928684010990990</v>
      </c>
      <c r="Z34" s="274">
        <v>-37.241462642108049676236260470</v>
      </c>
      <c r="AA34" s="275">
        <v>-37.779422183677196012697229990</v>
      </c>
      <c r="AB34" s="276">
        <v>-32.275984822074672700905235390</v>
      </c>
    </row>
    <row r="35" ht="6" customHeight="1">
      <c r="A35" s="58"/>
      <c r="B35" s="632"/>
      <c r="C35" s="632"/>
      <c r="D35" s="95"/>
      <c r="E35" s="95"/>
      <c r="F35" s="95"/>
      <c r="G35" s="95"/>
      <c r="H35" s="95"/>
      <c r="I35" s="95"/>
      <c r="J35" s="95"/>
      <c r="K35" s="95"/>
      <c r="L35" s="95"/>
      <c r="M35" s="637"/>
      <c r="N35" s="637"/>
      <c r="O35" s="637"/>
      <c r="P35" s="93"/>
      <c r="Q35" s="91"/>
      <c r="R35" s="91"/>
      <c r="S35" s="91"/>
      <c r="T35" s="91"/>
      <c r="U35" s="91"/>
      <c r="V35" s="91"/>
      <c r="W35" s="91"/>
      <c r="X35" s="91"/>
      <c r="Y35" s="91"/>
      <c r="Z35" s="91"/>
      <c r="AA35" s="91"/>
      <c r="AB35" s="91"/>
    </row>
    <row r="36" ht="18" customHeight="1">
      <c r="A36" s="58"/>
      <c r="B36" s="997" t="s">
        <v>12</v>
      </c>
      <c r="C36" s="997"/>
      <c r="D36" s="483">
        <v>138.57017291066282420749279539</v>
      </c>
      <c r="E36" s="484">
        <v>146.41194408142251792008237299</v>
      </c>
      <c r="F36" s="485">
        <v>132.90130179144105170962185703</v>
      </c>
      <c r="G36" s="483">
        <v>191.67298578199052132701421801</v>
      </c>
      <c r="H36" s="484">
        <v>197.06885245901639344262295083</v>
      </c>
      <c r="I36" s="485">
        <v>113.91280139932097731294231952</v>
      </c>
      <c r="J36" s="483">
        <v>0</v>
      </c>
      <c r="K36" s="484">
        <v>0</v>
      </c>
      <c r="L36" s="485">
        <v>94.15748361873684813492025249</v>
      </c>
      <c r="M36" s="483">
        <v>140.13704377010208362466787862</v>
      </c>
      <c r="N36" s="484">
        <v>147.01651275629989043668805761</v>
      </c>
      <c r="O36" s="485">
        <v>128.33034559796788088844002724</v>
      </c>
      <c r="P36" s="93"/>
      <c r="Q36" s="469">
        <v>-28.967383628012359786356736160</v>
      </c>
      <c r="R36" s="470">
        <v>-29.682664146873691643569263110</v>
      </c>
      <c r="S36" s="471">
        <v>-27.741104710387894576923399150</v>
      </c>
      <c r="T36" s="469">
        <v>20.595356358572480376434706350</v>
      </c>
      <c r="U36" s="470">
        <v>-7.406259068348484701591923500</v>
      </c>
      <c r="V36" s="471">
        <v>-39.101935046566358480059796730</v>
      </c>
      <c r="W36" s="469">
        <v>0</v>
      </c>
      <c r="X36" s="470">
        <v>0</v>
      </c>
      <c r="Y36" s="471">
        <v>-23.767107087726828297004740220</v>
      </c>
      <c r="Z36" s="469">
        <v>-27.274979319903842615145905690</v>
      </c>
      <c r="AA36" s="470">
        <v>-29.549216201605505100453356730</v>
      </c>
      <c r="AB36" s="471">
        <v>-28.578521554480756934906488100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0" t="s">
        <v>10</v>
      </c>
      <c r="C38" s="1050"/>
      <c r="D38" s="1050"/>
      <c r="E38" s="1050"/>
      <c r="F38" s="1050"/>
      <c r="G38" s="1050"/>
      <c r="H38" s="1050"/>
      <c r="I38" s="1050"/>
      <c r="J38" s="1050"/>
      <c r="K38" s="1050"/>
      <c r="L38" s="1050"/>
      <c r="M38" s="1050"/>
      <c r="N38" s="1050"/>
      <c r="O38" s="1050"/>
      <c r="P38" s="412"/>
      <c r="Q38" s="1051"/>
      <c r="R38" s="1051"/>
      <c r="S38" s="1051"/>
      <c r="T38" s="1051"/>
      <c r="U38" s="1051"/>
      <c r="V38" s="1051"/>
      <c r="W38" s="1051"/>
      <c r="X38" s="1051"/>
      <c r="Y38" s="1051"/>
      <c r="Z38" s="1051"/>
      <c r="AA38" s="1051"/>
      <c r="AB38" s="1051"/>
      <c r="AC38" s="9"/>
    </row>
    <row r="39" ht="18" customHeight="1">
      <c r="A39" s="58"/>
      <c r="B39" s="1055" t="s">
        <v>43</v>
      </c>
      <c r="C39" s="1055"/>
      <c r="D39" s="455">
        <v>71.523327325598889064466514725</v>
      </c>
      <c r="E39" s="456">
        <v>76.490850677252919937298363518</v>
      </c>
      <c r="F39" s="457">
        <v>42.70280011850271085090270413</v>
      </c>
      <c r="G39" s="455">
        <v>3.175011325067108546026341499</v>
      </c>
      <c r="H39" s="456">
        <v>2.1396320659198959759506411579</v>
      </c>
      <c r="I39" s="457">
        <v>2.4243766596789050821254147822</v>
      </c>
      <c r="J39" s="455">
        <v>0</v>
      </c>
      <c r="K39" s="456">
        <v>0</v>
      </c>
      <c r="L39" s="457">
        <v>3.7093780863649406292011801423</v>
      </c>
      <c r="M39" s="455">
        <v>74.698338650665997610492856219</v>
      </c>
      <c r="N39" s="456">
        <v>78.630482743172815913249004675</v>
      </c>
      <c r="O39" s="457">
        <v>48.836554864546556562229299056</v>
      </c>
      <c r="P39" s="5"/>
      <c r="Q39" s="428">
        <v>-38.375894838362378207298920050</v>
      </c>
      <c r="R39" s="429">
        <v>-47.631616185129084391494233670</v>
      </c>
      <c r="S39" s="430">
        <v>-55.980667496672900449550160690</v>
      </c>
      <c r="T39" s="428">
        <v>-44.508893511742433520478432080</v>
      </c>
      <c r="U39" s="429">
        <v>-84.76543959543026603454505358</v>
      </c>
      <c r="V39" s="430">
        <v>-86.37308014680578504139359533</v>
      </c>
      <c r="W39" s="428">
        <v>0</v>
      </c>
      <c r="X39" s="429">
        <v>0</v>
      </c>
      <c r="Y39" s="430">
        <v>-52.598892531234634997142460540</v>
      </c>
      <c r="Z39" s="428">
        <v>-38.664031849330538273182826410</v>
      </c>
      <c r="AA39" s="429">
        <v>-50.888984102081284397418541780</v>
      </c>
      <c r="AB39" s="430">
        <v>-60.174319117052563538987905930</v>
      </c>
    </row>
    <row r="40" ht="18" customHeight="1">
      <c r="A40" s="58"/>
      <c r="B40" s="1056" t="s">
        <v>46</v>
      </c>
      <c r="C40" s="1056"/>
      <c r="D40" s="440">
        <v>60.311563858051315053958184225</v>
      </c>
      <c r="E40" s="95">
        <v>61.858518916818062591606289202</v>
      </c>
      <c r="F40" s="441">
        <v>36.888071001203354943445152697</v>
      </c>
      <c r="G40" s="440">
        <v>2.4132749633128055449399471141</v>
      </c>
      <c r="H40" s="95">
        <v>1.6001258472485103515938709306</v>
      </c>
      <c r="I40" s="441">
        <v>2.096447272472837283814351082</v>
      </c>
      <c r="J40" s="440">
        <v>0</v>
      </c>
      <c r="K40" s="95">
        <v>0</v>
      </c>
      <c r="L40" s="441">
        <v>3.4339957531293922991859889297</v>
      </c>
      <c r="M40" s="440">
        <v>62.724838821364120598898131343</v>
      </c>
      <c r="N40" s="95">
        <v>63.458644764066572943200160132</v>
      </c>
      <c r="O40" s="441">
        <v>42.418514026805584526445492707</v>
      </c>
      <c r="P40" s="5"/>
      <c r="Q40" s="421">
        <v>-47.713869788547658755016064780</v>
      </c>
      <c r="R40" s="91">
        <v>-52.095324766846450273701668790</v>
      </c>
      <c r="S40" s="422">
        <v>-62.165133404905918951604640100</v>
      </c>
      <c r="T40" s="421">
        <v>-78.778277571721420288980111740</v>
      </c>
      <c r="U40" s="91">
        <v>-89.83349582194260930283768775</v>
      </c>
      <c r="V40" s="422">
        <v>-89.92095843790644910803541123</v>
      </c>
      <c r="W40" s="421">
        <v>0</v>
      </c>
      <c r="X40" s="91">
        <v>0</v>
      </c>
      <c r="Y40" s="422">
        <v>-53.474482091082976602127451360</v>
      </c>
      <c r="Z40" s="421">
        <v>-50.501539969863873340533668460</v>
      </c>
      <c r="AA40" s="91">
        <v>-56.195403849784219388417602340</v>
      </c>
      <c r="AB40" s="422">
        <v>-66.248395304940318674166411290</v>
      </c>
    </row>
    <row r="41" ht="18" customHeight="1">
      <c r="A41" s="58"/>
      <c r="B41" s="1056" t="s">
        <v>47</v>
      </c>
      <c r="C41" s="1056"/>
      <c r="D41" s="440">
        <v>53.228748011551869270388573345</v>
      </c>
      <c r="E41" s="95">
        <v>62.531949025815482502179193144</v>
      </c>
      <c r="F41" s="441">
        <v>37.770952717917883864425935587</v>
      </c>
      <c r="G41" s="440">
        <v>3.8658213651527847311439216994</v>
      </c>
      <c r="H41" s="95">
        <v>1.2541279119396580158733296419</v>
      </c>
      <c r="I41" s="441">
        <v>1.7346895963019361337907724552</v>
      </c>
      <c r="J41" s="440">
        <v>0</v>
      </c>
      <c r="K41" s="95">
        <v>0</v>
      </c>
      <c r="L41" s="441">
        <v>3.6279037055800600714355514431</v>
      </c>
      <c r="M41" s="440">
        <v>57.094569376704654001532495044</v>
      </c>
      <c r="N41" s="95">
        <v>63.786076937755140518052522786</v>
      </c>
      <c r="O41" s="441">
        <v>43.133546019799880069652259483</v>
      </c>
      <c r="P41" s="93"/>
      <c r="Q41" s="421">
        <v>-55.972240547737539208366342480</v>
      </c>
      <c r="R41" s="91">
        <v>-54.142128315088525580014292790</v>
      </c>
      <c r="S41" s="422">
        <v>-63.433975986612197757401108220</v>
      </c>
      <c r="T41" s="421">
        <v>-68.389029075938655945185638610</v>
      </c>
      <c r="U41" s="91">
        <v>-92.69263156921179990961713229</v>
      </c>
      <c r="V41" s="422">
        <v>-93.06654610379849742383081291</v>
      </c>
      <c r="W41" s="421">
        <v>0</v>
      </c>
      <c r="X41" s="91">
        <v>0</v>
      </c>
      <c r="Y41" s="422">
        <v>-51.428428478401710418348144260</v>
      </c>
      <c r="Z41" s="421">
        <v>-57.112872129890106044125415850</v>
      </c>
      <c r="AA41" s="91">
        <v>-58.451737205073566897518771070</v>
      </c>
      <c r="AB41" s="422">
        <v>-68.233595466025629125895473260</v>
      </c>
    </row>
    <row r="42" ht="18" customHeight="1">
      <c r="A42" s="58"/>
      <c r="B42" s="1056" t="s">
        <v>48</v>
      </c>
      <c r="C42" s="1056"/>
      <c r="D42" s="440">
        <v>61.183676665368824165618509162</v>
      </c>
      <c r="E42" s="95">
        <v>69.461077423427813061181607118</v>
      </c>
      <c r="F42" s="441">
        <v>43.173204646749194476930271005</v>
      </c>
      <c r="G42" s="440">
        <v>3.1092808822215492151841100999</v>
      </c>
      <c r="H42" s="95">
        <v>0.9090552858732090983719887491</v>
      </c>
      <c r="I42" s="441">
        <v>1.7686948198473814306871175656</v>
      </c>
      <c r="J42" s="440">
        <v>0</v>
      </c>
      <c r="K42" s="95">
        <v>0</v>
      </c>
      <c r="L42" s="441">
        <v>3.6197697589736776227705936159</v>
      </c>
      <c r="M42" s="440">
        <v>64.292957547590373380802619258</v>
      </c>
      <c r="N42" s="95">
        <v>70.370132709301022159553595865</v>
      </c>
      <c r="O42" s="441">
        <v>48.561669225570253530387982187</v>
      </c>
      <c r="P42" s="5"/>
      <c r="Q42" s="421">
        <v>-45.311194864487282533931195430</v>
      </c>
      <c r="R42" s="91">
        <v>-43.63555773863970665766420800</v>
      </c>
      <c r="S42" s="422">
        <v>-55.860092657292892968555992190</v>
      </c>
      <c r="T42" s="421">
        <v>-57.217542439266217330896910460</v>
      </c>
      <c r="U42" s="91">
        <v>-95.14792546471694054704134929</v>
      </c>
      <c r="V42" s="422">
        <v>-94.16257673348013000106146579</v>
      </c>
      <c r="W42" s="421">
        <v>0</v>
      </c>
      <c r="X42" s="91">
        <v>0</v>
      </c>
      <c r="Y42" s="422">
        <v>-53.545743390104430806625336340</v>
      </c>
      <c r="Z42" s="421">
        <v>-46.037470837629521375284669560</v>
      </c>
      <c r="AA42" s="91">
        <v>-50.433455360239259467124689300</v>
      </c>
      <c r="AB42" s="422">
        <v>-64.266949018135645913520815660</v>
      </c>
    </row>
    <row r="43" ht="18" customHeight="1">
      <c r="A43" s="58"/>
      <c r="B43" s="1056" t="s">
        <v>49</v>
      </c>
      <c r="C43" s="1056"/>
      <c r="D43" s="440">
        <v>82.85610772781031376306300611</v>
      </c>
      <c r="E43" s="95">
        <v>86.24056801191125288944511535</v>
      </c>
      <c r="F43" s="441">
        <v>52.109249010706498383834755132</v>
      </c>
      <c r="G43" s="440">
        <v>4.3831643852001884922575764232</v>
      </c>
      <c r="H43" s="95">
        <v>1.259110379401949343538756079</v>
      </c>
      <c r="I43" s="441">
        <v>2.4623274465133728590598191293</v>
      </c>
      <c r="J43" s="440">
        <v>0</v>
      </c>
      <c r="K43" s="95">
        <v>0</v>
      </c>
      <c r="L43" s="441">
        <v>3.7209939070516880425079296307</v>
      </c>
      <c r="M43" s="440">
        <v>87.23927211301050225532058253</v>
      </c>
      <c r="N43" s="95">
        <v>87.49967839131320223298387143</v>
      </c>
      <c r="O43" s="441">
        <v>58.292570364271559285402503891</v>
      </c>
      <c r="P43" s="93"/>
      <c r="Q43" s="421">
        <v>-39.634103452233939172668567200</v>
      </c>
      <c r="R43" s="91">
        <v>-44.041454721461654260140105040</v>
      </c>
      <c r="S43" s="422">
        <v>-50.582706946736546723764691500</v>
      </c>
      <c r="T43" s="421">
        <v>-24.322985259323535769865763350</v>
      </c>
      <c r="U43" s="91">
        <v>-94.28284853344123483311536986</v>
      </c>
      <c r="V43" s="422">
        <v>-92.76976148080391160219783752</v>
      </c>
      <c r="W43" s="421">
        <v>0</v>
      </c>
      <c r="X43" s="91">
        <v>0</v>
      </c>
      <c r="Y43" s="422">
        <v>-52.241893477299377990678807320</v>
      </c>
      <c r="Z43" s="421">
        <v>-39.014166381446662316470365410</v>
      </c>
      <c r="AA43" s="91">
        <v>-50.323362031277533513471439450</v>
      </c>
      <c r="AB43" s="422">
        <v>-60.424528430881033036030835370</v>
      </c>
    </row>
    <row r="44" ht="18" customHeight="1">
      <c r="A44" s="58"/>
      <c r="B44" s="1057" t="s">
        <v>78</v>
      </c>
      <c r="C44" s="1057"/>
      <c r="D44" s="458">
        <v>66.078797187526758498340837027</v>
      </c>
      <c r="E44" s="459">
        <v>71.542713647421865994722462169</v>
      </c>
      <c r="F44" s="460">
        <v>42.669036313049450846912376527</v>
      </c>
      <c r="G44" s="458">
        <v>3.404368975115270657218670231</v>
      </c>
      <c r="H44" s="459">
        <v>1.4297845417330885689819754746</v>
      </c>
      <c r="I44" s="460">
        <v>2.1026481547147978219797794393</v>
      </c>
      <c r="J44" s="458">
        <v>0</v>
      </c>
      <c r="K44" s="459">
        <v>0</v>
      </c>
      <c r="L44" s="460">
        <v>3.6238507527735406874760237117</v>
      </c>
      <c r="M44" s="458">
        <v>69.483166162642029155559507256</v>
      </c>
      <c r="N44" s="459">
        <v>72.972498189154954563704437644</v>
      </c>
      <c r="O44" s="460">
        <v>48.395535220537789356368179675</v>
      </c>
      <c r="P44" s="5"/>
      <c r="Q44" s="431">
        <v>-45.070725743903360618178087080</v>
      </c>
      <c r="R44" s="432">
        <v>-48.066749357289300154578772210</v>
      </c>
      <c r="S44" s="433">
        <v>-57.440681568713136040057261090</v>
      </c>
      <c r="T44" s="431">
        <v>-60.105030882417061832952255940</v>
      </c>
      <c r="U44" s="432">
        <v>-91.84624106047122202557974007</v>
      </c>
      <c r="V44" s="433">
        <v>-91.78086625864196272621323221</v>
      </c>
      <c r="W44" s="431">
        <v>0</v>
      </c>
      <c r="X44" s="432">
        <v>0</v>
      </c>
      <c r="Y44" s="433">
        <v>-52.623302655743659254973451080</v>
      </c>
      <c r="Z44" s="431">
        <v>-46.066544940921498800731650930</v>
      </c>
      <c r="AA44" s="432">
        <v>-53.010175532924633012408893600</v>
      </c>
      <c r="AB44" s="433">
        <v>-63.745722295496057856268110360</v>
      </c>
    </row>
    <row r="45" ht="6" customHeight="1">
      <c r="A45" s="58"/>
      <c r="B45" s="632"/>
      <c r="C45" s="632"/>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58" t="s">
        <v>50</v>
      </c>
      <c r="C46" s="1058"/>
      <c r="D46" s="494">
        <v>106.59497803139598143969861129</v>
      </c>
      <c r="E46" s="495">
        <v>104.53777290337884763602364612</v>
      </c>
      <c r="F46" s="496">
        <v>54.705352293752397403995642476</v>
      </c>
      <c r="G46" s="494">
        <v>2.8799519629380091862782189884</v>
      </c>
      <c r="H46" s="495">
        <v>1.789818074769514229911333937</v>
      </c>
      <c r="I46" s="496">
        <v>3.1425690000371979957893356408</v>
      </c>
      <c r="J46" s="494">
        <v>0</v>
      </c>
      <c r="K46" s="495">
        <v>0</v>
      </c>
      <c r="L46" s="496">
        <v>3.5456260244280501876188483683</v>
      </c>
      <c r="M46" s="494">
        <v>109.47492999433399062597683027</v>
      </c>
      <c r="N46" s="495">
        <v>106.32759097814836186593498005</v>
      </c>
      <c r="O46" s="496">
        <v>61.393547318217645587403826484</v>
      </c>
      <c r="P46" s="93"/>
      <c r="Q46" s="480">
        <v>-41.047043619148896630138989740</v>
      </c>
      <c r="R46" s="481">
        <v>-49.187732772246687742482076580</v>
      </c>
      <c r="S46" s="482">
        <v>-57.649603650485117049338786880</v>
      </c>
      <c r="T46" s="480">
        <v>-52.674940409384803037492937610</v>
      </c>
      <c r="U46" s="481">
        <v>-92.62329300500795604139533808</v>
      </c>
      <c r="V46" s="482">
        <v>-90.28250685676819395078777614</v>
      </c>
      <c r="W46" s="480">
        <v>0</v>
      </c>
      <c r="X46" s="481">
        <v>0</v>
      </c>
      <c r="Y46" s="482">
        <v>-54.112038454573164457000797040</v>
      </c>
      <c r="Z46" s="480">
        <v>-41.425650099934378473898650710</v>
      </c>
      <c r="AA46" s="481">
        <v>-53.769897188640659038851962200</v>
      </c>
      <c r="AB46" s="482">
        <v>-63.723796825016713113839662970</v>
      </c>
    </row>
    <row r="47" ht="18" customHeight="1">
      <c r="A47" s="58"/>
      <c r="B47" s="1059" t="s">
        <v>51</v>
      </c>
      <c r="C47" s="1059"/>
      <c r="D47" s="277">
        <v>118.83367360048216642660640884</v>
      </c>
      <c r="E47" s="94">
        <v>119.84046026702441200327184729</v>
      </c>
      <c r="F47" s="278">
        <v>61.406578783702046412076584498</v>
      </c>
      <c r="G47" s="277">
        <v>2.9167206423998347870237385476</v>
      </c>
      <c r="H47" s="94">
        <v>1.7244002162252765238860124203</v>
      </c>
      <c r="I47" s="278">
        <v>3.1438959356725735751176397883</v>
      </c>
      <c r="J47" s="277">
        <v>0</v>
      </c>
      <c r="K47" s="94">
        <v>0</v>
      </c>
      <c r="L47" s="278">
        <v>3.8043951210559946263929974591</v>
      </c>
      <c r="M47" s="277">
        <v>121.75039424288200121363014738</v>
      </c>
      <c r="N47" s="94">
        <v>121.56486048324968852715785972</v>
      </c>
      <c r="O47" s="278">
        <v>68.354869840430614613587221743</v>
      </c>
      <c r="P47" s="5"/>
      <c r="Q47" s="272">
        <v>-35.178963490369938122266273510</v>
      </c>
      <c r="R47" s="92">
        <v>-44.356141676028737202393716120</v>
      </c>
      <c r="S47" s="273">
        <v>-52.854291026429204621981186300</v>
      </c>
      <c r="T47" s="272">
        <v>-56.985785672496012302804280680</v>
      </c>
      <c r="U47" s="92">
        <v>-92.37639005158273079166062860</v>
      </c>
      <c r="V47" s="273">
        <v>-88.23670713072781383971651936</v>
      </c>
      <c r="W47" s="272">
        <v>0</v>
      </c>
      <c r="X47" s="92">
        <v>0</v>
      </c>
      <c r="Y47" s="273">
        <v>-54.601590677578508113609495710</v>
      </c>
      <c r="Z47" s="272">
        <v>-35.956781502320988228345246990</v>
      </c>
      <c r="AA47" s="92">
        <v>-48.920120402853570237308691080</v>
      </c>
      <c r="AB47" s="273">
        <v>-58.661707052760234983865727280</v>
      </c>
    </row>
    <row r="48" ht="18" customHeight="1">
      <c r="A48" s="58"/>
      <c r="B48" s="1060" t="s">
        <v>79</v>
      </c>
      <c r="C48" s="1060"/>
      <c r="D48" s="444">
        <v>112.71432581593907393315251005</v>
      </c>
      <c r="E48" s="445">
        <v>112.18911658520162981964774669</v>
      </c>
      <c r="F48" s="446">
        <v>58.055965538727221908036113497</v>
      </c>
      <c r="G48" s="444">
        <v>2.8983363026689219866509787677</v>
      </c>
      <c r="H48" s="445">
        <v>1.7571091454973953768986731784</v>
      </c>
      <c r="I48" s="446">
        <v>3.1432324678548857854534877151</v>
      </c>
      <c r="J48" s="444">
        <v>0</v>
      </c>
      <c r="K48" s="445">
        <v>0</v>
      </c>
      <c r="L48" s="446">
        <v>3.6750105727420224070059229143</v>
      </c>
      <c r="M48" s="444">
        <v>115.61266211860799591980348882</v>
      </c>
      <c r="N48" s="445">
        <v>113.94622573069902519654641986</v>
      </c>
      <c r="O48" s="446">
        <v>64.874208579324130100495524131</v>
      </c>
      <c r="P48" s="93"/>
      <c r="Q48" s="274">
        <v>-38.092761929732529467084836470</v>
      </c>
      <c r="R48" s="275">
        <v>-46.716650541077552784845988120</v>
      </c>
      <c r="S48" s="276">
        <v>-55.242008863077818845471638740</v>
      </c>
      <c r="T48" s="274">
        <v>-54.946853081639940690274683580</v>
      </c>
      <c r="U48" s="275">
        <v>-92.50417026793827403977097407</v>
      </c>
      <c r="V48" s="276">
        <v>-89.35681257448074390950510813</v>
      </c>
      <c r="W48" s="274">
        <v>0</v>
      </c>
      <c r="X48" s="275">
        <v>0</v>
      </c>
      <c r="Y48" s="276">
        <v>-54.366743110710799586648304580</v>
      </c>
      <c r="Z48" s="274">
        <v>-38.667951565583151966374429070</v>
      </c>
      <c r="AA48" s="275">
        <v>-51.303591329061503737477227930</v>
      </c>
      <c r="AB48" s="276">
        <v>-61.222135065208836199644229280</v>
      </c>
    </row>
    <row r="49" ht="6" customHeight="1">
      <c r="A49" s="58"/>
      <c r="B49" s="632"/>
      <c r="C49" s="632"/>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7" t="s">
        <v>12</v>
      </c>
      <c r="C50" s="997"/>
      <c r="D50" s="483">
        <v>79.189476284584980237154150198</v>
      </c>
      <c r="E50" s="484">
        <v>83.19938788369790260149428392</v>
      </c>
      <c r="F50" s="485">
        <v>47.055476418127735695404072833</v>
      </c>
      <c r="G50" s="483">
        <v>3.3302865612648221343873517787</v>
      </c>
      <c r="H50" s="484">
        <v>1.3526420019803762714915834009</v>
      </c>
      <c r="I50" s="485">
        <v>2.3441324236057582135350180055</v>
      </c>
      <c r="J50" s="483">
        <v>0</v>
      </c>
      <c r="K50" s="484">
        <v>0</v>
      </c>
      <c r="L50" s="485">
        <v>3.6417717662551723171102477585</v>
      </c>
      <c r="M50" s="483">
        <v>82.51976284584980237154150198</v>
      </c>
      <c r="N50" s="484">
        <v>84.55202988567827887298586732</v>
      </c>
      <c r="O50" s="485">
        <v>53.0413806079886662260493386</v>
      </c>
      <c r="P50" s="93"/>
      <c r="Q50" s="469">
        <v>-42.517915389273061674127302820</v>
      </c>
      <c r="R50" s="470">
        <v>-47.786115257110201719746548970</v>
      </c>
      <c r="S50" s="471">
        <v>-57.126934195380247305436444390</v>
      </c>
      <c r="T50" s="469">
        <v>-58.010527736536644621406397620</v>
      </c>
      <c r="U50" s="470">
        <v>-92.56455546167394251101116879</v>
      </c>
      <c r="V50" s="471">
        <v>-90.81129106363911772495387603</v>
      </c>
      <c r="W50" s="469">
        <v>0</v>
      </c>
      <c r="X50" s="470">
        <v>0</v>
      </c>
      <c r="Y50" s="471">
        <v>-53.191572587763913151503052300</v>
      </c>
      <c r="Z50" s="469">
        <v>-43.361291343567020098116790630</v>
      </c>
      <c r="AA50" s="470">
        <v>-52.374505537662282903696707580</v>
      </c>
      <c r="AB50" s="471">
        <v>-62.920184402443950219231017730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61" t="s">
        <v>129</v>
      </c>
      <c r="C52" s="1061"/>
      <c r="D52" s="1061"/>
      <c r="E52" s="1061"/>
      <c r="F52" s="1061"/>
      <c r="G52" s="1061"/>
      <c r="H52" s="1061"/>
      <c r="I52" s="1061"/>
      <c r="J52" s="1061"/>
      <c r="K52" s="1061"/>
      <c r="L52" s="1061"/>
      <c r="M52" s="1061"/>
      <c r="N52" s="1061"/>
      <c r="O52" s="1061"/>
      <c r="P52" s="1061"/>
      <c r="Q52" s="1061"/>
      <c r="R52" s="1061"/>
      <c r="S52" s="1061"/>
      <c r="T52" s="1061"/>
      <c r="U52" s="1061"/>
      <c r="V52" s="1061"/>
      <c r="W52" s="1061"/>
      <c r="X52" s="1061"/>
      <c r="Y52" s="1061"/>
      <c r="Z52" s="1061"/>
      <c r="AA52" s="1061"/>
      <c r="AB52" s="1061"/>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9"/>
      <c r="B1" s="657" t="s">
        <v>198</v>
      </c>
      <c r="Y1" s="5"/>
      <c r="AB1" s="686"/>
      <c r="AD1" s="236"/>
    </row>
    <row r="2" ht="15" customHeight="1">
      <c r="A2" s="11"/>
      <c r="B2" s="11" t="s">
        <v>211</v>
      </c>
    </row>
    <row r="3" ht="17.1" customHeight="1">
      <c r="A3" s="11"/>
      <c r="B3" s="11" t="s">
        <v>212</v>
      </c>
      <c r="R3" s="1053" t="s">
        <v>298</v>
      </c>
      <c r="S3" s="1053"/>
      <c r="T3" s="1053"/>
      <c r="U3" s="1053"/>
      <c r="V3" s="1053"/>
      <c r="W3" s="1053"/>
      <c r="X3" s="1053"/>
      <c r="Y3" s="1053"/>
      <c r="Z3" s="1053"/>
      <c r="AA3" s="1053"/>
      <c r="AB3" s="1053"/>
    </row>
    <row r="4" ht="19.5" customHeight="1">
      <c r="A4" s="4"/>
      <c r="B4" s="211" t="s">
        <v>213</v>
      </c>
      <c r="C4" s="5"/>
      <c r="D4" s="5"/>
      <c r="E4" s="5"/>
      <c r="F4" s="5"/>
      <c r="G4" s="5"/>
      <c r="H4" s="212"/>
      <c r="I4" s="212"/>
      <c r="J4" s="212"/>
      <c r="K4" s="212"/>
      <c r="L4" s="212"/>
      <c r="M4" s="212"/>
      <c r="N4" s="212"/>
      <c r="O4" s="212"/>
      <c r="P4" s="212"/>
      <c r="Q4" s="212"/>
      <c r="R4" s="212"/>
      <c r="S4" s="212"/>
      <c r="T4" s="212"/>
      <c r="U4" s="4"/>
      <c r="V4" s="4"/>
    </row>
    <row r="5" ht="12.75" customHeight="1"/>
    <row r="6" ht="15.75">
      <c r="D6" s="993" t="s">
        <v>45</v>
      </c>
      <c r="E6" s="993"/>
      <c r="F6" s="993"/>
      <c r="G6" s="993"/>
      <c r="H6" s="993"/>
      <c r="I6" s="993"/>
      <c r="J6" s="993"/>
      <c r="K6" s="993"/>
      <c r="L6" s="993"/>
      <c r="M6" s="993"/>
      <c r="N6" s="993"/>
      <c r="O6" s="993"/>
      <c r="Q6" s="975" t="s">
        <v>72</v>
      </c>
      <c r="R6" s="975"/>
      <c r="S6" s="975"/>
      <c r="T6" s="975"/>
      <c r="U6" s="975"/>
      <c r="V6" s="975"/>
      <c r="W6" s="975"/>
      <c r="X6" s="975"/>
      <c r="Y6" s="975"/>
      <c r="Z6" s="975"/>
      <c r="AA6" s="975"/>
      <c r="AB6" s="975"/>
    </row>
    <row r="7" ht="15.75">
      <c r="D7" s="284" t="s">
        <v>11</v>
      </c>
      <c r="E7" s="284"/>
      <c r="F7" s="284"/>
      <c r="G7" s="284" t="s">
        <v>13</v>
      </c>
      <c r="H7" s="284"/>
      <c r="I7" s="284"/>
      <c r="J7" s="284" t="s">
        <v>14</v>
      </c>
      <c r="K7" s="284"/>
      <c r="L7" s="284"/>
      <c r="M7" s="284" t="s">
        <v>12</v>
      </c>
      <c r="N7" s="284"/>
      <c r="O7" s="284"/>
      <c r="Q7" s="284" t="s">
        <v>11</v>
      </c>
      <c r="R7" s="284"/>
      <c r="S7" s="284"/>
      <c r="T7" s="284" t="s">
        <v>13</v>
      </c>
      <c r="U7" s="284"/>
      <c r="V7" s="284"/>
      <c r="W7" s="284" t="s">
        <v>14</v>
      </c>
      <c r="X7" s="284"/>
      <c r="Y7" s="284"/>
      <c r="Z7" s="284" t="s">
        <v>12</v>
      </c>
      <c r="AA7" s="284"/>
      <c r="AB7" s="284"/>
    </row>
    <row r="8" ht="27" customHeight="1">
      <c r="A8" s="57"/>
      <c r="B8" s="1054"/>
      <c r="C8" s="1054"/>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88" t="s">
        <v>22</v>
      </c>
      <c r="C10" s="988"/>
      <c r="D10" s="988"/>
      <c r="E10" s="988"/>
      <c r="F10" s="988"/>
      <c r="G10" s="988"/>
      <c r="H10" s="988"/>
      <c r="I10" s="988"/>
      <c r="J10" s="988"/>
      <c r="K10" s="988"/>
      <c r="L10" s="988"/>
      <c r="M10" s="988"/>
      <c r="N10" s="988"/>
      <c r="O10" s="988"/>
      <c r="P10" s="412"/>
      <c r="Q10" s="986"/>
      <c r="R10" s="986"/>
      <c r="S10" s="986"/>
      <c r="T10" s="986"/>
      <c r="U10" s="986"/>
      <c r="V10" s="986"/>
      <c r="W10" s="986"/>
      <c r="X10" s="986"/>
      <c r="Y10" s="986"/>
      <c r="Z10" s="986"/>
      <c r="AA10" s="986"/>
      <c r="AB10" s="986"/>
      <c r="AC10" s="9"/>
    </row>
    <row r="11" ht="18" customHeight="1">
      <c r="A11" s="58"/>
      <c r="B11" s="1055" t="s">
        <v>43</v>
      </c>
      <c r="C11" s="1055"/>
      <c r="D11" s="428">
        <v>45.345187905564496691932316360</v>
      </c>
      <c r="E11" s="429">
        <v>51.871171886165557488557431060</v>
      </c>
      <c r="F11" s="430">
        <v>30.175907856102688221537470980</v>
      </c>
      <c r="G11" s="428">
        <v>3.7187713358245619815498950800</v>
      </c>
      <c r="H11" s="429">
        <v>4.1619480368434174898822168500</v>
      </c>
      <c r="I11" s="430">
        <v>7.4862670973684567766306429500</v>
      </c>
      <c r="J11" s="428">
        <v>0</v>
      </c>
      <c r="K11" s="429">
        <v>0</v>
      </c>
      <c r="L11" s="430">
        <v>4.6769312491268364248892507600</v>
      </c>
      <c r="M11" s="428">
        <v>50.317098822904803950362969820</v>
      </c>
      <c r="N11" s="429">
        <v>56.338246454251341458903083720</v>
      </c>
      <c r="O11" s="430">
        <v>42.339106202597981423057364690</v>
      </c>
      <c r="P11" s="5"/>
      <c r="Q11" s="428">
        <v>-24.685114251246927682546147360</v>
      </c>
      <c r="R11" s="429">
        <v>-32.803023805098701066448588280</v>
      </c>
      <c r="S11" s="430">
        <v>-43.588100415423150095702760360</v>
      </c>
      <c r="T11" s="428">
        <v>-21.673390576028035043406449030</v>
      </c>
      <c r="U11" s="429">
        <v>-33.777782854236669636430361850</v>
      </c>
      <c r="V11" s="430">
        <v>-37.289069139802290794737510200</v>
      </c>
      <c r="W11" s="428">
        <v>0</v>
      </c>
      <c r="X11" s="429">
        <v>-100</v>
      </c>
      <c r="Y11" s="430">
        <v>-30.064782259922224283022105840</v>
      </c>
      <c r="Z11" s="428">
        <v>-22.535742898665066865214441050</v>
      </c>
      <c r="AA11" s="429">
        <v>-32.513825178376982390077954610</v>
      </c>
      <c r="AB11" s="430">
        <v>-41.291376656801285353959080650</v>
      </c>
    </row>
    <row r="12" ht="18" customHeight="1">
      <c r="A12" s="58"/>
      <c r="B12" s="1056" t="s">
        <v>46</v>
      </c>
      <c r="C12" s="1056"/>
      <c r="D12" s="421">
        <v>38.588748820623190176615657660</v>
      </c>
      <c r="E12" s="91">
        <v>42.898251919040076084001431680</v>
      </c>
      <c r="F12" s="422">
        <v>26.164078125885545280723203530</v>
      </c>
      <c r="G12" s="421">
        <v>3.9047322090795292386668965200</v>
      </c>
      <c r="H12" s="91">
        <v>5.2073253028290264817426331900</v>
      </c>
      <c r="I12" s="422">
        <v>7.4955664368855213220267501500</v>
      </c>
      <c r="J12" s="421">
        <v>0</v>
      </c>
      <c r="K12" s="91">
        <v>0</v>
      </c>
      <c r="L12" s="422">
        <v>4.4462238587969655330083441100</v>
      </c>
      <c r="M12" s="421">
        <v>42.922064678779111637021941900</v>
      </c>
      <c r="N12" s="91">
        <v>47.643887502774909368850174330</v>
      </c>
      <c r="O12" s="422">
        <v>38.105868421568032135758297800</v>
      </c>
      <c r="P12" s="5"/>
      <c r="Q12" s="421">
        <v>-33.043998500880132472310859850</v>
      </c>
      <c r="R12" s="91">
        <v>-38.026963440470402394819054430</v>
      </c>
      <c r="S12" s="422">
        <v>-49.656486866385570384793981170</v>
      </c>
      <c r="T12" s="421">
        <v>-49.617582141340714489495306860</v>
      </c>
      <c r="U12" s="91">
        <v>-40.500768253330145516763448020</v>
      </c>
      <c r="V12" s="422">
        <v>-52.200813888145867027209429320</v>
      </c>
      <c r="W12" s="421">
        <v>0</v>
      </c>
      <c r="X12" s="91">
        <v>-100</v>
      </c>
      <c r="Y12" s="422">
        <v>-30.154373815796084631080460560</v>
      </c>
      <c r="Z12" s="421">
        <v>-34.353051131387267767691811530</v>
      </c>
      <c r="AA12" s="91">
        <v>-38.899447925521724440395493410</v>
      </c>
      <c r="AB12" s="422">
        <v>-48.518284288990325014277755460</v>
      </c>
    </row>
    <row r="13" ht="18" customHeight="1">
      <c r="A13" s="58"/>
      <c r="B13" s="1056" t="s">
        <v>47</v>
      </c>
      <c r="C13" s="1056"/>
      <c r="D13" s="421">
        <v>33.579187159192584069913984480</v>
      </c>
      <c r="E13" s="91">
        <v>40.276416505166519869712211030</v>
      </c>
      <c r="F13" s="422">
        <v>25.810135395152739548040965400</v>
      </c>
      <c r="G13" s="421">
        <v>4.2744317277357031322761274100</v>
      </c>
      <c r="H13" s="91">
        <v>6.1152042983596425742593156400</v>
      </c>
      <c r="I13" s="422">
        <v>8.503149710010737010829869980</v>
      </c>
      <c r="J13" s="421">
        <v>0</v>
      </c>
      <c r="K13" s="91">
        <v>0</v>
      </c>
      <c r="L13" s="422">
        <v>4.4112673434584361164400471200</v>
      </c>
      <c r="M13" s="421">
        <v>38.413070008479988698744432120</v>
      </c>
      <c r="N13" s="91">
        <v>46.697757060097819620108529390</v>
      </c>
      <c r="O13" s="422">
        <v>38.724552448621912675310882500</v>
      </c>
      <c r="P13" s="184"/>
      <c r="Q13" s="421">
        <v>-39.310671869912429982997746950</v>
      </c>
      <c r="R13" s="91">
        <v>-41.236419162846243721813894020</v>
      </c>
      <c r="S13" s="422">
        <v>-51.592567218804372304896537750</v>
      </c>
      <c r="T13" s="421">
        <v>-51.933045434799030001380987190</v>
      </c>
      <c r="U13" s="91">
        <v>-34.636673317176877258419943070</v>
      </c>
      <c r="V13" s="422">
        <v>-53.564650302117327433942368540</v>
      </c>
      <c r="W13" s="421">
        <v>0</v>
      </c>
      <c r="X13" s="91">
        <v>0</v>
      </c>
      <c r="Y13" s="422">
        <v>-28.401209952516964917583218970</v>
      </c>
      <c r="Z13" s="421">
        <v>-40.187335979421552163437295040</v>
      </c>
      <c r="AA13" s="91">
        <v>-40.050741179796956327452427840</v>
      </c>
      <c r="AB13" s="422">
        <v>-50.220029322135095503518891940</v>
      </c>
    </row>
    <row r="14" ht="18" customHeight="1">
      <c r="A14" s="58"/>
      <c r="B14" s="1056" t="s">
        <v>48</v>
      </c>
      <c r="C14" s="1056"/>
      <c r="D14" s="421">
        <v>36.656758664682554826722612370</v>
      </c>
      <c r="E14" s="91">
        <v>41.893601871445167987762564940</v>
      </c>
      <c r="F14" s="422">
        <v>28.207760050654217341466774050</v>
      </c>
      <c r="G14" s="421">
        <v>4.2131289897361564322759037400</v>
      </c>
      <c r="H14" s="91">
        <v>5.9785811911820626247655083700</v>
      </c>
      <c r="I14" s="422">
        <v>8.561820982538313070444114060</v>
      </c>
      <c r="J14" s="421">
        <v>0</v>
      </c>
      <c r="K14" s="91">
        <v>0</v>
      </c>
      <c r="L14" s="422">
        <v>4.5715381731539074094882212900</v>
      </c>
      <c r="M14" s="421">
        <v>41.565584815630140396655707910</v>
      </c>
      <c r="N14" s="91">
        <v>48.048517213593271225773257470</v>
      </c>
      <c r="O14" s="422">
        <v>41.341119206346437821399109410</v>
      </c>
      <c r="P14" s="5"/>
      <c r="Q14" s="421">
        <v>-37.184977693169752688915796320</v>
      </c>
      <c r="R14" s="91">
        <v>-41.013844408777777427148253580</v>
      </c>
      <c r="S14" s="422">
        <v>-47.963375990725368322660467040</v>
      </c>
      <c r="T14" s="421">
        <v>-33.952284363316146740877054730</v>
      </c>
      <c r="U14" s="91">
        <v>-35.966790153403074264421515370</v>
      </c>
      <c r="V14" s="422">
        <v>-53.947074498842467472909983570</v>
      </c>
      <c r="W14" s="421">
        <v>0</v>
      </c>
      <c r="X14" s="91">
        <v>0</v>
      </c>
      <c r="Y14" s="422">
        <v>-28.175066463290471498545100580</v>
      </c>
      <c r="Z14" s="421">
        <v>-35.791759599269602175972826380</v>
      </c>
      <c r="AA14" s="91">
        <v>-40.208012856424102161432057590</v>
      </c>
      <c r="AB14" s="422">
        <v>-47.777624021302695909837627780</v>
      </c>
    </row>
    <row r="15" ht="18" customHeight="1">
      <c r="A15" s="58"/>
      <c r="B15" s="1056" t="s">
        <v>49</v>
      </c>
      <c r="C15" s="1056"/>
      <c r="D15" s="421">
        <v>43.973913355082488335992626500</v>
      </c>
      <c r="E15" s="91">
        <v>49.282188273474394878679957590</v>
      </c>
      <c r="F15" s="422">
        <v>30.332627194666318287517343780</v>
      </c>
      <c r="G15" s="421">
        <v>5.1050000567554594902224247100</v>
      </c>
      <c r="H15" s="91">
        <v>4.6423756362335140492499911700</v>
      </c>
      <c r="I15" s="422">
        <v>8.777638529530618808341266690</v>
      </c>
      <c r="J15" s="421">
        <v>0</v>
      </c>
      <c r="K15" s="91">
        <v>0</v>
      </c>
      <c r="L15" s="422">
        <v>4.6028633223864074324859035200</v>
      </c>
      <c r="M15" s="421">
        <v>49.876854078455981184975680320</v>
      </c>
      <c r="N15" s="91">
        <v>54.160629503002987012667725300</v>
      </c>
      <c r="O15" s="422">
        <v>43.713129046583344528344513990</v>
      </c>
      <c r="P15" s="184"/>
      <c r="Q15" s="421">
        <v>-31.328451015852698403463256140</v>
      </c>
      <c r="R15" s="91">
        <v>-36.111986414560364888697642170</v>
      </c>
      <c r="S15" s="422">
        <v>-46.359625531083966910695579460</v>
      </c>
      <c r="T15" s="421">
        <v>-18.093301658610374651915303240</v>
      </c>
      <c r="U15" s="91">
        <v>-52.916091489642143049910054050</v>
      </c>
      <c r="V15" s="422">
        <v>-49.675649956212397454691866220</v>
      </c>
      <c r="W15" s="421">
        <v>0</v>
      </c>
      <c r="X15" s="91">
        <v>0</v>
      </c>
      <c r="Y15" s="422">
        <v>-29.858225162419974379070369650</v>
      </c>
      <c r="Z15" s="421">
        <v>-29.018933178746750359482547080</v>
      </c>
      <c r="AA15" s="91">
        <v>-37.745105822455245044703200060</v>
      </c>
      <c r="AB15" s="422">
        <v>-45.733357756165182118591719890</v>
      </c>
    </row>
    <row r="16" ht="18" customHeight="1">
      <c r="A16" s="58"/>
      <c r="B16" s="1057" t="s">
        <v>78</v>
      </c>
      <c r="C16" s="1057"/>
      <c r="D16" s="431">
        <v>39.690915548613039270330363990</v>
      </c>
      <c r="E16" s="432">
        <v>45.295501678948218068438971990</v>
      </c>
      <c r="F16" s="433">
        <v>28.138751260284660604557185620</v>
      </c>
      <c r="G16" s="431">
        <v>4.2385572711723544324591329400</v>
      </c>
      <c r="H16" s="432">
        <v>5.2160569637554021227272163700</v>
      </c>
      <c r="I16" s="433">
        <v>8.169136970639050365454956410</v>
      </c>
      <c r="J16" s="431">
        <v>0</v>
      </c>
      <c r="K16" s="432">
        <v>0</v>
      </c>
      <c r="L16" s="433">
        <v>4.5416556402952841266280550900</v>
      </c>
      <c r="M16" s="431">
        <v>44.660199503614621555768888870</v>
      </c>
      <c r="N16" s="432">
        <v>50.617483537370708610099312940</v>
      </c>
      <c r="O16" s="433">
        <v>40.849543871218995096640197110</v>
      </c>
      <c r="P16" s="5"/>
      <c r="Q16" s="431">
        <v>-32.838673839412249793721709990</v>
      </c>
      <c r="R16" s="432">
        <v>-37.615732183953511982625293780</v>
      </c>
      <c r="S16" s="433">
        <v>-47.799029132613074344034572350</v>
      </c>
      <c r="T16" s="431">
        <v>-37.747254812426955670567981390</v>
      </c>
      <c r="U16" s="432">
        <v>-40.184416965768388544538950420</v>
      </c>
      <c r="V16" s="433">
        <v>-50.186477182271953717402011490</v>
      </c>
      <c r="W16" s="431">
        <v>0</v>
      </c>
      <c r="X16" s="432">
        <v>-100</v>
      </c>
      <c r="Y16" s="433">
        <v>-29.337805984578817558675754430</v>
      </c>
      <c r="Z16" s="630">
        <v>-32.237034081836137956641274830</v>
      </c>
      <c r="AA16" s="214">
        <v>-37.761989617292429227742924670</v>
      </c>
      <c r="AB16" s="631">
        <v>-46.762912933613031521267924300</v>
      </c>
    </row>
    <row r="17" ht="6" customHeight="1">
      <c r="A17" s="58"/>
      <c r="B17" s="632"/>
      <c r="C17" s="632"/>
      <c r="D17" s="91"/>
      <c r="E17" s="91"/>
      <c r="F17" s="91"/>
      <c r="G17" s="91"/>
      <c r="H17" s="91"/>
      <c r="I17" s="91"/>
      <c r="J17" s="91"/>
      <c r="K17" s="91"/>
      <c r="L17" s="91"/>
      <c r="M17" s="91"/>
      <c r="N17" s="91"/>
      <c r="O17" s="91"/>
      <c r="P17" s="5"/>
      <c r="Q17" s="91"/>
      <c r="R17" s="91"/>
      <c r="S17" s="91"/>
      <c r="T17" s="91"/>
      <c r="U17" s="91"/>
      <c r="V17" s="91"/>
      <c r="W17" s="91"/>
      <c r="X17" s="91"/>
      <c r="Y17" s="91"/>
      <c r="Z17" s="633"/>
      <c r="AA17" s="633"/>
      <c r="AB17" s="633"/>
      <c r="AC17" s="4"/>
    </row>
    <row r="18" ht="18" customHeight="1">
      <c r="A18" s="58"/>
      <c r="B18" s="1058" t="s">
        <v>50</v>
      </c>
      <c r="C18" s="1058"/>
      <c r="D18" s="480">
        <v>51.992488447462726499522687280</v>
      </c>
      <c r="E18" s="481">
        <v>58.662814651081828917452090950</v>
      </c>
      <c r="F18" s="482">
        <v>35.795242922698909057392574800</v>
      </c>
      <c r="G18" s="480">
        <v>3.4227613058459205368097046200</v>
      </c>
      <c r="H18" s="481">
        <v>3.7501571630040960007424774300</v>
      </c>
      <c r="I18" s="482">
        <v>8.349397408817193430184734500</v>
      </c>
      <c r="J18" s="480">
        <v>0</v>
      </c>
      <c r="K18" s="481">
        <v>0</v>
      </c>
      <c r="L18" s="482">
        <v>4.7175970317884813863049657400</v>
      </c>
      <c r="M18" s="480">
        <v>57.760214226031940517556561380</v>
      </c>
      <c r="N18" s="481">
        <v>62.675933563647646793946951360</v>
      </c>
      <c r="O18" s="482">
        <v>48.862237363304583873882275050</v>
      </c>
      <c r="P18" s="184"/>
      <c r="Q18" s="480">
        <v>-21.500164146530700867095984160</v>
      </c>
      <c r="R18" s="481">
        <v>-29.059999083017306297167153770</v>
      </c>
      <c r="S18" s="482">
        <v>-43.255697750024663575088870030</v>
      </c>
      <c r="T18" s="480">
        <v>-32.075273350348703439184147290</v>
      </c>
      <c r="U18" s="481">
        <v>-55.544922846148195081578920290</v>
      </c>
      <c r="V18" s="482">
        <v>-47.194882907841978682319358780</v>
      </c>
      <c r="W18" s="480">
        <v>0</v>
      </c>
      <c r="X18" s="481">
        <v>0</v>
      </c>
      <c r="Y18" s="482">
        <v>-30.910583884981380971564461190</v>
      </c>
      <c r="Z18" s="480">
        <v>-18.957667709744023867610888240</v>
      </c>
      <c r="AA18" s="481">
        <v>-31.223146064480975878059236140</v>
      </c>
      <c r="AB18" s="482">
        <v>-42.998933918997779396337199440</v>
      </c>
    </row>
    <row r="19" ht="18" customHeight="1">
      <c r="A19" s="58"/>
      <c r="B19" s="1059" t="s">
        <v>51</v>
      </c>
      <c r="C19" s="1059"/>
      <c r="D19" s="272">
        <v>59.744757258762844114451860860</v>
      </c>
      <c r="E19" s="92">
        <v>63.316860174092603194087857660</v>
      </c>
      <c r="F19" s="273">
        <v>39.009060736412477322996439870</v>
      </c>
      <c r="G19" s="272">
        <v>2.6306835700663747189255918700</v>
      </c>
      <c r="H19" s="92">
        <v>3.5103410159568826283255262200</v>
      </c>
      <c r="I19" s="273">
        <v>7.8275622263724760817358663100</v>
      </c>
      <c r="J19" s="272">
        <v>0</v>
      </c>
      <c r="K19" s="92">
        <v>0</v>
      </c>
      <c r="L19" s="273">
        <v>4.7777760201548225903633721300</v>
      </c>
      <c r="M19" s="272">
        <v>64.004063830235333711956095940</v>
      </c>
      <c r="N19" s="92">
        <v>67.162975378765687952741087460</v>
      </c>
      <c r="O19" s="273">
        <v>51.614398982939775995095678320</v>
      </c>
      <c r="P19" s="5"/>
      <c r="Q19" s="272">
        <v>-11.370360199328860465799447400</v>
      </c>
      <c r="R19" s="92">
        <v>-26.010093452601422230832200410</v>
      </c>
      <c r="S19" s="273">
        <v>-39.517667184337382225622189210</v>
      </c>
      <c r="T19" s="272">
        <v>-46.733714792268170929322278930</v>
      </c>
      <c r="U19" s="92">
        <v>-53.712517832045918407519096240</v>
      </c>
      <c r="V19" s="273">
        <v>-42.881826949471475398584089470</v>
      </c>
      <c r="W19" s="272">
        <v>0</v>
      </c>
      <c r="X19" s="92">
        <v>0</v>
      </c>
      <c r="Y19" s="273">
        <v>-30.363112365113304880816797130</v>
      </c>
      <c r="Z19" s="272">
        <v>-11.533296251829920740451451380</v>
      </c>
      <c r="AA19" s="92">
        <v>-27.904833704804331132817933260</v>
      </c>
      <c r="AB19" s="273">
        <v>-39.321265230608493727493827720</v>
      </c>
    </row>
    <row r="20" ht="18" customHeight="1">
      <c r="A20" s="58"/>
      <c r="B20" s="1060" t="s">
        <v>79</v>
      </c>
      <c r="C20" s="1060"/>
      <c r="D20" s="274">
        <v>55.913332917599372982188400960</v>
      </c>
      <c r="E20" s="275">
        <v>60.988726504369383410338523790</v>
      </c>
      <c r="F20" s="276">
        <v>37.400709975005907843046763690</v>
      </c>
      <c r="G20" s="274">
        <v>3.0221542466940653908725827900</v>
      </c>
      <c r="H20" s="275">
        <v>3.6303063329533360013163101100</v>
      </c>
      <c r="I20" s="276">
        <v>8.088713934920600827233211960</v>
      </c>
      <c r="J20" s="274">
        <v>0</v>
      </c>
      <c r="K20" s="275">
        <v>0</v>
      </c>
      <c r="L20" s="276">
        <v>4.7476595271331343728908410600</v>
      </c>
      <c r="M20" s="274">
        <v>60.882139028133637114756328640</v>
      </c>
      <c r="N20" s="275">
        <v>64.918380759543192377109279640</v>
      </c>
      <c r="O20" s="276">
        <v>50.237083437059643043170816730</v>
      </c>
      <c r="P20" s="184"/>
      <c r="Q20" s="274">
        <v>-16.323750657991140671778150900</v>
      </c>
      <c r="R20" s="275">
        <v>-27.510253351545587660068920070</v>
      </c>
      <c r="S20" s="276">
        <v>-41.368267057645711461688960360</v>
      </c>
      <c r="T20" s="274">
        <v>-39.422378130301151182683583040</v>
      </c>
      <c r="U20" s="275">
        <v>-54.676736862278107402236748550</v>
      </c>
      <c r="V20" s="276">
        <v>-45.190432549102571215294250710</v>
      </c>
      <c r="W20" s="274">
        <v>0</v>
      </c>
      <c r="X20" s="275">
        <v>0</v>
      </c>
      <c r="Y20" s="276">
        <v>-30.636601617295369216812022480</v>
      </c>
      <c r="Z20" s="274">
        <v>-15.217656399750932810134524950</v>
      </c>
      <c r="AA20" s="275">
        <v>-29.546884536960675883982919350</v>
      </c>
      <c r="AB20" s="276">
        <v>-41.168631615828770583547535880</v>
      </c>
    </row>
    <row r="21" ht="6" customHeight="1">
      <c r="A21" s="58"/>
      <c r="B21" s="632"/>
      <c r="C21" s="632"/>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7" t="s">
        <v>12</v>
      </c>
      <c r="C22" s="997"/>
      <c r="D22" s="469">
        <v>45.213611525086934923000496770</v>
      </c>
      <c r="E22" s="470">
        <v>49.957000059513263315861564200</v>
      </c>
      <c r="F22" s="471">
        <v>30.923800846352271168058437990</v>
      </c>
      <c r="G22" s="469">
        <v>4.1231992051664182811723795300</v>
      </c>
      <c r="H22" s="470">
        <v>4.727750842462318450753926100</v>
      </c>
      <c r="I22" s="471">
        <v>8.062426998566784472012739490</v>
      </c>
      <c r="J22" s="469">
        <v>0</v>
      </c>
      <c r="K22" s="470">
        <v>0</v>
      </c>
      <c r="L22" s="471">
        <v>4.5145798095111012411489580700</v>
      </c>
      <c r="M22" s="469">
        <v>49.336810730253353204172876300</v>
      </c>
      <c r="N22" s="470">
        <v>54.684750901975581766615490290</v>
      </c>
      <c r="O22" s="471">
        <v>43.500807654430156881220135560</v>
      </c>
      <c r="P22" s="184"/>
      <c r="Q22" s="469">
        <v>-26.035861629815003239502786420</v>
      </c>
      <c r="R22" s="470">
        <v>-34.391022017980286020455858140</v>
      </c>
      <c r="S22" s="471">
        <v>-46.395376682381922399645219910</v>
      </c>
      <c r="T22" s="469">
        <v>-36.164608706645876353828648540</v>
      </c>
      <c r="U22" s="470">
        <v>-42.751212656061573397192929010</v>
      </c>
      <c r="V22" s="471">
        <v>-46.014169394872149005292921860</v>
      </c>
      <c r="W22" s="469">
        <v>0</v>
      </c>
      <c r="X22" s="470">
        <v>-100</v>
      </c>
      <c r="Y22" s="471">
        <v>-31.352183056013568867229725470</v>
      </c>
      <c r="Z22" s="469">
        <v>-27.003821981832497316759329930</v>
      </c>
      <c r="AA22" s="470">
        <v>-35.215686415366976417992661670</v>
      </c>
      <c r="AB22" s="471">
        <v>-45.074361567892895416860372960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0" t="s">
        <v>9</v>
      </c>
      <c r="C24" s="1050"/>
      <c r="D24" s="1050"/>
      <c r="E24" s="1050"/>
      <c r="F24" s="1050"/>
      <c r="G24" s="1050"/>
      <c r="H24" s="1050"/>
      <c r="I24" s="1050"/>
      <c r="J24" s="1050"/>
      <c r="K24" s="1050"/>
      <c r="L24" s="1050"/>
      <c r="M24" s="1050"/>
      <c r="N24" s="1050"/>
      <c r="O24" s="1050"/>
      <c r="P24" s="412"/>
      <c r="Q24" s="1051"/>
      <c r="R24" s="1051"/>
      <c r="S24" s="1051"/>
      <c r="T24" s="1051"/>
      <c r="U24" s="1051"/>
      <c r="V24" s="1051"/>
      <c r="W24" s="1051"/>
      <c r="X24" s="1051"/>
      <c r="Y24" s="1051"/>
      <c r="Z24" s="1051"/>
      <c r="AA24" s="1051"/>
      <c r="AB24" s="1051"/>
      <c r="AC24" s="9"/>
    </row>
    <row r="25" ht="18" customHeight="1">
      <c r="A25" s="58"/>
      <c r="B25" s="1055" t="s">
        <v>43</v>
      </c>
      <c r="C25" s="1055"/>
      <c r="D25" s="455">
        <v>177.56501267109552021477454888</v>
      </c>
      <c r="E25" s="456">
        <v>197.46085866613641361696990826</v>
      </c>
      <c r="F25" s="457">
        <v>169.90439743055686817217246696</v>
      </c>
      <c r="G25" s="455">
        <v>490.17062655741700651558313682</v>
      </c>
      <c r="H25" s="456">
        <v>402.82465947958820457759598054</v>
      </c>
      <c r="I25" s="457">
        <v>271.20295889481488151438934201</v>
      </c>
      <c r="J25" s="455">
        <v>0</v>
      </c>
      <c r="K25" s="456">
        <v>0</v>
      </c>
      <c r="L25" s="457">
        <v>111.82654736518736453061960792</v>
      </c>
      <c r="M25" s="455">
        <v>201.2587547643269876538852591</v>
      </c>
      <c r="N25" s="456">
        <v>212.45948790022544509335983303</v>
      </c>
      <c r="O25" s="457">
        <v>181.40019929086953243385409168</v>
      </c>
      <c r="P25" s="5"/>
      <c r="Q25" s="428">
        <v>0.1098020854787925808792149700</v>
      </c>
      <c r="R25" s="429">
        <v>3.0478227615533511255025360100</v>
      </c>
      <c r="S25" s="430">
        <v>-1.3735620279921255259471449200</v>
      </c>
      <c r="T25" s="428">
        <v>139.88608917688298345999457011</v>
      </c>
      <c r="U25" s="429">
        <v>77.264507076637082511324770130</v>
      </c>
      <c r="V25" s="430">
        <v>37.530522979434625961235694760</v>
      </c>
      <c r="W25" s="428">
        <v>0</v>
      </c>
      <c r="X25" s="429">
        <v>-100</v>
      </c>
      <c r="Y25" s="430">
        <v>-8.116846094577301025480066200</v>
      </c>
      <c r="Z25" s="428">
        <v>12.221166044128604312493979770</v>
      </c>
      <c r="AA25" s="429">
        <v>9.347047128178044885418327430</v>
      </c>
      <c r="AB25" s="430">
        <v>5.6449573765265501646137040600</v>
      </c>
    </row>
    <row r="26" ht="18" customHeight="1">
      <c r="A26" s="58"/>
      <c r="B26" s="1056" t="s">
        <v>46</v>
      </c>
      <c r="C26" s="1056"/>
      <c r="D26" s="440">
        <v>169.71469743640299227584724596</v>
      </c>
      <c r="E26" s="95">
        <v>186.14924589223338902211636784</v>
      </c>
      <c r="F26" s="441">
        <v>167.88098140206038717627241033</v>
      </c>
      <c r="G26" s="440">
        <v>235.95307528455047455614105203</v>
      </c>
      <c r="H26" s="95">
        <v>258.83351632720930180450402562</v>
      </c>
      <c r="I26" s="441">
        <v>215.49166252006732927107767609</v>
      </c>
      <c r="J26" s="440">
        <v>0</v>
      </c>
      <c r="K26" s="95">
        <v>0</v>
      </c>
      <c r="L26" s="441">
        <v>110.03601251887462946080488964</v>
      </c>
      <c r="M26" s="440">
        <v>174.77720619306342929545428943</v>
      </c>
      <c r="N26" s="95">
        <v>193.56477316762225590201938593</v>
      </c>
      <c r="O26" s="441">
        <v>170.49678171824438525381491686</v>
      </c>
      <c r="P26" s="5"/>
      <c r="Q26" s="421">
        <v>-1.4792977245166785331973339800</v>
      </c>
      <c r="R26" s="91">
        <v>4.3900873405944929571508469100</v>
      </c>
      <c r="S26" s="422">
        <v>-3.3177238491996408961969056100</v>
      </c>
      <c r="T26" s="421">
        <v>28.772304462014261048933333750</v>
      </c>
      <c r="U26" s="91">
        <v>16.290379113119394237705030560</v>
      </c>
      <c r="V26" s="422">
        <v>11.391240603655159829974996100</v>
      </c>
      <c r="W26" s="421">
        <v>0</v>
      </c>
      <c r="X26" s="91">
        <v>-100</v>
      </c>
      <c r="Y26" s="422">
        <v>-8.174261649612752160282084580</v>
      </c>
      <c r="Z26" s="421">
        <v>0.699411867593999788931054100</v>
      </c>
      <c r="AA26" s="91">
        <v>5.6090792444893526087921976500</v>
      </c>
      <c r="AB26" s="422">
        <v>-1.5673303557268735736323984400</v>
      </c>
    </row>
    <row r="27" ht="18" customHeight="1">
      <c r="A27" s="58"/>
      <c r="B27" s="1056" t="s">
        <v>47</v>
      </c>
      <c r="C27" s="1056"/>
      <c r="D27" s="440">
        <v>169.12377593898961740020575117</v>
      </c>
      <c r="E27" s="95">
        <v>182.47768424803125445423616639</v>
      </c>
      <c r="F27" s="441">
        <v>171.89535041691429527973790488</v>
      </c>
      <c r="G27" s="440">
        <v>247.5945926431999572436501134</v>
      </c>
      <c r="H27" s="95">
        <v>264.54804371801111143361894618</v>
      </c>
      <c r="I27" s="441">
        <v>219.43446728540334834004452497</v>
      </c>
      <c r="J27" s="440">
        <v>0</v>
      </c>
      <c r="K27" s="95">
        <v>0</v>
      </c>
      <c r="L27" s="441">
        <v>109.17641452708921680389809917</v>
      </c>
      <c r="M27" s="440">
        <v>177.05039109812616512288499814</v>
      </c>
      <c r="N27" s="95">
        <v>192.95848951071275219251446225</v>
      </c>
      <c r="O27" s="441">
        <v>175.18944230542494309999515314</v>
      </c>
      <c r="P27" s="93"/>
      <c r="Q27" s="421">
        <v>-5.4206758862660901158535952900</v>
      </c>
      <c r="R27" s="91">
        <v>-0.9104351620889807940834303700</v>
      </c>
      <c r="S27" s="422">
        <v>-5.2619744861998930586853809200</v>
      </c>
      <c r="T27" s="421">
        <v>23.940543639866372122781163840</v>
      </c>
      <c r="U27" s="91">
        <v>19.375372482659245908807336310</v>
      </c>
      <c r="V27" s="422">
        <v>15.763925737594748109735124560</v>
      </c>
      <c r="W27" s="421">
        <v>0</v>
      </c>
      <c r="X27" s="91">
        <v>0</v>
      </c>
      <c r="Y27" s="422">
        <v>-9.374481002145937938988790790</v>
      </c>
      <c r="Z27" s="421">
        <v>-2.5686079697419326664931111300</v>
      </c>
      <c r="AA27" s="91">
        <v>2.2822417650451858261968961500</v>
      </c>
      <c r="AB27" s="422">
        <v>-1.8672748326236480785697805600</v>
      </c>
    </row>
    <row r="28" ht="18" customHeight="1">
      <c r="A28" s="58"/>
      <c r="B28" s="1056" t="s">
        <v>48</v>
      </c>
      <c r="C28" s="1056"/>
      <c r="D28" s="440">
        <v>195.37006443808647749634311251</v>
      </c>
      <c r="E28" s="95">
        <v>193.49185367014971816801750344</v>
      </c>
      <c r="F28" s="441">
        <v>178.07820431548972702898014013</v>
      </c>
      <c r="G28" s="440">
        <v>292.13172953393130183478641474</v>
      </c>
      <c r="H28" s="95">
        <v>273.7888699959616727371938718</v>
      </c>
      <c r="I28" s="441">
        <v>229.52206610299154836609289579</v>
      </c>
      <c r="J28" s="440">
        <v>0</v>
      </c>
      <c r="K28" s="95">
        <v>0</v>
      </c>
      <c r="L28" s="441">
        <v>107.32265510425533105679905857</v>
      </c>
      <c r="M28" s="440">
        <v>203.94021184793049324722075682</v>
      </c>
      <c r="N28" s="95">
        <v>203.41386385299463815442631131</v>
      </c>
      <c r="O28" s="441">
        <v>180.90810934320475611941998387</v>
      </c>
      <c r="P28" s="5"/>
      <c r="Q28" s="421">
        <v>17.131623265488077258138135600</v>
      </c>
      <c r="R28" s="91">
        <v>9.871391374153339935405213900</v>
      </c>
      <c r="S28" s="422">
        <v>-0.965836507479993052030308500</v>
      </c>
      <c r="T28" s="421">
        <v>47.504190808866841289653965710</v>
      </c>
      <c r="U28" s="91">
        <v>18.010151126747341802945139010</v>
      </c>
      <c r="V28" s="422">
        <v>18.862698164592820331306667800</v>
      </c>
      <c r="W28" s="421">
        <v>0</v>
      </c>
      <c r="X28" s="91">
        <v>0</v>
      </c>
      <c r="Y28" s="422">
        <v>-11.597175651101834227034397480</v>
      </c>
      <c r="Z28" s="421">
        <v>20.053054120307851937866955040</v>
      </c>
      <c r="AA28" s="91">
        <v>11.397357193831492934295942980</v>
      </c>
      <c r="AB28" s="422">
        <v>1.4980336592530630111867473900</v>
      </c>
    </row>
    <row r="29" ht="18" customHeight="1">
      <c r="A29" s="58"/>
      <c r="B29" s="1056" t="s">
        <v>49</v>
      </c>
      <c r="C29" s="1056"/>
      <c r="D29" s="440">
        <v>187.64950662864708799318765634</v>
      </c>
      <c r="E29" s="95">
        <v>204.91568937779739083678552513</v>
      </c>
      <c r="F29" s="441">
        <v>182.25114330439711924017241414</v>
      </c>
      <c r="G29" s="440">
        <v>473.88970095305530249400517066</v>
      </c>
      <c r="H29" s="95">
        <v>369.90634952644545414442914223</v>
      </c>
      <c r="I29" s="441">
        <v>266.14376789487401513308673484</v>
      </c>
      <c r="J29" s="440">
        <v>0</v>
      </c>
      <c r="K29" s="95">
        <v>0</v>
      </c>
      <c r="L29" s="441">
        <v>110.80669578294337829142147678</v>
      </c>
      <c r="M29" s="440">
        <v>215.35027997796295386448017629</v>
      </c>
      <c r="N29" s="95">
        <v>218.88066024288237074084062794</v>
      </c>
      <c r="O29" s="441">
        <v>191.57397412782934973253866267</v>
      </c>
      <c r="P29" s="93"/>
      <c r="Q29" s="421">
        <v>3.0972164188525943341460941800</v>
      </c>
      <c r="R29" s="91">
        <v>6.5945325306675265633193554700</v>
      </c>
      <c r="S29" s="422">
        <v>-0.717203169337390583205017500</v>
      </c>
      <c r="T29" s="421">
        <v>129.45085213395983560504505864</v>
      </c>
      <c r="U29" s="91">
        <v>53.921077327579299004962236640</v>
      </c>
      <c r="V29" s="422">
        <v>36.844940770754996991546528320</v>
      </c>
      <c r="W29" s="421">
        <v>0</v>
      </c>
      <c r="X29" s="91">
        <v>0</v>
      </c>
      <c r="Y29" s="422">
        <v>-8.916688323133386526546664880</v>
      </c>
      <c r="Z29" s="421">
        <v>16.919310981717857227377099960</v>
      </c>
      <c r="AA29" s="91">
        <v>10.720290916704889008465414700</v>
      </c>
      <c r="AB29" s="422">
        <v>5.907521746057228404307173600</v>
      </c>
    </row>
    <row r="30" ht="18" customHeight="1">
      <c r="A30" s="58"/>
      <c r="B30" s="1057" t="s">
        <v>78</v>
      </c>
      <c r="C30" s="1057"/>
      <c r="D30" s="458">
        <v>180.15386519390115155986442532</v>
      </c>
      <c r="E30" s="459">
        <v>193.68548378695512897243921497</v>
      </c>
      <c r="F30" s="460">
        <v>174.23742113329884596622629767</v>
      </c>
      <c r="G30" s="458">
        <v>352.74874442836591786907622389</v>
      </c>
      <c r="H30" s="459">
        <v>307.03163892399321871345113467</v>
      </c>
      <c r="I30" s="460">
        <v>240.33358836560807834372685452</v>
      </c>
      <c r="J30" s="458">
        <v>0</v>
      </c>
      <c r="K30" s="459">
        <v>0</v>
      </c>
      <c r="L30" s="460">
        <v>109.83881272963381693663396516</v>
      </c>
      <c r="M30" s="458">
        <v>195.74432040068082358949405396</v>
      </c>
      <c r="N30" s="459">
        <v>205.10578349082813131585066771</v>
      </c>
      <c r="O30" s="460">
        <v>180.29556320341595105674557109</v>
      </c>
      <c r="P30" s="5"/>
      <c r="Q30" s="431">
        <v>2.6082030388172884773116814400</v>
      </c>
      <c r="R30" s="432">
        <v>4.8247709729297040388707145200</v>
      </c>
      <c r="S30" s="433">
        <v>-2.2495232192082238921135902100</v>
      </c>
      <c r="T30" s="431">
        <v>78.547895872481553994727864050</v>
      </c>
      <c r="U30" s="432">
        <v>34.048739804606263268647162800</v>
      </c>
      <c r="V30" s="433">
        <v>24.363590116080025817497616740</v>
      </c>
      <c r="W30" s="431">
        <v>0</v>
      </c>
      <c r="X30" s="432">
        <v>-100</v>
      </c>
      <c r="Y30" s="433">
        <v>-9.242526685641520063409064610</v>
      </c>
      <c r="Z30" s="431">
        <v>10.063734294749888654969314450</v>
      </c>
      <c r="AA30" s="432">
        <v>8.225925028972870842600312290</v>
      </c>
      <c r="AB30" s="433">
        <v>2.0575793308899373668158975500</v>
      </c>
    </row>
    <row r="31" ht="6" customHeight="1">
      <c r="A31" s="58"/>
      <c r="B31" s="632"/>
      <c r="C31" s="632"/>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58" t="s">
        <v>50</v>
      </c>
      <c r="C32" s="1058"/>
      <c r="D32" s="494">
        <v>191.24770678736140617201547084</v>
      </c>
      <c r="E32" s="495">
        <v>229.61506062318641455137125213</v>
      </c>
      <c r="F32" s="496">
        <v>183.94414556354047597822885821</v>
      </c>
      <c r="G32" s="494">
        <v>243.91851428926002510395792376</v>
      </c>
      <c r="H32" s="495">
        <v>491.85105651567138178603423523</v>
      </c>
      <c r="I32" s="496">
        <v>281.13790424063063964357425961</v>
      </c>
      <c r="J32" s="494">
        <v>0</v>
      </c>
      <c r="K32" s="495">
        <v>0</v>
      </c>
      <c r="L32" s="496">
        <v>112.78568180334904894878492786</v>
      </c>
      <c r="M32" s="494">
        <v>228.12048911362302945878163108</v>
      </c>
      <c r="N32" s="495">
        <v>245.1663752521051496230744714</v>
      </c>
      <c r="O32" s="496">
        <v>193.68197962734302300148904429</v>
      </c>
      <c r="P32" s="93"/>
      <c r="Q32" s="480">
        <v>-17.590127993434289465905109760</v>
      </c>
      <c r="R32" s="481">
        <v>-8.791671268783651087328470980</v>
      </c>
      <c r="S32" s="482">
        <v>-6.9499567557164586981267557800</v>
      </c>
      <c r="T32" s="480">
        <v>-2.8653671911207384739264616500</v>
      </c>
      <c r="U32" s="481">
        <v>85.31814057095998909048972826</v>
      </c>
      <c r="V32" s="482">
        <v>43.018692186596114846481811120</v>
      </c>
      <c r="W32" s="480">
        <v>0</v>
      </c>
      <c r="X32" s="481">
        <v>0</v>
      </c>
      <c r="Y32" s="482">
        <v>-10.004924306615731441772110420</v>
      </c>
      <c r="Z32" s="480">
        <v>-2.268467553855963881040221700</v>
      </c>
      <c r="AA32" s="481">
        <v>-3.1010880257574911057530193100</v>
      </c>
      <c r="AB32" s="482">
        <v>1.026152469347339473981299400</v>
      </c>
    </row>
    <row r="33" ht="18" customHeight="1">
      <c r="A33" s="58"/>
      <c r="B33" s="1059" t="s">
        <v>51</v>
      </c>
      <c r="C33" s="1059"/>
      <c r="D33" s="277">
        <v>222.86733267861197936829664728</v>
      </c>
      <c r="E33" s="94">
        <v>232.34796180318481410199807851</v>
      </c>
      <c r="F33" s="278">
        <v>185.23212175393534856469442952</v>
      </c>
      <c r="G33" s="277">
        <v>210.86479825145327493022039062</v>
      </c>
      <c r="H33" s="94">
        <v>495.90511971237852677880293165</v>
      </c>
      <c r="I33" s="278">
        <v>272.33657741000035714323629186</v>
      </c>
      <c r="J33" s="277">
        <v>0</v>
      </c>
      <c r="K33" s="94">
        <v>0</v>
      </c>
      <c r="L33" s="278">
        <v>117.88633967903765902857702772</v>
      </c>
      <c r="M33" s="277">
        <v>219.41952413529581671679389451</v>
      </c>
      <c r="N33" s="94">
        <v>245.96712101178268319418591799</v>
      </c>
      <c r="O33" s="278">
        <v>192.20793647387698972539516132</v>
      </c>
      <c r="P33" s="5"/>
      <c r="Q33" s="272">
        <v>-4.6118702937578193772020532600</v>
      </c>
      <c r="R33" s="92">
        <v>-9.150417378651425107722890880</v>
      </c>
      <c r="S33" s="273">
        <v>-5.1655671774618077057843517100</v>
      </c>
      <c r="T33" s="272">
        <v>-9.453775463810883337905779370</v>
      </c>
      <c r="U33" s="92">
        <v>85.52979690966491200014521614</v>
      </c>
      <c r="V33" s="273">
        <v>36.375659890669811982517610010</v>
      </c>
      <c r="W33" s="272">
        <v>0</v>
      </c>
      <c r="X33" s="92">
        <v>0</v>
      </c>
      <c r="Y33" s="273">
        <v>-5.7617780037013544788160415600</v>
      </c>
      <c r="Z33" s="272">
        <v>-6.0666392182477095645467311300</v>
      </c>
      <c r="AA33" s="92">
        <v>-4.177254816604938945741069500</v>
      </c>
      <c r="AB33" s="273">
        <v>0.9697800244836039707847281800</v>
      </c>
    </row>
    <row r="34" ht="18" customHeight="1">
      <c r="A34" s="58"/>
      <c r="B34" s="1060" t="s">
        <v>79</v>
      </c>
      <c r="C34" s="1060"/>
      <c r="D34" s="444">
        <v>208.33573448211582762429883377</v>
      </c>
      <c r="E34" s="445">
        <v>231.03299574035131660811879904</v>
      </c>
      <c r="F34" s="446">
        <v>184.61522452749089622942192906</v>
      </c>
      <c r="G34" s="444">
        <v>229.36650143869045264688176401</v>
      </c>
      <c r="H34" s="445">
        <v>493.81016810900928781727609723</v>
      </c>
      <c r="I34" s="446">
        <v>276.88314152867196257040361017</v>
      </c>
      <c r="J34" s="444">
        <v>0</v>
      </c>
      <c r="K34" s="445">
        <v>0</v>
      </c>
      <c r="L34" s="446">
        <v>115.34988571269527709866106083</v>
      </c>
      <c r="M34" s="634">
        <v>223.54692183471915457142828247</v>
      </c>
      <c r="N34" s="635">
        <v>245.58039304397429101895864662</v>
      </c>
      <c r="O34" s="636">
        <v>192.92543108620621588980737088</v>
      </c>
      <c r="P34" s="93"/>
      <c r="Q34" s="274">
        <v>-10.532803974353539431436735480</v>
      </c>
      <c r="R34" s="275">
        <v>-8.964463199154160446938666030</v>
      </c>
      <c r="S34" s="276">
        <v>-6.0430284208026895998895385700</v>
      </c>
      <c r="T34" s="274">
        <v>-5.2552941069352045296927742500</v>
      </c>
      <c r="U34" s="275">
        <v>85.43369381629750555213172460</v>
      </c>
      <c r="V34" s="276">
        <v>39.823207145422732743256074670</v>
      </c>
      <c r="W34" s="274">
        <v>0</v>
      </c>
      <c r="X34" s="275">
        <v>0</v>
      </c>
      <c r="Y34" s="276">
        <v>-7.8740113049284845256548766700</v>
      </c>
      <c r="Z34" s="274">
        <v>-4.2640732368454780100564198900</v>
      </c>
      <c r="AA34" s="275">
        <v>-3.6453541544626930472042628600</v>
      </c>
      <c r="AB34" s="276">
        <v>0.9864923987137542868963365700</v>
      </c>
    </row>
    <row r="35" ht="6" customHeight="1">
      <c r="A35" s="58"/>
      <c r="B35" s="632"/>
      <c r="C35" s="632"/>
      <c r="D35" s="95"/>
      <c r="E35" s="95"/>
      <c r="F35" s="95"/>
      <c r="G35" s="95"/>
      <c r="H35" s="95"/>
      <c r="I35" s="95"/>
      <c r="J35" s="95"/>
      <c r="K35" s="95"/>
      <c r="L35" s="95"/>
      <c r="M35" s="637"/>
      <c r="N35" s="637"/>
      <c r="O35" s="637"/>
      <c r="P35" s="93"/>
      <c r="Q35" s="91"/>
      <c r="R35" s="91"/>
      <c r="S35" s="91"/>
      <c r="T35" s="91"/>
      <c r="U35" s="91"/>
      <c r="V35" s="91"/>
      <c r="W35" s="91"/>
      <c r="X35" s="91"/>
      <c r="Y35" s="91"/>
      <c r="Z35" s="91"/>
      <c r="AA35" s="91"/>
      <c r="AB35" s="91"/>
    </row>
    <row r="36" ht="18" customHeight="1">
      <c r="A36" s="58"/>
      <c r="B36" s="997" t="s">
        <v>12</v>
      </c>
      <c r="C36" s="997"/>
      <c r="D36" s="483">
        <v>191.36636818106905455144756359</v>
      </c>
      <c r="E36" s="484">
        <v>206.68192658671673983592636599</v>
      </c>
      <c r="F36" s="485">
        <v>178.48533164111280773607847463</v>
      </c>
      <c r="G36" s="483">
        <v>362.10180722891566265060240964</v>
      </c>
      <c r="H36" s="484">
        <v>346.51587373716982369598193767</v>
      </c>
      <c r="I36" s="485">
        <v>249.65779728599754623846638273</v>
      </c>
      <c r="J36" s="483">
        <v>0</v>
      </c>
      <c r="K36" s="484">
        <v>0</v>
      </c>
      <c r="L36" s="485">
        <v>108.51605275344645694945881356</v>
      </c>
      <c r="M36" s="483">
        <v>205.63515078286260887076473846</v>
      </c>
      <c r="N36" s="484">
        <v>218.77122114399527526419462987</v>
      </c>
      <c r="O36" s="485">
        <v>184.41489775093437710379937967</v>
      </c>
      <c r="P36" s="93"/>
      <c r="Q36" s="469">
        <v>-0.9851504547039589682434917900</v>
      </c>
      <c r="R36" s="470">
        <v>0.0988884728211276897766750700</v>
      </c>
      <c r="S36" s="471">
        <v>-3.2233709881365244364974021600</v>
      </c>
      <c r="T36" s="469">
        <v>73.9667344551305748664481700</v>
      </c>
      <c r="U36" s="470">
        <v>43.861989112616758914018295750</v>
      </c>
      <c r="V36" s="471">
        <v>28.936541608264807867376108920</v>
      </c>
      <c r="W36" s="469">
        <v>0</v>
      </c>
      <c r="X36" s="470">
        <v>-100</v>
      </c>
      <c r="Y36" s="471">
        <v>-11.909396476633513708124759560</v>
      </c>
      <c r="Z36" s="469">
        <v>5.6208548544456858809412660900</v>
      </c>
      <c r="AA36" s="470">
        <v>4.2541545359683445195782308700</v>
      </c>
      <c r="AB36" s="471">
        <v>1.8420923702806671567535338300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0" t="s">
        <v>10</v>
      </c>
      <c r="C38" s="1050"/>
      <c r="D38" s="1050"/>
      <c r="E38" s="1050"/>
      <c r="F38" s="1050"/>
      <c r="G38" s="1050"/>
      <c r="H38" s="1050"/>
      <c r="I38" s="1050"/>
      <c r="J38" s="1050"/>
      <c r="K38" s="1050"/>
      <c r="L38" s="1050"/>
      <c r="M38" s="1050"/>
      <c r="N38" s="1050"/>
      <c r="O38" s="1050"/>
      <c r="P38" s="412"/>
      <c r="Q38" s="1051"/>
      <c r="R38" s="1051"/>
      <c r="S38" s="1051"/>
      <c r="T38" s="1051"/>
      <c r="U38" s="1051"/>
      <c r="V38" s="1051"/>
      <c r="W38" s="1051"/>
      <c r="X38" s="1051"/>
      <c r="Y38" s="1051"/>
      <c r="Z38" s="1051"/>
      <c r="AA38" s="1051"/>
      <c r="AB38" s="1051"/>
      <c r="AC38" s="9"/>
    </row>
    <row r="39" ht="18" customHeight="1">
      <c r="A39" s="58"/>
      <c r="B39" s="1055" t="s">
        <v>43</v>
      </c>
      <c r="C39" s="1055"/>
      <c r="D39" s="455">
        <v>80.51718865024767188598431135</v>
      </c>
      <c r="E39" s="456">
        <v>102.42526140661005722098596468</v>
      </c>
      <c r="F39" s="457">
        <v>51.270194412111343931349550447</v>
      </c>
      <c r="G39" s="455">
        <v>18.228324757048881586033961916</v>
      </c>
      <c r="H39" s="456">
        <v>16.765353007131902732914248323</v>
      </c>
      <c r="I39" s="457">
        <v>20.302977878832226994342027122</v>
      </c>
      <c r="J39" s="455">
        <v>0</v>
      </c>
      <c r="K39" s="456">
        <v>0</v>
      </c>
      <c r="L39" s="457">
        <v>5.2300507385420707938871789103</v>
      </c>
      <c r="M39" s="455">
        <v>101.26756652451404074458013745</v>
      </c>
      <c r="N39" s="456">
        <v>119.69594990866931965478196039</v>
      </c>
      <c r="O39" s="457">
        <v>76.803223029485641719578756472</v>
      </c>
      <c r="P39" s="5"/>
      <c r="Q39" s="428">
        <v>-24.602416936018826862377338310</v>
      </c>
      <c r="R39" s="429">
        <v>-30.754979069554912331989000570</v>
      </c>
      <c r="S39" s="430">
        <v>-44.362952847385945310071231430</v>
      </c>
      <c r="T39" s="428">
        <v>87.89464013201821878300169593</v>
      </c>
      <c r="U39" s="429">
        <v>17.388486798657614150590329260</v>
      </c>
      <c r="V39" s="430">
        <v>-13.753328822698429190573886910</v>
      </c>
      <c r="W39" s="428">
        <v>0</v>
      </c>
      <c r="X39" s="429">
        <v>-100</v>
      </c>
      <c r="Y39" s="430">
        <v>-35.741316249791859023052892780</v>
      </c>
      <c r="Z39" s="428">
        <v>-13.068707413460240970962182890</v>
      </c>
      <c r="AA39" s="429">
        <v>-26.205860612795253316948430980</v>
      </c>
      <c r="AB39" s="430">
        <v>-37.977299892732201364354149170</v>
      </c>
    </row>
    <row r="40" ht="18" customHeight="1">
      <c r="A40" s="58"/>
      <c r="B40" s="1056" t="s">
        <v>46</v>
      </c>
      <c r="C40" s="1056"/>
      <c r="D40" s="440">
        <v>65.490778305414175254987344101</v>
      </c>
      <c r="E40" s="95">
        <v>79.85477244824363980629057317</v>
      </c>
      <c r="F40" s="441">
        <v>43.924511132538462168515139666</v>
      </c>
      <c r="G40" s="440">
        <v>9.213335728949512465240921625</v>
      </c>
      <c r="H40" s="95">
        <v>13.478303187908869477341688031</v>
      </c>
      <c r="I40" s="441">
        <v>16.152320730140783116249624828</v>
      </c>
      <c r="J40" s="440">
        <v>0</v>
      </c>
      <c r="K40" s="95">
        <v>0</v>
      </c>
      <c r="L40" s="441">
        <v>4.8924474418830196218675812061</v>
      </c>
      <c r="M40" s="440">
        <v>75.01798548594981622407168113</v>
      </c>
      <c r="N40" s="95">
        <v>92.22178277298338105234216479</v>
      </c>
      <c r="O40" s="441">
        <v>64.969279304562264906632345706</v>
      </c>
      <c r="P40" s="5"/>
      <c r="Q40" s="421">
        <v>-34.034477107483965839113017850</v>
      </c>
      <c r="R40" s="91">
        <v>-35.306293007888496629122139570</v>
      </c>
      <c r="S40" s="422">
        <v>-51.326745608144449792639944920</v>
      </c>
      <c r="T40" s="421">
        <v>-35.121399479723018969914425450</v>
      </c>
      <c r="U40" s="91">
        <v>-30.808117832404135814774500600</v>
      </c>
      <c r="V40" s="422">
        <v>-46.755893591555640969419443380</v>
      </c>
      <c r="W40" s="421">
        <v>0</v>
      </c>
      <c r="X40" s="91">
        <v>-100</v>
      </c>
      <c r="Y40" s="422">
        <v>-35.863738050903347964344726140</v>
      </c>
      <c r="Z40" s="421">
        <v>-33.893908580286825342466877410</v>
      </c>
      <c r="AA40" s="91">
        <v>-35.472269540843754919129697510</v>
      </c>
      <c r="AB40" s="422">
        <v>-49.325172846977990714071710070</v>
      </c>
    </row>
    <row r="41" ht="18" customHeight="1">
      <c r="A41" s="58"/>
      <c r="B41" s="1056" t="s">
        <v>47</v>
      </c>
      <c r="C41" s="1056"/>
      <c r="D41" s="440">
        <v>56.790389253246838731288633462</v>
      </c>
      <c r="E41" s="95">
        <v>73.495472136719706908628204465</v>
      </c>
      <c r="F41" s="441">
        <v>44.366422680577828774140675873</v>
      </c>
      <c r="G41" s="440">
        <v>10.583261824098908053895355339</v>
      </c>
      <c r="H41" s="95">
        <v>16.177653340670161881086350134</v>
      </c>
      <c r="I41" s="441">
        <v>18.658841268642380389223687104</v>
      </c>
      <c r="J41" s="440">
        <v>0</v>
      </c>
      <c r="K41" s="95">
        <v>0</v>
      </c>
      <c r="L41" s="441">
        <v>4.8160635207922986241713004384</v>
      </c>
      <c r="M41" s="440">
        <v>68.010490682810825653173317224</v>
      </c>
      <c r="N41" s="95">
        <v>90.10728665854697495470676283</v>
      </c>
      <c r="O41" s="441">
        <v>67.841327470012507787535663416</v>
      </c>
      <c r="P41" s="93"/>
      <c r="Q41" s="421">
        <v>-42.600443645396989905124872790</v>
      </c>
      <c r="R41" s="91">
        <v>-41.771423465290273779835040800</v>
      </c>
      <c r="S41" s="422">
        <v>-54.139753981175249537977833520</v>
      </c>
      <c r="T41" s="421">
        <v>-40.425555200762350376187515570</v>
      </c>
      <c r="U41" s="91">
        <v>-21.972285305322497456997871270</v>
      </c>
      <c r="V41" s="422">
        <v>-46.244616259750675704661119140</v>
      </c>
      <c r="W41" s="421">
        <v>0</v>
      </c>
      <c r="X41" s="91">
        <v>0</v>
      </c>
      <c r="Y41" s="422">
        <v>-35.113224923284618619093583380</v>
      </c>
      <c r="Z41" s="421">
        <v>-41.723688834369095667532196150</v>
      </c>
      <c r="AA41" s="91">
        <v>-38.682554157167247639059532920</v>
      </c>
      <c r="AB41" s="422">
        <v>-51.149558186290298490787624640</v>
      </c>
    </row>
    <row r="42" ht="18" customHeight="1">
      <c r="A42" s="58"/>
      <c r="B42" s="1056" t="s">
        <v>48</v>
      </c>
      <c r="C42" s="1056"/>
      <c r="D42" s="440">
        <v>71.616333024104155560246401462</v>
      </c>
      <c r="E42" s="95">
        <v>81.0607068302517882904056999</v>
      </c>
      <c r="F42" s="441">
        <v>50.231872575827105676739278874</v>
      </c>
      <c r="G42" s="440">
        <v>12.307886585211680786629356597</v>
      </c>
      <c r="H42" s="95">
        <v>16.368689885128474228865320907</v>
      </c>
      <c r="I42" s="441">
        <v>19.651268415161387399080602665</v>
      </c>
      <c r="J42" s="440">
        <v>0</v>
      </c>
      <c r="K42" s="95">
        <v>0</v>
      </c>
      <c r="L42" s="441">
        <v>4.9062961465333429249140309588</v>
      </c>
      <c r="M42" s="440">
        <v>84.76894172882733765280043153</v>
      </c>
      <c r="N42" s="95">
        <v>97.7373453882413096530699981</v>
      </c>
      <c r="O42" s="441">
        <v>74.789437137521836000733912504</v>
      </c>
      <c r="P42" s="5"/>
      <c r="Q42" s="421">
        <v>-26.423744717431296517939022640</v>
      </c>
      <c r="R42" s="91">
        <v>-35.191090133801198914039086300</v>
      </c>
      <c r="S42" s="422">
        <v>-48.465964702667041961045652280</v>
      </c>
      <c r="T42" s="421">
        <v>-2.576851502368068174924549900</v>
      </c>
      <c r="U42" s="91">
        <v>-24.434312288723708226422641410</v>
      </c>
      <c r="V42" s="422">
        <v>-45.260250165594326680642497220</v>
      </c>
      <c r="W42" s="421">
        <v>0</v>
      </c>
      <c r="X42" s="91">
        <v>0</v>
      </c>
      <c r="Y42" s="422">
        <v>-36.504730166829824450397811190</v>
      </c>
      <c r="Z42" s="421">
        <v>-22.916046402013764312685433230</v>
      </c>
      <c r="AA42" s="91">
        <v>-33.393306508380953183339730460</v>
      </c>
      <c r="AB42" s="422">
        <v>-46.995315251480124107676455690</v>
      </c>
    </row>
    <row r="43" ht="18" customHeight="1">
      <c r="A43" s="58"/>
      <c r="B43" s="1056" t="s">
        <v>49</v>
      </c>
      <c r="C43" s="1056"/>
      <c r="D43" s="440">
        <v>82.51683145612104103837129265</v>
      </c>
      <c r="E43" s="95">
        <v>100.98693584105408194868629331</v>
      </c>
      <c r="F43" s="441">
        <v>55.281559856539843485443782902</v>
      </c>
      <c r="G43" s="440">
        <v>24.192069502611750445066457874</v>
      </c>
      <c r="H43" s="95">
        <v>17.17244224729648843524255908</v>
      </c>
      <c r="I43" s="441">
        <v>23.361137914685002658009439072</v>
      </c>
      <c r="J43" s="440">
        <v>0</v>
      </c>
      <c r="K43" s="95">
        <v>0</v>
      </c>
      <c r="L43" s="441">
        <v>5.1002807589413867996008868589</v>
      </c>
      <c r="M43" s="440">
        <v>107.40994490215498981437720011</v>
      </c>
      <c r="N43" s="95">
        <v>118.54714344787427873809822448</v>
      </c>
      <c r="O43" s="441">
        <v>83.74297853016623294305410883</v>
      </c>
      <c r="P43" s="93"/>
      <c r="Q43" s="421">
        <v>-29.201544525635286225302144400</v>
      </c>
      <c r="R43" s="91">
        <v>-31.898870575471259346309618350</v>
      </c>
      <c r="S43" s="422">
        <v>-46.744335996819477192215190470</v>
      </c>
      <c r="T43" s="421">
        <v>87.93561729911044244843401217</v>
      </c>
      <c r="U43" s="91">
        <v>-27.527940772925392585934177490</v>
      </c>
      <c r="V43" s="422">
        <v>-31.133672989311438903424131530</v>
      </c>
      <c r="W43" s="421">
        <v>0</v>
      </c>
      <c r="X43" s="91">
        <v>0</v>
      </c>
      <c r="Y43" s="422">
        <v>-36.112548609000984416506240920</v>
      </c>
      <c r="Z43" s="421">
        <v>-17.009425745117958932989399450</v>
      </c>
      <c r="AA43" s="91">
        <v>-31.071200056735673861106768930</v>
      </c>
      <c r="AB43" s="422">
        <v>-42.527544064755561974500800010</v>
      </c>
    </row>
    <row r="44" ht="18" customHeight="1">
      <c r="A44" s="58"/>
      <c r="B44" s="1057" t="s">
        <v>78</v>
      </c>
      <c r="C44" s="1057"/>
      <c r="D44" s="458">
        <v>71.504718491673486452881912921</v>
      </c>
      <c r="E44" s="459">
        <v>87.73081156059923914202961296</v>
      </c>
      <c r="F44" s="460">
        <v>49.028234535033620595249859504</v>
      </c>
      <c r="G44" s="458">
        <v>14.951457555937689094791845948</v>
      </c>
      <c r="H44" s="459">
        <v>16.014945183027290080226794012</v>
      </c>
      <c r="I44" s="460">
        <v>19.633180020038360968045383164</v>
      </c>
      <c r="J44" s="458">
        <v>0</v>
      </c>
      <c r="K44" s="459">
        <v>0</v>
      </c>
      <c r="L44" s="460">
        <v>4.9885006335687887771172359196</v>
      </c>
      <c r="M44" s="458">
        <v>87.41980400793867157270743325</v>
      </c>
      <c r="N44" s="459">
        <v>103.81938619266513807297760823</v>
      </c>
      <c r="O44" s="460">
        <v>73.649915188640770340412478593</v>
      </c>
      <c r="P44" s="5"/>
      <c r="Q44" s="431">
        <v>-31.086970089581809554265508780</v>
      </c>
      <c r="R44" s="432">
        <v>-34.605834138690173613231833150</v>
      </c>
      <c r="S44" s="433">
        <v>-48.973302092927063828496937120</v>
      </c>
      <c r="T44" s="431">
        <v>11.150966655269190854533197310</v>
      </c>
      <c r="U44" s="432">
        <v>-19.817964735834659000489069940</v>
      </c>
      <c r="V44" s="433">
        <v>-38.050114660580695058675813860</v>
      </c>
      <c r="W44" s="431">
        <v>0</v>
      </c>
      <c r="X44" s="432">
        <v>-100</v>
      </c>
      <c r="Y44" s="433">
        <v>-35.868778123113905512811648540</v>
      </c>
      <c r="Z44" s="431">
        <v>-25.417549241590202603377899710</v>
      </c>
      <c r="AA44" s="432">
        <v>-32.642337543686553123509100040</v>
      </c>
      <c r="AB44" s="433">
        <v>-45.667517633767173149227826720</v>
      </c>
    </row>
    <row r="45" ht="6" customHeight="1">
      <c r="A45" s="58"/>
      <c r="B45" s="632"/>
      <c r="C45" s="632"/>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58" t="s">
        <v>50</v>
      </c>
      <c r="C46" s="1058"/>
      <c r="D46" s="494">
        <v>99.43444185745626777915645887</v>
      </c>
      <c r="E46" s="495">
        <v>134.69865742434902341689832661</v>
      </c>
      <c r="F46" s="496">
        <v>65.843253746552201534089042073</v>
      </c>
      <c r="G46" s="494">
        <v>8.34874852488704471554552231</v>
      </c>
      <c r="H46" s="495">
        <v>18.445187627233774764516805174</v>
      </c>
      <c r="I46" s="496">
        <v>23.473320891870177192467893354</v>
      </c>
      <c r="J46" s="494">
        <v>0</v>
      </c>
      <c r="K46" s="495">
        <v>0</v>
      </c>
      <c r="L46" s="496">
        <v>5.3207739770371960992111685371</v>
      </c>
      <c r="M46" s="494">
        <v>131.76288320550053323033880893</v>
      </c>
      <c r="N46" s="495">
        <v>153.66031447341250950581611161</v>
      </c>
      <c r="O46" s="496">
        <v>94.63734861545957482576810397</v>
      </c>
      <c r="P46" s="93"/>
      <c r="Q46" s="480">
        <v>-35.308385747791771033398259400</v>
      </c>
      <c r="R46" s="481">
        <v>-35.296810761710532400508316580</v>
      </c>
      <c r="S46" s="482">
        <v>-47.199402217730990943947241290</v>
      </c>
      <c r="T46" s="480">
        <v>-34.021566182426256485119385670</v>
      </c>
      <c r="U46" s="481">
        <v>-17.616677629096193100952480850</v>
      </c>
      <c r="V46" s="482">
        <v>-24.478812127194866404269604130</v>
      </c>
      <c r="W46" s="480">
        <v>0</v>
      </c>
      <c r="X46" s="481">
        <v>0</v>
      </c>
      <c r="Y46" s="482">
        <v>-37.822927671171764961122886350</v>
      </c>
      <c r="Z46" s="480">
        <v>-20.796086722636615559574747410</v>
      </c>
      <c r="AA46" s="481">
        <v>-33.355976846368076108079904600</v>
      </c>
      <c r="AB46" s="482">
        <v>-42.414016071853266366578400930</v>
      </c>
    </row>
    <row r="47" ht="18" customHeight="1">
      <c r="A47" s="58"/>
      <c r="B47" s="1059" t="s">
        <v>51</v>
      </c>
      <c r="C47" s="1059"/>
      <c r="D47" s="277">
        <v>133.15154691791616668767251399</v>
      </c>
      <c r="E47" s="94">
        <v>147.11543409227661945779174172</v>
      </c>
      <c r="F47" s="278">
        <v>72.257310878338149088915092935</v>
      </c>
      <c r="G47" s="277">
        <v>5.5471856026545895069686552427</v>
      </c>
      <c r="H47" s="94">
        <v>17.407960817493703401073732502</v>
      </c>
      <c r="I47" s="278">
        <v>21.317315061940825714879390458</v>
      </c>
      <c r="J47" s="277">
        <v>0</v>
      </c>
      <c r="K47" s="94">
        <v>0</v>
      </c>
      <c r="L47" s="278">
        <v>5.6323452682233209246123680685</v>
      </c>
      <c r="M47" s="277">
        <v>140.43741228355335820164056803</v>
      </c>
      <c r="N47" s="94">
        <v>165.19883692500240860587014403</v>
      </c>
      <c r="O47" s="278">
        <v>99.20697120850229572840685145</v>
      </c>
      <c r="P47" s="5"/>
      <c r="Q47" s="272">
        <v>-15.457844228760569748955690410</v>
      </c>
      <c r="R47" s="92">
        <v>-32.780478719762530326377432950</v>
      </c>
      <c r="S47" s="273">
        <v>-42.641922716426462398015284940</v>
      </c>
      <c r="T47" s="272">
        <v>-51.769389793720248596317978640</v>
      </c>
      <c r="U47" s="92">
        <v>-14.122928339197431117594222530</v>
      </c>
      <c r="V47" s="273">
        <v>-22.104714584846997074850475370</v>
      </c>
      <c r="W47" s="272">
        <v>0</v>
      </c>
      <c r="X47" s="92">
        <v>0</v>
      </c>
      <c r="Y47" s="273">
        <v>-34.375435239322434864502941670</v>
      </c>
      <c r="Z47" s="272">
        <v>-16.900251996507423212776346420</v>
      </c>
      <c r="AA47" s="92">
        <v>-30.916432511409732726112136330</v>
      </c>
      <c r="AB47" s="273">
        <v>-38.732814981705547662543645070</v>
      </c>
    </row>
    <row r="48" ht="18" customHeight="1">
      <c r="A48" s="58"/>
      <c r="B48" s="1060" t="s">
        <v>79</v>
      </c>
      <c r="C48" s="1060"/>
      <c r="D48" s="444">
        <v>116.48745280731129662985362534</v>
      </c>
      <c r="E48" s="445">
        <v>140.90408190693423201356166989</v>
      </c>
      <c r="F48" s="446">
        <v>69.047404695232841020999820854</v>
      </c>
      <c r="G48" s="444">
        <v>6.9318094637229881062055717343</v>
      </c>
      <c r="H48" s="445">
        <v>17.926821805628878948842456698</v>
      </c>
      <c r="I48" s="446">
        <v>22.39628525227561813296576052</v>
      </c>
      <c r="J48" s="444">
        <v>0</v>
      </c>
      <c r="K48" s="445">
        <v>0</v>
      </c>
      <c r="L48" s="446">
        <v>5.4764198385759595186275297702</v>
      </c>
      <c r="M48" s="444">
        <v>136.10014774452694571598968842</v>
      </c>
      <c r="N48" s="445">
        <v>159.42681462706995452444819107</v>
      </c>
      <c r="O48" s="446">
        <v>96.92010978608441867259311114</v>
      </c>
      <c r="P48" s="93"/>
      <c r="Q48" s="274">
        <v>-25.137205974276227194704494760</v>
      </c>
      <c r="R48" s="275">
        <v>-34.008570013006369873991720520</v>
      </c>
      <c r="S48" s="276">
        <v>-44.911399342961314157711185480</v>
      </c>
      <c r="T48" s="274">
        <v>-42.605910322540926448235447760</v>
      </c>
      <c r="U48" s="275">
        <v>-15.955399005641952058421329960</v>
      </c>
      <c r="V48" s="276">
        <v>-23.363504967621494000830056740</v>
      </c>
      <c r="W48" s="274">
        <v>0</v>
      </c>
      <c r="X48" s="275">
        <v>0</v>
      </c>
      <c r="Y48" s="276">
        <v>-36.098283447432113446063465010</v>
      </c>
      <c r="Z48" s="274">
        <v>-18.832837622779528185067818260</v>
      </c>
      <c r="AA48" s="275">
        <v>-32.115150108440977887085946130</v>
      </c>
      <c r="AB48" s="276">
        <v>-40.588264638659634556169294400</v>
      </c>
    </row>
    <row r="49" ht="6" customHeight="1">
      <c r="A49" s="58"/>
      <c r="B49" s="632"/>
      <c r="C49" s="632"/>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7" t="s">
        <v>12</v>
      </c>
      <c r="C50" s="997"/>
      <c r="D50" s="483">
        <v>86.5236462990561351217088922</v>
      </c>
      <c r="E50" s="484">
        <v>103.25209018792924091568215734</v>
      </c>
      <c r="F50" s="485">
        <v>55.194448496649100485088913686</v>
      </c>
      <c r="G50" s="483">
        <v>14.930178837555886736214605067</v>
      </c>
      <c r="H50" s="484">
        <v>16.382407139874710025834815783</v>
      </c>
      <c r="I50" s="485">
        <v>20.128477652413399069733723754</v>
      </c>
      <c r="J50" s="483">
        <v>0</v>
      </c>
      <c r="K50" s="484">
        <v>0</v>
      </c>
      <c r="L50" s="485">
        <v>4.8990438076855091895348678665</v>
      </c>
      <c r="M50" s="483">
        <v>101.45382513661202185792349727</v>
      </c>
      <c r="N50" s="484">
        <v>119.63449732780395094151697313</v>
      </c>
      <c r="O50" s="485">
        <v>80.2219699567480087443575053</v>
      </c>
      <c r="P50" s="93"/>
      <c r="Q50" s="469">
        <v>-26.764519675286746121069652930</v>
      </c>
      <c r="R50" s="470">
        <v>-34.326142301620316805372870650</v>
      </c>
      <c r="S50" s="471">
        <v>-48.123252558701890015579315600</v>
      </c>
      <c r="T50" s="469">
        <v>11.052345659702911323255242750</v>
      </c>
      <c r="U50" s="470">
        <v>-17.640755784158179729574461960</v>
      </c>
      <c r="V50" s="471">
        <v>-30.392537059251971493902548550</v>
      </c>
      <c r="W50" s="469">
        <v>0</v>
      </c>
      <c r="X50" s="470">
        <v>-100</v>
      </c>
      <c r="Y50" s="471">
        <v>-39.527723748426513121142580810</v>
      </c>
      <c r="Z50" s="469">
        <v>-22.900812766138514581284091810</v>
      </c>
      <c r="AA50" s="470">
        <v>-32.459661600410354232027907820</v>
      </c>
      <c r="AB50" s="471">
        <v>-44.062580573007104585390316320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61" t="s">
        <v>129</v>
      </c>
      <c r="C52" s="1061"/>
      <c r="D52" s="1061"/>
      <c r="E52" s="1061"/>
      <c r="F52" s="1061"/>
      <c r="G52" s="1061"/>
      <c r="H52" s="1061"/>
      <c r="I52" s="1061"/>
      <c r="J52" s="1061"/>
      <c r="K52" s="1061"/>
      <c r="L52" s="1061"/>
      <c r="M52" s="1061"/>
      <c r="N52" s="1061"/>
      <c r="O52" s="1061"/>
      <c r="P52" s="1061"/>
      <c r="Q52" s="1061"/>
      <c r="R52" s="1061"/>
      <c r="S52" s="1061"/>
      <c r="T52" s="1061"/>
      <c r="U52" s="1061"/>
      <c r="V52" s="1061"/>
      <c r="W52" s="1061"/>
      <c r="X52" s="1061"/>
      <c r="Y52" s="1061"/>
      <c r="Z52" s="1061"/>
      <c r="AA52" s="1061"/>
      <c r="AB52" s="1061"/>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7" t="s">
        <v>200</v>
      </c>
      <c r="AD1" s="5"/>
      <c r="AG1" s="686"/>
      <c r="AI1" s="236"/>
    </row>
    <row r="2" ht="21" customHeight="1">
      <c r="B2" s="11" t="s">
        <v>211</v>
      </c>
    </row>
    <row r="3" ht="21" customHeight="1">
      <c r="B3" s="11" t="s">
        <v>212</v>
      </c>
      <c r="U3" s="1053" t="s">
        <v>298</v>
      </c>
      <c r="V3" s="1053"/>
      <c r="W3" s="1053"/>
      <c r="X3" s="1053"/>
      <c r="Y3" s="1053"/>
      <c r="Z3" s="1053"/>
      <c r="AA3" s="1053"/>
      <c r="AB3" s="1053"/>
      <c r="AC3" s="1053"/>
      <c r="AD3" s="1053"/>
      <c r="AE3" s="1053"/>
      <c r="AF3" s="1053"/>
      <c r="AG3" s="1053"/>
    </row>
    <row r="4" ht="21" customHeight="1">
      <c r="A4" s="4"/>
      <c r="B4" s="211" t="s">
        <v>213</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75" t="s">
        <v>94</v>
      </c>
      <c r="E6" s="975"/>
      <c r="F6" s="975"/>
      <c r="G6" s="975"/>
      <c r="H6" s="975"/>
      <c r="I6" s="975"/>
      <c r="J6" s="975"/>
      <c r="K6" s="975"/>
      <c r="L6" s="975"/>
      <c r="M6" s="975"/>
      <c r="N6" s="975"/>
      <c r="O6" s="975"/>
      <c r="Q6" s="975" t="s">
        <v>72</v>
      </c>
      <c r="R6" s="975"/>
      <c r="S6" s="975"/>
      <c r="T6" s="975"/>
      <c r="U6" s="975"/>
      <c r="V6" s="975"/>
      <c r="W6" s="975"/>
      <c r="X6" s="975"/>
      <c r="Y6" s="975"/>
      <c r="Z6" s="975"/>
      <c r="AA6" s="975"/>
      <c r="AB6" s="975"/>
      <c r="AD6" s="975" t="s">
        <v>80</v>
      </c>
      <c r="AE6" s="975"/>
      <c r="AF6" s="975"/>
      <c r="AG6" s="975"/>
    </row>
    <row r="7" ht="24.95" customHeight="1">
      <c r="D7" s="284" t="s">
        <v>20</v>
      </c>
      <c r="E7" s="284"/>
      <c r="F7" s="284"/>
      <c r="G7" s="284" t="s">
        <v>18</v>
      </c>
      <c r="H7" s="284"/>
      <c r="I7" s="284"/>
      <c r="J7" s="284" t="s">
        <v>17</v>
      </c>
      <c r="K7" s="284"/>
      <c r="L7" s="284"/>
      <c r="M7" s="284" t="s">
        <v>104</v>
      </c>
      <c r="N7" s="284"/>
      <c r="O7" s="284"/>
      <c r="Q7" s="284" t="s">
        <v>20</v>
      </c>
      <c r="R7" s="284"/>
      <c r="S7" s="284"/>
      <c r="T7" s="284" t="s">
        <v>18</v>
      </c>
      <c r="U7" s="284"/>
      <c r="V7" s="284"/>
      <c r="W7" s="284" t="s">
        <v>17</v>
      </c>
      <c r="X7" s="284"/>
      <c r="Y7" s="284"/>
      <c r="Z7" s="284" t="s">
        <v>104</v>
      </c>
      <c r="AA7" s="284"/>
      <c r="AB7" s="284"/>
      <c r="AD7" s="284" t="s">
        <v>81</v>
      </c>
      <c r="AE7" s="284"/>
      <c r="AF7" s="284"/>
      <c r="AG7" s="284"/>
    </row>
    <row r="8" ht="30" customHeight="1">
      <c r="A8" s="57"/>
      <c r="B8" s="958" t="s">
        <v>42</v>
      </c>
      <c r="C8" s="958"/>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c r="AC8" s="63"/>
      <c r="AD8" s="413" t="s">
        <v>20</v>
      </c>
      <c r="AE8" s="414" t="s">
        <v>18</v>
      </c>
      <c r="AF8" s="414" t="s">
        <v>17</v>
      </c>
      <c r="AG8" s="415" t="s">
        <v>12</v>
      </c>
    </row>
    <row r="9" ht="20.1" customHeight="1">
      <c r="A9" s="57"/>
      <c r="B9" s="285">
        <v>2019</v>
      </c>
      <c r="C9" s="286" t="s">
        <v>221</v>
      </c>
      <c r="D9" s="435">
        <v>157.459600000</v>
      </c>
      <c r="E9" s="436">
        <v>165.32644633301857097891092226</v>
      </c>
      <c r="F9" s="437">
        <v>142.1541976107679987713774833</v>
      </c>
      <c r="G9" s="435">
        <v>28.9696</v>
      </c>
      <c r="H9" s="436">
        <v>63.463416894232838621129229548</v>
      </c>
      <c r="I9" s="437">
        <v>37.153555991894747038299790319</v>
      </c>
      <c r="J9" s="435">
        <v>30.5464</v>
      </c>
      <c r="K9" s="436">
        <v>21.54082996526282707612394804</v>
      </c>
      <c r="L9" s="437">
        <v>14.596777516095085899659771449</v>
      </c>
      <c r="M9" s="435">
        <v>216.975600000</v>
      </c>
      <c r="N9" s="436">
        <v>250.33069319251423667616409985</v>
      </c>
      <c r="O9" s="437">
        <v>193.90453111875783170933704506</v>
      </c>
      <c r="P9" s="5"/>
      <c r="Q9" s="416">
        <v>9.931641515438440715523304010</v>
      </c>
      <c r="R9" s="417">
        <v>-5.3510425153294427378965579800</v>
      </c>
      <c r="S9" s="418">
        <v>-1.1111552994981603855608704600</v>
      </c>
      <c r="T9" s="416">
        <v>148.78687028803402281074811520</v>
      </c>
      <c r="U9" s="417">
        <v>19.669181438849282111697174730</v>
      </c>
      <c r="V9" s="418">
        <v>-6.6211406741963185213721459900</v>
      </c>
      <c r="W9" s="416">
        <v>45.920462378020914540713460040</v>
      </c>
      <c r="X9" s="417">
        <v>-1.8261827799770673455064430400</v>
      </c>
      <c r="Y9" s="418">
        <v>-32.843463048921085331272566100</v>
      </c>
      <c r="Z9" s="416">
        <v>23.413388857236138762811361700</v>
      </c>
      <c r="AA9" s="417">
        <v>0.273786828358409345431620200</v>
      </c>
      <c r="AB9" s="418">
        <v>-5.539105906936780149290316300</v>
      </c>
      <c r="AC9" s="5"/>
      <c r="AD9" s="428" t="s">
        <v>318</v>
      </c>
      <c r="AE9" s="429" t="s">
        <v>240</v>
      </c>
      <c r="AF9" s="429" t="s">
        <v>238</v>
      </c>
      <c r="AG9" s="430" t="s">
        <v>240</v>
      </c>
    </row>
    <row r="10" ht="20.1" customHeight="1">
      <c r="A10" s="58"/>
      <c r="B10" s="287"/>
      <c r="C10" s="288" t="s">
        <v>224</v>
      </c>
      <c r="D10" s="277">
        <v>135.79799785484447622452627816</v>
      </c>
      <c r="E10" s="94">
        <v>148.70800635579479862507296193</v>
      </c>
      <c r="F10" s="278">
        <v>135.53866028924545156439047005</v>
      </c>
      <c r="G10" s="277">
        <v>21.364318913121201287093314265</v>
      </c>
      <c r="H10" s="94">
        <v>45.960116187995931711236274709</v>
      </c>
      <c r="I10" s="278">
        <v>36.503245709593663670948972359</v>
      </c>
      <c r="J10" s="277">
        <v>32.467286378262424025741866285</v>
      </c>
      <c r="K10" s="94">
        <v>21.865191126277318542541718761</v>
      </c>
      <c r="L10" s="278">
        <v>15.099992099188079012598608543</v>
      </c>
      <c r="M10" s="277">
        <v>189.62960314622810153736145871</v>
      </c>
      <c r="N10" s="94">
        <v>216.5333136700680488788509554</v>
      </c>
      <c r="O10" s="278">
        <v>187.14189809802719424793805095</v>
      </c>
      <c r="P10" s="5"/>
      <c r="Q10" s="272">
        <v>-6.2301543771215364156719831700</v>
      </c>
      <c r="R10" s="92">
        <v>-6.6948159192389746476866537100</v>
      </c>
      <c r="S10" s="273">
        <v>-0.8365030211534312636723819700</v>
      </c>
      <c r="T10" s="272">
        <v>21.337164210062080255044350780</v>
      </c>
      <c r="U10" s="92">
        <v>-1.4029953765540462051979206300</v>
      </c>
      <c r="V10" s="273">
        <v>-14.204023954067857939182719570</v>
      </c>
      <c r="W10" s="272">
        <v>-0.3723344894214478453717173700</v>
      </c>
      <c r="X10" s="92">
        <v>3.642459605682671803179140600</v>
      </c>
      <c r="Y10" s="273">
        <v>-29.712988602629194454764343950</v>
      </c>
      <c r="Z10" s="272">
        <v>-2.7623101018421202281697170700</v>
      </c>
      <c r="AA10" s="92">
        <v>-4.6482326001253281280824785600</v>
      </c>
      <c r="AB10" s="273">
        <v>-6.7609411491994394776171850300</v>
      </c>
      <c r="AC10" s="5"/>
      <c r="AD10" s="272" t="s">
        <v>317</v>
      </c>
      <c r="AE10" s="92" t="s">
        <v>239</v>
      </c>
      <c r="AF10" s="92" t="s">
        <v>238</v>
      </c>
      <c r="AG10" s="273" t="s">
        <v>239</v>
      </c>
    </row>
    <row r="11" ht="20.1" customHeight="1">
      <c r="A11" s="58"/>
      <c r="B11" s="289"/>
      <c r="C11" s="290" t="s">
        <v>226</v>
      </c>
      <c r="D11" s="440">
        <v>123.77199621570482497634815516</v>
      </c>
      <c r="E11" s="95">
        <v>134.72185658699277376320177876</v>
      </c>
      <c r="F11" s="443">
        <v>133.41878096631529943803411698</v>
      </c>
      <c r="G11" s="440">
        <v>18.017502365184484389782403027</v>
      </c>
      <c r="H11" s="95">
        <v>55.605846633349506846264600794</v>
      </c>
      <c r="I11" s="443">
        <v>46.888639805977736054320520958</v>
      </c>
      <c r="J11" s="440">
        <v>31.810312204351939451277199622</v>
      </c>
      <c r="K11" s="95">
        <v>19.921122594848318550999958125</v>
      </c>
      <c r="L11" s="443">
        <v>14.731306669745082041167223905</v>
      </c>
      <c r="M11" s="440">
        <v>173.59981078524124881740775781</v>
      </c>
      <c r="N11" s="95">
        <v>210.24882581519059916046633768</v>
      </c>
      <c r="O11" s="443">
        <v>195.03872744203811753352186184</v>
      </c>
      <c r="P11" s="5"/>
      <c r="Q11" s="498">
        <v>-11.033059542831884678744901230</v>
      </c>
      <c r="R11" s="216">
        <v>-12.045968234978648717853141170</v>
      </c>
      <c r="S11" s="499">
        <v>-0.2643090859990371196909375700</v>
      </c>
      <c r="T11" s="498">
        <v>-38.126650975618252768532069480</v>
      </c>
      <c r="U11" s="216">
        <v>9.998093283643062346496088730</v>
      </c>
      <c r="V11" s="499">
        <v>-3.6111087797422392485412409800</v>
      </c>
      <c r="W11" s="498">
        <v>7.2405561387666211077183772200</v>
      </c>
      <c r="X11" s="216">
        <v>-15.095425521996011754225813200</v>
      </c>
      <c r="Y11" s="499">
        <v>-30.249117398851247540603728470</v>
      </c>
      <c r="Z11" s="498">
        <v>-12.280746603995897006755470350</v>
      </c>
      <c r="AA11" s="216">
        <v>-7.455866657395697675544113500</v>
      </c>
      <c r="AB11" s="499">
        <v>-4.1755375370663249784822816300</v>
      </c>
      <c r="AC11" s="5"/>
      <c r="AD11" s="421" t="s">
        <v>318</v>
      </c>
      <c r="AE11" s="91" t="s">
        <v>239</v>
      </c>
      <c r="AF11" s="91" t="s">
        <v>238</v>
      </c>
      <c r="AG11" s="422" t="s">
        <v>240</v>
      </c>
    </row>
    <row r="12" ht="20.1" customHeight="1">
      <c r="A12" s="58"/>
      <c r="B12" s="287"/>
      <c r="C12" s="288" t="s">
        <v>228</v>
      </c>
      <c r="D12" s="277">
        <v>143.73379714390333211277920176</v>
      </c>
      <c r="E12" s="94">
        <v>152.8289816490049108296717498</v>
      </c>
      <c r="F12" s="278">
        <v>155.13134274106080237323311973</v>
      </c>
      <c r="G12" s="277">
        <v>27.835225192237275723178322959</v>
      </c>
      <c r="H12" s="94">
        <v>53.073762016538432418990555861</v>
      </c>
      <c r="I12" s="278">
        <v>52.714679154950140706316493085</v>
      </c>
      <c r="J12" s="277">
        <v>29.488099597217136580007323325</v>
      </c>
      <c r="K12" s="94">
        <v>18.095668599536099271923201206</v>
      </c>
      <c r="L12" s="278">
        <v>14.86155993691350341484970762</v>
      </c>
      <c r="M12" s="277">
        <v>201.05712193335774441596484804</v>
      </c>
      <c r="N12" s="94">
        <v>223.99841226507944252058550687</v>
      </c>
      <c r="O12" s="278">
        <v>222.70758183292444649439932044</v>
      </c>
      <c r="P12" s="5"/>
      <c r="Q12" s="272">
        <v>-7.7556985622953634753938267300</v>
      </c>
      <c r="R12" s="92">
        <v>-11.169185486352370031905157090</v>
      </c>
      <c r="S12" s="273">
        <v>-4.3297315463078776464831159400</v>
      </c>
      <c r="T12" s="272">
        <v>23.801903489342411895246027340</v>
      </c>
      <c r="U12" s="92">
        <v>-1.3892691280766991086016131300</v>
      </c>
      <c r="V12" s="273">
        <v>-10.442470640698290757026614810</v>
      </c>
      <c r="W12" s="272">
        <v>29.477184013529174148460478540</v>
      </c>
      <c r="X12" s="92">
        <v>-4.4560564115180869455029980900</v>
      </c>
      <c r="Y12" s="273">
        <v>-31.389787201058699726122063350</v>
      </c>
      <c r="Z12" s="272">
        <v>-0.0099089458199625043736376900</v>
      </c>
      <c r="AA12" s="92">
        <v>-8.499669673682118736788017470</v>
      </c>
      <c r="AB12" s="273">
        <v>-8.227745631177318727226296090</v>
      </c>
      <c r="AC12" s="5"/>
      <c r="AD12" s="272" t="s">
        <v>320</v>
      </c>
      <c r="AE12" s="92" t="s">
        <v>240</v>
      </c>
      <c r="AF12" s="92" t="s">
        <v>238</v>
      </c>
      <c r="AG12" s="273" t="s">
        <v>240</v>
      </c>
    </row>
    <row r="13" ht="20.1" customHeight="1">
      <c r="A13" s="58"/>
      <c r="B13" s="289"/>
      <c r="C13" s="290" t="s">
        <v>229</v>
      </c>
      <c r="D13" s="440">
        <v>169.70768712070128118678354686</v>
      </c>
      <c r="E13" s="95">
        <v>179.5799770128492278674997053</v>
      </c>
      <c r="F13" s="443">
        <v>168.99918043621943159286186385</v>
      </c>
      <c r="G13" s="440">
        <v>44.644976399190829399865138233</v>
      </c>
      <c r="H13" s="95">
        <v>64.649828324634972729273199682</v>
      </c>
      <c r="I13" s="443">
        <v>54.679362656089765780924235659</v>
      </c>
      <c r="J13" s="440">
        <v>40.822656776803776129467296022</v>
      </c>
      <c r="K13" s="95">
        <v>18.007631898835038083762819298</v>
      </c>
      <c r="L13" s="443">
        <v>37.411805199774995378513529992</v>
      </c>
      <c r="M13" s="440">
        <v>255.17532029669588671611598112</v>
      </c>
      <c r="N13" s="95">
        <v>262.23743723631923868053572428</v>
      </c>
      <c r="O13" s="443">
        <v>261.0903482920841927522996295</v>
      </c>
      <c r="P13" s="5"/>
      <c r="Q13" s="421">
        <v>-2.4383257253700759834972395700</v>
      </c>
      <c r="R13" s="91">
        <v>-3.1225677873249666300148728200</v>
      </c>
      <c r="S13" s="499">
        <v>-0.9026132150260901784508272500</v>
      </c>
      <c r="T13" s="421">
        <v>29.983827715640389604463646610</v>
      </c>
      <c r="U13" s="91">
        <v>8.727784071991511935100365740</v>
      </c>
      <c r="V13" s="499">
        <v>7.2769574500781245766375569200</v>
      </c>
      <c r="W13" s="421">
        <v>47.392950359647935368255651140</v>
      </c>
      <c r="X13" s="91">
        <v>-20.728759150307989434292656710</v>
      </c>
      <c r="Y13" s="499">
        <v>172.75306272780692904575478404</v>
      </c>
      <c r="Z13" s="421">
        <v>8.12872119443590358254138900</v>
      </c>
      <c r="AA13" s="91">
        <v>-1.9837893153043796395250975200</v>
      </c>
      <c r="AB13" s="499">
        <v>10.995943912300276467802703220</v>
      </c>
      <c r="AC13" s="5"/>
      <c r="AD13" s="421" t="s">
        <v>321</v>
      </c>
      <c r="AE13" s="91" t="s">
        <v>240</v>
      </c>
      <c r="AF13" s="91" t="s">
        <v>238</v>
      </c>
      <c r="AG13" s="422" t="s">
        <v>240</v>
      </c>
    </row>
    <row r="14" ht="20.1" customHeight="1">
      <c r="A14" s="58"/>
      <c r="B14" s="287"/>
      <c r="C14" s="288" t="s">
        <v>230</v>
      </c>
      <c r="D14" s="277">
        <v>250.6255380200860832137733142</v>
      </c>
      <c r="E14" s="94">
        <v>288.819769267083677564026909</v>
      </c>
      <c r="F14" s="278">
        <v>211.24412059330523082868489431</v>
      </c>
      <c r="G14" s="277">
        <v>51.222955523672883787661406026</v>
      </c>
      <c r="H14" s="94">
        <v>60.5692369819831499241458017</v>
      </c>
      <c r="I14" s="278">
        <v>49.415438702625365391418324492</v>
      </c>
      <c r="J14" s="277">
        <v>29.318794835007173601147776184</v>
      </c>
      <c r="K14" s="94">
        <v>19.628490638954385984110616984</v>
      </c>
      <c r="L14" s="278">
        <v>15.911621279591614405774023704</v>
      </c>
      <c r="M14" s="277">
        <v>331.16728837876614060258249641</v>
      </c>
      <c r="N14" s="94">
        <v>369.01749688802121347228332768</v>
      </c>
      <c r="O14" s="278">
        <v>276.57118057552221062587724251</v>
      </c>
      <c r="P14" s="5"/>
      <c r="Q14" s="272">
        <v>-8.499851195866898020326574740</v>
      </c>
      <c r="R14" s="92">
        <v>-0.851407210058990574273489300</v>
      </c>
      <c r="S14" s="273">
        <v>-2.5232319140341021886944667400</v>
      </c>
      <c r="T14" s="272">
        <v>87.74615400170491791284636036</v>
      </c>
      <c r="U14" s="92">
        <v>-24.940545524846279170153335080</v>
      </c>
      <c r="V14" s="273">
        <v>-3.6331123952817688872197054200</v>
      </c>
      <c r="W14" s="272">
        <v>-2.3760108924914354008141028200</v>
      </c>
      <c r="X14" s="92">
        <v>-5.5008847615160516105913496200</v>
      </c>
      <c r="Y14" s="273">
        <v>6.9162743263523289719050859600</v>
      </c>
      <c r="Z14" s="272">
        <v>-0.0167310194483751394925597600</v>
      </c>
      <c r="AA14" s="92">
        <v>-6.0464799822980990715436647600</v>
      </c>
      <c r="AB14" s="273">
        <v>-2.227803248107975112125737800</v>
      </c>
      <c r="AC14" s="5"/>
      <c r="AD14" s="272" t="s">
        <v>320</v>
      </c>
      <c r="AE14" s="92" t="s">
        <v>240</v>
      </c>
      <c r="AF14" s="92" t="s">
        <v>238</v>
      </c>
      <c r="AG14" s="273" t="s">
        <v>240</v>
      </c>
    </row>
    <row r="15" ht="20.1" customHeight="1">
      <c r="A15" s="58"/>
      <c r="B15" s="289">
        <v>2020</v>
      </c>
      <c r="C15" s="290" t="s">
        <v>232</v>
      </c>
      <c r="D15" s="440">
        <v>311.19657399606852007862959843</v>
      </c>
      <c r="E15" s="95">
        <v>299.17655381846811382296704533</v>
      </c>
      <c r="F15" s="443">
        <v>251.35046467249882282966964883</v>
      </c>
      <c r="G15" s="440">
        <v>54.142937377141252457174950857</v>
      </c>
      <c r="H15" s="95">
        <v>77.417874415470656466622596035</v>
      </c>
      <c r="I15" s="443">
        <v>56.440970044160941239175685064</v>
      </c>
      <c r="J15" s="440">
        <v>28.585790508284189834316203314</v>
      </c>
      <c r="K15" s="95">
        <v>10.672184682198114894871341652</v>
      </c>
      <c r="L15" s="443">
        <v>14.38445388196350657402930326</v>
      </c>
      <c r="M15" s="440">
        <v>393.9253018814939623701207526</v>
      </c>
      <c r="N15" s="95">
        <v>387.26661291613688518446098302</v>
      </c>
      <c r="O15" s="443">
        <v>322.17588859862327064287463715</v>
      </c>
      <c r="P15" s="5"/>
      <c r="Q15" s="421">
        <v>37.752036054229462108923497320</v>
      </c>
      <c r="R15" s="91">
        <v>23.138719252708636432048626860</v>
      </c>
      <c r="S15" s="499">
        <v>15.446896116686285784125877100</v>
      </c>
      <c r="T15" s="421">
        <v>73.918829303669338229447078890</v>
      </c>
      <c r="U15" s="91">
        <v>-9.630360375402831864705230400</v>
      </c>
      <c r="V15" s="499">
        <v>-7.50453561932447538835640900</v>
      </c>
      <c r="W15" s="421">
        <v>-5.4168645955275660367228026300</v>
      </c>
      <c r="X15" s="91">
        <v>-40.725061612532516813805509210</v>
      </c>
      <c r="Y15" s="499">
        <v>-0.7886165837072853012174131400</v>
      </c>
      <c r="Z15" s="421">
        <v>37.129695617274921813435492430</v>
      </c>
      <c r="AA15" s="91">
        <v>11.722849147492347624538467350</v>
      </c>
      <c r="AB15" s="499">
        <v>9.868170808749312508942076450</v>
      </c>
      <c r="AC15" s="5"/>
      <c r="AD15" s="421" t="s">
        <v>321</v>
      </c>
      <c r="AE15" s="91" t="s">
        <v>231</v>
      </c>
      <c r="AF15" s="91" t="s">
        <v>241</v>
      </c>
      <c r="AG15" s="422" t="s">
        <v>231</v>
      </c>
    </row>
    <row r="16" ht="20.1" customHeight="1">
      <c r="A16" s="58"/>
      <c r="B16" s="287"/>
      <c r="C16" s="288" t="s">
        <v>233</v>
      </c>
      <c r="D16" s="277">
        <v>334.91791044776119402985074627</v>
      </c>
      <c r="E16" s="94">
        <v>335.59768013646256102582201047</v>
      </c>
      <c r="F16" s="278">
        <v>276.42205309309810590450754039</v>
      </c>
      <c r="G16" s="277">
        <v>66.342985074626865671641791045</v>
      </c>
      <c r="H16" s="94">
        <v>63.426243028565361173037172616</v>
      </c>
      <c r="I16" s="278">
        <v>66.832144468675774760404117146</v>
      </c>
      <c r="J16" s="277">
        <v>26.484776119402985074626865672</v>
      </c>
      <c r="K16" s="94">
        <v>13.636619292347394919875455041</v>
      </c>
      <c r="L16" s="278">
        <v>16.064145831357753711229783363</v>
      </c>
      <c r="M16" s="277">
        <v>427.74567164179104477611940299</v>
      </c>
      <c r="N16" s="94">
        <v>412.66054245737531711873463813</v>
      </c>
      <c r="O16" s="278">
        <v>359.3183433931316343761414409</v>
      </c>
      <c r="P16" s="5"/>
      <c r="Q16" s="272">
        <v>28.027652834475403158901673760</v>
      </c>
      <c r="R16" s="92">
        <v>18.535633447706186742822461380</v>
      </c>
      <c r="S16" s="273">
        <v>11.248707411027424762526991630</v>
      </c>
      <c r="T16" s="272">
        <v>80.36355217197341296160469590</v>
      </c>
      <c r="U16" s="92">
        <v>-15.549003486001616213533569310</v>
      </c>
      <c r="V16" s="273">
        <v>12.388943069765796214881976390</v>
      </c>
      <c r="W16" s="272">
        <v>-13.349575889163180978604413950</v>
      </c>
      <c r="X16" s="92">
        <v>-34.729431677855722286752948790</v>
      </c>
      <c r="Y16" s="273">
        <v>19.377445447856942940356026740</v>
      </c>
      <c r="Z16" s="272">
        <v>30.035181619192037936700223340</v>
      </c>
      <c r="AA16" s="92">
        <v>8.848007644568174866638533760</v>
      </c>
      <c r="AB16" s="273">
        <v>11.800022815002881166855376500</v>
      </c>
      <c r="AC16" s="5"/>
      <c r="AD16" s="272" t="s">
        <v>318</v>
      </c>
      <c r="AE16" s="92" t="s">
        <v>231</v>
      </c>
      <c r="AF16" s="92" t="s">
        <v>231</v>
      </c>
      <c r="AG16" s="273" t="s">
        <v>231</v>
      </c>
    </row>
    <row r="17" ht="20.1" customHeight="1">
      <c r="A17" s="58"/>
      <c r="B17" s="289"/>
      <c r="C17" s="290" t="s">
        <v>234</v>
      </c>
      <c r="D17" s="440">
        <v>223.30911330049261083743842365</v>
      </c>
      <c r="E17" s="95">
        <v>253.97083245644802993101835612</v>
      </c>
      <c r="F17" s="443">
        <v>202.66271454629365096806803947</v>
      </c>
      <c r="G17" s="440">
        <v>48.87992610837438423645320197</v>
      </c>
      <c r="H17" s="95">
        <v>99.45632813495088748711040878</v>
      </c>
      <c r="I17" s="443">
        <v>53.192533963576570204454278137</v>
      </c>
      <c r="J17" s="440">
        <v>51.032019704433497536945812808</v>
      </c>
      <c r="K17" s="95">
        <v>29.450382028789876977360485445</v>
      </c>
      <c r="L17" s="443">
        <v>26.447307981585322118132541964</v>
      </c>
      <c r="M17" s="440">
        <v>323.22105911330049261083743842</v>
      </c>
      <c r="N17" s="95">
        <v>382.87754262018879439548925034</v>
      </c>
      <c r="O17" s="443">
        <v>282.30255649145554329065485957</v>
      </c>
      <c r="P17" s="5"/>
      <c r="Q17" s="421">
        <v>-15.013986815515959809601842740</v>
      </c>
      <c r="R17" s="91">
        <v>-10.832951017038796706698227730</v>
      </c>
      <c r="S17" s="499">
        <v>-13.003237646085337364886514700</v>
      </c>
      <c r="T17" s="421">
        <v>45.909506794260709923668206650</v>
      </c>
      <c r="U17" s="91">
        <v>28.271269232399353768055680090</v>
      </c>
      <c r="V17" s="499">
        <v>10.297121168432961400429218610</v>
      </c>
      <c r="W17" s="421">
        <v>107.91077569609496368488839908</v>
      </c>
      <c r="X17" s="91">
        <v>34.364372854677502474400978600</v>
      </c>
      <c r="Y17" s="499">
        <v>82.69890743664487808237607519</v>
      </c>
      <c r="Z17" s="421">
        <v>0.7530735083437708588176021300</v>
      </c>
      <c r="AA17" s="91">
        <v>-0.3649863389159343807552760900</v>
      </c>
      <c r="AB17" s="499">
        <v>-4.5168059898090694901762609500</v>
      </c>
      <c r="AC17" s="5"/>
      <c r="AD17" s="421" t="s">
        <v>317</v>
      </c>
      <c r="AE17" s="91" t="s">
        <v>240</v>
      </c>
      <c r="AF17" s="91" t="s">
        <v>238</v>
      </c>
      <c r="AG17" s="422" t="s">
        <v>240</v>
      </c>
    </row>
    <row r="18" ht="20.1" customHeight="1">
      <c r="A18" s="58"/>
      <c r="B18" s="287"/>
      <c r="C18" s="288" t="s">
        <v>235</v>
      </c>
      <c r="D18" s="277"/>
      <c r="E18" s="94"/>
      <c r="F18" s="278">
        <v>99.05021723754673133272708902</v>
      </c>
      <c r="G18" s="277"/>
      <c r="H18" s="94"/>
      <c r="I18" s="278">
        <v>23.432835224187632198002468047</v>
      </c>
      <c r="J18" s="277"/>
      <c r="K18" s="94"/>
      <c r="L18" s="278">
        <v>9.537254611161308849108547169</v>
      </c>
      <c r="M18" s="277"/>
      <c r="N18" s="94"/>
      <c r="O18" s="278">
        <v>132.02030707289567237983810423</v>
      </c>
      <c r="P18" s="5"/>
      <c r="Q18" s="272"/>
      <c r="R18" s="92"/>
      <c r="S18" s="273">
        <v>-49.762650453249984390985559440</v>
      </c>
      <c r="T18" s="272"/>
      <c r="U18" s="92"/>
      <c r="V18" s="273">
        <v>-54.011284080681841784478454250</v>
      </c>
      <c r="W18" s="272"/>
      <c r="X18" s="92"/>
      <c r="Y18" s="273">
        <v>-33.154940797973434989813499930</v>
      </c>
      <c r="Z18" s="272"/>
      <c r="AA18" s="92"/>
      <c r="AB18" s="273">
        <v>-49.684630369668937039385138120</v>
      </c>
      <c r="AC18" s="5"/>
      <c r="AD18" s="272"/>
      <c r="AE18" s="92"/>
      <c r="AF18" s="92"/>
      <c r="AG18" s="273"/>
    </row>
    <row r="19" ht="20.1" customHeight="1">
      <c r="A19" s="58"/>
      <c r="B19" s="289"/>
      <c r="C19" s="290" t="s">
        <v>236</v>
      </c>
      <c r="D19" s="440"/>
      <c r="E19" s="95"/>
      <c r="F19" s="443">
        <v>88.73504547201229665684641988</v>
      </c>
      <c r="G19" s="440"/>
      <c r="H19" s="95"/>
      <c r="I19" s="443">
        <v>13.34757298545937547652869833</v>
      </c>
      <c r="J19" s="440"/>
      <c r="K19" s="95"/>
      <c r="L19" s="443">
        <v>5.8053651127835202691522456219</v>
      </c>
      <c r="M19" s="440"/>
      <c r="N19" s="95"/>
      <c r="O19" s="443">
        <v>107.88798357025519240252736383</v>
      </c>
      <c r="P19" s="5"/>
      <c r="Q19" s="421"/>
      <c r="R19" s="91"/>
      <c r="S19" s="499">
        <v>-47.201466655806815499137779980</v>
      </c>
      <c r="T19" s="421"/>
      <c r="U19" s="91"/>
      <c r="V19" s="499">
        <v>-73.121670949156373122091693140</v>
      </c>
      <c r="W19" s="421"/>
      <c r="X19" s="91"/>
      <c r="Y19" s="499">
        <v>-59.140709273412421104755746800</v>
      </c>
      <c r="Z19" s="421"/>
      <c r="AA19" s="91"/>
      <c r="AB19" s="499">
        <v>-53.482702221497646847932997020</v>
      </c>
      <c r="AC19" s="5"/>
      <c r="AD19" s="421"/>
      <c r="AE19" s="91"/>
      <c r="AF19" s="91"/>
      <c r="AG19" s="422"/>
    </row>
    <row r="20" ht="20.1" customHeight="1">
      <c r="A20" s="58"/>
      <c r="B20" s="287"/>
      <c r="C20" s="288" t="s">
        <v>237</v>
      </c>
      <c r="D20" s="277">
        <v>125.16016713091922005571030641</v>
      </c>
      <c r="E20" s="94">
        <v>115.91574916227860220201053137</v>
      </c>
      <c r="F20" s="278">
        <v>115.39806778034631656998298949</v>
      </c>
      <c r="G20" s="277">
        <v>1.2688022284122562674094707521</v>
      </c>
      <c r="H20" s="94"/>
      <c r="I20" s="278">
        <v>16.292835913744836207749940027</v>
      </c>
      <c r="J20" s="277">
        <v>14.832869080779944289693593315</v>
      </c>
      <c r="K20" s="94"/>
      <c r="L20" s="278">
        <v>23.77201321435982500751490164</v>
      </c>
      <c r="M20" s="277">
        <v>141.26183844011142061281337047</v>
      </c>
      <c r="N20" s="94"/>
      <c r="O20" s="278">
        <v>155.46291690845097778524783116</v>
      </c>
      <c r="P20" s="5"/>
      <c r="Q20" s="272">
        <v>-18.340682159019836158400558070</v>
      </c>
      <c r="R20" s="92">
        <v>-29.868281764926274394237398690</v>
      </c>
      <c r="S20" s="273">
        <v>-19.699501250325687442017747030</v>
      </c>
      <c r="T20" s="272">
        <v>-94.97741741126965683484990294</v>
      </c>
      <c r="U20" s="92"/>
      <c r="V20" s="273">
        <v>-66.059453859874084972650124900</v>
      </c>
      <c r="W20" s="272">
        <v>-50.489602675557732241608106870</v>
      </c>
      <c r="X20" s="92"/>
      <c r="Y20" s="273">
        <v>31.138045507319468811808555550</v>
      </c>
      <c r="Z20" s="272">
        <v>-32.245979989004901868175098660</v>
      </c>
      <c r="AA20" s="92"/>
      <c r="AB20" s="273">
        <v>-25.913347307977479612352919490</v>
      </c>
      <c r="AC20" s="5"/>
      <c r="AD20" s="272" t="s">
        <v>240</v>
      </c>
      <c r="AE20" s="92"/>
      <c r="AF20" s="92"/>
      <c r="AG20" s="273"/>
    </row>
    <row r="21" ht="20.1" customHeight="1">
      <c r="A21" s="58"/>
      <c r="B21" s="289"/>
      <c r="C21" s="290" t="s">
        <v>221</v>
      </c>
      <c r="D21" s="440">
        <v>137.33955223880597014925373134</v>
      </c>
      <c r="E21" s="95">
        <v>124.91655570350643586329338657</v>
      </c>
      <c r="F21" s="443">
        <v>111.73305028776299650910463251</v>
      </c>
      <c r="G21" s="440">
        <v>9.031716417910447761194029851</v>
      </c>
      <c r="H21" s="95"/>
      <c r="I21" s="443">
        <v>19.555532805938890603547893035</v>
      </c>
      <c r="J21" s="440">
        <v>15.979477611940298507462686567</v>
      </c>
      <c r="K21" s="95"/>
      <c r="L21" s="443">
        <v>23.459748512150633421664849482</v>
      </c>
      <c r="M21" s="440">
        <v>162.35074626865671641791044776</v>
      </c>
      <c r="N21" s="95"/>
      <c r="O21" s="443">
        <v>154.74833160585252053431737504</v>
      </c>
      <c r="P21" s="5"/>
      <c r="Q21" s="421">
        <v>-12.777911134788879084378639770</v>
      </c>
      <c r="R21" s="91">
        <v>-24.442484264201822439966716850</v>
      </c>
      <c r="S21" s="499">
        <v>-21.400104839887358511628141110</v>
      </c>
      <c r="T21" s="421">
        <v>-68.823468677819342479033090370</v>
      </c>
      <c r="U21" s="91"/>
      <c r="V21" s="499">
        <v>-47.365649710070718831613186640</v>
      </c>
      <c r="W21" s="421">
        <v>-47.687853194025160059900064930</v>
      </c>
      <c r="X21" s="91"/>
      <c r="Y21" s="499">
        <v>60.718682505661427089487260280</v>
      </c>
      <c r="Z21" s="421">
        <v>-25.175574456917406188571227470</v>
      </c>
      <c r="AA21" s="91"/>
      <c r="AB21" s="499">
        <v>-20.193545394214586207688839290</v>
      </c>
      <c r="AC21" s="5"/>
      <c r="AD21" s="421" t="s">
        <v>240</v>
      </c>
      <c r="AE21" s="91"/>
      <c r="AF21" s="91"/>
      <c r="AG21" s="422"/>
    </row>
    <row r="22" ht="20.1" customHeight="1">
      <c r="A22" s="58"/>
      <c r="B22" s="287"/>
      <c r="C22" s="288" t="s">
        <v>224</v>
      </c>
      <c r="D22" s="277">
        <v>110.25358851674641148325358852</v>
      </c>
      <c r="E22" s="94">
        <v>103.23243102550754815200416449</v>
      </c>
      <c r="F22" s="278">
        <v>109.77488230223459982759763941</v>
      </c>
      <c r="G22" s="277">
        <v>8.983732057416267942583732057</v>
      </c>
      <c r="H22" s="94"/>
      <c r="I22" s="278">
        <v>19.613572557329374933587221966</v>
      </c>
      <c r="J22" s="277">
        <v>25</v>
      </c>
      <c r="K22" s="94"/>
      <c r="L22" s="278">
        <v>18.240893789896183114991030731</v>
      </c>
      <c r="M22" s="277">
        <v>144.23732057416267942583732057</v>
      </c>
      <c r="N22" s="94"/>
      <c r="O22" s="278">
        <v>147.62934864946015787617589212</v>
      </c>
      <c r="P22" s="5"/>
      <c r="Q22" s="272">
        <v>-18.810593485629059303667120270</v>
      </c>
      <c r="R22" s="92">
        <v>-30.580448521032287420367849970</v>
      </c>
      <c r="S22" s="273">
        <v>-19.008434886422677053348783020</v>
      </c>
      <c r="T22" s="272">
        <v>-57.949831707956855486634482620</v>
      </c>
      <c r="U22" s="92"/>
      <c r="V22" s="273">
        <v>-46.268962729046858617014052840</v>
      </c>
      <c r="W22" s="272">
        <v>-22.999416370263514331964189360</v>
      </c>
      <c r="X22" s="92"/>
      <c r="Y22" s="273">
        <v>20.800684331993718221925375120</v>
      </c>
      <c r="Z22" s="272">
        <v>-23.937339855667105141825325020</v>
      </c>
      <c r="AA22" s="92"/>
      <c r="AB22" s="273">
        <v>-21.113684241820548441341790540</v>
      </c>
      <c r="AC22" s="5"/>
      <c r="AD22" s="272" t="s">
        <v>238</v>
      </c>
      <c r="AE22" s="92"/>
      <c r="AF22" s="92"/>
      <c r="AG22" s="273"/>
    </row>
    <row r="23" ht="20.1" customHeight="1">
      <c r="A23" s="58"/>
      <c r="B23" s="289"/>
      <c r="C23" s="290" t="s">
        <v>226</v>
      </c>
      <c r="D23" s="440">
        <v>112.30937167199148029818956337</v>
      </c>
      <c r="E23" s="95">
        <v>124.3186705767350928641251222</v>
      </c>
      <c r="F23" s="443">
        <v>113.26393663129577043790165894</v>
      </c>
      <c r="G23" s="440">
        <v>8.092651757188498402555910543</v>
      </c>
      <c r="H23" s="95"/>
      <c r="I23" s="443">
        <v>22.492804500628776247367320432</v>
      </c>
      <c r="J23" s="440">
        <v>24.009584664536741214057507987</v>
      </c>
      <c r="K23" s="95"/>
      <c r="L23" s="443">
        <v>27.611283797663618270275628672</v>
      </c>
      <c r="M23" s="440">
        <v>144.4116080937167199148029819</v>
      </c>
      <c r="N23" s="95"/>
      <c r="O23" s="443">
        <v>163.36802492958816495554460805</v>
      </c>
      <c r="P23" s="5"/>
      <c r="Q23" s="421">
        <v>-9.261080772856524513146087220</v>
      </c>
      <c r="R23" s="91">
        <v>-7.7219734598447446403022459100</v>
      </c>
      <c r="S23" s="499">
        <v>-15.106452171908310404797030800</v>
      </c>
      <c r="T23" s="421">
        <v>-55.084497322858343293330896350</v>
      </c>
      <c r="U23" s="91"/>
      <c r="V23" s="499">
        <v>-52.029309031563728667086590210</v>
      </c>
      <c r="W23" s="421">
        <v>-24.522637469581288493884378660</v>
      </c>
      <c r="X23" s="91"/>
      <c r="Y23" s="499">
        <v>87.43268616063246919033663812</v>
      </c>
      <c r="Z23" s="421">
        <v>-16.813499138909194828225972440</v>
      </c>
      <c r="AA23" s="91"/>
      <c r="AB23" s="499">
        <v>-16.238160968242523194839606160</v>
      </c>
      <c r="AC23" s="5"/>
      <c r="AD23" s="421" t="s">
        <v>307</v>
      </c>
      <c r="AE23" s="91"/>
      <c r="AF23" s="91"/>
      <c r="AG23" s="422"/>
    </row>
    <row r="24" ht="20.1" customHeight="1">
      <c r="A24" s="59"/>
      <c r="B24" s="287"/>
      <c r="C24" s="288" t="s">
        <v>228</v>
      </c>
      <c r="D24" s="277">
        <v>119.25265588914549653579676674</v>
      </c>
      <c r="E24" s="94">
        <v>128.85117080879184025283723603</v>
      </c>
      <c r="F24" s="278">
        <v>116.35918005886489724689396505</v>
      </c>
      <c r="G24" s="277">
        <v>11.55889145496535796766743649</v>
      </c>
      <c r="H24" s="94"/>
      <c r="I24" s="278">
        <v>25.77012417154964966194430875</v>
      </c>
      <c r="J24" s="277">
        <v>24.08267898383371824480369515</v>
      </c>
      <c r="K24" s="94"/>
      <c r="L24" s="278">
        <v>24.048424632263861126905009674</v>
      </c>
      <c r="M24" s="277">
        <v>154.89422632794457274826789838</v>
      </c>
      <c r="N24" s="94"/>
      <c r="O24" s="278">
        <v>166.17772886267840803574328348</v>
      </c>
      <c r="P24" s="93"/>
      <c r="Q24" s="272">
        <v>-17.032278935933083750255142840</v>
      </c>
      <c r="R24" s="92">
        <v>-15.689308782598430138417080650</v>
      </c>
      <c r="S24" s="273">
        <v>-24.993120021472958931217439890</v>
      </c>
      <c r="T24" s="272">
        <v>-58.473871236404019298455932730</v>
      </c>
      <c r="U24" s="92"/>
      <c r="V24" s="273">
        <v>-51.113950450498527935203441730</v>
      </c>
      <c r="W24" s="272">
        <v>-18.330854436932046234343004700</v>
      </c>
      <c r="X24" s="92"/>
      <c r="Y24" s="273">
        <v>61.816288023249834774475076950</v>
      </c>
      <c r="Z24" s="272">
        <v>-22.960089730476840978657365690</v>
      </c>
      <c r="AA24" s="92"/>
      <c r="AB24" s="273">
        <v>-25.382994375402457922449708770</v>
      </c>
      <c r="AC24" s="93"/>
      <c r="AD24" s="272" t="s">
        <v>307</v>
      </c>
      <c r="AE24" s="92"/>
      <c r="AF24" s="92"/>
      <c r="AG24" s="273"/>
    </row>
    <row r="25" ht="20.1" customHeight="1">
      <c r="A25" s="60"/>
      <c r="B25" s="289"/>
      <c r="C25" s="290" t="s">
        <v>229</v>
      </c>
      <c r="D25" s="440">
        <v>126.34193862640038967364831953</v>
      </c>
      <c r="E25" s="95">
        <v>125.98155880306193458594293668</v>
      </c>
      <c r="F25" s="443">
        <v>115.91120030857501024565463706</v>
      </c>
      <c r="G25" s="440">
        <v>13.439357038480272771553823673</v>
      </c>
      <c r="H25" s="95"/>
      <c r="I25" s="443">
        <v>21.065536028151535468140919382</v>
      </c>
      <c r="J25" s="440">
        <v>23.780808572820263029712615684</v>
      </c>
      <c r="K25" s="95"/>
      <c r="L25" s="443">
        <v>19.904843786060340174248737827</v>
      </c>
      <c r="M25" s="440">
        <v>163.56210423770092547491475889</v>
      </c>
      <c r="N25" s="95"/>
      <c r="O25" s="443">
        <v>156.88158012278688588804429428</v>
      </c>
      <c r="P25" s="93"/>
      <c r="Q25" s="421">
        <v>-25.553202232647157010678208780</v>
      </c>
      <c r="R25" s="91">
        <v>-29.846544754793148645652246510</v>
      </c>
      <c r="S25" s="499">
        <v>-31.413158330480728150644552780</v>
      </c>
      <c r="T25" s="421">
        <v>-69.897269250826941374273211890</v>
      </c>
      <c r="U25" s="91"/>
      <c r="V25" s="499">
        <v>-61.474430196553473358116121920</v>
      </c>
      <c r="W25" s="421">
        <v>-41.746053661228196113208111890</v>
      </c>
      <c r="X25" s="91"/>
      <c r="Y25" s="499">
        <v>-46.795286461664637239801970380</v>
      </c>
      <c r="Z25" s="421">
        <v>-35.902067626475398697417298690</v>
      </c>
      <c r="AA25" s="91"/>
      <c r="AB25" s="499">
        <v>-39.912914763405191820285083510</v>
      </c>
      <c r="AC25" s="93"/>
      <c r="AD25" s="421" t="s">
        <v>307</v>
      </c>
      <c r="AE25" s="91"/>
      <c r="AF25" s="91"/>
      <c r="AG25" s="422"/>
    </row>
    <row r="26" ht="20.1" customHeight="1">
      <c r="A26" s="60"/>
      <c r="B26" s="291"/>
      <c r="C26" s="292" t="s">
        <v>230</v>
      </c>
      <c r="D26" s="444">
        <v>165.20900102284350494374360723</v>
      </c>
      <c r="E26" s="445">
        <v>177.88107891306527624586383236</v>
      </c>
      <c r="F26" s="446">
        <v>147.50848958230861549963602023</v>
      </c>
      <c r="G26" s="444">
        <v>17.378793044664166382543470849</v>
      </c>
      <c r="H26" s="445"/>
      <c r="I26" s="446">
        <v>24.902741767020693893217439948</v>
      </c>
      <c r="J26" s="444">
        <v>22.25946130242072962836685987</v>
      </c>
      <c r="K26" s="445"/>
      <c r="L26" s="446">
        <v>23.192717110390289000699940428</v>
      </c>
      <c r="M26" s="444">
        <v>204.84725536992840095465393795</v>
      </c>
      <c r="N26" s="445"/>
      <c r="O26" s="446">
        <v>195.60394845971959839355340059</v>
      </c>
      <c r="P26" s="184"/>
      <c r="Q26" s="274">
        <v>-34.081338107849556950305522910</v>
      </c>
      <c r="R26" s="275">
        <v>-38.411044588650983527390009660</v>
      </c>
      <c r="S26" s="276">
        <v>-30.171552624511970030498361300</v>
      </c>
      <c r="T26" s="274">
        <v>-66.072256340943678944180785660</v>
      </c>
      <c r="U26" s="275"/>
      <c r="V26" s="276">
        <v>-49.605341122474644832155325990</v>
      </c>
      <c r="W26" s="274">
        <v>-24.077843486791181143459807930</v>
      </c>
      <c r="X26" s="275"/>
      <c r="Y26" s="276">
        <v>45.759609928231966125873099490</v>
      </c>
      <c r="Z26" s="274">
        <v>-38.143873939735756887340031630</v>
      </c>
      <c r="AA26" s="275"/>
      <c r="AB26" s="276">
        <v>-29.275368441251313535403024230</v>
      </c>
      <c r="AC26" s="184"/>
      <c r="AD26" s="274" t="s">
        <v>307</v>
      </c>
      <c r="AE26" s="275"/>
      <c r="AF26" s="275"/>
      <c r="AG26" s="276"/>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88" t="s">
        <v>60</v>
      </c>
      <c r="C28" s="988"/>
      <c r="D28" s="988"/>
      <c r="E28" s="988"/>
      <c r="F28" s="988"/>
      <c r="G28" s="988"/>
      <c r="H28" s="988"/>
      <c r="I28" s="988"/>
      <c r="J28" s="988"/>
      <c r="K28" s="988"/>
      <c r="L28" s="988"/>
      <c r="M28" s="988"/>
      <c r="N28" s="988"/>
      <c r="O28" s="988"/>
      <c r="P28" s="412"/>
      <c r="Q28" s="986"/>
      <c r="R28" s="986"/>
      <c r="S28" s="986"/>
      <c r="T28" s="986"/>
      <c r="U28" s="986"/>
      <c r="V28" s="986"/>
      <c r="W28" s="986"/>
      <c r="X28" s="986"/>
      <c r="Y28" s="986"/>
      <c r="Z28" s="986"/>
      <c r="AA28" s="986"/>
      <c r="AB28" s="986"/>
      <c r="AC28" s="412"/>
      <c r="AD28" s="986"/>
      <c r="AE28" s="986"/>
      <c r="AF28" s="986"/>
      <c r="AG28" s="986"/>
      <c r="AH28" s="9"/>
    </row>
    <row r="29" ht="20.1" customHeight="1">
      <c r="A29" s="58"/>
      <c r="B29" s="285">
        <v>2018</v>
      </c>
      <c r="C29" s="286"/>
      <c r="D29" s="455">
        <v>180.11384928716904276985743381</v>
      </c>
      <c r="E29" s="456">
        <v>214.48230550186028143252062938</v>
      </c>
      <c r="F29" s="437">
        <v>183.43499411012894283133064502</v>
      </c>
      <c r="G29" s="455">
        <v>18.869993211133740665308893415</v>
      </c>
      <c r="H29" s="456">
        <v>66.641256086189291300364882475</v>
      </c>
      <c r="I29" s="437">
        <v>59.467034632461138554292606138</v>
      </c>
      <c r="J29" s="455">
        <v>22.24270196877121520706042091</v>
      </c>
      <c r="K29" s="456">
        <v>18.549280320592662661668163365</v>
      </c>
      <c r="L29" s="437">
        <v>20.325742314235855624805590765</v>
      </c>
      <c r="M29" s="455">
        <v>221.22654446707399864222674813</v>
      </c>
      <c r="N29" s="456">
        <v>299.67284190864223539455367522</v>
      </c>
      <c r="O29" s="437">
        <v>263.22777105682593701042884192</v>
      </c>
      <c r="P29" s="217"/>
      <c r="Q29" s="428">
        <v>-22.012809132085917965566863110</v>
      </c>
      <c r="R29" s="429">
        <v>4.7984509636226924224414441300</v>
      </c>
      <c r="S29" s="418">
        <v>2.5506730993053996793586976600</v>
      </c>
      <c r="T29" s="428">
        <v>-25.788293486974212307453109910</v>
      </c>
      <c r="U29" s="429">
        <v>31.329282666072193595928357720</v>
      </c>
      <c r="V29" s="418">
        <v>-5.9215471920810145115121480900</v>
      </c>
      <c r="W29" s="428">
        <v>376.71636582353727550406660460</v>
      </c>
      <c r="X29" s="429">
        <v>58.125686864989527807645637790</v>
      </c>
      <c r="Y29" s="418">
        <v>-2.335141282489337941088875800</v>
      </c>
      <c r="Z29" s="428">
        <v>-15.253866110427284825602417370</v>
      </c>
      <c r="AA29" s="429">
        <v>12.179849324087225665974629640</v>
      </c>
      <c r="AB29" s="418">
        <v>0.1268410040145258863412170800</v>
      </c>
      <c r="AC29" s="5"/>
      <c r="AD29" s="428" t="s">
        <v>319</v>
      </c>
      <c r="AE29" s="429" t="s">
        <v>240</v>
      </c>
      <c r="AF29" s="429" t="s">
        <v>239</v>
      </c>
      <c r="AG29" s="430" t="s">
        <v>239</v>
      </c>
    </row>
    <row r="30" ht="20.1" customHeight="1">
      <c r="A30" s="58"/>
      <c r="B30" s="287">
        <v>2019</v>
      </c>
      <c r="C30" s="288"/>
      <c r="D30" s="277">
        <v>194.69180690332882938213978627</v>
      </c>
      <c r="E30" s="94">
        <v>209.84412766832981842497813898</v>
      </c>
      <c r="F30" s="278">
        <v>181.07925068981587649151877853</v>
      </c>
      <c r="G30" s="277">
        <v>31.572165581623879130327969537</v>
      </c>
      <c r="H30" s="94">
        <v>67.321800172009492063815603786</v>
      </c>
      <c r="I30" s="278">
        <v>49.594560931456930918430796404</v>
      </c>
      <c r="J30" s="277">
        <v>31.259335462473897555582852229</v>
      </c>
      <c r="K30" s="94">
        <v>20.163985781366696114096643111</v>
      </c>
      <c r="L30" s="278">
        <v>16.889737457416613598890419692</v>
      </c>
      <c r="M30" s="277">
        <v>257.52330794742660606805060803</v>
      </c>
      <c r="N30" s="94">
        <v>297.32991362170600660289038588</v>
      </c>
      <c r="O30" s="278">
        <v>247.56354907868942100883999462</v>
      </c>
      <c r="P30" s="217"/>
      <c r="Q30" s="272">
        <v>8.093746079968039254002769300</v>
      </c>
      <c r="R30" s="92">
        <v>-2.1624990568232373085480349700</v>
      </c>
      <c r="S30" s="273">
        <v>-1.2842388289874219387051951800</v>
      </c>
      <c r="T30" s="272">
        <v>67.314133229234854415186268020</v>
      </c>
      <c r="U30" s="92">
        <v>1.0212053700488944750445737400</v>
      </c>
      <c r="V30" s="273">
        <v>-16.601590716640749177556059500</v>
      </c>
      <c r="W30" s="272">
        <v>40.537491831532196192023261660</v>
      </c>
      <c r="X30" s="92">
        <v>8.704949371978882616744257760</v>
      </c>
      <c r="Y30" s="273">
        <v>-16.904695551575078138130334480</v>
      </c>
      <c r="Z30" s="272">
        <v>16.407056200145455408066717350</v>
      </c>
      <c r="AA30" s="92">
        <v>-0.7818287009306268787203981500</v>
      </c>
      <c r="AB30" s="273">
        <v>-5.9508242292394385596495083800</v>
      </c>
      <c r="AC30" s="5"/>
      <c r="AD30" s="272" t="s">
        <v>318</v>
      </c>
      <c r="AE30" s="92" t="s">
        <v>240</v>
      </c>
      <c r="AF30" s="92" t="s">
        <v>238</v>
      </c>
      <c r="AG30" s="273" t="s">
        <v>240</v>
      </c>
    </row>
    <row r="31" ht="20.1" customHeight="1">
      <c r="A31" s="58"/>
      <c r="B31" s="426">
        <v>2020</v>
      </c>
      <c r="C31" s="427"/>
      <c r="D31" s="458">
        <v>205.63515078286260887076473846</v>
      </c>
      <c r="E31" s="459">
        <v>218.77122114399527526419462987</v>
      </c>
      <c r="F31" s="500">
        <v>184.41489775093437710379937967</v>
      </c>
      <c r="G31" s="458">
        <v>31.634647334239540854855761969</v>
      </c>
      <c r="H31" s="459"/>
      <c r="I31" s="500">
        <v>40.432501212845635601957915871</v>
      </c>
      <c r="J31" s="458">
        <v>26.686401852690932890298545033</v>
      </c>
      <c r="K31" s="459"/>
      <c r="L31" s="500">
        <v>19.707445337158106224683049569</v>
      </c>
      <c r="M31" s="458">
        <v>263.95619996979308261591904546</v>
      </c>
      <c r="N31" s="459"/>
      <c r="O31" s="500">
        <v>244.55484430093811893044034511</v>
      </c>
      <c r="P31" s="497"/>
      <c r="Q31" s="431">
        <v>5.6208548544456858809412660900</v>
      </c>
      <c r="R31" s="432">
        <v>4.2541545359683445195782308700</v>
      </c>
      <c r="S31" s="501">
        <v>1.8420923702806671567535338300</v>
      </c>
      <c r="T31" s="431">
        <v>0.1979013839076921667908127800</v>
      </c>
      <c r="U31" s="432"/>
      <c r="V31" s="501">
        <v>-18.473920418962650665093232750</v>
      </c>
      <c r="W31" s="431">
        <v>-14.629017354744040238594064960</v>
      </c>
      <c r="X31" s="432"/>
      <c r="Y31" s="501">
        <v>16.682958434645069404743810090</v>
      </c>
      <c r="Z31" s="431">
        <v>2.4979843858171283351884649100</v>
      </c>
      <c r="AA31" s="432"/>
      <c r="AB31" s="501">
        <v>-1.215326242069251033053683800</v>
      </c>
      <c r="AC31" s="184"/>
      <c r="AD31" s="431" t="s">
        <v>225</v>
      </c>
      <c r="AE31" s="432"/>
      <c r="AF31" s="432"/>
      <c r="AG31" s="433"/>
    </row>
    <row r="32" ht="21" customHeight="1"/>
    <row r="33" ht="24.95" customHeight="1">
      <c r="A33" s="112"/>
      <c r="B33" s="987" t="s">
        <v>44</v>
      </c>
      <c r="C33" s="987"/>
      <c r="D33" s="987"/>
      <c r="E33" s="987"/>
      <c r="F33" s="987"/>
      <c r="G33" s="987"/>
      <c r="H33" s="987"/>
      <c r="I33" s="987"/>
      <c r="J33" s="987"/>
      <c r="K33" s="987"/>
      <c r="L33" s="987"/>
      <c r="M33" s="987"/>
      <c r="N33" s="987"/>
      <c r="O33" s="987"/>
      <c r="P33" s="412"/>
      <c r="Q33" s="986"/>
      <c r="R33" s="986"/>
      <c r="S33" s="986"/>
      <c r="T33" s="986"/>
      <c r="U33" s="986"/>
      <c r="V33" s="986"/>
      <c r="W33" s="986"/>
      <c r="X33" s="986"/>
      <c r="Y33" s="986"/>
      <c r="Z33" s="986"/>
      <c r="AA33" s="986"/>
      <c r="AB33" s="986"/>
      <c r="AC33" s="412"/>
      <c r="AD33" s="986"/>
      <c r="AE33" s="986"/>
      <c r="AF33" s="986"/>
      <c r="AG33" s="986"/>
      <c r="AH33" s="9"/>
    </row>
    <row r="34" ht="20.1" customHeight="1">
      <c r="A34" s="58"/>
      <c r="B34" s="285">
        <v>2018</v>
      </c>
      <c r="C34" s="286"/>
      <c r="D34" s="455">
        <v>204.15642458100558659217877095</v>
      </c>
      <c r="E34" s="456">
        <v>218.71700651788292562188028547</v>
      </c>
      <c r="F34" s="437">
        <v>184.01929874197546114947658688</v>
      </c>
      <c r="G34" s="455">
        <v>27.923184357541899441340782123</v>
      </c>
      <c r="H34" s="456">
        <v>65.228131472868415033974148789</v>
      </c>
      <c r="I34" s="437">
        <v>53.550980915446540058457447045</v>
      </c>
      <c r="J34" s="455">
        <v>26.934706703910614525139664804</v>
      </c>
      <c r="K34" s="456">
        <v>20.861383616593132556931003358</v>
      </c>
      <c r="L34" s="437">
        <v>16.61311196378957843076603588</v>
      </c>
      <c r="M34" s="455">
        <v>259.01431564245810055865921788</v>
      </c>
      <c r="N34" s="456">
        <v>304.80652160734447321278543763</v>
      </c>
      <c r="O34" s="437">
        <v>254.18339162121157963870006981</v>
      </c>
      <c r="P34" s="5"/>
      <c r="Q34" s="428">
        <v>-19.315697869764938667618091930</v>
      </c>
      <c r="R34" s="429">
        <v>2.3105853362537710314706105900</v>
      </c>
      <c r="S34" s="418">
        <v>0.2167059970600827209162807300</v>
      </c>
      <c r="T34" s="428">
        <v>543.77843383534696882381823414</v>
      </c>
      <c r="U34" s="429">
        <v>15.655062184005064814147616900</v>
      </c>
      <c r="V34" s="418">
        <v>-14.841750957733257695675450960</v>
      </c>
      <c r="W34" s="428">
        <v>3252.9628830201455899779922124</v>
      </c>
      <c r="X34" s="429">
        <v>66.077647853569454895751906590</v>
      </c>
      <c r="Y34" s="418">
        <v>-17.608347592598477022052236020</v>
      </c>
      <c r="Z34" s="428">
        <v>0.3263159111815228693034940700</v>
      </c>
      <c r="AA34" s="429">
        <v>7.8054528622642722462641551500</v>
      </c>
      <c r="AB34" s="418">
        <v>-4.6820785799924057972739531600</v>
      </c>
      <c r="AC34" s="5"/>
      <c r="AD34" s="428" t="s">
        <v>318</v>
      </c>
      <c r="AE34" s="429" t="s">
        <v>240</v>
      </c>
      <c r="AF34" s="429" t="s">
        <v>238</v>
      </c>
      <c r="AG34" s="430" t="s">
        <v>240</v>
      </c>
    </row>
    <row r="35" ht="20.1" customHeight="1">
      <c r="A35" s="58"/>
      <c r="B35" s="287">
        <v>2019</v>
      </c>
      <c r="C35" s="288"/>
      <c r="D35" s="277">
        <v>192.69440209104770202570246134</v>
      </c>
      <c r="E35" s="94">
        <v>208.67974042277476310034826274</v>
      </c>
      <c r="F35" s="278">
        <v>179.68032641029558465368334966</v>
      </c>
      <c r="G35" s="277">
        <v>42.141908081028098453495970377</v>
      </c>
      <c r="H35" s="94">
        <v>59.622272985753466146750662183</v>
      </c>
      <c r="I35" s="278">
        <v>52.216326197860492826872613872</v>
      </c>
      <c r="J35" s="277">
        <v>33.085166630363755173164887824</v>
      </c>
      <c r="K35" s="94">
        <v>18.591367384987789611811411061</v>
      </c>
      <c r="L35" s="278">
        <v>22.898373210904210163623579217</v>
      </c>
      <c r="M35" s="277">
        <v>267.92147680243955565236331954</v>
      </c>
      <c r="N35" s="94">
        <v>286.89338079351601885891033599</v>
      </c>
      <c r="O35" s="278">
        <v>254.79502581906028764417954274</v>
      </c>
      <c r="P35" s="5"/>
      <c r="Q35" s="272">
        <v>-5.6143334766376459539165373800</v>
      </c>
      <c r="R35" s="92">
        <v>-4.5891566709456985217997879200</v>
      </c>
      <c r="S35" s="273">
        <v>-2.3578898307637889970577981200</v>
      </c>
      <c r="T35" s="272">
        <v>50.920853228710641187931349920</v>
      </c>
      <c r="U35" s="92">
        <v>-8.594234359521245652508658780</v>
      </c>
      <c r="V35" s="273">
        <v>-2.4923067603437158878796523700</v>
      </c>
      <c r="W35" s="272">
        <v>22.834701688287415013992868550</v>
      </c>
      <c r="X35" s="92">
        <v>-10.881427010429803597462637090</v>
      </c>
      <c r="Y35" s="273">
        <v>37.833136024208888618130689580</v>
      </c>
      <c r="Z35" s="272">
        <v>3.4388682872173173961190626700</v>
      </c>
      <c r="AA35" s="92">
        <v>-5.8768889587291651369168385500</v>
      </c>
      <c r="AB35" s="273">
        <v>0.2406271290770152704040731800</v>
      </c>
      <c r="AC35" s="5"/>
      <c r="AD35" s="272" t="s">
        <v>318</v>
      </c>
      <c r="AE35" s="92" t="s">
        <v>240</v>
      </c>
      <c r="AF35" s="92" t="s">
        <v>238</v>
      </c>
      <c r="AG35" s="273" t="s">
        <v>240</v>
      </c>
    </row>
    <row r="36" ht="20.1" customHeight="1">
      <c r="A36" s="58"/>
      <c r="B36" s="426">
        <v>2020</v>
      </c>
      <c r="C36" s="427"/>
      <c r="D36" s="458">
        <v>140.13704377010208362466787862</v>
      </c>
      <c r="E36" s="459">
        <v>147.01651275629989043668805761</v>
      </c>
      <c r="F36" s="500">
        <v>128.33034559796788088844002724</v>
      </c>
      <c r="G36" s="458">
        <v>14.485806180953712767445112572</v>
      </c>
      <c r="H36" s="459"/>
      <c r="I36" s="500">
        <v>23.939706146811580253674754922</v>
      </c>
      <c r="J36" s="458">
        <v>23.248217032582855544679065865</v>
      </c>
      <c r="K36" s="459"/>
      <c r="L36" s="500">
        <v>22.400595439712646498893289281</v>
      </c>
      <c r="M36" s="458">
        <v>177.87106698363865193679205705</v>
      </c>
      <c r="N36" s="459"/>
      <c r="O36" s="500">
        <v>174.67064718449210764100807144</v>
      </c>
      <c r="P36" s="184"/>
      <c r="Q36" s="431">
        <v>-27.274979319903842615145905690</v>
      </c>
      <c r="R36" s="432">
        <v>-29.549216201605505100453356730</v>
      </c>
      <c r="S36" s="501">
        <v>-28.578521554480756934906488100</v>
      </c>
      <c r="T36" s="431">
        <v>-65.626126484113589036565466680</v>
      </c>
      <c r="U36" s="432"/>
      <c r="V36" s="501">
        <v>-54.152833242043589663462561260</v>
      </c>
      <c r="W36" s="431">
        <v>-29.732205092638359773512060130</v>
      </c>
      <c r="X36" s="432"/>
      <c r="Y36" s="501">
        <v>-2.1738564858158647919205283800</v>
      </c>
      <c r="Z36" s="431">
        <v>-33.610747034364268193856451670</v>
      </c>
      <c r="AA36" s="432"/>
      <c r="AB36" s="501">
        <v>-31.446602372633275769634816830</v>
      </c>
      <c r="AC36" s="184"/>
      <c r="AD36" s="431" t="s">
        <v>307</v>
      </c>
      <c r="AE36" s="432"/>
      <c r="AF36" s="432"/>
      <c r="AG36" s="433"/>
    </row>
    <row r="37" ht="21" customHeight="1"/>
    <row r="38" ht="24.95" customHeight="1">
      <c r="A38" s="112"/>
      <c r="B38" s="987" t="s">
        <v>45</v>
      </c>
      <c r="C38" s="987"/>
      <c r="D38" s="987"/>
      <c r="E38" s="987"/>
      <c r="F38" s="987"/>
      <c r="G38" s="987"/>
      <c r="H38" s="987"/>
      <c r="I38" s="987"/>
      <c r="J38" s="987"/>
      <c r="K38" s="987"/>
      <c r="L38" s="987"/>
      <c r="M38" s="987"/>
      <c r="N38" s="987"/>
      <c r="O38" s="987"/>
      <c r="P38" s="412"/>
      <c r="Q38" s="986"/>
      <c r="R38" s="986"/>
      <c r="S38" s="986"/>
      <c r="T38" s="986"/>
      <c r="U38" s="986"/>
      <c r="V38" s="986"/>
      <c r="W38" s="986"/>
      <c r="X38" s="986"/>
      <c r="Y38" s="986"/>
      <c r="Z38" s="986"/>
      <c r="AA38" s="986"/>
      <c r="AB38" s="986"/>
      <c r="AC38" s="412"/>
      <c r="AD38" s="986"/>
      <c r="AE38" s="986"/>
      <c r="AF38" s="986"/>
      <c r="AG38" s="986"/>
      <c r="AH38" s="9"/>
    </row>
    <row r="39" ht="20.1" customHeight="1">
      <c r="A39" s="58"/>
      <c r="B39" s="285">
        <v>2018</v>
      </c>
      <c r="C39" s="286"/>
      <c r="D39" s="455">
        <v>180.11384928716904276985743381</v>
      </c>
      <c r="E39" s="456">
        <v>214.48230550186028143252062938</v>
      </c>
      <c r="F39" s="437">
        <v>183.43499411012894283133064502</v>
      </c>
      <c r="G39" s="455">
        <v>18.869993211133740665308893415</v>
      </c>
      <c r="H39" s="456">
        <v>66.641256086189291300364882475</v>
      </c>
      <c r="I39" s="437">
        <v>59.467034632461138554292606138</v>
      </c>
      <c r="J39" s="455">
        <v>22.24270196877121520706042091</v>
      </c>
      <c r="K39" s="456">
        <v>18.549280320592662661668163365</v>
      </c>
      <c r="L39" s="437">
        <v>20.325742314235855624805590765</v>
      </c>
      <c r="M39" s="455">
        <v>221.22654446707399864222674813</v>
      </c>
      <c r="N39" s="456">
        <v>299.67284190864223539455367522</v>
      </c>
      <c r="O39" s="437">
        <v>263.22777105682593701042884192</v>
      </c>
      <c r="P39" s="5"/>
      <c r="Q39" s="428">
        <v>-22.012809132085917965566863110</v>
      </c>
      <c r="R39" s="429">
        <v>4.7984509636226924224414441300</v>
      </c>
      <c r="S39" s="418">
        <v>2.5506730993053996793586976600</v>
      </c>
      <c r="T39" s="428">
        <v>-25.788293486974212307453109910</v>
      </c>
      <c r="U39" s="429">
        <v>31.329282666072193595928357720</v>
      </c>
      <c r="V39" s="418">
        <v>-5.9215471920810145115121480900</v>
      </c>
      <c r="W39" s="428">
        <v>376.71636582353727550406660460</v>
      </c>
      <c r="X39" s="429">
        <v>58.125686864989527807645637790</v>
      </c>
      <c r="Y39" s="418">
        <v>-2.335141282489337941088875800</v>
      </c>
      <c r="Z39" s="428">
        <v>-15.253866110427284825602417370</v>
      </c>
      <c r="AA39" s="429">
        <v>12.179849324087225665974629640</v>
      </c>
      <c r="AB39" s="418">
        <v>0.1268410040145258863412170800</v>
      </c>
      <c r="AC39" s="5"/>
      <c r="AD39" s="428" t="s">
        <v>319</v>
      </c>
      <c r="AE39" s="429" t="s">
        <v>240</v>
      </c>
      <c r="AF39" s="429" t="s">
        <v>239</v>
      </c>
      <c r="AG39" s="430" t="s">
        <v>239</v>
      </c>
    </row>
    <row r="40" ht="20.1" customHeight="1">
      <c r="A40" s="58"/>
      <c r="B40" s="287">
        <v>2019</v>
      </c>
      <c r="C40" s="288"/>
      <c r="D40" s="277">
        <v>194.69180690332882938213978627</v>
      </c>
      <c r="E40" s="94">
        <v>209.84412766832981842497813898</v>
      </c>
      <c r="F40" s="278">
        <v>181.07925068981587649151877853</v>
      </c>
      <c r="G40" s="277">
        <v>31.572165581623879130327969537</v>
      </c>
      <c r="H40" s="94">
        <v>67.321800172009492063815603786</v>
      </c>
      <c r="I40" s="278">
        <v>49.594560931456930918430796404</v>
      </c>
      <c r="J40" s="277">
        <v>31.259335462473897555582852229</v>
      </c>
      <c r="K40" s="94">
        <v>20.163985781366696114096643111</v>
      </c>
      <c r="L40" s="278">
        <v>16.889737457416613598890419692</v>
      </c>
      <c r="M40" s="277">
        <v>257.52330794742660606805060803</v>
      </c>
      <c r="N40" s="94">
        <v>297.32991362170600660289038588</v>
      </c>
      <c r="O40" s="278">
        <v>247.56354907868942100883999462</v>
      </c>
      <c r="P40" s="5"/>
      <c r="Q40" s="272">
        <v>8.093746079968039254002769300</v>
      </c>
      <c r="R40" s="92">
        <v>-2.1624990568232373085480349700</v>
      </c>
      <c r="S40" s="273">
        <v>-1.2842388289874219387051951800</v>
      </c>
      <c r="T40" s="272">
        <v>67.314133229234854415186268020</v>
      </c>
      <c r="U40" s="92">
        <v>1.0212053700488944750445737400</v>
      </c>
      <c r="V40" s="273">
        <v>-16.601590716640749177556059500</v>
      </c>
      <c r="W40" s="272">
        <v>40.537491831532196192023261660</v>
      </c>
      <c r="X40" s="92">
        <v>8.704949371978882616744257760</v>
      </c>
      <c r="Y40" s="273">
        <v>-16.904695551575078138130334480</v>
      </c>
      <c r="Z40" s="272">
        <v>16.407056200145455408066717350</v>
      </c>
      <c r="AA40" s="92">
        <v>-0.7818287009306268787203981500</v>
      </c>
      <c r="AB40" s="273">
        <v>-5.9508242292394385596495083800</v>
      </c>
      <c r="AC40" s="5"/>
      <c r="AD40" s="272" t="s">
        <v>318</v>
      </c>
      <c r="AE40" s="92" t="s">
        <v>240</v>
      </c>
      <c r="AF40" s="92" t="s">
        <v>238</v>
      </c>
      <c r="AG40" s="273" t="s">
        <v>240</v>
      </c>
    </row>
    <row r="41" ht="20.1" customHeight="1">
      <c r="A41" s="58"/>
      <c r="B41" s="426">
        <v>2020</v>
      </c>
      <c r="C41" s="427"/>
      <c r="D41" s="458">
        <v>205.63515078286260887076473846</v>
      </c>
      <c r="E41" s="459">
        <v>218.77122114399527526419462987</v>
      </c>
      <c r="F41" s="500">
        <v>184.41489775093437710379937967</v>
      </c>
      <c r="G41" s="458">
        <v>31.634647334239540854855761969</v>
      </c>
      <c r="H41" s="459"/>
      <c r="I41" s="500">
        <v>40.432501212845635601957915871</v>
      </c>
      <c r="J41" s="458">
        <v>26.686401852690932890298545033</v>
      </c>
      <c r="K41" s="459"/>
      <c r="L41" s="500">
        <v>19.707445337158106224683049569</v>
      </c>
      <c r="M41" s="458">
        <v>263.95619996979308261591904546</v>
      </c>
      <c r="N41" s="459"/>
      <c r="O41" s="500">
        <v>244.55484430093811893044034511</v>
      </c>
      <c r="P41" s="184"/>
      <c r="Q41" s="431">
        <v>5.6208548544456858809412660900</v>
      </c>
      <c r="R41" s="432">
        <v>4.2541545359683445195782308700</v>
      </c>
      <c r="S41" s="501">
        <v>1.8420923702806671567535338300</v>
      </c>
      <c r="T41" s="431">
        <v>0.1979013839076921667908127800</v>
      </c>
      <c r="U41" s="432"/>
      <c r="V41" s="501">
        <v>-18.473920418962650665093232750</v>
      </c>
      <c r="W41" s="431">
        <v>-14.629017354744040238594064960</v>
      </c>
      <c r="X41" s="432"/>
      <c r="Y41" s="501">
        <v>16.682958434645069404743810090</v>
      </c>
      <c r="Z41" s="431">
        <v>2.4979843858171283351884649100</v>
      </c>
      <c r="AA41" s="432"/>
      <c r="AB41" s="501">
        <v>-1.215326242069251033053683800</v>
      </c>
      <c r="AC41" s="184"/>
      <c r="AD41" s="431" t="s">
        <v>225</v>
      </c>
      <c r="AE41" s="432"/>
      <c r="AF41" s="432"/>
      <c r="AG41" s="433"/>
    </row>
    <row r="42" ht="14.1" customHeight="1"/>
    <row r="43" ht="20.1" customHeight="1">
      <c r="B43" s="7" t="s">
        <v>105</v>
      </c>
    </row>
    <row r="44" ht="14.1" customHeight="1">
      <c r="B44" s="7"/>
    </row>
    <row r="45" ht="24" customHeight="1">
      <c r="B45" s="1061" t="s">
        <v>129</v>
      </c>
      <c r="C45" s="1061"/>
      <c r="D45" s="1061"/>
      <c r="E45" s="1061"/>
      <c r="F45" s="1061"/>
      <c r="G45" s="1061"/>
      <c r="H45" s="1061"/>
      <c r="I45" s="1061"/>
      <c r="J45" s="1061"/>
      <c r="K45" s="1061"/>
      <c r="L45" s="1061"/>
      <c r="M45" s="1061"/>
      <c r="N45" s="1061"/>
      <c r="O45" s="1061"/>
      <c r="P45" s="1061"/>
      <c r="Q45" s="1061"/>
      <c r="R45" s="1061"/>
      <c r="S45" s="1061"/>
      <c r="T45" s="1061"/>
      <c r="U45" s="1061"/>
      <c r="V45" s="1061"/>
      <c r="W45" s="1061"/>
      <c r="X45" s="1061"/>
      <c r="Y45" s="1061"/>
      <c r="Z45" s="1061"/>
      <c r="AA45" s="1061"/>
      <c r="AB45" s="1061"/>
      <c r="AC45" s="1061"/>
      <c r="AD45" s="1061"/>
      <c r="AE45" s="1061"/>
      <c r="AF45" s="1061"/>
      <c r="AG45" s="1061"/>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1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7" t="s">
        <v>202</v>
      </c>
      <c r="AD1" s="5"/>
      <c r="AG1" s="686"/>
      <c r="AI1" s="236"/>
    </row>
    <row r="2" ht="21" customHeight="1">
      <c r="B2" s="11" t="s">
        <v>211</v>
      </c>
    </row>
    <row r="3" ht="21" customHeight="1">
      <c r="B3" s="11" t="s">
        <v>212</v>
      </c>
      <c r="U3" s="1053" t="s">
        <v>298</v>
      </c>
      <c r="V3" s="1053"/>
      <c r="W3" s="1053"/>
      <c r="X3" s="1053"/>
      <c r="Y3" s="1053"/>
      <c r="Z3" s="1053"/>
      <c r="AA3" s="1053"/>
      <c r="AB3" s="1053"/>
      <c r="AC3" s="1053"/>
      <c r="AD3" s="1053"/>
      <c r="AE3" s="1053"/>
      <c r="AF3" s="1053"/>
      <c r="AG3" s="1053"/>
    </row>
    <row r="4" ht="21" customHeight="1">
      <c r="A4" s="4"/>
      <c r="B4" s="211" t="s">
        <v>213</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75" t="s">
        <v>95</v>
      </c>
      <c r="E6" s="975"/>
      <c r="F6" s="975"/>
      <c r="G6" s="975"/>
      <c r="H6" s="975"/>
      <c r="I6" s="975"/>
      <c r="J6" s="975"/>
      <c r="K6" s="975"/>
      <c r="L6" s="975"/>
      <c r="M6" s="975"/>
      <c r="N6" s="975"/>
      <c r="O6" s="975"/>
      <c r="Q6" s="975" t="s">
        <v>72</v>
      </c>
      <c r="R6" s="975"/>
      <c r="S6" s="975"/>
      <c r="T6" s="975"/>
      <c r="U6" s="975"/>
      <c r="V6" s="975"/>
      <c r="W6" s="975"/>
      <c r="X6" s="975"/>
      <c r="Y6" s="975"/>
      <c r="Z6" s="975"/>
      <c r="AA6" s="975"/>
      <c r="AB6" s="975"/>
      <c r="AD6" s="975" t="s">
        <v>80</v>
      </c>
      <c r="AE6" s="975"/>
      <c r="AF6" s="975"/>
      <c r="AG6" s="975"/>
    </row>
    <row r="7" ht="24.95" customHeight="1">
      <c r="D7" s="284" t="s">
        <v>20</v>
      </c>
      <c r="E7" s="284"/>
      <c r="F7" s="284"/>
      <c r="G7" s="284" t="s">
        <v>18</v>
      </c>
      <c r="H7" s="284"/>
      <c r="I7" s="284"/>
      <c r="J7" s="284" t="s">
        <v>17</v>
      </c>
      <c r="K7" s="284"/>
      <c r="L7" s="284"/>
      <c r="M7" s="284" t="s">
        <v>106</v>
      </c>
      <c r="N7" s="284"/>
      <c r="O7" s="284"/>
      <c r="Q7" s="284" t="s">
        <v>20</v>
      </c>
      <c r="R7" s="284"/>
      <c r="S7" s="284"/>
      <c r="T7" s="284" t="s">
        <v>18</v>
      </c>
      <c r="U7" s="284"/>
      <c r="V7" s="284"/>
      <c r="W7" s="284" t="s">
        <v>17</v>
      </c>
      <c r="X7" s="284"/>
      <c r="Y7" s="284"/>
      <c r="Z7" s="284" t="s">
        <v>106</v>
      </c>
      <c r="AA7" s="284"/>
      <c r="AB7" s="284"/>
      <c r="AD7" s="284" t="s">
        <v>81</v>
      </c>
      <c r="AE7" s="284"/>
      <c r="AF7" s="284"/>
      <c r="AG7" s="284"/>
    </row>
    <row r="8" ht="30" customHeight="1">
      <c r="A8" s="57"/>
      <c r="B8" s="958" t="s">
        <v>42</v>
      </c>
      <c r="C8" s="958"/>
      <c r="D8" s="413" t="s">
        <v>25</v>
      </c>
      <c r="E8" s="414" t="s">
        <v>15</v>
      </c>
      <c r="F8" s="415" t="s">
        <v>26</v>
      </c>
      <c r="G8" s="413" t="s">
        <v>25</v>
      </c>
      <c r="H8" s="414" t="s">
        <v>15</v>
      </c>
      <c r="I8" s="415" t="s">
        <v>26</v>
      </c>
      <c r="J8" s="413" t="s">
        <v>25</v>
      </c>
      <c r="K8" s="414" t="s">
        <v>15</v>
      </c>
      <c r="L8" s="415" t="s">
        <v>26</v>
      </c>
      <c r="M8" s="413" t="s">
        <v>25</v>
      </c>
      <c r="N8" s="414" t="s">
        <v>15</v>
      </c>
      <c r="O8" s="415" t="s">
        <v>26</v>
      </c>
      <c r="P8" s="63"/>
      <c r="Q8" s="413" t="s">
        <v>25</v>
      </c>
      <c r="R8" s="414" t="s">
        <v>15</v>
      </c>
      <c r="S8" s="415" t="s">
        <v>26</v>
      </c>
      <c r="T8" s="413" t="s">
        <v>25</v>
      </c>
      <c r="U8" s="414" t="s">
        <v>15</v>
      </c>
      <c r="V8" s="415" t="s">
        <v>26</v>
      </c>
      <c r="W8" s="413" t="s">
        <v>25</v>
      </c>
      <c r="X8" s="414" t="s">
        <v>15</v>
      </c>
      <c r="Y8" s="415" t="s">
        <v>26</v>
      </c>
      <c r="Z8" s="413" t="s">
        <v>25</v>
      </c>
      <c r="AA8" s="414" t="s">
        <v>15</v>
      </c>
      <c r="AB8" s="415" t="s">
        <v>26</v>
      </c>
      <c r="AC8" s="63"/>
      <c r="AD8" s="413" t="s">
        <v>20</v>
      </c>
      <c r="AE8" s="414" t="s">
        <v>18</v>
      </c>
      <c r="AF8" s="414" t="s">
        <v>17</v>
      </c>
      <c r="AG8" s="415" t="s">
        <v>12</v>
      </c>
    </row>
    <row r="9" ht="20.1" customHeight="1">
      <c r="A9" s="57"/>
      <c r="B9" s="285">
        <v>2019</v>
      </c>
      <c r="C9" s="286" t="s">
        <v>221</v>
      </c>
      <c r="D9" s="435">
        <v>96.19965786901270772238514174</v>
      </c>
      <c r="E9" s="436">
        <v>134.25748172383824957824242114</v>
      </c>
      <c r="F9" s="437">
        <v>110.8366612069297319026826838</v>
      </c>
      <c r="G9" s="435">
        <v>17.698924731182795698924731183</v>
      </c>
      <c r="H9" s="436">
        <v>51.537057275440347707000552697</v>
      </c>
      <c r="I9" s="437">
        <v>28.968374957043131168520872466</v>
      </c>
      <c r="J9" s="435">
        <v>18.662267839687194525904203324</v>
      </c>
      <c r="K9" s="436">
        <v>17.492770512662952206136133868</v>
      </c>
      <c r="L9" s="437">
        <v>11.381008168989936711474300937</v>
      </c>
      <c r="M9" s="435">
        <v>132.56085043988269794721407625</v>
      </c>
      <c r="N9" s="436">
        <v>203.2873095119415494913791077</v>
      </c>
      <c r="O9" s="437">
        <v>151.1860443329627997826778572</v>
      </c>
      <c r="P9" s="5"/>
      <c r="Q9" s="416">
        <v>51.144056158357195182365007180</v>
      </c>
      <c r="R9" s="417">
        <v>-9.219980096365668270226230150</v>
      </c>
      <c r="S9" s="418">
        <v>4.3869718684962254802885789100</v>
      </c>
      <c r="T9" s="416">
        <v>242.05490044461627682196017784</v>
      </c>
      <c r="U9" s="417">
        <v>14.777499526392998813205507820</v>
      </c>
      <c r="V9" s="418">
        <v>-1.4293635336052352109358815600</v>
      </c>
      <c r="W9" s="416">
        <v>100.62477241568077343232589342</v>
      </c>
      <c r="X9" s="417">
        <v>-5.8392050150909138258283931800</v>
      </c>
      <c r="Y9" s="418">
        <v>-29.109622478354969164155041080</v>
      </c>
      <c r="Z9" s="416">
        <v>69.679993121104068616695930110</v>
      </c>
      <c r="AA9" s="417">
        <v>-3.8250752464392384704636344200</v>
      </c>
      <c r="AB9" s="418">
        <v>-0.2871686464797807654004753300</v>
      </c>
      <c r="AC9" s="5"/>
      <c r="AD9" s="428" t="s">
        <v>317</v>
      </c>
      <c r="AE9" s="429" t="s">
        <v>240</v>
      </c>
      <c r="AF9" s="429" t="s">
        <v>240</v>
      </c>
      <c r="AG9" s="430" t="s">
        <v>240</v>
      </c>
    </row>
    <row r="10" ht="20.1" customHeight="1">
      <c r="A10" s="58"/>
      <c r="B10" s="287"/>
      <c r="C10" s="288" t="s">
        <v>224</v>
      </c>
      <c r="D10" s="277">
        <v>92.8218475073313782991202346</v>
      </c>
      <c r="E10" s="94">
        <v>117.21940340473390930934001329</v>
      </c>
      <c r="F10" s="278">
        <v>102.52301856453109697946825298</v>
      </c>
      <c r="G10" s="277">
        <v>14.603128054740957966764418377</v>
      </c>
      <c r="H10" s="94">
        <v>36.22815968011396508642462654</v>
      </c>
      <c r="I10" s="278">
        <v>27.611479481675681653724788789</v>
      </c>
      <c r="J10" s="277">
        <v>22.192326490713587487781036168</v>
      </c>
      <c r="K10" s="94">
        <v>17.235283573236029579645762567</v>
      </c>
      <c r="L10" s="278">
        <v>11.421809592965031827305668094</v>
      </c>
      <c r="M10" s="277">
        <v>129.61730205278592375366568915</v>
      </c>
      <c r="N10" s="94">
        <v>170.6828466580839039754104024</v>
      </c>
      <c r="O10" s="278">
        <v>141.55630763917181046049870987</v>
      </c>
      <c r="P10" s="5"/>
      <c r="Q10" s="272">
        <v>41.531463065473817752004353590</v>
      </c>
      <c r="R10" s="92">
        <v>-7.8128518940629085026708005500</v>
      </c>
      <c r="S10" s="273">
        <v>5.2897640176465606048859348200</v>
      </c>
      <c r="T10" s="272">
        <v>83.14017966854546024740774952</v>
      </c>
      <c r="U10" s="92">
        <v>-2.5844409657238778955495795300</v>
      </c>
      <c r="V10" s="273">
        <v>-8.903595105496795581429016580</v>
      </c>
      <c r="W10" s="272">
        <v>50.372960175478051380318485270</v>
      </c>
      <c r="X10" s="92">
        <v>2.4005564949391975223131596200</v>
      </c>
      <c r="Y10" s="273">
        <v>-25.370695175126062642018459760</v>
      </c>
      <c r="Z10" s="272">
        <v>46.765651846560744415915365160</v>
      </c>
      <c r="AA10" s="92">
        <v>-5.7907919044811248498592680300</v>
      </c>
      <c r="AB10" s="273">
        <v>-1.0006826834432211963152478600</v>
      </c>
      <c r="AC10" s="5"/>
      <c r="AD10" s="272" t="s">
        <v>317</v>
      </c>
      <c r="AE10" s="92" t="s">
        <v>239</v>
      </c>
      <c r="AF10" s="92" t="s">
        <v>240</v>
      </c>
      <c r="AG10" s="273" t="s">
        <v>240</v>
      </c>
    </row>
    <row r="11" ht="20.1" customHeight="1">
      <c r="A11" s="58"/>
      <c r="B11" s="289"/>
      <c r="C11" s="290" t="s">
        <v>226</v>
      </c>
      <c r="D11" s="440">
        <v>66.074242424242424242424242424</v>
      </c>
      <c r="E11" s="95">
        <v>89.62241627047015319598520866</v>
      </c>
      <c r="F11" s="443">
        <v>88.65400592160502010694241902</v>
      </c>
      <c r="G11" s="440">
        <v>9.618434343434343434343434343</v>
      </c>
      <c r="H11" s="95">
        <v>36.991253389000017945853677644</v>
      </c>
      <c r="I11" s="443">
        <v>31.156526246965585230491427521</v>
      </c>
      <c r="J11" s="440">
        <v>16.981565656565656565656565657</v>
      </c>
      <c r="K11" s="95">
        <v>13.252334751026142393700077796</v>
      </c>
      <c r="L11" s="443">
        <v>9.788646990128681166291526901</v>
      </c>
      <c r="M11" s="440">
        <v>92.67424242424242424242424242</v>
      </c>
      <c r="N11" s="95">
        <v>139.8660044104963135355389641</v>
      </c>
      <c r="O11" s="443">
        <v>129.59917915869928650372537344</v>
      </c>
      <c r="P11" s="5"/>
      <c r="Q11" s="498">
        <v>28.204575409988681519518254110</v>
      </c>
      <c r="R11" s="216">
        <v>-12.951499369937607930204700310</v>
      </c>
      <c r="S11" s="499">
        <v>1.9723346020919805148959438500</v>
      </c>
      <c r="T11" s="498">
        <v>-10.838268686064748706664481850</v>
      </c>
      <c r="U11" s="216">
        <v>8.865607412835357130574131200</v>
      </c>
      <c r="V11" s="499">
        <v>-1.4495194512462264410905875600</v>
      </c>
      <c r="W11" s="498">
        <v>54.537515799149718487877743310</v>
      </c>
      <c r="X11" s="216">
        <v>-15.969560955556096826545556870</v>
      </c>
      <c r="Y11" s="499">
        <v>-28.684904328495543513018328850</v>
      </c>
      <c r="Z11" s="498">
        <v>26.406613278222681477654352880</v>
      </c>
      <c r="AA11" s="216">
        <v>-8.408655204069791011327178660</v>
      </c>
      <c r="AB11" s="499">
        <v>-2.0266059242373598325165110600</v>
      </c>
      <c r="AC11" s="5"/>
      <c r="AD11" s="421" t="s">
        <v>319</v>
      </c>
      <c r="AE11" s="91" t="s">
        <v>239</v>
      </c>
      <c r="AF11" s="91" t="s">
        <v>238</v>
      </c>
      <c r="AG11" s="422" t="s">
        <v>239</v>
      </c>
    </row>
    <row r="12" ht="20.1" customHeight="1">
      <c r="A12" s="58"/>
      <c r="B12" s="287"/>
      <c r="C12" s="288" t="s">
        <v>228</v>
      </c>
      <c r="D12" s="277">
        <v>95.92790811339198435972629521</v>
      </c>
      <c r="E12" s="94">
        <v>120.91310873677214866315628035</v>
      </c>
      <c r="F12" s="278">
        <v>113.16023828971958620040798348</v>
      </c>
      <c r="G12" s="277">
        <v>18.57722385141739980449657869</v>
      </c>
      <c r="H12" s="94">
        <v>41.990161084195530909273444226</v>
      </c>
      <c r="I12" s="278">
        <v>38.452614082617468664113696138</v>
      </c>
      <c r="J12" s="277">
        <v>19.680351906158357771260997067</v>
      </c>
      <c r="K12" s="94">
        <v>14.316679476837619361601322113</v>
      </c>
      <c r="L12" s="278">
        <v>10.840734271379143935917940492</v>
      </c>
      <c r="M12" s="277">
        <v>134.18548387096774193548387097</v>
      </c>
      <c r="N12" s="94">
        <v>177.21994929780529893403104669</v>
      </c>
      <c r="O12" s="278">
        <v>162.4535866437161988004396201</v>
      </c>
      <c r="P12" s="5"/>
      <c r="Q12" s="272">
        <v>34.788222164992703236329298650</v>
      </c>
      <c r="R12" s="92">
        <v>-8.234050770094738576447781270</v>
      </c>
      <c r="S12" s="273">
        <v>3.3521334673517378400293322400</v>
      </c>
      <c r="T12" s="272">
        <v>80.90048070058540764361524915</v>
      </c>
      <c r="U12" s="92">
        <v>1.8690121469785064144771000100</v>
      </c>
      <c r="V12" s="273">
        <v>-3.2514293421362876593923594700</v>
      </c>
      <c r="W12" s="272">
        <v>89.19325283089789973218061363</v>
      </c>
      <c r="X12" s="92">
        <v>-1.2991074711069964333892529500</v>
      </c>
      <c r="Y12" s="273">
        <v>-25.880715241727449734405890450</v>
      </c>
      <c r="Z12" s="272">
        <v>46.106441235401649224481324490</v>
      </c>
      <c r="AA12" s="92">
        <v>-5.4763292083241752600314637500</v>
      </c>
      <c r="AB12" s="273">
        <v>-0.858872506275755097304999800</v>
      </c>
      <c r="AC12" s="5"/>
      <c r="AD12" s="272" t="s">
        <v>319</v>
      </c>
      <c r="AE12" s="92" t="s">
        <v>240</v>
      </c>
      <c r="AF12" s="92" t="s">
        <v>238</v>
      </c>
      <c r="AG12" s="273" t="s">
        <v>240</v>
      </c>
    </row>
    <row r="13" ht="20.1" customHeight="1">
      <c r="A13" s="58"/>
      <c r="B13" s="289"/>
      <c r="C13" s="290" t="s">
        <v>229</v>
      </c>
      <c r="D13" s="440">
        <v>127.10934343434343434343434343</v>
      </c>
      <c r="E13" s="95">
        <v>160.94843581616481774960380349</v>
      </c>
      <c r="F13" s="443">
        <v>139.7611176702085792994883904</v>
      </c>
      <c r="G13" s="440">
        <v>33.438636363636363636363636364</v>
      </c>
      <c r="H13" s="95">
        <v>57.942365945893129811138357412</v>
      </c>
      <c r="I13" s="443">
        <v>45.219443186553749413255044248</v>
      </c>
      <c r="J13" s="440">
        <v>30.575757575757575757575757576</v>
      </c>
      <c r="K13" s="95">
        <v>16.139328198395945912790279567</v>
      </c>
      <c r="L13" s="443">
        <v>30.939296245605168573008751409</v>
      </c>
      <c r="M13" s="440">
        <v>191.12373737373737373737373737</v>
      </c>
      <c r="N13" s="95">
        <v>235.03012996045389347353244047</v>
      </c>
      <c r="O13" s="443">
        <v>215.91985710236749728575218606</v>
      </c>
      <c r="P13" s="5"/>
      <c r="Q13" s="421">
        <v>61.748421407798968492424364140</v>
      </c>
      <c r="R13" s="91">
        <v>0.5027831062886520823754229900</v>
      </c>
      <c r="S13" s="499">
        <v>9.011594252419533965955621270</v>
      </c>
      <c r="T13" s="421">
        <v>115.50141587735572697978713016</v>
      </c>
      <c r="U13" s="91">
        <v>12.796599276348782652006408530</v>
      </c>
      <c r="V13" s="499">
        <v>18.009490841137020181809659720</v>
      </c>
      <c r="W13" s="421">
        <v>144.36416476619104320975196271</v>
      </c>
      <c r="X13" s="91">
        <v>-17.762267808739473446386768600</v>
      </c>
      <c r="Y13" s="499">
        <v>200.04066877873373536157324778</v>
      </c>
      <c r="Z13" s="421">
        <v>79.26762831900329235652194510</v>
      </c>
      <c r="AA13" s="91">
        <v>1.6841769889046040745883083900</v>
      </c>
      <c r="AB13" s="499">
        <v>22.100543656986599354785406420</v>
      </c>
      <c r="AC13" s="5"/>
      <c r="AD13" s="421" t="s">
        <v>317</v>
      </c>
      <c r="AE13" s="91" t="s">
        <v>240</v>
      </c>
      <c r="AF13" s="91" t="s">
        <v>238</v>
      </c>
      <c r="AG13" s="422" t="s">
        <v>240</v>
      </c>
    </row>
    <row r="14" ht="20.1" customHeight="1">
      <c r="A14" s="58"/>
      <c r="B14" s="287"/>
      <c r="C14" s="288" t="s">
        <v>230</v>
      </c>
      <c r="D14" s="277">
        <v>213.44819159335288367546432063</v>
      </c>
      <c r="E14" s="94">
        <v>250.20907980164613261080721844</v>
      </c>
      <c r="F14" s="278">
        <v>175.79853837918354047386305451</v>
      </c>
      <c r="G14" s="277">
        <v>43.624633431085043988269794721</v>
      </c>
      <c r="H14" s="94">
        <v>52.472076575670285701885116078</v>
      </c>
      <c r="I14" s="278">
        <v>41.123804406431330410268242175</v>
      </c>
      <c r="J14" s="277">
        <v>24.96969696969696969696969697</v>
      </c>
      <c r="K14" s="94">
        <v>17.004468195272277740746307214</v>
      </c>
      <c r="L14" s="278">
        <v>13.2417402024677714753480565</v>
      </c>
      <c r="M14" s="277">
        <v>282.04252199413489736070381232</v>
      </c>
      <c r="N14" s="94">
        <v>319.68562457258869605343864173</v>
      </c>
      <c r="O14" s="278">
        <v>230.16408298808264235947935318</v>
      </c>
      <c r="P14" s="5"/>
      <c r="Q14" s="272">
        <v>54.047351972175777970609607260</v>
      </c>
      <c r="R14" s="92">
        <v>-2.0136435867300200776601475200</v>
      </c>
      <c r="S14" s="273">
        <v>2.770320202094985078893292800</v>
      </c>
      <c r="T14" s="272">
        <v>216.08470854876407677597563566</v>
      </c>
      <c r="U14" s="92">
        <v>-25.820404995861961090419222970</v>
      </c>
      <c r="V14" s="273">
        <v>1.6001667934049811509533687200</v>
      </c>
      <c r="W14" s="272">
        <v>64.35729567133688291215596700</v>
      </c>
      <c r="X14" s="92">
        <v>-6.6086191852015519095515839900</v>
      </c>
      <c r="Y14" s="273">
        <v>12.722446210403384054537699510</v>
      </c>
      <c r="Z14" s="272">
        <v>68.329319998658170356941270160</v>
      </c>
      <c r="AA14" s="92">
        <v>-7.1478188476132027098838830700</v>
      </c>
      <c r="AB14" s="273">
        <v>3.081792352744561855772494400</v>
      </c>
      <c r="AC14" s="5"/>
      <c r="AD14" s="272" t="s">
        <v>320</v>
      </c>
      <c r="AE14" s="92" t="s">
        <v>240</v>
      </c>
      <c r="AF14" s="92" t="s">
        <v>238</v>
      </c>
      <c r="AG14" s="273" t="s">
        <v>240</v>
      </c>
    </row>
    <row r="15" ht="20.1" customHeight="1">
      <c r="A15" s="58"/>
      <c r="B15" s="289">
        <v>2020</v>
      </c>
      <c r="C15" s="290" t="s">
        <v>232</v>
      </c>
      <c r="D15" s="440">
        <v>270.81402737047898338220918866</v>
      </c>
      <c r="E15" s="95">
        <v>271.96756198558355912274423598</v>
      </c>
      <c r="F15" s="443">
        <v>214.5934121271364673124203916</v>
      </c>
      <c r="G15" s="440">
        <v>47.117057673509286412512218964</v>
      </c>
      <c r="H15" s="95">
        <v>70.377007456464353217600480686</v>
      </c>
      <c r="I15" s="443">
        <v>48.187141254436661121943737078</v>
      </c>
      <c r="J15" s="440">
        <v>24.876344086021505376344086022</v>
      </c>
      <c r="K15" s="95">
        <v>9.701589285764883137907172295</v>
      </c>
      <c r="L15" s="443">
        <v>12.280896493022166655424297772</v>
      </c>
      <c r="M15" s="440">
        <v>342.80742913000977517106549365</v>
      </c>
      <c r="N15" s="95">
        <v>352.04615872781279547825188896</v>
      </c>
      <c r="O15" s="443">
        <v>275.06144987459529508978842645</v>
      </c>
      <c r="P15" s="5"/>
      <c r="Q15" s="421">
        <v>72.480661177605877134274463420</v>
      </c>
      <c r="R15" s="91">
        <v>24.980177268930649145815564090</v>
      </c>
      <c r="S15" s="499">
        <v>20.377248932619638731102544050</v>
      </c>
      <c r="T15" s="421">
        <v>117.76545399098681906999333612</v>
      </c>
      <c r="U15" s="91">
        <v>-8.278942248596641336654589430</v>
      </c>
      <c r="V15" s="499">
        <v>-3.5543620883757035729312493900</v>
      </c>
      <c r="W15" s="421">
        <v>18.428461735346813411824929620</v>
      </c>
      <c r="X15" s="91">
        <v>-39.838644154911713126888673780</v>
      </c>
      <c r="Y15" s="499">
        <v>3.4483715039132249722535998800</v>
      </c>
      <c r="Z15" s="421">
        <v>71.701422676904358852898659830</v>
      </c>
      <c r="AA15" s="91">
        <v>13.393590384743660128969350830</v>
      </c>
      <c r="AB15" s="499">
        <v>14.560274828426546533425123160</v>
      </c>
      <c r="AC15" s="5"/>
      <c r="AD15" s="421" t="s">
        <v>318</v>
      </c>
      <c r="AE15" s="91" t="s">
        <v>231</v>
      </c>
      <c r="AF15" s="91" t="s">
        <v>241</v>
      </c>
      <c r="AG15" s="422" t="s">
        <v>223</v>
      </c>
    </row>
    <row r="16" ht="20.1" customHeight="1">
      <c r="A16" s="58"/>
      <c r="B16" s="287"/>
      <c r="C16" s="288" t="s">
        <v>233</v>
      </c>
      <c r="D16" s="277">
        <v>293.09691745036572622779519331</v>
      </c>
      <c r="E16" s="94">
        <v>311.79278430515317571030110935</v>
      </c>
      <c r="F16" s="278">
        <v>245.17602206059260081801861825</v>
      </c>
      <c r="G16" s="277">
        <v>58.058777429467084639498432602</v>
      </c>
      <c r="H16" s="94">
        <v>58.927239615751643269700455762</v>
      </c>
      <c r="I16" s="278">
        <v>59.277612416438170642682386972</v>
      </c>
      <c r="J16" s="277">
        <v>23.177638453500522466039707419</v>
      </c>
      <c r="K16" s="94">
        <v>12.669335187124869022032482689</v>
      </c>
      <c r="L16" s="278">
        <v>14.24829650406748072565127191</v>
      </c>
      <c r="M16" s="277">
        <v>374.33333333333333333333333333</v>
      </c>
      <c r="N16" s="94">
        <v>383.3893591080296880020340478</v>
      </c>
      <c r="O16" s="278">
        <v>318.70193098109825218635227714</v>
      </c>
      <c r="P16" s="5"/>
      <c r="Q16" s="272">
        <v>57.154928166901692289537093480</v>
      </c>
      <c r="R16" s="92">
        <v>17.744859969418666619164793570</v>
      </c>
      <c r="S16" s="273">
        <v>15.183024155098502890456118730</v>
      </c>
      <c r="T16" s="272">
        <v>121.39764697678605163643944874</v>
      </c>
      <c r="U16" s="92">
        <v>-16.112391948321543576420001620</v>
      </c>
      <c r="V16" s="273">
        <v>16.363584311521030043590187340</v>
      </c>
      <c r="W16" s="272">
        <v>6.3640617888699028228346001600</v>
      </c>
      <c r="X16" s="92">
        <v>-35.164863900560936648479843820</v>
      </c>
      <c r="Y16" s="273">
        <v>23.599235466096559835688741820</v>
      </c>
      <c r="Z16" s="272">
        <v>59.619185184586967983543557540</v>
      </c>
      <c r="AA16" s="92">
        <v>8.121862137886129981045288320</v>
      </c>
      <c r="AB16" s="273">
        <v>15.753836859093015010611829350</v>
      </c>
      <c r="AC16" s="5"/>
      <c r="AD16" s="272" t="s">
        <v>320</v>
      </c>
      <c r="AE16" s="92" t="s">
        <v>231</v>
      </c>
      <c r="AF16" s="92" t="s">
        <v>231</v>
      </c>
      <c r="AG16" s="273" t="s">
        <v>223</v>
      </c>
    </row>
    <row r="17" ht="20.1" customHeight="1">
      <c r="A17" s="58"/>
      <c r="B17" s="289"/>
      <c r="C17" s="290" t="s">
        <v>234</v>
      </c>
      <c r="D17" s="440">
        <v>88.62512218963831867057673509</v>
      </c>
      <c r="E17" s="95">
        <v>111.04813301978426460814886764</v>
      </c>
      <c r="F17" s="443">
        <v>77.076351190401564635231874428</v>
      </c>
      <c r="G17" s="440">
        <v>19.399071358748778103616813294</v>
      </c>
      <c r="H17" s="95">
        <v>43.487039238190017927368505</v>
      </c>
      <c r="I17" s="443">
        <v>20.230097271037320344965986887</v>
      </c>
      <c r="J17" s="440">
        <v>20.253176930596285434995112414</v>
      </c>
      <c r="K17" s="95">
        <v>12.877108404081581605611381423</v>
      </c>
      <c r="L17" s="443">
        <v>10.05839679288288983063479773</v>
      </c>
      <c r="M17" s="440">
        <v>128.2773704789833822091886608</v>
      </c>
      <c r="N17" s="95">
        <v>167.41228066205586414112875406</v>
      </c>
      <c r="O17" s="443">
        <v>107.36484525432177481083265904</v>
      </c>
      <c r="P17" s="5"/>
      <c r="Q17" s="421">
        <v>-54.344265494011881816339197030</v>
      </c>
      <c r="R17" s="91">
        <v>-58.300302370207929806571706590</v>
      </c>
      <c r="S17" s="499">
        <v>-62.379840739161081681495079910</v>
      </c>
      <c r="T17" s="421">
        <v>-21.615269919325374490229187030</v>
      </c>
      <c r="U17" s="91">
        <v>-40.012894868789344809547802950</v>
      </c>
      <c r="V17" s="499">
        <v>-52.304026585630954541223356490</v>
      </c>
      <c r="W17" s="421">
        <v>11.692722371967654986522911050</v>
      </c>
      <c r="X17" s="91">
        <v>-37.163405269503161536248478870</v>
      </c>
      <c r="Y17" s="499">
        <v>-20.995197883492603481907839020</v>
      </c>
      <c r="Z17" s="421">
        <v>-45.873969110965833981237252450</v>
      </c>
      <c r="AA17" s="91">
        <v>-53.404873320397396618656015990</v>
      </c>
      <c r="AB17" s="499">
        <v>-58.710038532424451770540206490</v>
      </c>
      <c r="AC17" s="5"/>
      <c r="AD17" s="421" t="s">
        <v>319</v>
      </c>
      <c r="AE17" s="91" t="s">
        <v>240</v>
      </c>
      <c r="AF17" s="91" t="s">
        <v>238</v>
      </c>
      <c r="AG17" s="422" t="s">
        <v>240</v>
      </c>
    </row>
    <row r="18" ht="20.1" customHeight="1">
      <c r="A18" s="58"/>
      <c r="B18" s="287"/>
      <c r="C18" s="288" t="s">
        <v>235</v>
      </c>
      <c r="D18" s="277"/>
      <c r="E18" s="94"/>
      <c r="F18" s="278">
        <v>10.122883106154481619165634036</v>
      </c>
      <c r="G18" s="277"/>
      <c r="H18" s="94"/>
      <c r="I18" s="278">
        <v>2.3948241451237607999135731749</v>
      </c>
      <c r="J18" s="277"/>
      <c r="K18" s="94"/>
      <c r="L18" s="278">
        <v>0.9747026939969379768652136651</v>
      </c>
      <c r="M18" s="277"/>
      <c r="N18" s="94"/>
      <c r="O18" s="278">
        <v>13.492409945275180395944420876</v>
      </c>
      <c r="P18" s="5"/>
      <c r="Q18" s="272"/>
      <c r="R18" s="92"/>
      <c r="S18" s="273">
        <v>-93.73675311214510840963913748</v>
      </c>
      <c r="T18" s="272"/>
      <c r="U18" s="92"/>
      <c r="V18" s="273">
        <v>-94.26644350355170890548804023</v>
      </c>
      <c r="W18" s="272"/>
      <c r="X18" s="92"/>
      <c r="Y18" s="273">
        <v>-91.66621820631750412263363589</v>
      </c>
      <c r="Z18" s="272"/>
      <c r="AA18" s="92"/>
      <c r="AB18" s="273">
        <v>-93.72702610524510394929157430</v>
      </c>
      <c r="AC18" s="5"/>
      <c r="AD18" s="272"/>
      <c r="AE18" s="92"/>
      <c r="AF18" s="92"/>
      <c r="AG18" s="273"/>
    </row>
    <row r="19" ht="20.1" customHeight="1">
      <c r="A19" s="58"/>
      <c r="B19" s="289"/>
      <c r="C19" s="290" t="s">
        <v>236</v>
      </c>
      <c r="D19" s="440"/>
      <c r="E19" s="95"/>
      <c r="F19" s="443">
        <v>23.157429383252548888517466154</v>
      </c>
      <c r="G19" s="440"/>
      <c r="H19" s="95"/>
      <c r="I19" s="443">
        <v>3.4833529098272219403396138347</v>
      </c>
      <c r="J19" s="440"/>
      <c r="K19" s="95"/>
      <c r="L19" s="443">
        <v>1.5150421338960702905322273632</v>
      </c>
      <c r="M19" s="440"/>
      <c r="N19" s="95"/>
      <c r="O19" s="443">
        <v>28.155824426975841119389307351</v>
      </c>
      <c r="P19" s="5"/>
      <c r="Q19" s="421"/>
      <c r="R19" s="91"/>
      <c r="S19" s="499">
        <v>-82.53482520200177354969303373</v>
      </c>
      <c r="T19" s="421"/>
      <c r="U19" s="91"/>
      <c r="V19" s="499">
        <v>-91.10894402897791053222589612</v>
      </c>
      <c r="W19" s="421"/>
      <c r="X19" s="91"/>
      <c r="Y19" s="499">
        <v>-86.48419549819628070136685122</v>
      </c>
      <c r="Z19" s="421"/>
      <c r="AA19" s="91"/>
      <c r="AB19" s="499">
        <v>-84.61258892295670101507166109</v>
      </c>
      <c r="AC19" s="5"/>
      <c r="AD19" s="421"/>
      <c r="AE19" s="91"/>
      <c r="AF19" s="91"/>
      <c r="AG19" s="422"/>
    </row>
    <row r="20" ht="20.1" customHeight="1">
      <c r="A20" s="58"/>
      <c r="B20" s="287"/>
      <c r="C20" s="288" t="s">
        <v>237</v>
      </c>
      <c r="D20" s="277">
        <v>22.693181818181818181818181818</v>
      </c>
      <c r="E20" s="94">
        <v>21.074673629242819843342036554</v>
      </c>
      <c r="F20" s="278">
        <v>29.270179223365416528377032858</v>
      </c>
      <c r="G20" s="277">
        <v>0.2300505050505050505050505051</v>
      </c>
      <c r="H20" s="94"/>
      <c r="I20" s="278">
        <v>4.1326014934663995987950312535</v>
      </c>
      <c r="J20" s="277">
        <v>2.6893939393939393939393939394</v>
      </c>
      <c r="K20" s="94"/>
      <c r="L20" s="278">
        <v>6.0296597739310510891392205985</v>
      </c>
      <c r="M20" s="277">
        <v>25.612626262626262626262626263</v>
      </c>
      <c r="N20" s="94"/>
      <c r="O20" s="278">
        <v>39.43244049076286721631128471</v>
      </c>
      <c r="P20" s="5"/>
      <c r="Q20" s="272">
        <v>-73.055427293279523144178125320</v>
      </c>
      <c r="R20" s="92">
        <v>-84.42672953093300771012996800</v>
      </c>
      <c r="S20" s="273">
        <v>-73.154092038631395670881774400</v>
      </c>
      <c r="T20" s="272">
        <v>-98.34273239949063125341095143</v>
      </c>
      <c r="U20" s="92"/>
      <c r="V20" s="273">
        <v>-88.65306203543224803176651538</v>
      </c>
      <c r="W20" s="272">
        <v>-83.66338911812980319369238085</v>
      </c>
      <c r="X20" s="92"/>
      <c r="Y20" s="273">
        <v>-56.158181396880243006142231570</v>
      </c>
      <c r="Z20" s="272">
        <v>-77.643664352989668906870276120</v>
      </c>
      <c r="AA20" s="92"/>
      <c r="AB20" s="273">
        <v>-75.231493075328066827965090760</v>
      </c>
      <c r="AC20" s="5"/>
      <c r="AD20" s="272" t="s">
        <v>240</v>
      </c>
      <c r="AE20" s="92"/>
      <c r="AF20" s="92"/>
      <c r="AG20" s="273"/>
    </row>
    <row r="21" ht="20.1" customHeight="1">
      <c r="A21" s="58"/>
      <c r="B21" s="289"/>
      <c r="C21" s="290" t="s">
        <v>221</v>
      </c>
      <c r="D21" s="440">
        <v>17.989736070381231671554252199</v>
      </c>
      <c r="E21" s="95">
        <v>23.703950138970774025098964036</v>
      </c>
      <c r="F21" s="443">
        <v>27.424185443345761063381423245</v>
      </c>
      <c r="G21" s="440">
        <v>1.1830400782013685239491691105</v>
      </c>
      <c r="H21" s="95"/>
      <c r="I21" s="443">
        <v>4.7997844570814047543478711132</v>
      </c>
      <c r="J21" s="440">
        <v>2.0931085043988269794721407625</v>
      </c>
      <c r="K21" s="95"/>
      <c r="L21" s="443">
        <v>5.7580500308057467900846569173</v>
      </c>
      <c r="M21" s="440">
        <v>21.265884652981427174975562072</v>
      </c>
      <c r="N21" s="95"/>
      <c r="O21" s="443">
        <v>37.982019931232912607813951277</v>
      </c>
      <c r="P21" s="5"/>
      <c r="Q21" s="421">
        <v>-81.29958414729873567569078037</v>
      </c>
      <c r="R21" s="91">
        <v>-82.34441028193217593802413121</v>
      </c>
      <c r="S21" s="499">
        <v>-75.257116964083409611044788940</v>
      </c>
      <c r="T21" s="421">
        <v>-93.31575168452446702750469457</v>
      </c>
      <c r="U21" s="91"/>
      <c r="V21" s="499">
        <v>-83.43095025454845251028399544</v>
      </c>
      <c r="W21" s="421">
        <v>-88.78427572479899431684257392</v>
      </c>
      <c r="X21" s="91"/>
      <c r="Y21" s="499">
        <v>-49.406502962586194769062265520</v>
      </c>
      <c r="Z21" s="421">
        <v>-83.95764316356309188682967117</v>
      </c>
      <c r="AA21" s="91"/>
      <c r="AB21" s="499">
        <v>-74.877297637615506732255266340</v>
      </c>
      <c r="AC21" s="5"/>
      <c r="AD21" s="421" t="s">
        <v>239</v>
      </c>
      <c r="AE21" s="91"/>
      <c r="AF21" s="91"/>
      <c r="AG21" s="422"/>
    </row>
    <row r="22" ht="20.1" customHeight="1">
      <c r="A22" s="58"/>
      <c r="B22" s="287"/>
      <c r="C22" s="288" t="s">
        <v>224</v>
      </c>
      <c r="D22" s="277">
        <v>28.15615835777126099706744868</v>
      </c>
      <c r="E22" s="94">
        <v>33.405120862461046070917207109</v>
      </c>
      <c r="F22" s="278">
        <v>32.573168452222845281311178664</v>
      </c>
      <c r="G22" s="277">
        <v>2.2942326490713587487781036168</v>
      </c>
      <c r="H22" s="94"/>
      <c r="I22" s="278">
        <v>5.819875999509769960814742781</v>
      </c>
      <c r="J22" s="277">
        <v>6.3844086021505376344086021505</v>
      </c>
      <c r="K22" s="94"/>
      <c r="L22" s="278">
        <v>5.4125651850077096195177470403</v>
      </c>
      <c r="M22" s="277">
        <v>36.834799608993157380254154448</v>
      </c>
      <c r="N22" s="94"/>
      <c r="O22" s="278">
        <v>43.805609636740324861643668487</v>
      </c>
      <c r="P22" s="5"/>
      <c r="Q22" s="272">
        <v>-69.666453411684793340125899420</v>
      </c>
      <c r="R22" s="92">
        <v>-71.502055212548557289745200840</v>
      </c>
      <c r="S22" s="273">
        <v>-68.228434054816377407646239090</v>
      </c>
      <c r="T22" s="272">
        <v>-84.28944373786732713033000870</v>
      </c>
      <c r="U22" s="92"/>
      <c r="V22" s="273">
        <v>-78.92225947772149538629790800</v>
      </c>
      <c r="W22" s="272">
        <v>-71.231458743984759555560449730</v>
      </c>
      <c r="X22" s="92"/>
      <c r="Y22" s="273">
        <v>-52.612017028007198270235128050</v>
      </c>
      <c r="Z22" s="272">
        <v>-71.581880639675411109477105700</v>
      </c>
      <c r="AA22" s="92"/>
      <c r="AB22" s="273">
        <v>-69.054286335017169832460404230</v>
      </c>
      <c r="AC22" s="5"/>
      <c r="AD22" s="272" t="s">
        <v>239</v>
      </c>
      <c r="AE22" s="92"/>
      <c r="AF22" s="92"/>
      <c r="AG22" s="273"/>
    </row>
    <row r="23" ht="20.1" customHeight="1">
      <c r="A23" s="58"/>
      <c r="B23" s="289"/>
      <c r="C23" s="290" t="s">
        <v>226</v>
      </c>
      <c r="D23" s="440">
        <v>53.261868686868686868686868687</v>
      </c>
      <c r="E23" s="95">
        <v>52.661697722567287784679089029</v>
      </c>
      <c r="F23" s="443">
        <v>34.668298261665141811527904849</v>
      </c>
      <c r="G23" s="440">
        <v>3.8378787878787878787878787879</v>
      </c>
      <c r="H23" s="95"/>
      <c r="I23" s="443">
        <v>6.8846914416151483015157704031</v>
      </c>
      <c r="J23" s="440">
        <v>11.386363636363636363636363636</v>
      </c>
      <c r="K23" s="95"/>
      <c r="L23" s="443">
        <v>8.451376939165931831949415894</v>
      </c>
      <c r="M23" s="440">
        <v>68.486111111111111111111111111</v>
      </c>
      <c r="N23" s="95"/>
      <c r="O23" s="443">
        <v>50.004366642446221944993091146</v>
      </c>
      <c r="P23" s="5"/>
      <c r="Q23" s="421">
        <v>-19.390874972291652334762701890</v>
      </c>
      <c r="R23" s="91">
        <v>-41.240484340836855185736553500</v>
      </c>
      <c r="S23" s="499">
        <v>-60.894831653381088414655375790</v>
      </c>
      <c r="T23" s="421">
        <v>-60.098716164771981411956207830</v>
      </c>
      <c r="U23" s="91"/>
      <c r="V23" s="499">
        <v>-77.902891397317869386707042420</v>
      </c>
      <c r="W23" s="421">
        <v>-32.948681725578836230612518030</v>
      </c>
      <c r="X23" s="91"/>
      <c r="Y23" s="499">
        <v>-13.661439137720601722582755240</v>
      </c>
      <c r="Z23" s="421">
        <v>-26.100166217063135235292514780</v>
      </c>
      <c r="AA23" s="91"/>
      <c r="AB23" s="499">
        <v>-61.416139386798190715197430290</v>
      </c>
      <c r="AC23" s="5"/>
      <c r="AD23" s="421" t="s">
        <v>309</v>
      </c>
      <c r="AE23" s="91"/>
      <c r="AF23" s="91"/>
      <c r="AG23" s="422"/>
    </row>
    <row r="24" ht="20.1" customHeight="1">
      <c r="A24" s="59"/>
      <c r="B24" s="287"/>
      <c r="C24" s="288" t="s">
        <v>228</v>
      </c>
      <c r="D24" s="277">
        <v>63.094330400782013685239491691</v>
      </c>
      <c r="E24" s="94">
        <v>59.903359380217725238763106927</v>
      </c>
      <c r="F24" s="278">
        <v>43.373654700356804776814971237</v>
      </c>
      <c r="G24" s="277">
        <v>6.1155913978494623655913978495</v>
      </c>
      <c r="H24" s="94"/>
      <c r="I24" s="278">
        <v>9.605984391061003417277388731</v>
      </c>
      <c r="J24" s="277">
        <v>12.741691104594330400782013685</v>
      </c>
      <c r="K24" s="94"/>
      <c r="L24" s="278">
        <v>8.96420948961388791228198778</v>
      </c>
      <c r="M24" s="277">
        <v>81.95161290322580645161290323</v>
      </c>
      <c r="N24" s="94"/>
      <c r="O24" s="278">
        <v>61.943848581031696106374347751</v>
      </c>
      <c r="P24" s="93"/>
      <c r="Q24" s="272">
        <v>-34.227346721455557055767991300</v>
      </c>
      <c r="R24" s="92">
        <v>-50.457514486185823444798509800</v>
      </c>
      <c r="S24" s="273">
        <v>-61.670587340662018555374390370</v>
      </c>
      <c r="T24" s="272">
        <v>-67.080165224025888605330316500</v>
      </c>
      <c r="U24" s="92"/>
      <c r="V24" s="273">
        <v>-75.018644062996498744785426900</v>
      </c>
      <c r="W24" s="272">
        <v>-35.256792330998857596980082450</v>
      </c>
      <c r="X24" s="92"/>
      <c r="Y24" s="273">
        <v>-17.309941695734665511991162890</v>
      </c>
      <c r="Z24" s="272">
        <v>-38.926618186189073862611935810</v>
      </c>
      <c r="AA24" s="92"/>
      <c r="AB24" s="273">
        <v>-61.869817797939199298692736600</v>
      </c>
      <c r="AC24" s="93"/>
      <c r="AD24" s="272" t="s">
        <v>307</v>
      </c>
      <c r="AE24" s="92"/>
      <c r="AF24" s="92"/>
      <c r="AG24" s="273"/>
    </row>
    <row r="25" ht="20.1" customHeight="1">
      <c r="A25" s="60"/>
      <c r="B25" s="289"/>
      <c r="C25" s="290" t="s">
        <v>229</v>
      </c>
      <c r="D25" s="440">
        <v>65.500000000</v>
      </c>
      <c r="E25" s="95">
        <v>74.962939958592132505175983435</v>
      </c>
      <c r="F25" s="443">
        <v>45.850498259667191150526867878</v>
      </c>
      <c r="G25" s="440">
        <v>6.9674242424242424242424242424</v>
      </c>
      <c r="H25" s="95"/>
      <c r="I25" s="443">
        <v>8.332804081283114888227277708</v>
      </c>
      <c r="J25" s="440">
        <v>12.328787878787878787878787879</v>
      </c>
      <c r="K25" s="95"/>
      <c r="L25" s="443">
        <v>7.8736740102948454753064596748</v>
      </c>
      <c r="M25" s="440">
        <v>84.79621212121212121212121212</v>
      </c>
      <c r="N25" s="95"/>
      <c r="O25" s="443">
        <v>62.056976351245151514060605264</v>
      </c>
      <c r="P25" s="93"/>
      <c r="Q25" s="421">
        <v>-48.469563109785776582239501900</v>
      </c>
      <c r="R25" s="91">
        <v>-53.424250705850446347572190470</v>
      </c>
      <c r="S25" s="499">
        <v>-67.193666576236414888650513670</v>
      </c>
      <c r="T25" s="421">
        <v>-79.163551507736921996420399190</v>
      </c>
      <c r="U25" s="91"/>
      <c r="V25" s="499">
        <v>-81.57251948701367447437518672</v>
      </c>
      <c r="W25" s="421">
        <v>-59.677898909811694747274529240</v>
      </c>
      <c r="X25" s="91"/>
      <c r="Y25" s="499">
        <v>-74.551218140867452541884935040</v>
      </c>
      <c r="Z25" s="421">
        <v>-55.632820241791636387659377680</v>
      </c>
      <c r="AA25" s="91"/>
      <c r="AB25" s="499">
        <v>-71.259254621577500503393253810</v>
      </c>
      <c r="AC25" s="93"/>
      <c r="AD25" s="421" t="s">
        <v>309</v>
      </c>
      <c r="AE25" s="91"/>
      <c r="AF25" s="91"/>
      <c r="AG25" s="422"/>
    </row>
    <row r="26" ht="20.1" customHeight="1">
      <c r="A26" s="60"/>
      <c r="B26" s="291"/>
      <c r="C26" s="292" t="s">
        <v>230</v>
      </c>
      <c r="D26" s="444">
        <v>118.41593352883675464320625611</v>
      </c>
      <c r="E26" s="445">
        <v>118.48046483670607092766980565</v>
      </c>
      <c r="F26" s="446">
        <v>69.189547851846383137766990739</v>
      </c>
      <c r="G26" s="444">
        <v>12.45650048875855327468230694</v>
      </c>
      <c r="H26" s="445"/>
      <c r="I26" s="446">
        <v>11.680747650595565805903099563</v>
      </c>
      <c r="J26" s="444">
        <v>15.95478983382209188660801564</v>
      </c>
      <c r="K26" s="445"/>
      <c r="L26" s="446">
        <v>10.878652576998142487701476757</v>
      </c>
      <c r="M26" s="444">
        <v>146.82722385141739980449657869</v>
      </c>
      <c r="N26" s="445"/>
      <c r="O26" s="446">
        <v>91.74894807944009143137156706</v>
      </c>
      <c r="P26" s="454"/>
      <c r="Q26" s="274">
        <v>-44.522400192345122104805193320</v>
      </c>
      <c r="R26" s="275">
        <v>-52.647415940847649206928501590</v>
      </c>
      <c r="S26" s="276">
        <v>-60.642705855375201262785084730</v>
      </c>
      <c r="T26" s="274">
        <v>-71.446177287801380299363628220</v>
      </c>
      <c r="U26" s="275"/>
      <c r="V26" s="276">
        <v>-71.596140436927037450520254250</v>
      </c>
      <c r="W26" s="274">
        <v>-36.103390228625117444409646100</v>
      </c>
      <c r="X26" s="275"/>
      <c r="Y26" s="276">
        <v>-17.845748287896757722489143770</v>
      </c>
      <c r="Z26" s="274">
        <v>-47.941458325751786212501667940</v>
      </c>
      <c r="AA26" s="275"/>
      <c r="AB26" s="276">
        <v>-60.137591022752825742443437010</v>
      </c>
      <c r="AC26" s="454"/>
      <c r="AD26" s="274" t="s">
        <v>307</v>
      </c>
      <c r="AE26" s="275"/>
      <c r="AF26" s="275"/>
      <c r="AG26" s="276"/>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88" t="s">
        <v>60</v>
      </c>
      <c r="C28" s="988"/>
      <c r="D28" s="988"/>
      <c r="E28" s="988"/>
      <c r="F28" s="988"/>
      <c r="G28" s="988"/>
      <c r="H28" s="988"/>
      <c r="I28" s="988"/>
      <c r="J28" s="988"/>
      <c r="K28" s="988"/>
      <c r="L28" s="988"/>
      <c r="M28" s="988"/>
      <c r="N28" s="988"/>
      <c r="O28" s="988"/>
      <c r="P28" s="502"/>
      <c r="Q28" s="986"/>
      <c r="R28" s="986"/>
      <c r="S28" s="986"/>
      <c r="T28" s="986"/>
      <c r="U28" s="986"/>
      <c r="V28" s="986"/>
      <c r="W28" s="986"/>
      <c r="X28" s="986"/>
      <c r="Y28" s="986"/>
      <c r="Z28" s="986"/>
      <c r="AA28" s="986"/>
      <c r="AB28" s="986"/>
      <c r="AC28" s="502"/>
      <c r="AD28" s="986"/>
      <c r="AE28" s="986"/>
      <c r="AF28" s="986"/>
      <c r="AG28" s="986"/>
      <c r="AH28" s="9"/>
    </row>
    <row r="29" ht="20.1" customHeight="1">
      <c r="A29" s="58"/>
      <c r="B29" s="285">
        <v>2018</v>
      </c>
      <c r="C29" s="286"/>
      <c r="D29" s="455">
        <v>71.221631634050092614963356688</v>
      </c>
      <c r="E29" s="456">
        <v>179.21469639406899246683889456</v>
      </c>
      <c r="F29" s="437">
        <v>140.7828176025230354014545792</v>
      </c>
      <c r="G29" s="455">
        <v>7.4616788811038629835440659311</v>
      </c>
      <c r="H29" s="456">
        <v>55.683346226909285001009137238</v>
      </c>
      <c r="I29" s="437">
        <v>45.639801340187215690958961667</v>
      </c>
      <c r="J29" s="455">
        <v>8.795334353440176102654962283</v>
      </c>
      <c r="K29" s="456">
        <v>15.499197629403792081549478022</v>
      </c>
      <c r="L29" s="437">
        <v>15.599614930305947034163853624</v>
      </c>
      <c r="M29" s="455">
        <v>87.4786448685941317011623849</v>
      </c>
      <c r="N29" s="456">
        <v>250.39724025038206954939750982</v>
      </c>
      <c r="O29" s="437">
        <v>202.02223387301619812657739449</v>
      </c>
      <c r="P29" s="5"/>
      <c r="Q29" s="428">
        <v>-52.138562415091744216081502640</v>
      </c>
      <c r="R29" s="429">
        <v>13.002152130817577003492524220</v>
      </c>
      <c r="S29" s="418">
        <v>0.5794387524331868794437310500</v>
      </c>
      <c r="T29" s="428">
        <v>-54.455610981571503659053488290</v>
      </c>
      <c r="U29" s="429">
        <v>41.609837193242659810586681870</v>
      </c>
      <c r="V29" s="418">
        <v>-7.7299280819459156289830940300</v>
      </c>
      <c r="W29" s="428">
        <v>192.56510376442781176204819249</v>
      </c>
      <c r="X29" s="429">
        <v>70.503883965899854260389846750</v>
      </c>
      <c r="Y29" s="418">
        <v>-4.2124602523994735665708880900</v>
      </c>
      <c r="Z29" s="428">
        <v>-47.990538541287116217743541700</v>
      </c>
      <c r="AA29" s="429">
        <v>20.961371878797588744867972330</v>
      </c>
      <c r="AB29" s="418">
        <v>-1.7978023168518227472749966100</v>
      </c>
      <c r="AC29" s="5"/>
      <c r="AD29" s="428" t="s">
        <v>319</v>
      </c>
      <c r="AE29" s="429" t="s">
        <v>239</v>
      </c>
      <c r="AF29" s="429" t="s">
        <v>239</v>
      </c>
      <c r="AG29" s="430" t="s">
        <v>323</v>
      </c>
    </row>
    <row r="30" ht="20.1" customHeight="1">
      <c r="A30" s="58"/>
      <c r="B30" s="287">
        <v>2019</v>
      </c>
      <c r="C30" s="288"/>
      <c r="D30" s="277">
        <v>131.58870900788709007887090079</v>
      </c>
      <c r="E30" s="94">
        <v>177.13043813907040357770879014</v>
      </c>
      <c r="F30" s="278">
        <v>143.41378415114458422496510369</v>
      </c>
      <c r="G30" s="277">
        <v>21.339061851390618513906185139</v>
      </c>
      <c r="H30" s="94">
        <v>56.826655543235852428744942935</v>
      </c>
      <c r="I30" s="278">
        <v>39.278623196195778922099686929</v>
      </c>
      <c r="J30" s="277">
        <v>21.127625570776255707762557078</v>
      </c>
      <c r="K30" s="94">
        <v>17.020517446781579104884737804</v>
      </c>
      <c r="L30" s="278">
        <v>13.376580435693599397200420217</v>
      </c>
      <c r="M30" s="277">
        <v>174.05539643005396430053964301</v>
      </c>
      <c r="N30" s="94">
        <v>250.97761112908783511133847087</v>
      </c>
      <c r="O30" s="278">
        <v>196.06898778303396254426521084</v>
      </c>
      <c r="P30" s="5"/>
      <c r="Q30" s="272">
        <v>84.75946982514273021582185234</v>
      </c>
      <c r="R30" s="92">
        <v>-1.1629951655390948283907187400</v>
      </c>
      <c r="S30" s="273">
        <v>1.8688122552353278293275297100</v>
      </c>
      <c r="T30" s="272">
        <v>185.98204494473995080553301888</v>
      </c>
      <c r="U30" s="92">
        <v>2.0532338549978465158353369300</v>
      </c>
      <c r="V30" s="273">
        <v>-13.937786662516053461100931480</v>
      </c>
      <c r="W30" s="272">
        <v>140.21401258625797041520686548</v>
      </c>
      <c r="X30" s="92">
        <v>9.815474670067212121558745150</v>
      </c>
      <c r="Y30" s="273">
        <v>-14.250572879806004492742363300</v>
      </c>
      <c r="Z30" s="272">
        <v>98.96901317059829139213679219</v>
      </c>
      <c r="AA30" s="92">
        <v>0.2317800620028518868240495700</v>
      </c>
      <c r="AB30" s="273">
        <v>-2.9468271763217056422832707400</v>
      </c>
      <c r="AC30" s="5"/>
      <c r="AD30" s="272" t="s">
        <v>319</v>
      </c>
      <c r="AE30" s="92" t="s">
        <v>240</v>
      </c>
      <c r="AF30" s="92" t="s">
        <v>240</v>
      </c>
      <c r="AG30" s="273" t="s">
        <v>240</v>
      </c>
    </row>
    <row r="31" ht="20.1" customHeight="1">
      <c r="A31" s="58"/>
      <c r="B31" s="426">
        <v>2020</v>
      </c>
      <c r="C31" s="427"/>
      <c r="D31" s="458">
        <v>101.45382513661202185792349727</v>
      </c>
      <c r="E31" s="459">
        <v>119.63449732780395094151697313</v>
      </c>
      <c r="F31" s="500">
        <v>80.2219699567480087443575053</v>
      </c>
      <c r="G31" s="458">
        <v>15.607526080476900149031296572</v>
      </c>
      <c r="H31" s="459"/>
      <c r="I31" s="500">
        <v>17.58846458247512026935792831</v>
      </c>
      <c r="J31" s="458">
        <v>13.166219572776949826130153999</v>
      </c>
      <c r="K31" s="459"/>
      <c r="L31" s="500">
        <v>8.572897889719112510898856802</v>
      </c>
      <c r="M31" s="458">
        <v>130.22757078986587183308494784</v>
      </c>
      <c r="N31" s="459"/>
      <c r="O31" s="500">
        <v>106.38333242894224152461429041</v>
      </c>
      <c r="P31" s="454"/>
      <c r="Q31" s="431">
        <v>-22.900812766138514581284091810</v>
      </c>
      <c r="R31" s="432">
        <v>-32.459661600410354232027907820</v>
      </c>
      <c r="S31" s="501">
        <v>-44.062580573007104585390316320</v>
      </c>
      <c r="T31" s="431">
        <v>-26.859361535334821247765050940</v>
      </c>
      <c r="U31" s="432"/>
      <c r="V31" s="501">
        <v>-55.221280301447526901747001610</v>
      </c>
      <c r="W31" s="431">
        <v>-37.682445532410075494169945090</v>
      </c>
      <c r="X31" s="432"/>
      <c r="Y31" s="501">
        <v>-35.911140138301029360008549330</v>
      </c>
      <c r="Z31" s="431">
        <v>-25.180388852695398182396461680</v>
      </c>
      <c r="AA31" s="432"/>
      <c r="AB31" s="501">
        <v>-45.741887265382366984431218900</v>
      </c>
      <c r="AC31" s="454"/>
      <c r="AD31" s="431" t="s">
        <v>225</v>
      </c>
      <c r="AE31" s="432"/>
      <c r="AF31" s="432"/>
      <c r="AG31" s="433"/>
    </row>
    <row r="32" ht="21" customHeight="1"/>
    <row r="33" ht="24.95" customHeight="1">
      <c r="A33" s="112"/>
      <c r="B33" s="987" t="s">
        <v>44</v>
      </c>
      <c r="C33" s="987"/>
      <c r="D33" s="987"/>
      <c r="E33" s="987"/>
      <c r="F33" s="987"/>
      <c r="G33" s="987"/>
      <c r="H33" s="987"/>
      <c r="I33" s="987"/>
      <c r="J33" s="987"/>
      <c r="K33" s="987"/>
      <c r="L33" s="987"/>
      <c r="M33" s="987"/>
      <c r="N33" s="987"/>
      <c r="O33" s="987"/>
      <c r="P33" s="502"/>
      <c r="Q33" s="986"/>
      <c r="R33" s="986"/>
      <c r="S33" s="986"/>
      <c r="T33" s="986"/>
      <c r="U33" s="986"/>
      <c r="V33" s="986"/>
      <c r="W33" s="986"/>
      <c r="X33" s="986"/>
      <c r="Y33" s="986"/>
      <c r="Z33" s="986"/>
      <c r="AA33" s="986"/>
      <c r="AB33" s="986"/>
      <c r="AC33" s="502"/>
      <c r="AD33" s="986"/>
      <c r="AE33" s="986"/>
      <c r="AF33" s="986"/>
      <c r="AG33" s="986"/>
      <c r="AH33" s="9"/>
    </row>
    <row r="34" ht="20.1" customHeight="1">
      <c r="A34" s="58"/>
      <c r="B34" s="285">
        <v>2018</v>
      </c>
      <c r="C34" s="286"/>
      <c r="D34" s="455">
        <v>96.29512516469038208168642951</v>
      </c>
      <c r="E34" s="456">
        <v>182.66102649348859643078619169</v>
      </c>
      <c r="F34" s="437">
        <v>135.77182245965092296813970137</v>
      </c>
      <c r="G34" s="455">
        <v>13.170619235836627140974967062</v>
      </c>
      <c r="H34" s="456">
        <v>54.475130401495323118533981286</v>
      </c>
      <c r="I34" s="437">
        <v>39.510607436814922083553976043</v>
      </c>
      <c r="J34" s="455">
        <v>12.704380764163372859025032938</v>
      </c>
      <c r="K34" s="456">
        <v>17.422338601592852143339228705</v>
      </c>
      <c r="L34" s="437">
        <v>12.257369218717887713865340699</v>
      </c>
      <c r="M34" s="455">
        <v>122.17012516469038208168642951</v>
      </c>
      <c r="N34" s="456">
        <v>254.55849549657677169265940169</v>
      </c>
      <c r="O34" s="437">
        <v>187.53979911518373276555901813</v>
      </c>
      <c r="P34" s="5"/>
      <c r="Q34" s="428">
        <v>-23.293847492367481746500691100</v>
      </c>
      <c r="R34" s="429">
        <v>8.800653614219243850575962770</v>
      </c>
      <c r="S34" s="418">
        <v>-2.9255804849938546475417299400</v>
      </c>
      <c r="T34" s="428">
        <v>512.03685751895427504362289413</v>
      </c>
      <c r="U34" s="429">
        <v>22.991636867842367894702890160</v>
      </c>
      <c r="V34" s="418">
        <v>-17.511880774300441650234991580</v>
      </c>
      <c r="W34" s="428">
        <v>3087.6446280991735537190082642</v>
      </c>
      <c r="X34" s="429">
        <v>76.612777434453922181527614290</v>
      </c>
      <c r="Y34" s="418">
        <v>-20.191731001762409079813935460</v>
      </c>
      <c r="Z34" s="428">
        <v>-4.6202856611410502242790540600</v>
      </c>
      <c r="AA34" s="429">
        <v>14.644087862871165760986592900</v>
      </c>
      <c r="AB34" s="418">
        <v>-7.6707640790384011185454640300</v>
      </c>
      <c r="AC34" s="5"/>
      <c r="AD34" s="428" t="s">
        <v>319</v>
      </c>
      <c r="AE34" s="429" t="s">
        <v>239</v>
      </c>
      <c r="AF34" s="429" t="s">
        <v>239</v>
      </c>
      <c r="AG34" s="430" t="s">
        <v>323</v>
      </c>
    </row>
    <row r="35" ht="20.1" customHeight="1">
      <c r="A35" s="58"/>
      <c r="B35" s="287">
        <v>2019</v>
      </c>
      <c r="C35" s="288"/>
      <c r="D35" s="277">
        <v>145.6949934123847167325428195</v>
      </c>
      <c r="E35" s="94">
        <v>177.53522738234686143457589747</v>
      </c>
      <c r="F35" s="278">
        <v>143.04650590410339478790445827</v>
      </c>
      <c r="G35" s="277">
        <v>31.863224637681159420289855072</v>
      </c>
      <c r="H35" s="94">
        <v>50.72391680252863270956593578</v>
      </c>
      <c r="I35" s="278">
        <v>41.570288539529552694329875809</v>
      </c>
      <c r="J35" s="277">
        <v>25.015480895915678524374176548</v>
      </c>
      <c r="K35" s="94">
        <v>15.816689388992230299527009741</v>
      </c>
      <c r="L35" s="278">
        <v>18.229776983087035936303791469</v>
      </c>
      <c r="M35" s="277">
        <v>202.57369894598155467720685112</v>
      </c>
      <c r="N35" s="94">
        <v>244.075833573867724443668843</v>
      </c>
      <c r="O35" s="278">
        <v>202.84657142671998341853812554</v>
      </c>
      <c r="P35" s="5"/>
      <c r="Q35" s="272">
        <v>51.300487084063047285464098080</v>
      </c>
      <c r="R35" s="92">
        <v>-2.806181049970425283500019100</v>
      </c>
      <c r="S35" s="273">
        <v>5.358021504509438284959981500</v>
      </c>
      <c r="T35" s="272">
        <v>141.92654929225228830090531686</v>
      </c>
      <c r="U35" s="92">
        <v>-6.8861030186055707331813382200</v>
      </c>
      <c r="V35" s="273">
        <v>5.2129826300657557526893119300</v>
      </c>
      <c r="W35" s="272">
        <v>96.90436992001659299205351240</v>
      </c>
      <c r="X35" s="92">
        <v>-9.216037234254097192184413190</v>
      </c>
      <c r="Y35" s="273">
        <v>48.725037630822529113037214470</v>
      </c>
      <c r="Z35" s="272">
        <v>65.812794799795636929323539370</v>
      </c>
      <c r="AA35" s="92">
        <v>-4.1179776389941835687894233400</v>
      </c>
      <c r="AB35" s="273">
        <v>8.161879443058960112588676750</v>
      </c>
      <c r="AC35" s="5"/>
      <c r="AD35" s="272" t="s">
        <v>320</v>
      </c>
      <c r="AE35" s="92" t="s">
        <v>240</v>
      </c>
      <c r="AF35" s="92" t="s">
        <v>238</v>
      </c>
      <c r="AG35" s="273" t="s">
        <v>240</v>
      </c>
    </row>
    <row r="36" ht="20.1" customHeight="1">
      <c r="A36" s="58"/>
      <c r="B36" s="426">
        <v>2020</v>
      </c>
      <c r="C36" s="427"/>
      <c r="D36" s="458">
        <v>82.51976284584980237154150198</v>
      </c>
      <c r="E36" s="459">
        <v>84.55202988567827887298586732</v>
      </c>
      <c r="F36" s="500">
        <v>53.0413806079886662260493386</v>
      </c>
      <c r="G36" s="458">
        <v>8.529973649538866930171277997</v>
      </c>
      <c r="H36" s="459"/>
      <c r="I36" s="500">
        <v>9.894737362856023599597575581</v>
      </c>
      <c r="J36" s="458">
        <v>13.689723320158102766798418972</v>
      </c>
      <c r="K36" s="459"/>
      <c r="L36" s="500">
        <v>9.25859353862901373414284161</v>
      </c>
      <c r="M36" s="458">
        <v>104.73945981554677206851119895</v>
      </c>
      <c r="N36" s="459"/>
      <c r="O36" s="500">
        <v>72.194711509473703559789755791</v>
      </c>
      <c r="P36" s="454"/>
      <c r="Q36" s="431">
        <v>-43.361291343567020098116790630</v>
      </c>
      <c r="R36" s="432">
        <v>-52.374505537662282903696707580</v>
      </c>
      <c r="S36" s="501">
        <v>-62.920184402443950219231017730</v>
      </c>
      <c r="T36" s="431">
        <v>-73.229408678707936745859252040</v>
      </c>
      <c r="U36" s="432"/>
      <c r="V36" s="501">
        <v>-76.197573530318340500004849360</v>
      </c>
      <c r="W36" s="431">
        <v>-45.274994403992257758700146160</v>
      </c>
      <c r="X36" s="432"/>
      <c r="Y36" s="501">
        <v>-49.211701562675065101397615040</v>
      </c>
      <c r="Z36" s="431">
        <v>-48.295627536782714207609179470</v>
      </c>
      <c r="AA36" s="432"/>
      <c r="AB36" s="501">
        <v>-64.409202974596666761271950820</v>
      </c>
      <c r="AC36" s="454"/>
      <c r="AD36" s="431" t="s">
        <v>307</v>
      </c>
      <c r="AE36" s="432"/>
      <c r="AF36" s="432"/>
      <c r="AG36" s="433"/>
    </row>
    <row r="37" ht="21" customHeight="1"/>
    <row r="38" ht="24.95" customHeight="1">
      <c r="A38" s="112"/>
      <c r="B38" s="987" t="s">
        <v>45</v>
      </c>
      <c r="C38" s="987"/>
      <c r="D38" s="987"/>
      <c r="E38" s="987"/>
      <c r="F38" s="987"/>
      <c r="G38" s="987"/>
      <c r="H38" s="987"/>
      <c r="I38" s="987"/>
      <c r="J38" s="987"/>
      <c r="K38" s="987"/>
      <c r="L38" s="987"/>
      <c r="M38" s="987"/>
      <c r="N38" s="987"/>
      <c r="O38" s="987"/>
      <c r="P38" s="502"/>
      <c r="Q38" s="986"/>
      <c r="R38" s="986"/>
      <c r="S38" s="986"/>
      <c r="T38" s="986"/>
      <c r="U38" s="986"/>
      <c r="V38" s="986"/>
      <c r="W38" s="986"/>
      <c r="X38" s="986"/>
      <c r="Y38" s="986"/>
      <c r="Z38" s="986"/>
      <c r="AA38" s="986"/>
      <c r="AB38" s="986"/>
      <c r="AC38" s="502"/>
      <c r="AD38" s="986"/>
      <c r="AE38" s="986"/>
      <c r="AF38" s="986"/>
      <c r="AG38" s="986"/>
      <c r="AH38" s="9"/>
    </row>
    <row r="39" ht="20.1" customHeight="1">
      <c r="A39" s="58"/>
      <c r="B39" s="285">
        <v>2018</v>
      </c>
      <c r="C39" s="286"/>
      <c r="D39" s="455">
        <v>71.221631634050092614963356688</v>
      </c>
      <c r="E39" s="456">
        <v>179.21469639406899246683889456</v>
      </c>
      <c r="F39" s="437">
        <v>140.7828176025230354014545792</v>
      </c>
      <c r="G39" s="455">
        <v>7.4616788811038629835440659311</v>
      </c>
      <c r="H39" s="456">
        <v>55.683346226909285001009137238</v>
      </c>
      <c r="I39" s="437">
        <v>45.639801340187215690958961667</v>
      </c>
      <c r="J39" s="455">
        <v>8.795334353440176102654962283</v>
      </c>
      <c r="K39" s="456">
        <v>15.499197629403792081549478022</v>
      </c>
      <c r="L39" s="437">
        <v>15.599614930305947034163853624</v>
      </c>
      <c r="M39" s="455">
        <v>87.4786448685941317011623849</v>
      </c>
      <c r="N39" s="456">
        <v>250.39724025038206954939750982</v>
      </c>
      <c r="O39" s="437">
        <v>202.02223387301619812657739449</v>
      </c>
      <c r="P39" s="5"/>
      <c r="Q39" s="428">
        <v>-52.138562415091744216081502640</v>
      </c>
      <c r="R39" s="429">
        <v>13.002152130817577003492524220</v>
      </c>
      <c r="S39" s="418">
        <v>0.5794387524331868794437310500</v>
      </c>
      <c r="T39" s="428">
        <v>-54.455610981571503659053488290</v>
      </c>
      <c r="U39" s="429">
        <v>41.609837193242659810586681870</v>
      </c>
      <c r="V39" s="418">
        <v>-7.7299280819459156289830940300</v>
      </c>
      <c r="W39" s="428">
        <v>192.56510376442781176204819249</v>
      </c>
      <c r="X39" s="429">
        <v>70.503883965899854260389846750</v>
      </c>
      <c r="Y39" s="418">
        <v>-4.2124602523994735665708880900</v>
      </c>
      <c r="Z39" s="428">
        <v>-47.990538541287116217743541700</v>
      </c>
      <c r="AA39" s="429">
        <v>20.961371878797588744867972330</v>
      </c>
      <c r="AB39" s="418">
        <v>-1.7978023168518227472749966100</v>
      </c>
      <c r="AC39" s="5"/>
      <c r="AD39" s="428" t="s">
        <v>319</v>
      </c>
      <c r="AE39" s="429" t="s">
        <v>239</v>
      </c>
      <c r="AF39" s="429" t="s">
        <v>239</v>
      </c>
      <c r="AG39" s="430" t="s">
        <v>323</v>
      </c>
    </row>
    <row r="40" ht="20.1" customHeight="1">
      <c r="A40" s="58"/>
      <c r="B40" s="287">
        <v>2019</v>
      </c>
      <c r="C40" s="288"/>
      <c r="D40" s="277">
        <v>131.58870900788709007887090079</v>
      </c>
      <c r="E40" s="94">
        <v>177.13043813907040357770879014</v>
      </c>
      <c r="F40" s="278">
        <v>143.41378415114458422496510369</v>
      </c>
      <c r="G40" s="277">
        <v>21.339061851390618513906185139</v>
      </c>
      <c r="H40" s="94">
        <v>56.826655543235852428744942935</v>
      </c>
      <c r="I40" s="278">
        <v>39.278623196195778922099686929</v>
      </c>
      <c r="J40" s="277">
        <v>21.127625570776255707762557078</v>
      </c>
      <c r="K40" s="94">
        <v>17.020517446781579104884737804</v>
      </c>
      <c r="L40" s="278">
        <v>13.376580435693599397200420217</v>
      </c>
      <c r="M40" s="277">
        <v>174.05539643005396430053964301</v>
      </c>
      <c r="N40" s="94">
        <v>250.97761112908783511133847087</v>
      </c>
      <c r="O40" s="278">
        <v>196.06898778303396254426521084</v>
      </c>
      <c r="P40" s="5"/>
      <c r="Q40" s="272">
        <v>84.75946982514273021582185234</v>
      </c>
      <c r="R40" s="92">
        <v>-1.1629951655390948283907187400</v>
      </c>
      <c r="S40" s="273">
        <v>1.8688122552353278293275297100</v>
      </c>
      <c r="T40" s="272">
        <v>185.98204494473995080553301888</v>
      </c>
      <c r="U40" s="92">
        <v>2.0532338549978465158353369300</v>
      </c>
      <c r="V40" s="273">
        <v>-13.937786662516053461100931480</v>
      </c>
      <c r="W40" s="272">
        <v>140.21401258625797041520686548</v>
      </c>
      <c r="X40" s="92">
        <v>9.815474670067212121558745150</v>
      </c>
      <c r="Y40" s="273">
        <v>-14.250572879806004492742363300</v>
      </c>
      <c r="Z40" s="272">
        <v>98.96901317059829139213679219</v>
      </c>
      <c r="AA40" s="92">
        <v>0.2317800620028518868240495700</v>
      </c>
      <c r="AB40" s="273">
        <v>-2.9468271763217056422832707400</v>
      </c>
      <c r="AC40" s="5"/>
      <c r="AD40" s="272" t="s">
        <v>319</v>
      </c>
      <c r="AE40" s="92" t="s">
        <v>240</v>
      </c>
      <c r="AF40" s="92" t="s">
        <v>240</v>
      </c>
      <c r="AG40" s="273" t="s">
        <v>240</v>
      </c>
    </row>
    <row r="41" ht="20.1" customHeight="1">
      <c r="A41" s="58"/>
      <c r="B41" s="426">
        <v>2020</v>
      </c>
      <c r="C41" s="427"/>
      <c r="D41" s="458">
        <v>101.45382513661202185792349727</v>
      </c>
      <c r="E41" s="459">
        <v>119.63449732780395094151697313</v>
      </c>
      <c r="F41" s="500">
        <v>80.2219699567480087443575053</v>
      </c>
      <c r="G41" s="458">
        <v>15.607526080476900149031296572</v>
      </c>
      <c r="H41" s="459"/>
      <c r="I41" s="500">
        <v>17.58846458247512026935792831</v>
      </c>
      <c r="J41" s="458">
        <v>13.166219572776949826130153999</v>
      </c>
      <c r="K41" s="459"/>
      <c r="L41" s="500">
        <v>8.572897889719112510898856802</v>
      </c>
      <c r="M41" s="458">
        <v>130.22757078986587183308494784</v>
      </c>
      <c r="N41" s="459"/>
      <c r="O41" s="500">
        <v>106.38333242894224152461429041</v>
      </c>
      <c r="P41" s="454"/>
      <c r="Q41" s="431">
        <v>-22.900812766138514581284091810</v>
      </c>
      <c r="R41" s="432">
        <v>-32.459661600410354232027907820</v>
      </c>
      <c r="S41" s="501">
        <v>-44.062580573007104585390316320</v>
      </c>
      <c r="T41" s="431">
        <v>-26.859361535334821247765050940</v>
      </c>
      <c r="U41" s="432"/>
      <c r="V41" s="501">
        <v>-55.221280301447526901747001610</v>
      </c>
      <c r="W41" s="431">
        <v>-37.682445532410075494169945090</v>
      </c>
      <c r="X41" s="432"/>
      <c r="Y41" s="501">
        <v>-35.911140138301029360008549330</v>
      </c>
      <c r="Z41" s="431">
        <v>-25.180388852695398182396461680</v>
      </c>
      <c r="AA41" s="432"/>
      <c r="AB41" s="501">
        <v>-45.741887265382366984431218900</v>
      </c>
      <c r="AC41" s="454"/>
      <c r="AD41" s="431" t="s">
        <v>225</v>
      </c>
      <c r="AE41" s="432"/>
      <c r="AF41" s="432"/>
      <c r="AG41" s="433"/>
    </row>
    <row r="42" ht="12.75" customHeight="1"/>
    <row r="43" ht="20.1" customHeight="1">
      <c r="B43" s="7" t="s">
        <v>107</v>
      </c>
    </row>
    <row r="44" ht="14.1" customHeight="1">
      <c r="B44" s="7"/>
      <c r="AW44" s="236"/>
    </row>
    <row r="45" ht="24" customHeight="1">
      <c r="B45" s="1061" t="s">
        <v>129</v>
      </c>
      <c r="C45" s="1061"/>
      <c r="D45" s="1061"/>
      <c r="E45" s="1061"/>
      <c r="F45" s="1061"/>
      <c r="G45" s="1061"/>
      <c r="H45" s="1061"/>
      <c r="I45" s="1061"/>
      <c r="J45" s="1061"/>
      <c r="K45" s="1061"/>
      <c r="L45" s="1061"/>
      <c r="M45" s="1061"/>
      <c r="N45" s="1061"/>
      <c r="O45" s="1061"/>
      <c r="P45" s="1061"/>
      <c r="Q45" s="1061"/>
      <c r="R45" s="1061"/>
      <c r="S45" s="1061"/>
      <c r="T45" s="1061"/>
      <c r="U45" s="1061"/>
      <c r="V45" s="1061"/>
      <c r="W45" s="1061"/>
      <c r="X45" s="1061"/>
      <c r="Y45" s="1061"/>
      <c r="Z45" s="1061"/>
      <c r="AA45" s="1061"/>
      <c r="AB45" s="1061"/>
      <c r="AC45" s="1061"/>
      <c r="AD45" s="1061"/>
      <c r="AE45" s="1061"/>
      <c r="AF45" s="1061"/>
      <c r="AG45" s="1061"/>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1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204</v>
      </c>
      <c r="D1" s="6"/>
      <c r="E1" s="6"/>
      <c r="AS1" s="236"/>
    </row>
    <row r="2" ht="15" customHeight="1">
      <c r="B2" s="0"/>
      <c r="C2" s="1062" t="s">
        <v>211</v>
      </c>
      <c r="D2" s="1062"/>
      <c r="E2" s="1062"/>
      <c r="F2" s="1062"/>
      <c r="G2" s="1062"/>
      <c r="H2" s="1062"/>
      <c r="I2" s="1062"/>
      <c r="J2" s="1062"/>
      <c r="K2" s="1062"/>
      <c r="L2" s="1062"/>
      <c r="M2" s="1062"/>
      <c r="N2" s="1062"/>
      <c r="O2" s="1062"/>
      <c r="P2" s="1062"/>
      <c r="Q2" s="1062"/>
      <c r="R2" s="1062"/>
      <c r="S2" s="1062"/>
      <c r="T2" s="1062"/>
      <c r="U2" s="1062"/>
      <c r="V2" s="1062"/>
      <c r="W2" s="1062"/>
      <c r="X2" s="1062"/>
      <c r="Y2" s="1062"/>
      <c r="Z2" s="1062"/>
      <c r="AA2" s="1062"/>
      <c r="AB2" s="1062"/>
      <c r="AC2" s="1062"/>
      <c r="AD2" s="1062"/>
      <c r="AE2" s="1062"/>
      <c r="AF2" s="1062"/>
      <c r="AG2" s="1062"/>
      <c r="AH2" s="1062"/>
      <c r="AI2" s="1062"/>
      <c r="AJ2" s="1062"/>
      <c r="AK2" s="1062"/>
      <c r="AL2" s="1062"/>
      <c r="AM2" s="1062"/>
      <c r="AN2" s="1062"/>
      <c r="AO2" s="1062"/>
      <c r="AP2" s="1062"/>
      <c r="AQ2" s="0"/>
    </row>
    <row r="3" ht="15" customHeight="1">
      <c r="B3" s="0"/>
      <c r="C3" s="1062" t="s">
        <v>212</v>
      </c>
      <c r="D3" s="1062"/>
      <c r="E3" s="1062"/>
      <c r="F3" s="1062"/>
      <c r="G3" s="1062"/>
      <c r="H3" s="1062"/>
      <c r="I3" s="1062"/>
      <c r="J3" s="1062"/>
      <c r="K3" s="1062"/>
      <c r="L3" s="1062"/>
      <c r="M3" s="1062"/>
      <c r="N3" s="1062"/>
      <c r="O3" s="1062"/>
      <c r="P3" s="1062"/>
      <c r="Q3" s="1062"/>
      <c r="R3" s="1062"/>
      <c r="S3" s="1062"/>
      <c r="T3" s="1062"/>
      <c r="U3" s="1062"/>
      <c r="V3" s="1062"/>
      <c r="W3" s="1062"/>
      <c r="X3" s="1062"/>
      <c r="Y3" s="1062"/>
      <c r="Z3" s="1062"/>
      <c r="AA3" s="1062"/>
      <c r="AB3" s="1062"/>
      <c r="AC3" s="1062"/>
      <c r="AD3" s="1062"/>
      <c r="AE3" s="1062"/>
      <c r="AF3" s="1062"/>
      <c r="AG3" s="1062"/>
      <c r="AH3" s="1062"/>
      <c r="AI3" s="1062"/>
      <c r="AJ3" s="1062"/>
      <c r="AK3" s="1062"/>
      <c r="AL3" s="1062"/>
      <c r="AM3" s="1062"/>
      <c r="AN3" s="1062"/>
      <c r="AO3" s="1062"/>
      <c r="AP3" s="1062"/>
      <c r="AQ3" s="0"/>
    </row>
    <row r="4" ht="15" customHeight="1">
      <c r="B4" s="0"/>
      <c r="C4" s="1062" t="s">
        <v>242</v>
      </c>
      <c r="D4" s="1062"/>
      <c r="E4" s="1062"/>
      <c r="F4" s="1062"/>
      <c r="G4" s="1062"/>
      <c r="H4" s="1062"/>
      <c r="I4" s="1062"/>
      <c r="J4" s="1062"/>
      <c r="K4" s="1062"/>
      <c r="L4" s="1062"/>
      <c r="M4" s="1062"/>
      <c r="N4" s="1062"/>
      <c r="O4" s="1062"/>
      <c r="P4" s="1062"/>
      <c r="Q4" s="1062"/>
      <c r="R4" s="1062"/>
      <c r="S4" s="1062"/>
      <c r="T4" s="1062"/>
      <c r="U4" s="1062"/>
      <c r="V4" s="1062"/>
      <c r="W4" s="1062"/>
      <c r="X4" s="1062"/>
      <c r="Y4" s="1062"/>
      <c r="Z4" s="1062"/>
      <c r="AA4" s="1062"/>
      <c r="AB4" s="1062"/>
      <c r="AC4" s="1062"/>
      <c r="AD4" s="1062"/>
      <c r="AE4" s="1062"/>
      <c r="AF4" s="1062"/>
      <c r="AG4" s="1062"/>
      <c r="AH4" s="1062"/>
      <c r="AI4" s="1062"/>
      <c r="AJ4" s="1062"/>
      <c r="AK4" s="1062"/>
      <c r="AL4" s="1062"/>
      <c r="AM4" s="1062"/>
      <c r="AN4" s="1062"/>
      <c r="AO4" s="1062"/>
      <c r="AP4" s="1062"/>
      <c r="AQ4" s="0"/>
    </row>
    <row r="5" ht="12.75" customHeight="1">
      <c r="C5" s="67"/>
      <c r="D5" s="67"/>
      <c r="E5" s="67"/>
    </row>
    <row r="6" ht="18" customHeight="1">
      <c r="B6" s="68"/>
      <c r="C6" s="68" t="s">
        <v>7</v>
      </c>
      <c r="D6" s="69"/>
      <c r="E6" s="69"/>
      <c r="F6" s="69"/>
      <c r="H6" s="1063" t="s">
        <v>244</v>
      </c>
      <c r="I6" s="1063"/>
      <c r="J6" s="1063"/>
      <c r="K6" s="1063"/>
      <c r="L6" s="1063"/>
      <c r="M6" s="1063"/>
      <c r="N6" s="1063"/>
      <c r="O6" s="1063"/>
      <c r="P6" s="1063"/>
      <c r="Q6" s="1063"/>
      <c r="R6" s="1063"/>
      <c r="S6" s="1063"/>
      <c r="T6" s="1063"/>
      <c r="U6" s="1063"/>
      <c r="Z6" s="1063" t="s">
        <v>245</v>
      </c>
      <c r="AA6" s="1063"/>
      <c r="AB6" s="1063"/>
      <c r="AC6" s="1063"/>
      <c r="AD6" s="1063"/>
      <c r="AE6" s="1063"/>
      <c r="AF6" s="1063"/>
      <c r="AG6" s="1063"/>
      <c r="AH6" s="1063"/>
      <c r="AI6" s="1063"/>
      <c r="AJ6" s="1063"/>
      <c r="AK6" s="1063"/>
      <c r="AL6" s="1063"/>
      <c r="AM6" s="1063"/>
    </row>
    <row r="7" ht="15" customHeight="1">
      <c r="D7" s="93" t="s">
        <v>247</v>
      </c>
      <c r="E7" s="71"/>
      <c r="F7" s="71"/>
      <c r="H7" s="1064" t="s">
        <v>0</v>
      </c>
      <c r="I7" s="1064"/>
      <c r="J7" s="1064" t="s">
        <v>1</v>
      </c>
      <c r="K7" s="1064"/>
      <c r="L7" s="1064" t="s">
        <v>2</v>
      </c>
      <c r="M7" s="1064"/>
      <c r="N7" s="1064" t="s">
        <v>3</v>
      </c>
      <c r="O7" s="1064"/>
      <c r="P7" s="1064" t="s">
        <v>4</v>
      </c>
      <c r="Q7" s="1064"/>
      <c r="R7" s="1064" t="s">
        <v>5</v>
      </c>
      <c r="S7" s="1064"/>
      <c r="T7" s="1064" t="s">
        <v>6</v>
      </c>
      <c r="U7" s="1064"/>
      <c r="Z7" s="1064" t="s">
        <v>0</v>
      </c>
      <c r="AA7" s="1064"/>
      <c r="AB7" s="1064" t="s">
        <v>1</v>
      </c>
      <c r="AC7" s="1064"/>
      <c r="AD7" s="1064" t="s">
        <v>2</v>
      </c>
      <c r="AE7" s="1064"/>
      <c r="AF7" s="1064" t="s">
        <v>3</v>
      </c>
      <c r="AG7" s="1064"/>
      <c r="AH7" s="1064" t="s">
        <v>4</v>
      </c>
      <c r="AI7" s="1064"/>
      <c r="AJ7" s="1064" t="s">
        <v>5</v>
      </c>
      <c r="AK7" s="1064"/>
      <c r="AL7" s="1064" t="s">
        <v>6</v>
      </c>
      <c r="AM7" s="1064"/>
    </row>
    <row r="8" ht="15" customHeight="1">
      <c r="D8" s="175" t="s">
        <v>249</v>
      </c>
      <c r="E8" s="71"/>
      <c r="F8" s="71"/>
      <c r="G8" s="71"/>
      <c r="H8" s="1065"/>
      <c r="I8" s="1065"/>
      <c r="J8" s="1066"/>
      <c r="K8" s="1066"/>
      <c r="L8" s="1066">
        <v>1</v>
      </c>
      <c r="M8" s="1066"/>
      <c r="N8" s="1066">
        <v>2</v>
      </c>
      <c r="O8" s="1066"/>
      <c r="P8" s="1066">
        <v>3</v>
      </c>
      <c r="Q8" s="1066"/>
      <c r="R8" s="1066">
        <v>4</v>
      </c>
      <c r="S8" s="1066"/>
      <c r="T8" s="1067">
        <v>5</v>
      </c>
      <c r="U8" s="1067"/>
      <c r="Z8" s="1065">
        <v>1</v>
      </c>
      <c r="AA8" s="1065"/>
      <c r="AB8" s="1066">
        <v>2</v>
      </c>
      <c r="AC8" s="1066"/>
      <c r="AD8" s="1066">
        <v>3</v>
      </c>
      <c r="AE8" s="1066"/>
      <c r="AF8" s="1066">
        <v>4</v>
      </c>
      <c r="AG8" s="1066"/>
      <c r="AH8" s="1066">
        <v>5</v>
      </c>
      <c r="AI8" s="1066"/>
      <c r="AJ8" s="1066">
        <v>6</v>
      </c>
      <c r="AK8" s="1066"/>
      <c r="AL8" s="1067">
        <v>7</v>
      </c>
      <c r="AM8" s="1067"/>
    </row>
    <row r="9" ht="15" customHeight="1">
      <c r="D9" s="175" t="s">
        <v>251</v>
      </c>
      <c r="H9" s="1068">
        <v>6</v>
      </c>
      <c r="I9" s="1068"/>
      <c r="J9" s="1069">
        <v>7</v>
      </c>
      <c r="K9" s="1069"/>
      <c r="L9" s="1069">
        <v>8</v>
      </c>
      <c r="M9" s="1069"/>
      <c r="N9" s="1069">
        <v>9</v>
      </c>
      <c r="O9" s="1069"/>
      <c r="P9" s="1069">
        <v>10</v>
      </c>
      <c r="Q9" s="1069"/>
      <c r="R9" s="1069">
        <v>11</v>
      </c>
      <c r="S9" s="1069"/>
      <c r="T9" s="1070">
        <v>12</v>
      </c>
      <c r="U9" s="1070"/>
      <c r="Z9" s="1068">
        <v>8</v>
      </c>
      <c r="AA9" s="1068"/>
      <c r="AB9" s="1069">
        <v>9</v>
      </c>
      <c r="AC9" s="1069"/>
      <c r="AD9" s="1069">
        <v>10</v>
      </c>
      <c r="AE9" s="1069"/>
      <c r="AF9" s="1069">
        <v>11</v>
      </c>
      <c r="AG9" s="1069"/>
      <c r="AH9" s="1069">
        <v>12</v>
      </c>
      <c r="AI9" s="1069"/>
      <c r="AJ9" s="1069">
        <v>13</v>
      </c>
      <c r="AK9" s="1069"/>
      <c r="AL9" s="1070">
        <v>14</v>
      </c>
      <c r="AM9" s="1070"/>
    </row>
    <row r="10" ht="15" customHeight="1">
      <c r="D10" t="s">
        <v>253</v>
      </c>
      <c r="H10" s="1071">
        <v>13</v>
      </c>
      <c r="I10" s="1071"/>
      <c r="J10" s="1072">
        <v>14</v>
      </c>
      <c r="K10" s="1072"/>
      <c r="L10" s="1072">
        <v>15</v>
      </c>
      <c r="M10" s="1072"/>
      <c r="N10" s="1072">
        <v>16</v>
      </c>
      <c r="O10" s="1072"/>
      <c r="P10" s="1072">
        <v>17</v>
      </c>
      <c r="Q10" s="1072"/>
      <c r="R10" s="1072">
        <v>18</v>
      </c>
      <c r="S10" s="1072"/>
      <c r="T10" s="1073">
        <v>19</v>
      </c>
      <c r="U10" s="1073"/>
      <c r="Z10" s="1071">
        <v>15</v>
      </c>
      <c r="AA10" s="1071"/>
      <c r="AB10" s="1072">
        <v>16</v>
      </c>
      <c r="AC10" s="1072"/>
      <c r="AD10" s="1072">
        <v>17</v>
      </c>
      <c r="AE10" s="1072"/>
      <c r="AF10" s="1072">
        <v>18</v>
      </c>
      <c r="AG10" s="1072"/>
      <c r="AH10" s="1072">
        <v>19</v>
      </c>
      <c r="AI10" s="1072"/>
      <c r="AJ10" s="1072">
        <v>20</v>
      </c>
      <c r="AK10" s="1072"/>
      <c r="AL10" s="1073">
        <v>21</v>
      </c>
      <c r="AM10" s="1073"/>
    </row>
    <row r="11" ht="15" customHeight="1">
      <c r="D11" t="s">
        <v>255</v>
      </c>
      <c r="H11" s="1068">
        <v>20</v>
      </c>
      <c r="I11" s="1068"/>
      <c r="J11" s="1069">
        <v>21</v>
      </c>
      <c r="K11" s="1069"/>
      <c r="L11" s="1069">
        <v>22</v>
      </c>
      <c r="M11" s="1069"/>
      <c r="N11" s="1069">
        <v>23</v>
      </c>
      <c r="O11" s="1069"/>
      <c r="P11" s="1069">
        <v>24</v>
      </c>
      <c r="Q11" s="1069"/>
      <c r="R11" s="1069">
        <v>25</v>
      </c>
      <c r="S11" s="1069"/>
      <c r="T11" s="1070">
        <v>26</v>
      </c>
      <c r="U11" s="1070"/>
      <c r="Z11" s="1068">
        <v>22</v>
      </c>
      <c r="AA11" s="1068"/>
      <c r="AB11" s="1069">
        <v>23</v>
      </c>
      <c r="AC11" s="1069"/>
      <c r="AD11" s="1069">
        <v>24</v>
      </c>
      <c r="AE11" s="1069"/>
      <c r="AF11" s="1069">
        <v>25</v>
      </c>
      <c r="AG11" s="1069"/>
      <c r="AH11" s="1069">
        <v>26</v>
      </c>
      <c r="AI11" s="1069"/>
      <c r="AJ11" s="1069">
        <v>27</v>
      </c>
      <c r="AK11" s="1069"/>
      <c r="AL11" s="1070">
        <v>28</v>
      </c>
      <c r="AM11" s="1070"/>
      <c r="AN11" t="s">
        <v>27</v>
      </c>
    </row>
    <row r="12" ht="15" customHeight="1">
      <c r="A12" s="68"/>
      <c r="H12" s="1071">
        <v>27</v>
      </c>
      <c r="I12" s="1071"/>
      <c r="J12" s="1072">
        <v>28</v>
      </c>
      <c r="K12" s="1072"/>
      <c r="L12" s="1072">
        <v>29</v>
      </c>
      <c r="M12" s="1072"/>
      <c r="N12" s="1072">
        <v>30</v>
      </c>
      <c r="O12" s="1072"/>
      <c r="P12" s="1072">
        <v>31</v>
      </c>
      <c r="Q12" s="1072"/>
      <c r="R12" s="1072"/>
      <c r="S12" s="1072"/>
      <c r="T12" s="1073"/>
      <c r="U12" s="1073"/>
      <c r="Z12" s="1071">
        <v>29</v>
      </c>
      <c r="AA12" s="1071"/>
      <c r="AB12" s="1072">
        <v>30</v>
      </c>
      <c r="AC12" s="1072"/>
      <c r="AD12" s="1072">
        <v>31</v>
      </c>
      <c r="AE12" s="1072"/>
      <c r="AF12" s="1072"/>
      <c r="AG12" s="1072"/>
      <c r="AH12" s="1072"/>
      <c r="AI12" s="1072"/>
      <c r="AJ12" s="1072"/>
      <c r="AK12" s="1072"/>
      <c r="AL12" s="1073"/>
      <c r="AM12" s="1073"/>
    </row>
    <row r="13" ht="15" customHeight="1">
      <c r="C13" s="72"/>
      <c r="D13" s="73"/>
      <c r="E13" s="73"/>
      <c r="F13" s="73"/>
      <c r="G13" s="73"/>
      <c r="H13" s="1074" t="s">
        <v>27</v>
      </c>
      <c r="I13" s="1074"/>
      <c r="J13" s="1075" t="s">
        <v>27</v>
      </c>
      <c r="K13" s="1075"/>
      <c r="L13" s="1075" t="s">
        <v>27</v>
      </c>
      <c r="M13" s="1075"/>
      <c r="N13" s="1075" t="s">
        <v>27</v>
      </c>
      <c r="O13" s="1075"/>
      <c r="P13" s="1075" t="s">
        <v>27</v>
      </c>
      <c r="Q13" s="1075"/>
      <c r="R13" s="1075" t="s">
        <v>27</v>
      </c>
      <c r="S13" s="1075"/>
      <c r="T13" s="1076" t="s">
        <v>27</v>
      </c>
      <c r="U13" s="1076"/>
      <c r="Z13" s="1074" t="s">
        <v>27</v>
      </c>
      <c r="AA13" s="1074"/>
      <c r="AB13" s="1075" t="s">
        <v>27</v>
      </c>
      <c r="AC13" s="1075"/>
      <c r="AD13" s="1075" t="s">
        <v>27</v>
      </c>
      <c r="AE13" s="1075"/>
      <c r="AF13" s="1075" t="s">
        <v>27</v>
      </c>
      <c r="AG13" s="1075"/>
      <c r="AH13" s="1075" t="s">
        <v>27</v>
      </c>
      <c r="AI13" s="1075"/>
      <c r="AJ13" s="1075" t="s">
        <v>27</v>
      </c>
      <c r="AK13" s="1075"/>
      <c r="AL13" s="1076" t="s">
        <v>27</v>
      </c>
      <c r="AM13" s="1076"/>
    </row>
    <row r="14" ht="15" customHeight="1">
      <c r="A14" s="68"/>
      <c r="C14" s="68" t="s">
        <v>8</v>
      </c>
      <c r="F14" s="64"/>
    </row>
    <row r="15" ht="15" customHeight="1">
      <c r="D15" s="70" t="s">
        <v>257</v>
      </c>
      <c r="F15" s="64"/>
      <c r="P15" s="1077"/>
      <c r="Q15" s="1077"/>
      <c r="R15" s="1077"/>
      <c r="S15" s="1077"/>
      <c r="T15" s="1077"/>
      <c r="U15" s="1077"/>
      <c r="V15" s="1077"/>
      <c r="W15" s="0"/>
      <c r="X15" s="1077"/>
      <c r="Y15" s="1077"/>
      <c r="Z15" s="1077"/>
      <c r="AA15" s="1077"/>
      <c r="AB15" s="1077"/>
      <c r="AC15" s="1077"/>
      <c r="AD15" s="1077"/>
      <c r="AE15" s="0"/>
      <c r="AF15" s="1077"/>
      <c r="AG15" s="1077"/>
      <c r="AH15" s="1077"/>
      <c r="AI15" s="1077"/>
      <c r="AJ15" s="1077"/>
      <c r="AK15" s="1077"/>
      <c r="AL15" s="1077"/>
      <c r="AM15" s="0"/>
      <c r="AN15" s="0"/>
    </row>
    <row r="16" ht="15" customHeight="1">
      <c r="C16" s="70"/>
      <c r="D16" s="73" t="s">
        <v>249</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251</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253</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255</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1008">
        <v>2019</v>
      </c>
      <c r="S21" s="1008"/>
      <c r="T21" s="1008"/>
      <c r="U21" s="1008"/>
      <c r="V21" s="1008"/>
      <c r="W21" s="1008"/>
      <c r="X21" s="1008"/>
      <c r="Y21" s="1008"/>
      <c r="Z21" s="1008"/>
      <c r="AA21" s="1008"/>
      <c r="AB21" s="1008"/>
      <c r="AC21" s="1008"/>
      <c r="AD21" s="1010">
        <v>2020</v>
      </c>
      <c r="AE21" s="1010"/>
      <c r="AF21" s="1010"/>
      <c r="AG21" s="1010"/>
      <c r="AH21" s="1010"/>
      <c r="AI21" s="1010"/>
      <c r="AJ21" s="1010"/>
      <c r="AK21" s="1010"/>
      <c r="AL21" s="1010"/>
      <c r="AM21" s="1010"/>
      <c r="AN21" s="1010"/>
      <c r="AO21" s="1010"/>
    </row>
    <row r="22" s="5" customFormat="1" ht="30" customHeight="1">
      <c r="B22" s="76"/>
      <c r="C22" s="77" t="s">
        <v>73</v>
      </c>
      <c r="D22" s="77" t="s">
        <v>21</v>
      </c>
      <c r="E22" s="177" t="s">
        <v>98</v>
      </c>
      <c r="F22" s="10" t="s">
        <v>62</v>
      </c>
      <c r="G22" s="10" t="s">
        <v>63</v>
      </c>
      <c r="H22" s="1078" t="s">
        <v>34</v>
      </c>
      <c r="I22" s="1078"/>
      <c r="J22" s="1078"/>
      <c r="K22" s="1078"/>
      <c r="L22" s="1078" t="s">
        <v>64</v>
      </c>
      <c r="M22" s="1078"/>
      <c r="N22" s="1078"/>
      <c r="O22" s="1078"/>
      <c r="R22" s="618" t="s">
        <v>232</v>
      </c>
      <c r="S22" s="619" t="s">
        <v>233</v>
      </c>
      <c r="T22" s="619" t="s">
        <v>234</v>
      </c>
      <c r="U22" s="619" t="s">
        <v>235</v>
      </c>
      <c r="V22" s="619" t="s">
        <v>236</v>
      </c>
      <c r="W22" s="619" t="s">
        <v>237</v>
      </c>
      <c r="X22" s="619" t="s">
        <v>221</v>
      </c>
      <c r="Y22" s="619" t="s">
        <v>224</v>
      </c>
      <c r="Z22" s="619" t="s">
        <v>226</v>
      </c>
      <c r="AA22" s="619" t="s">
        <v>228</v>
      </c>
      <c r="AB22" s="619" t="s">
        <v>229</v>
      </c>
      <c r="AC22" s="1030" t="s">
        <v>230</v>
      </c>
      <c r="AD22" s="619" t="s">
        <v>232</v>
      </c>
      <c r="AE22" s="619" t="s">
        <v>233</v>
      </c>
      <c r="AF22" s="619" t="s">
        <v>234</v>
      </c>
      <c r="AG22" s="619" t="s">
        <v>235</v>
      </c>
      <c r="AH22" s="619" t="s">
        <v>236</v>
      </c>
      <c r="AI22" s="619" t="s">
        <v>237</v>
      </c>
      <c r="AJ22" s="619" t="s">
        <v>221</v>
      </c>
      <c r="AK22" s="619" t="s">
        <v>224</v>
      </c>
      <c r="AL22" s="619" t="s">
        <v>226</v>
      </c>
      <c r="AM22" s="619" t="s">
        <v>228</v>
      </c>
      <c r="AN22" s="619" t="s">
        <v>229</v>
      </c>
      <c r="AO22" s="1030" t="s">
        <v>230</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31">
        <v>56387</v>
      </c>
      <c r="D23" s="1031" t="s">
        <v>217</v>
      </c>
      <c r="E23" s="1031" t="s">
        <v>262</v>
      </c>
      <c r="F23" s="1031" t="s">
        <v>263</v>
      </c>
      <c r="G23" s="1031" t="s">
        <v>264</v>
      </c>
      <c r="H23" s="1032" t="s">
        <v>265</v>
      </c>
      <c r="I23" s="1032"/>
      <c r="J23" s="1032"/>
      <c r="K23" s="1032"/>
      <c r="L23" s="1032" t="s">
        <v>266</v>
      </c>
      <c r="M23" s="1032"/>
      <c r="N23" s="1032"/>
      <c r="O23" s="1032"/>
      <c r="P23" s="80"/>
      <c r="Q23" s="4"/>
      <c r="R23" s="1079" t="s">
        <v>311</v>
      </c>
      <c r="S23" s="1080" t="s">
        <v>311</v>
      </c>
      <c r="T23" s="1080" t="s">
        <v>311</v>
      </c>
      <c r="U23" s="1080" t="s">
        <v>311</v>
      </c>
      <c r="V23" s="1080" t="s">
        <v>311</v>
      </c>
      <c r="W23" s="1080" t="s">
        <v>311</v>
      </c>
      <c r="X23" s="1080" t="s">
        <v>311</v>
      </c>
      <c r="Y23" s="1080" t="s">
        <v>311</v>
      </c>
      <c r="Z23" s="1080" t="s">
        <v>311</v>
      </c>
      <c r="AA23" s="1080" t="s">
        <v>311</v>
      </c>
      <c r="AB23" s="1080" t="s">
        <v>311</v>
      </c>
      <c r="AC23" s="1080" t="s">
        <v>311</v>
      </c>
      <c r="AD23" s="1080" t="s">
        <v>311</v>
      </c>
      <c r="AE23" s="1080" t="s">
        <v>311</v>
      </c>
      <c r="AF23" s="1080" t="s">
        <v>311</v>
      </c>
      <c r="AG23" s="1080" t="s">
        <v>268</v>
      </c>
      <c r="AH23" s="1080" t="s">
        <v>268</v>
      </c>
      <c r="AI23" s="1080" t="s">
        <v>311</v>
      </c>
      <c r="AJ23" s="1080" t="s">
        <v>311</v>
      </c>
      <c r="AK23" s="1080" t="s">
        <v>311</v>
      </c>
      <c r="AL23" s="1080" t="s">
        <v>311</v>
      </c>
      <c r="AM23" s="1080" t="s">
        <v>311</v>
      </c>
      <c r="AN23" s="1080" t="s">
        <v>311</v>
      </c>
      <c r="AO23" s="1081" t="s">
        <v>311</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36">
        <v>31851</v>
      </c>
      <c r="D24" s="1036" t="s">
        <v>325</v>
      </c>
      <c r="E24" s="1036" t="s">
        <v>262</v>
      </c>
      <c r="F24" s="1036" t="s">
        <v>326</v>
      </c>
      <c r="G24" s="1036" t="s">
        <v>327</v>
      </c>
      <c r="H24" s="1037" t="s">
        <v>328</v>
      </c>
      <c r="I24" s="1037"/>
      <c r="J24" s="1037"/>
      <c r="K24" s="1037"/>
      <c r="L24" s="1037" t="s">
        <v>329</v>
      </c>
      <c r="M24" s="1037"/>
      <c r="N24" s="1037"/>
      <c r="O24" s="1037"/>
      <c r="P24" s="80"/>
      <c r="Q24" s="4"/>
      <c r="R24" s="1082" t="s">
        <v>311</v>
      </c>
      <c r="S24" s="1083" t="s">
        <v>311</v>
      </c>
      <c r="T24" s="1083" t="s">
        <v>311</v>
      </c>
      <c r="U24" s="1083" t="s">
        <v>311</v>
      </c>
      <c r="V24" s="1083" t="s">
        <v>311</v>
      </c>
      <c r="W24" s="1083" t="s">
        <v>311</v>
      </c>
      <c r="X24" s="1083" t="s">
        <v>311</v>
      </c>
      <c r="Y24" s="1083" t="s">
        <v>311</v>
      </c>
      <c r="Z24" s="1083" t="s">
        <v>311</v>
      </c>
      <c r="AA24" s="1083" t="s">
        <v>311</v>
      </c>
      <c r="AB24" s="1083" t="s">
        <v>311</v>
      </c>
      <c r="AC24" s="1083" t="s">
        <v>311</v>
      </c>
      <c r="AD24" s="1083" t="s">
        <v>311</v>
      </c>
      <c r="AE24" s="1083" t="s">
        <v>311</v>
      </c>
      <c r="AF24" s="1083" t="s">
        <v>311</v>
      </c>
      <c r="AG24" s="1083" t="s">
        <v>268</v>
      </c>
      <c r="AH24" s="1083" t="s">
        <v>268</v>
      </c>
      <c r="AI24" s="1083" t="s">
        <v>311</v>
      </c>
      <c r="AJ24" s="1083" t="s">
        <v>311</v>
      </c>
      <c r="AK24" s="1083" t="s">
        <v>311</v>
      </c>
      <c r="AL24" s="1083" t="s">
        <v>311</v>
      </c>
      <c r="AM24" s="1083" t="s">
        <v>311</v>
      </c>
      <c r="AN24" s="1083" t="s">
        <v>311</v>
      </c>
      <c r="AO24" s="1084" t="s">
        <v>311</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31">
        <v>33931</v>
      </c>
      <c r="D25" s="1031" t="s">
        <v>269</v>
      </c>
      <c r="E25" s="1031" t="s">
        <v>262</v>
      </c>
      <c r="F25" s="1031" t="s">
        <v>270</v>
      </c>
      <c r="G25" s="1031" t="s">
        <v>271</v>
      </c>
      <c r="H25" s="1032" t="s">
        <v>272</v>
      </c>
      <c r="I25" s="1032"/>
      <c r="J25" s="1032"/>
      <c r="K25" s="1032"/>
      <c r="L25" s="1032" t="s">
        <v>273</v>
      </c>
      <c r="M25" s="1032"/>
      <c r="N25" s="1032"/>
      <c r="O25" s="1032"/>
      <c r="P25" s="80"/>
      <c r="Q25" s="4"/>
      <c r="R25" s="1079" t="s">
        <v>312</v>
      </c>
      <c r="S25" s="1080" t="s">
        <v>312</v>
      </c>
      <c r="T25" s="1080" t="s">
        <v>312</v>
      </c>
      <c r="U25" s="1080" t="s">
        <v>312</v>
      </c>
      <c r="V25" s="1080" t="s">
        <v>312</v>
      </c>
      <c r="W25" s="1080" t="s">
        <v>312</v>
      </c>
      <c r="X25" s="1080" t="s">
        <v>312</v>
      </c>
      <c r="Y25" s="1080" t="s">
        <v>312</v>
      </c>
      <c r="Z25" s="1080" t="s">
        <v>312</v>
      </c>
      <c r="AA25" s="1080" t="s">
        <v>312</v>
      </c>
      <c r="AB25" s="1080" t="s">
        <v>312</v>
      </c>
      <c r="AC25" s="1080" t="s">
        <v>312</v>
      </c>
      <c r="AD25" s="1080" t="s">
        <v>312</v>
      </c>
      <c r="AE25" s="1080" t="s">
        <v>312</v>
      </c>
      <c r="AF25" s="1080" t="s">
        <v>312</v>
      </c>
      <c r="AG25" s="1080" t="s">
        <v>268</v>
      </c>
      <c r="AH25" s="1080" t="s">
        <v>268</v>
      </c>
      <c r="AI25" s="1080" t="s">
        <v>312</v>
      </c>
      <c r="AJ25" s="1080" t="s">
        <v>312</v>
      </c>
      <c r="AK25" s="1080" t="s">
        <v>312</v>
      </c>
      <c r="AL25" s="1080" t="s">
        <v>312</v>
      </c>
      <c r="AM25" s="1080" t="s">
        <v>312</v>
      </c>
      <c r="AN25" s="1080" t="s">
        <v>312</v>
      </c>
      <c r="AO25" s="1081" t="s">
        <v>312</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36">
        <v>34401</v>
      </c>
      <c r="D26" s="1036" t="s">
        <v>275</v>
      </c>
      <c r="E26" s="1036" t="s">
        <v>262</v>
      </c>
      <c r="F26" s="1036" t="s">
        <v>276</v>
      </c>
      <c r="G26" s="1036" t="s">
        <v>277</v>
      </c>
      <c r="H26" s="1037" t="s">
        <v>278</v>
      </c>
      <c r="I26" s="1037"/>
      <c r="J26" s="1037"/>
      <c r="K26" s="1037"/>
      <c r="L26" s="1037" t="s">
        <v>279</v>
      </c>
      <c r="M26" s="1037"/>
      <c r="N26" s="1037"/>
      <c r="O26" s="1037"/>
      <c r="P26" s="80"/>
      <c r="Q26" s="4"/>
      <c r="R26" s="1082" t="s">
        <v>311</v>
      </c>
      <c r="S26" s="1083" t="s">
        <v>311</v>
      </c>
      <c r="T26" s="1083" t="s">
        <v>311</v>
      </c>
      <c r="U26" s="1083" t="s">
        <v>311</v>
      </c>
      <c r="V26" s="1083" t="s">
        <v>311</v>
      </c>
      <c r="W26" s="1083" t="s">
        <v>311</v>
      </c>
      <c r="X26" s="1083" t="s">
        <v>311</v>
      </c>
      <c r="Y26" s="1083" t="s">
        <v>311</v>
      </c>
      <c r="Z26" s="1083" t="s">
        <v>311</v>
      </c>
      <c r="AA26" s="1083" t="s">
        <v>311</v>
      </c>
      <c r="AB26" s="1083" t="s">
        <v>311</v>
      </c>
      <c r="AC26" s="1083" t="s">
        <v>311</v>
      </c>
      <c r="AD26" s="1083" t="s">
        <v>311</v>
      </c>
      <c r="AE26" s="1083" t="s">
        <v>311</v>
      </c>
      <c r="AF26" s="1083" t="s">
        <v>311</v>
      </c>
      <c r="AG26" s="1083" t="s">
        <v>268</v>
      </c>
      <c r="AH26" s="1083" t="s">
        <v>268</v>
      </c>
      <c r="AI26" s="1083" t="s">
        <v>268</v>
      </c>
      <c r="AJ26" s="1083" t="s">
        <v>268</v>
      </c>
      <c r="AK26" s="1083" t="s">
        <v>268</v>
      </c>
      <c r="AL26" s="1083" t="s">
        <v>268</v>
      </c>
      <c r="AM26" s="1083" t="s">
        <v>268</v>
      </c>
      <c r="AN26" s="1083" t="s">
        <v>268</v>
      </c>
      <c r="AO26" s="1084" t="s">
        <v>268</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31">
        <v>35815</v>
      </c>
      <c r="D27" s="1031" t="s">
        <v>330</v>
      </c>
      <c r="E27" s="1031" t="s">
        <v>262</v>
      </c>
      <c r="F27" s="1031" t="s">
        <v>331</v>
      </c>
      <c r="G27" s="1031" t="s">
        <v>332</v>
      </c>
      <c r="H27" s="1032" t="s">
        <v>333</v>
      </c>
      <c r="I27" s="1032"/>
      <c r="J27" s="1032"/>
      <c r="K27" s="1032"/>
      <c r="L27" s="1032" t="s">
        <v>334</v>
      </c>
      <c r="M27" s="1032"/>
      <c r="N27" s="1032"/>
      <c r="O27" s="1032"/>
      <c r="P27" s="80"/>
      <c r="Q27" s="4"/>
      <c r="R27" s="1079" t="s">
        <v>312</v>
      </c>
      <c r="S27" s="1080" t="s">
        <v>312</v>
      </c>
      <c r="T27" s="1080" t="s">
        <v>312</v>
      </c>
      <c r="U27" s="1080" t="s">
        <v>312</v>
      </c>
      <c r="V27" s="1080" t="s">
        <v>312</v>
      </c>
      <c r="W27" s="1080" t="s">
        <v>312</v>
      </c>
      <c r="X27" s="1080" t="s">
        <v>312</v>
      </c>
      <c r="Y27" s="1080" t="s">
        <v>312</v>
      </c>
      <c r="Z27" s="1080" t="s">
        <v>312</v>
      </c>
      <c r="AA27" s="1080" t="s">
        <v>312</v>
      </c>
      <c r="AB27" s="1080" t="s">
        <v>312</v>
      </c>
      <c r="AC27" s="1080" t="s">
        <v>312</v>
      </c>
      <c r="AD27" s="1080" t="s">
        <v>311</v>
      </c>
      <c r="AE27" s="1080" t="s">
        <v>311</v>
      </c>
      <c r="AF27" s="1080" t="s">
        <v>312</v>
      </c>
      <c r="AG27" s="1080" t="s">
        <v>268</v>
      </c>
      <c r="AH27" s="1080" t="s">
        <v>268</v>
      </c>
      <c r="AI27" s="1080" t="s">
        <v>268</v>
      </c>
      <c r="AJ27" s="1080" t="s">
        <v>268</v>
      </c>
      <c r="AK27" s="1080" t="s">
        <v>268</v>
      </c>
      <c r="AL27" s="1080" t="s">
        <v>312</v>
      </c>
      <c r="AM27" s="1080" t="s">
        <v>312</v>
      </c>
      <c r="AN27" s="1080" t="s">
        <v>311</v>
      </c>
      <c r="AO27" s="1081" t="s">
        <v>311</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36">
        <v>39070</v>
      </c>
      <c r="D28" s="1036" t="s">
        <v>280</v>
      </c>
      <c r="E28" s="1036" t="s">
        <v>262</v>
      </c>
      <c r="F28" s="1036" t="s">
        <v>281</v>
      </c>
      <c r="G28" s="1036" t="s">
        <v>282</v>
      </c>
      <c r="H28" s="1037" t="s">
        <v>283</v>
      </c>
      <c r="I28" s="1037"/>
      <c r="J28" s="1037"/>
      <c r="K28" s="1037"/>
      <c r="L28" s="1037" t="s">
        <v>284</v>
      </c>
      <c r="M28" s="1037"/>
      <c r="N28" s="1037"/>
      <c r="O28" s="1037"/>
      <c r="P28" s="80"/>
      <c r="Q28" s="4"/>
      <c r="R28" s="1082" t="s">
        <v>311</v>
      </c>
      <c r="S28" s="1083" t="s">
        <v>311</v>
      </c>
      <c r="T28" s="1083" t="s">
        <v>311</v>
      </c>
      <c r="U28" s="1083" t="s">
        <v>311</v>
      </c>
      <c r="V28" s="1083" t="s">
        <v>311</v>
      </c>
      <c r="W28" s="1083" t="s">
        <v>311</v>
      </c>
      <c r="X28" s="1083" t="s">
        <v>311</v>
      </c>
      <c r="Y28" s="1083" t="s">
        <v>311</v>
      </c>
      <c r="Z28" s="1083" t="s">
        <v>311</v>
      </c>
      <c r="AA28" s="1083" t="s">
        <v>311</v>
      </c>
      <c r="AB28" s="1083" t="s">
        <v>311</v>
      </c>
      <c r="AC28" s="1083" t="s">
        <v>311</v>
      </c>
      <c r="AD28" s="1083" t="s">
        <v>311</v>
      </c>
      <c r="AE28" s="1083" t="s">
        <v>311</v>
      </c>
      <c r="AF28" s="1083" t="s">
        <v>311</v>
      </c>
      <c r="AG28" s="1083" t="s">
        <v>268</v>
      </c>
      <c r="AH28" s="1083" t="s">
        <v>268</v>
      </c>
      <c r="AI28" s="1083" t="s">
        <v>268</v>
      </c>
      <c r="AJ28" s="1083" t="s">
        <v>268</v>
      </c>
      <c r="AK28" s="1083" t="s">
        <v>268</v>
      </c>
      <c r="AL28" s="1083" t="s">
        <v>268</v>
      </c>
      <c r="AM28" s="1083" t="s">
        <v>268</v>
      </c>
      <c r="AN28" s="1083" t="s">
        <v>268</v>
      </c>
      <c r="AO28" s="1084" t="s">
        <v>268</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031">
        <v>43915</v>
      </c>
      <c r="D29" s="1031" t="s">
        <v>335</v>
      </c>
      <c r="E29" s="1031" t="s">
        <v>262</v>
      </c>
      <c r="F29" s="1031" t="s">
        <v>336</v>
      </c>
      <c r="G29" s="1031" t="s">
        <v>337</v>
      </c>
      <c r="H29" s="1032" t="s">
        <v>338</v>
      </c>
      <c r="I29" s="1032"/>
      <c r="J29" s="1032"/>
      <c r="K29" s="1032"/>
      <c r="L29" s="1032" t="s">
        <v>339</v>
      </c>
      <c r="M29" s="1032"/>
      <c r="N29" s="1032"/>
      <c r="O29" s="1032"/>
      <c r="P29" s="80"/>
      <c r="Q29" s="4"/>
      <c r="R29" s="1079" t="s">
        <v>312</v>
      </c>
      <c r="S29" s="1080" t="s">
        <v>312</v>
      </c>
      <c r="T29" s="1080" t="s">
        <v>311</v>
      </c>
      <c r="U29" s="1080" t="s">
        <v>312</v>
      </c>
      <c r="V29" s="1080" t="s">
        <v>312</v>
      </c>
      <c r="W29" s="1080" t="s">
        <v>312</v>
      </c>
      <c r="X29" s="1080" t="s">
        <v>312</v>
      </c>
      <c r="Y29" s="1080" t="s">
        <v>312</v>
      </c>
      <c r="Z29" s="1080" t="s">
        <v>312</v>
      </c>
      <c r="AA29" s="1080" t="s">
        <v>312</v>
      </c>
      <c r="AB29" s="1080" t="s">
        <v>312</v>
      </c>
      <c r="AC29" s="1080" t="s">
        <v>312</v>
      </c>
      <c r="AD29" s="1080" t="s">
        <v>311</v>
      </c>
      <c r="AE29" s="1080" t="s">
        <v>311</v>
      </c>
      <c r="AF29" s="1080" t="s">
        <v>312</v>
      </c>
      <c r="AG29" s="1080" t="s">
        <v>268</v>
      </c>
      <c r="AH29" s="1080" t="s">
        <v>268</v>
      </c>
      <c r="AI29" s="1080" t="s">
        <v>312</v>
      </c>
      <c r="AJ29" s="1080" t="s">
        <v>312</v>
      </c>
      <c r="AK29" s="1080" t="s">
        <v>312</v>
      </c>
      <c r="AL29" s="1080" t="s">
        <v>312</v>
      </c>
      <c r="AM29" s="1080" t="s">
        <v>312</v>
      </c>
      <c r="AN29" s="1080" t="s">
        <v>312</v>
      </c>
      <c r="AO29" s="1081" t="s">
        <v>312</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1012">
        <v>688</v>
      </c>
      <c r="I30" s="1012"/>
      <c r="J30" s="1012"/>
      <c r="K30" s="1012"/>
      <c r="L30" s="1085"/>
      <c r="M30" s="1085"/>
      <c r="N30" s="1085"/>
      <c r="O30" s="1085"/>
      <c r="P30" s="80"/>
      <c r="Q30" s="4"/>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1011"/>
      <c r="I31" s="1011"/>
      <c r="J31" s="1011"/>
      <c r="K31" s="1011"/>
      <c r="L31" s="1085"/>
      <c r="M31" s="1085"/>
      <c r="N31" s="1085"/>
      <c r="O31" s="1085"/>
      <c r="P31" s="80"/>
      <c r="Q31" s="4"/>
      <c r="R31" s="182"/>
      <c r="S31" s="182"/>
      <c r="T31" s="182"/>
      <c r="U31" s="182"/>
      <c r="V31" s="182"/>
      <c r="W31" s="182"/>
      <c r="X31" s="1041" t="s">
        <v>295</v>
      </c>
      <c r="Y31" s="182"/>
      <c r="Z31" s="182"/>
      <c r="AA31" s="182"/>
      <c r="AB31" s="182"/>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1011"/>
      <c r="I32" s="1011"/>
      <c r="J32" s="1011"/>
      <c r="K32" s="1011"/>
      <c r="L32" s="1085"/>
      <c r="M32" s="1085"/>
      <c r="N32" s="1085"/>
      <c r="O32" s="1085"/>
      <c r="P32" s="80"/>
      <c r="Q32" s="4"/>
      <c r="R32" s="182"/>
      <c r="S32" s="182"/>
      <c r="T32" s="182"/>
      <c r="U32" s="182"/>
      <c r="V32" s="182"/>
      <c r="W32" s="182"/>
      <c r="X32" s="182"/>
      <c r="Y32" s="182"/>
      <c r="Z32" s="182"/>
      <c r="AA32" s="1086" t="s">
        <v>312</v>
      </c>
      <c r="AB32" s="1041" t="s">
        <v>313</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1011"/>
      <c r="I33" s="1011"/>
      <c r="J33" s="1011"/>
      <c r="K33" s="1011"/>
      <c r="L33" s="1085"/>
      <c r="M33" s="1085"/>
      <c r="N33" s="1085"/>
      <c r="O33" s="1085"/>
      <c r="P33" s="80"/>
      <c r="Q33" s="4"/>
      <c r="R33" s="182"/>
      <c r="S33" s="182"/>
      <c r="T33" s="182"/>
      <c r="U33" s="182"/>
      <c r="V33" s="182"/>
      <c r="W33" s="182"/>
      <c r="X33" s="182"/>
      <c r="Y33" s="182"/>
      <c r="Z33" s="182"/>
      <c r="AA33" s="1086" t="s">
        <v>314</v>
      </c>
      <c r="AB33" s="1041" t="s">
        <v>315</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1011"/>
      <c r="I34" s="1011"/>
      <c r="J34" s="1011"/>
      <c r="K34" s="1011"/>
      <c r="L34" s="1085"/>
      <c r="M34" s="1085"/>
      <c r="N34" s="1085"/>
      <c r="O34" s="1085"/>
      <c r="P34" s="80"/>
      <c r="Q34" s="4"/>
      <c r="R34" s="182"/>
      <c r="S34" s="182"/>
      <c r="T34" s="182"/>
      <c r="U34" s="182"/>
      <c r="V34" s="182"/>
      <c r="W34" s="182"/>
      <c r="X34" s="182"/>
      <c r="Y34" s="182"/>
      <c r="Z34" s="182"/>
      <c r="AA34" s="1087" t="s">
        <v>311</v>
      </c>
      <c r="AB34" s="1041" t="s">
        <v>316</v>
      </c>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1011"/>
      <c r="I35" s="1011"/>
      <c r="J35" s="1011"/>
      <c r="K35" s="1011"/>
      <c r="L35" s="1085"/>
      <c r="M35" s="1085"/>
      <c r="N35" s="1085"/>
      <c r="O35" s="1085"/>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1011"/>
      <c r="I36" s="1011"/>
      <c r="J36" s="1011"/>
      <c r="K36" s="1011"/>
      <c r="L36" s="1085"/>
      <c r="M36" s="1085"/>
      <c r="N36" s="1085"/>
      <c r="O36" s="1085"/>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1011"/>
      <c r="I37" s="1011"/>
      <c r="J37" s="1011"/>
      <c r="K37" s="1011"/>
      <c r="L37" s="1085"/>
      <c r="M37" s="1085"/>
      <c r="N37" s="1085"/>
      <c r="O37" s="1085"/>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1011"/>
      <c r="I38" s="1011"/>
      <c r="J38" s="1011"/>
      <c r="K38" s="1011"/>
      <c r="L38" s="1085"/>
      <c r="M38" s="1085"/>
      <c r="N38" s="1085"/>
      <c r="O38" s="1085"/>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1011"/>
      <c r="I39" s="1011"/>
      <c r="J39" s="1011"/>
      <c r="K39" s="1011"/>
      <c r="L39" s="1085"/>
      <c r="M39" s="1085"/>
      <c r="N39" s="1085"/>
      <c r="O39" s="1085"/>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011"/>
      <c r="I40" s="1011"/>
      <c r="J40" s="1011"/>
      <c r="K40" s="1011"/>
      <c r="L40" s="1085"/>
      <c r="M40" s="1085"/>
      <c r="N40" s="1085"/>
      <c r="O40" s="1085"/>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011"/>
      <c r="I41" s="1011"/>
      <c r="J41" s="1011"/>
      <c r="K41" s="1011"/>
      <c r="L41" s="1085"/>
      <c r="M41" s="1085"/>
      <c r="N41" s="1085"/>
      <c r="O41" s="1085"/>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011"/>
      <c r="I42" s="1011"/>
      <c r="J42" s="1011"/>
      <c r="K42" s="1011"/>
      <c r="L42" s="1085"/>
      <c r="M42" s="1085"/>
      <c r="N42" s="1085"/>
      <c r="O42" s="1085"/>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011"/>
      <c r="I43" s="1011"/>
      <c r="J43" s="1011"/>
      <c r="K43" s="1011"/>
      <c r="L43" s="1085"/>
      <c r="M43" s="1085"/>
      <c r="N43" s="1085"/>
      <c r="O43" s="1085"/>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011"/>
      <c r="I44" s="1011"/>
      <c r="J44" s="1011"/>
      <c r="K44" s="1011"/>
      <c r="L44" s="1085"/>
      <c r="M44" s="1085"/>
      <c r="N44" s="1085"/>
      <c r="O44" s="1085"/>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011"/>
      <c r="I45" s="1011"/>
      <c r="J45" s="1011"/>
      <c r="K45" s="1011"/>
      <c r="L45" s="1085"/>
      <c r="M45" s="1085"/>
      <c r="N45" s="1085"/>
      <c r="O45" s="1085"/>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011"/>
      <c r="I46" s="1011"/>
      <c r="J46" s="1011"/>
      <c r="K46" s="1011"/>
      <c r="L46" s="1085"/>
      <c r="M46" s="1085"/>
      <c r="N46" s="1085"/>
      <c r="O46" s="1085"/>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011"/>
      <c r="I47" s="1011"/>
      <c r="J47" s="1011"/>
      <c r="K47" s="1011"/>
      <c r="L47" s="1085"/>
      <c r="M47" s="1085"/>
      <c r="N47" s="1085"/>
      <c r="O47" s="1085"/>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011"/>
      <c r="I48" s="1011"/>
      <c r="J48" s="1011"/>
      <c r="K48" s="1011"/>
      <c r="L48" s="1085"/>
      <c r="M48" s="1085"/>
      <c r="N48" s="1085"/>
      <c r="O48" s="1085"/>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011"/>
      <c r="I49" s="1011"/>
      <c r="J49" s="1011"/>
      <c r="K49" s="1011"/>
      <c r="L49" s="1085"/>
      <c r="M49" s="1085"/>
      <c r="N49" s="1085"/>
      <c r="O49" s="1085"/>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011"/>
      <c r="I50" s="1011"/>
      <c r="J50" s="1011"/>
      <c r="K50" s="1011"/>
      <c r="L50" s="1085"/>
      <c r="M50" s="1085"/>
      <c r="N50" s="1085"/>
      <c r="O50" s="1085"/>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011"/>
      <c r="I51" s="1011"/>
      <c r="J51" s="1011"/>
      <c r="K51" s="1011"/>
      <c r="L51" s="1085"/>
      <c r="M51" s="1085"/>
      <c r="N51" s="1085"/>
      <c r="O51" s="1085"/>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011"/>
      <c r="I52" s="1011"/>
      <c r="J52" s="1011"/>
      <c r="K52" s="1011"/>
      <c r="L52" s="1085"/>
      <c r="M52" s="1085"/>
      <c r="N52" s="1085"/>
      <c r="O52" s="1085"/>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1011"/>
      <c r="I53" s="1011"/>
      <c r="J53" s="1011"/>
      <c r="K53" s="1011"/>
      <c r="L53" s="1085"/>
      <c r="M53" s="1085"/>
      <c r="N53" s="1085"/>
      <c r="O53" s="1085"/>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1011"/>
      <c r="I54" s="1011"/>
      <c r="J54" s="1011"/>
      <c r="K54" s="1011"/>
      <c r="L54" s="1085"/>
      <c r="M54" s="1085"/>
      <c r="N54" s="1085"/>
      <c r="O54" s="1085"/>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1011"/>
      <c r="I55" s="1011"/>
      <c r="J55" s="1011"/>
      <c r="K55" s="1011"/>
      <c r="L55" s="1085"/>
      <c r="M55" s="1085"/>
      <c r="N55" s="1085"/>
      <c r="O55" s="1085"/>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1011"/>
      <c r="I56" s="1011"/>
      <c r="J56" s="1011"/>
      <c r="K56" s="1011"/>
      <c r="L56" s="1085"/>
      <c r="M56" s="1085"/>
      <c r="N56" s="1085"/>
      <c r="O56" s="1085"/>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1011"/>
      <c r="I57" s="1011"/>
      <c r="J57" s="1011"/>
      <c r="K57" s="1011"/>
      <c r="L57" s="1085"/>
      <c r="M57" s="1085"/>
      <c r="N57" s="1085"/>
      <c r="O57" s="1085"/>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1011"/>
      <c r="I58" s="1011"/>
      <c r="J58" s="1011"/>
      <c r="K58" s="1011"/>
      <c r="L58" s="1085"/>
      <c r="M58" s="1085"/>
      <c r="N58" s="1085"/>
      <c r="O58" s="1085"/>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1011"/>
      <c r="I59" s="1011"/>
      <c r="J59" s="1011"/>
      <c r="K59" s="1011"/>
      <c r="L59" s="1085"/>
      <c r="M59" s="1085"/>
      <c r="N59" s="1085"/>
      <c r="O59" s="1085"/>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011"/>
      <c r="I60" s="1011"/>
      <c r="J60" s="1011"/>
      <c r="K60" s="1011"/>
      <c r="L60" s="1085"/>
      <c r="M60" s="1085"/>
      <c r="N60" s="1085"/>
      <c r="O60" s="1085"/>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011"/>
      <c r="I61" s="1011"/>
      <c r="J61" s="1011"/>
      <c r="K61" s="1011"/>
      <c r="L61" s="1085"/>
      <c r="M61" s="1085"/>
      <c r="N61" s="1085"/>
      <c r="O61" s="1085"/>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011"/>
      <c r="I62" s="1011"/>
      <c r="J62" s="1011"/>
      <c r="K62" s="1011"/>
      <c r="L62" s="1085"/>
      <c r="M62" s="1085"/>
      <c r="N62" s="1085"/>
      <c r="O62" s="1085"/>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011"/>
      <c r="I63" s="1011"/>
      <c r="J63" s="1011"/>
      <c r="K63" s="1011"/>
      <c r="L63" s="1085"/>
      <c r="M63" s="1085"/>
      <c r="N63" s="1085"/>
      <c r="O63" s="1085"/>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011"/>
      <c r="I64" s="1011"/>
      <c r="J64" s="1011"/>
      <c r="K64" s="1011"/>
      <c r="L64" s="1085"/>
      <c r="M64" s="1085"/>
      <c r="N64" s="1085"/>
      <c r="O64" s="1085"/>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011"/>
      <c r="I65" s="1011"/>
      <c r="J65" s="1011"/>
      <c r="K65" s="1011"/>
      <c r="L65" s="1085"/>
      <c r="M65" s="1085"/>
      <c r="N65" s="1085"/>
      <c r="O65" s="1085"/>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011"/>
      <c r="I66" s="1011"/>
      <c r="J66" s="1011"/>
      <c r="K66" s="1011"/>
      <c r="L66" s="1085"/>
      <c r="M66" s="1085"/>
      <c r="N66" s="1085"/>
      <c r="O66" s="1085"/>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011"/>
      <c r="I67" s="1011"/>
      <c r="J67" s="1011"/>
      <c r="K67" s="1011"/>
      <c r="L67" s="1085"/>
      <c r="M67" s="1085"/>
      <c r="N67" s="1085"/>
      <c r="O67" s="1085"/>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011"/>
      <c r="I68" s="1011"/>
      <c r="J68" s="1011"/>
      <c r="K68" s="1011"/>
      <c r="L68" s="1085"/>
      <c r="M68" s="1085"/>
      <c r="N68" s="1085"/>
      <c r="O68" s="1085"/>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011"/>
      <c r="I69" s="1011"/>
      <c r="J69" s="1011"/>
      <c r="K69" s="1011"/>
      <c r="L69" s="1085"/>
      <c r="M69" s="1085"/>
      <c r="N69" s="1085"/>
      <c r="O69" s="1085"/>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011"/>
      <c r="I70" s="1011"/>
      <c r="J70" s="1011"/>
      <c r="K70" s="1011"/>
      <c r="L70" s="1085"/>
      <c r="M70" s="1085"/>
      <c r="N70" s="1085"/>
      <c r="O70" s="1085"/>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011"/>
      <c r="I71" s="1011"/>
      <c r="J71" s="1011"/>
      <c r="K71" s="1011"/>
      <c r="L71" s="1085"/>
      <c r="M71" s="1085"/>
      <c r="N71" s="1085"/>
      <c r="O71" s="1085"/>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011"/>
      <c r="I72" s="1011"/>
      <c r="J72" s="1011"/>
      <c r="K72" s="1011"/>
      <c r="L72" s="1085"/>
      <c r="M72" s="1085"/>
      <c r="N72" s="1085"/>
      <c r="O72" s="1085"/>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011"/>
      <c r="I73" s="1011"/>
      <c r="J73" s="1011"/>
      <c r="K73" s="1011"/>
      <c r="L73" s="1085"/>
      <c r="M73" s="1085"/>
      <c r="N73" s="1085"/>
      <c r="O73" s="1085"/>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011"/>
      <c r="I74" s="1011"/>
      <c r="J74" s="1011"/>
      <c r="K74" s="1011"/>
      <c r="L74" s="1085"/>
      <c r="M74" s="1085"/>
      <c r="N74" s="1085"/>
      <c r="O74" s="1085"/>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011"/>
      <c r="I75" s="1011"/>
      <c r="J75" s="1011"/>
      <c r="K75" s="1011"/>
      <c r="L75" s="1085"/>
      <c r="M75" s="1085"/>
      <c r="N75" s="1085"/>
      <c r="O75" s="1085"/>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011"/>
      <c r="I76" s="1011"/>
      <c r="J76" s="1011"/>
      <c r="K76" s="1011"/>
      <c r="L76" s="1085"/>
      <c r="M76" s="1085"/>
      <c r="N76" s="1085"/>
      <c r="O76" s="1085"/>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011"/>
      <c r="I77" s="1011"/>
      <c r="J77" s="1011"/>
      <c r="K77" s="1011"/>
      <c r="L77" s="1085"/>
      <c r="M77" s="1085"/>
      <c r="N77" s="1085"/>
      <c r="O77" s="1085"/>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011"/>
      <c r="I78" s="1011"/>
      <c r="J78" s="1011"/>
      <c r="K78" s="1011"/>
      <c r="L78" s="1085"/>
      <c r="M78" s="1085"/>
      <c r="N78" s="1085"/>
      <c r="O78" s="1085"/>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011"/>
      <c r="I79" s="1011"/>
      <c r="J79" s="1011"/>
      <c r="K79" s="1011"/>
      <c r="L79" s="1085"/>
      <c r="M79" s="1085"/>
      <c r="N79" s="1085"/>
      <c r="O79" s="1085"/>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011"/>
      <c r="I80" s="1011"/>
      <c r="J80" s="1011"/>
      <c r="K80" s="1011"/>
      <c r="L80" s="1085"/>
      <c r="M80" s="1085"/>
      <c r="N80" s="1085"/>
      <c r="O80" s="1085"/>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011"/>
      <c r="I81" s="1011"/>
      <c r="J81" s="1011"/>
      <c r="K81" s="1011"/>
      <c r="L81" s="1085"/>
      <c r="M81" s="1085"/>
      <c r="N81" s="1085"/>
      <c r="O81" s="1085"/>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011"/>
      <c r="I82" s="1011"/>
      <c r="J82" s="1011"/>
      <c r="K82" s="1011"/>
      <c r="L82" s="1085"/>
      <c r="M82" s="1085"/>
      <c r="N82" s="1085"/>
      <c r="O82" s="1085"/>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011"/>
      <c r="I83" s="1011"/>
      <c r="J83" s="1011"/>
      <c r="K83" s="1011"/>
      <c r="L83" s="1085"/>
      <c r="M83" s="1085"/>
      <c r="N83" s="1085"/>
      <c r="O83" s="1085"/>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011"/>
      <c r="I84" s="1011"/>
      <c r="J84" s="1011"/>
      <c r="K84" s="1011"/>
      <c r="L84" s="1085"/>
      <c r="M84" s="1085"/>
      <c r="N84" s="1085"/>
      <c r="O84" s="1085"/>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011"/>
      <c r="I85" s="1011"/>
      <c r="J85" s="1011"/>
      <c r="K85" s="1011"/>
      <c r="L85" s="1085"/>
      <c r="M85" s="1085"/>
      <c r="N85" s="1085"/>
      <c r="O85" s="1085"/>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011"/>
      <c r="I86" s="1011"/>
      <c r="J86" s="1011"/>
      <c r="K86" s="1011"/>
      <c r="L86" s="1085"/>
      <c r="M86" s="1085"/>
      <c r="N86" s="1085"/>
      <c r="O86" s="1085"/>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011"/>
      <c r="I87" s="1011"/>
      <c r="J87" s="1011"/>
      <c r="K87" s="1011"/>
      <c r="L87" s="1085"/>
      <c r="M87" s="1085"/>
      <c r="N87" s="1085"/>
      <c r="O87" s="1085"/>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011"/>
      <c r="I88" s="1011"/>
      <c r="J88" s="1011"/>
      <c r="K88" s="1011"/>
      <c r="L88" s="1085"/>
      <c r="M88" s="1085"/>
      <c r="N88" s="1085"/>
      <c r="O88" s="1085"/>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011"/>
      <c r="I89" s="1011"/>
      <c r="J89" s="1011"/>
      <c r="K89" s="1011"/>
      <c r="L89" s="1085"/>
      <c r="M89" s="1085"/>
      <c r="N89" s="1085"/>
      <c r="O89" s="1085"/>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011"/>
      <c r="I90" s="1011"/>
      <c r="J90" s="1011"/>
      <c r="K90" s="1011"/>
      <c r="L90" s="1085"/>
      <c r="M90" s="1085"/>
      <c r="N90" s="1085"/>
      <c r="O90" s="1085"/>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011"/>
      <c r="I91" s="1011"/>
      <c r="J91" s="1011"/>
      <c r="K91" s="1011"/>
      <c r="L91" s="1085"/>
      <c r="M91" s="1085"/>
      <c r="N91" s="1085"/>
      <c r="O91" s="1085"/>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011"/>
      <c r="I92" s="1011"/>
      <c r="J92" s="1011"/>
      <c r="K92" s="1011"/>
      <c r="L92" s="1085"/>
      <c r="M92" s="1085"/>
      <c r="N92" s="1085"/>
      <c r="O92" s="1085"/>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011"/>
      <c r="I93" s="1011"/>
      <c r="J93" s="1011"/>
      <c r="K93" s="1011"/>
      <c r="L93" s="1085"/>
      <c r="M93" s="1085"/>
      <c r="N93" s="1085"/>
      <c r="O93" s="1085"/>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011"/>
      <c r="I94" s="1011"/>
      <c r="J94" s="1011"/>
      <c r="K94" s="1011"/>
      <c r="L94" s="1085"/>
      <c r="M94" s="1085"/>
      <c r="N94" s="1085"/>
      <c r="O94" s="1085"/>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011"/>
      <c r="I95" s="1011"/>
      <c r="J95" s="1011"/>
      <c r="K95" s="1011"/>
      <c r="L95" s="1085"/>
      <c r="M95" s="1085"/>
      <c r="N95" s="1085"/>
      <c r="O95" s="1085"/>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011"/>
      <c r="I96" s="1011"/>
      <c r="J96" s="1011"/>
      <c r="K96" s="1011"/>
      <c r="L96" s="1085"/>
      <c r="M96" s="1085"/>
      <c r="N96" s="1085"/>
      <c r="O96" s="1085"/>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011"/>
      <c r="I97" s="1011"/>
      <c r="J97" s="1011"/>
      <c r="K97" s="1011"/>
      <c r="L97" s="1085"/>
      <c r="M97" s="1085"/>
      <c r="N97" s="1085"/>
      <c r="O97" s="1085"/>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011"/>
      <c r="I98" s="1011"/>
      <c r="J98" s="1011"/>
      <c r="K98" s="1011"/>
      <c r="L98" s="1085"/>
      <c r="M98" s="1085"/>
      <c r="N98" s="1085"/>
      <c r="O98" s="1085"/>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011"/>
      <c r="I99" s="1011"/>
      <c r="J99" s="1011"/>
      <c r="K99" s="1011"/>
      <c r="L99" s="1085"/>
      <c r="M99" s="1085"/>
      <c r="N99" s="1085"/>
      <c r="O99" s="1085"/>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011"/>
      <c r="I100" s="1011"/>
      <c r="J100" s="1011"/>
      <c r="K100" s="1011"/>
      <c r="L100" s="1085"/>
      <c r="M100" s="1085"/>
      <c r="N100" s="1085"/>
      <c r="O100" s="1085"/>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011"/>
      <c r="I101" s="1011"/>
      <c r="J101" s="1011"/>
      <c r="K101" s="1011"/>
      <c r="L101" s="1085"/>
      <c r="M101" s="1085"/>
      <c r="N101" s="1085"/>
      <c r="O101" s="1085"/>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011"/>
      <c r="I102" s="1011"/>
      <c r="J102" s="1011"/>
      <c r="K102" s="1011"/>
      <c r="L102" s="1085"/>
      <c r="M102" s="1085"/>
      <c r="N102" s="1085"/>
      <c r="O102" s="1085"/>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011"/>
      <c r="I103" s="1011"/>
      <c r="J103" s="1011"/>
      <c r="K103" s="1011"/>
      <c r="L103" s="1085"/>
      <c r="M103" s="1085"/>
      <c r="N103" s="1085"/>
      <c r="O103" s="1085"/>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88" t="s">
        <v>129</v>
      </c>
      <c r="D105" s="1088"/>
      <c r="E105" s="1088"/>
      <c r="F105" s="1088"/>
      <c r="G105" s="1088"/>
      <c r="H105" s="1088"/>
      <c r="I105" s="1088"/>
      <c r="J105" s="1088"/>
      <c r="K105" s="1088"/>
      <c r="L105" s="1088"/>
      <c r="M105" s="1088"/>
      <c r="N105" s="1088"/>
      <c r="O105" s="1088"/>
      <c r="P105" s="1088"/>
      <c r="Q105" s="1088"/>
      <c r="R105" s="1088"/>
      <c r="S105" s="1088"/>
      <c r="T105" s="1088"/>
      <c r="U105" s="1088"/>
      <c r="V105" s="1088"/>
      <c r="W105" s="1088"/>
      <c r="X105" s="1088"/>
      <c r="Y105" s="1088"/>
      <c r="Z105" s="1088"/>
      <c r="AA105" s="1088"/>
      <c r="AB105" s="1088"/>
      <c r="AC105" s="1088"/>
      <c r="AD105" s="1088"/>
      <c r="AE105" s="1088"/>
      <c r="AF105" s="1088"/>
      <c r="AG105" s="1088"/>
      <c r="AH105" s="1088"/>
      <c r="AI105" s="1088"/>
      <c r="AJ105" s="1088"/>
      <c r="AK105" s="1088"/>
      <c r="AL105" s="1088"/>
      <c r="AM105" s="1088"/>
      <c r="AN105" s="1088"/>
      <c r="AO105" s="1088"/>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3">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H29:K29"/>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AC21"/>
    <mergeCell ref="AD21:AO21"/>
    <mergeCell ref="H30:K30"/>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6946503</Manager>
  <Company>33</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804,836,748,808,805,837,749,809</cp:category>
  <dcterms:created xsi:type="dcterms:W3CDTF">2003-06-11T18:24:11Z</dcterms:created>
  <dc:creator>STR, Inc.</dc:creator>
  <cp:keywords>56387</cp:keywords>
  <cp:lastModifiedBy>Jose Valdes</cp:lastModifiedBy>
  <cp:lastPrinted>2016-02-11T20:47:50Z</cp:lastPrinted>
  <dcterms:modified xsi:type="dcterms:W3CDTF">2020-04-30T14:08:43Z</dcterms:modified>
  <dc:subject>56387</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